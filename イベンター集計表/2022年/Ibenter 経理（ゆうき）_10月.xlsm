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su0\OneDrive\デスクトップ\イベンター集計表\2022年\"/>
    </mc:Choice>
  </mc:AlternateContent>
  <xr:revisionPtr revIDLastSave="0" documentId="13_ncr:1_{4886AB4C-FDF3-4D75-9236-0BFB8BEA960E}" xr6:coauthVersionLast="47" xr6:coauthVersionMax="47" xr10:uidLastSave="{00000000-0000-0000-0000-000000000000}"/>
  <bookViews>
    <workbookView xWindow="2235" yWindow="3735" windowWidth="21585" windowHeight="11235" firstSheet="29" activeTab="29" xr2:uid="{00000000-000D-0000-FFFF-FFFF00000000}"/>
  </bookViews>
  <sheets>
    <sheet name="名前リスト" sheetId="1" r:id="rId1"/>
    <sheet name="Bパターン" sheetId="73" r:id="rId2"/>
    <sheet name="まとめ表_各店舗集計表(件数)" sheetId="63" r:id="rId3"/>
    <sheet name="まとめ表_各店舗集計表(Aパターン)" sheetId="67" r:id="rId4"/>
    <sheet name="まとめ表_各店舗集計表(金額)" sheetId="5" r:id="rId5"/>
    <sheet name="イベンターへ" sheetId="65" r:id="rId6"/>
    <sheet name="数式表" sheetId="25" r:id="rId7"/>
    <sheet name="①（う）キャンプ" sheetId="35" r:id="rId8"/>
    <sheet name="①（う）パンプキン" sheetId="36" r:id="rId9"/>
    <sheet name="①（堀江）aiai" sheetId="37" r:id="rId10"/>
    <sheet name="②（堀江）ファイブ" sheetId="38" state="hidden" r:id="rId11"/>
    <sheet name="②（北新地）ファイブ" sheetId="39" r:id="rId12"/>
    <sheet name="（う）　ここから" sheetId="62" state="hidden" r:id="rId13"/>
    <sheet name="②（う）石狩" sheetId="40" r:id="rId14"/>
    <sheet name="②（う）あん" sheetId="41" r:id="rId15"/>
    <sheet name="②（う）煙" sheetId="42" r:id="rId16"/>
    <sheet name="①（し）サファリ" sheetId="43" r:id="rId17"/>
    <sheet name="①（し）3e BAR" sheetId="45" r:id="rId18"/>
    <sheet name="②（し）ラプロメッサ" sheetId="46" r:id="rId19"/>
    <sheet name="②（し）M &amp;M" sheetId="48" r:id="rId20"/>
    <sheet name="②（し）CSB" sheetId="49" r:id="rId21"/>
    <sheet name="②（な）煙" sheetId="50" r:id="rId22"/>
    <sheet name="②（さ）多味庵" sheetId="51" r:id="rId23"/>
    <sheet name="②（て）キャンパス" sheetId="52" r:id="rId24"/>
    <sheet name="②（て）CSB" sheetId="77" r:id="rId25"/>
    <sheet name="②（さ）琥珀の泉" sheetId="53" r:id="rId26"/>
    <sheet name="②（さ）旬家" sheetId="54" r:id="rId27"/>
    <sheet name="②（さ）きさらぎ" sheetId="55" r:id="rId28"/>
    <sheet name="②（さ）肉バルしょうじ" sheetId="56" r:id="rId29"/>
    <sheet name="②（さ）Bar さんかく" sheetId="76" r:id="rId30"/>
    <sheet name="①（き）パンプキ" sheetId="57" r:id="rId31"/>
    <sheet name="(き)a55" sheetId="61" r:id="rId32"/>
  </sheets>
  <definedNames>
    <definedName name="_xlnm._FilterDatabase" localSheetId="2" hidden="1">'まとめ表_各店舗集計表(件数)'!#REF!</definedName>
    <definedName name="Bバック金額">Bパターン!$C$1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7" i="43" l="1"/>
  <c r="G37" i="43"/>
  <c r="H37" i="43"/>
  <c r="J37" i="43"/>
  <c r="F28" i="43"/>
  <c r="G28" i="43" s="1"/>
  <c r="H28" i="43"/>
  <c r="J28" i="43"/>
  <c r="H27" i="43"/>
  <c r="F27" i="43" s="1"/>
  <c r="G27" i="43" s="1"/>
  <c r="J27" i="43"/>
  <c r="F20" i="43"/>
  <c r="G20" i="43" s="1"/>
  <c r="H20" i="43"/>
  <c r="J20" i="43"/>
  <c r="F6" i="39"/>
  <c r="G6" i="39" s="1"/>
  <c r="H6" i="39"/>
  <c r="J6" i="39"/>
  <c r="U35" i="43"/>
  <c r="S35" i="43"/>
  <c r="Q35" i="43"/>
  <c r="R35" i="43" s="1"/>
  <c r="F17" i="43"/>
  <c r="G17" i="43" s="1"/>
  <c r="H17" i="43"/>
  <c r="J17" i="43"/>
  <c r="H9" i="43"/>
  <c r="F9" i="43" s="1"/>
  <c r="G9" i="43" s="1"/>
  <c r="J9" i="43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A5" i="51"/>
  <c r="F5" i="51"/>
  <c r="G5" i="51"/>
  <c r="H5" i="51"/>
  <c r="J5" i="51"/>
  <c r="G8" i="38"/>
  <c r="G10" i="38"/>
  <c r="G11" i="38"/>
  <c r="G13" i="38"/>
  <c r="G16" i="38"/>
  <c r="G22" i="38"/>
  <c r="F6" i="38"/>
  <c r="G6" i="38" s="1"/>
  <c r="F7" i="38"/>
  <c r="G7" i="38" s="1"/>
  <c r="F8" i="38"/>
  <c r="F9" i="38"/>
  <c r="G9" i="38" s="1"/>
  <c r="F10" i="38"/>
  <c r="F11" i="38"/>
  <c r="F12" i="38"/>
  <c r="G12" i="38" s="1"/>
  <c r="F13" i="38"/>
  <c r="F14" i="38"/>
  <c r="G14" i="38" s="1"/>
  <c r="F15" i="38"/>
  <c r="G15" i="38" s="1"/>
  <c r="F16" i="38"/>
  <c r="F17" i="38"/>
  <c r="G17" i="38" s="1"/>
  <c r="F18" i="38"/>
  <c r="G18" i="38" s="1"/>
  <c r="F20" i="38"/>
  <c r="G20" i="38" s="1"/>
  <c r="F21" i="38"/>
  <c r="G21" i="38" s="1"/>
  <c r="F22" i="38"/>
  <c r="F23" i="38"/>
  <c r="G23" i="38" s="1"/>
  <c r="F24" i="38"/>
  <c r="G24" i="38" s="1"/>
  <c r="F26" i="38"/>
  <c r="G26" i="38" s="1"/>
  <c r="F28" i="38"/>
  <c r="G28" i="38" s="1"/>
  <c r="F30" i="38"/>
  <c r="G30" i="38" s="1"/>
  <c r="F31" i="38"/>
  <c r="G31" i="38" s="1"/>
  <c r="F32" i="38"/>
  <c r="G32" i="38" s="1"/>
  <c r="F33" i="38"/>
  <c r="G33" i="38" s="1"/>
  <c r="F34" i="38"/>
  <c r="G34" i="38" s="1"/>
  <c r="F35" i="38"/>
  <c r="G35" i="38" s="1"/>
  <c r="H33" i="43"/>
  <c r="F33" i="43" s="1"/>
  <c r="G33" i="43" s="1"/>
  <c r="J33" i="43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5" i="51"/>
  <c r="H26" i="43"/>
  <c r="F26" i="43" s="1"/>
  <c r="G26" i="43" s="1"/>
  <c r="J26" i="43"/>
  <c r="D40" i="43"/>
  <c r="H6" i="43"/>
  <c r="F6" i="43" s="1"/>
  <c r="G6" i="43" s="1"/>
  <c r="H7" i="43"/>
  <c r="H8" i="43"/>
  <c r="H10" i="43"/>
  <c r="H11" i="43"/>
  <c r="F11" i="43" s="1"/>
  <c r="G11" i="43" s="1"/>
  <c r="H12" i="43"/>
  <c r="F12" i="43" s="1"/>
  <c r="G12" i="43" s="1"/>
  <c r="H13" i="43"/>
  <c r="H14" i="43"/>
  <c r="F14" i="43" s="1"/>
  <c r="G14" i="43" s="1"/>
  <c r="H15" i="43"/>
  <c r="F15" i="43" s="1"/>
  <c r="G15" i="43" s="1"/>
  <c r="H16" i="43"/>
  <c r="F16" i="43" s="1"/>
  <c r="G16" i="43" s="1"/>
  <c r="H18" i="43"/>
  <c r="F18" i="43" s="1"/>
  <c r="G18" i="43" s="1"/>
  <c r="H19" i="43"/>
  <c r="F19" i="43" s="1"/>
  <c r="G19" i="43" s="1"/>
  <c r="H21" i="43"/>
  <c r="F21" i="43" s="1"/>
  <c r="G21" i="43" s="1"/>
  <c r="H22" i="43"/>
  <c r="F22" i="43" s="1"/>
  <c r="G22" i="43" s="1"/>
  <c r="H23" i="43"/>
  <c r="F23" i="43" s="1"/>
  <c r="G23" i="43" s="1"/>
  <c r="H24" i="43"/>
  <c r="F24" i="43" s="1"/>
  <c r="H25" i="43"/>
  <c r="F25" i="43" s="1"/>
  <c r="G25" i="43" s="1"/>
  <c r="H29" i="43"/>
  <c r="H30" i="43"/>
  <c r="H31" i="43"/>
  <c r="F31" i="43" s="1"/>
  <c r="G31" i="43" s="1"/>
  <c r="H32" i="43"/>
  <c r="H34" i="43"/>
  <c r="F34" i="43" s="1"/>
  <c r="G34" i="43" s="1"/>
  <c r="H35" i="43"/>
  <c r="F35" i="43" s="1"/>
  <c r="G35" i="43" s="1"/>
  <c r="H36" i="43"/>
  <c r="H38" i="43"/>
  <c r="H39" i="43"/>
  <c r="F39" i="43" s="1"/>
  <c r="G39" i="43" s="1"/>
  <c r="H5" i="43"/>
  <c r="S31" i="76"/>
  <c r="P36" i="77"/>
  <c r="O36" i="77"/>
  <c r="M36" i="77"/>
  <c r="E36" i="77"/>
  <c r="D36" i="77"/>
  <c r="B36" i="77"/>
  <c r="U35" i="77"/>
  <c r="S35" i="77"/>
  <c r="R35" i="77"/>
  <c r="Q35" i="77"/>
  <c r="J35" i="77"/>
  <c r="H35" i="77"/>
  <c r="F35" i="77"/>
  <c r="G35" i="77" s="1"/>
  <c r="U34" i="77"/>
  <c r="S34" i="77"/>
  <c r="Q34" i="77"/>
  <c r="R34" i="77" s="1"/>
  <c r="J34" i="77"/>
  <c r="H34" i="77"/>
  <c r="F34" i="77"/>
  <c r="G34" i="77" s="1"/>
  <c r="U33" i="77"/>
  <c r="S33" i="77"/>
  <c r="R33" i="77"/>
  <c r="Q33" i="77"/>
  <c r="J33" i="77"/>
  <c r="H33" i="77"/>
  <c r="F33" i="77"/>
  <c r="G33" i="77" s="1"/>
  <c r="U32" i="77"/>
  <c r="S32" i="77"/>
  <c r="Q32" i="77"/>
  <c r="R32" i="77" s="1"/>
  <c r="J32" i="77"/>
  <c r="H32" i="77"/>
  <c r="F32" i="77"/>
  <c r="G32" i="77" s="1"/>
  <c r="U31" i="77"/>
  <c r="S31" i="77"/>
  <c r="Q31" i="77"/>
  <c r="R31" i="77" s="1"/>
  <c r="J31" i="77"/>
  <c r="H31" i="77"/>
  <c r="F31" i="77"/>
  <c r="G31" i="77" s="1"/>
  <c r="U30" i="77"/>
  <c r="S30" i="77"/>
  <c r="Q30" i="77"/>
  <c r="R30" i="77" s="1"/>
  <c r="J30" i="77"/>
  <c r="H30" i="77"/>
  <c r="F30" i="77"/>
  <c r="G30" i="77" s="1"/>
  <c r="U29" i="77"/>
  <c r="S29" i="77"/>
  <c r="Q29" i="77"/>
  <c r="R29" i="77" s="1"/>
  <c r="J29" i="77"/>
  <c r="H29" i="77"/>
  <c r="F29" i="77"/>
  <c r="G29" i="77" s="1"/>
  <c r="U28" i="77"/>
  <c r="S28" i="77"/>
  <c r="Q28" i="77"/>
  <c r="R28" i="77" s="1"/>
  <c r="J28" i="77"/>
  <c r="H28" i="77"/>
  <c r="F28" i="77"/>
  <c r="G28" i="77" s="1"/>
  <c r="U27" i="77"/>
  <c r="S27" i="77"/>
  <c r="Q27" i="77"/>
  <c r="R27" i="77" s="1"/>
  <c r="J27" i="77"/>
  <c r="H27" i="77"/>
  <c r="F27" i="77"/>
  <c r="G27" i="77" s="1"/>
  <c r="U26" i="77"/>
  <c r="S26" i="77"/>
  <c r="Q26" i="77"/>
  <c r="R26" i="77" s="1"/>
  <c r="J26" i="77"/>
  <c r="H26" i="77"/>
  <c r="F26" i="77"/>
  <c r="G26" i="77" s="1"/>
  <c r="U25" i="77"/>
  <c r="S25" i="77"/>
  <c r="R25" i="77"/>
  <c r="Q25" i="77"/>
  <c r="J25" i="77"/>
  <c r="H25" i="77"/>
  <c r="F25" i="77"/>
  <c r="G25" i="77" s="1"/>
  <c r="U24" i="77"/>
  <c r="S24" i="77"/>
  <c r="Q24" i="77"/>
  <c r="R24" i="77" s="1"/>
  <c r="J24" i="77"/>
  <c r="H24" i="77"/>
  <c r="F24" i="77"/>
  <c r="G24" i="77" s="1"/>
  <c r="U23" i="77"/>
  <c r="S23" i="77"/>
  <c r="Q23" i="77"/>
  <c r="R23" i="77" s="1"/>
  <c r="J23" i="77"/>
  <c r="H23" i="77"/>
  <c r="F23" i="77"/>
  <c r="G23" i="77" s="1"/>
  <c r="U22" i="77"/>
  <c r="S22" i="77"/>
  <c r="R22" i="77"/>
  <c r="Q22" i="77"/>
  <c r="J22" i="77"/>
  <c r="H22" i="77"/>
  <c r="F22" i="77"/>
  <c r="G22" i="77" s="1"/>
  <c r="U21" i="77"/>
  <c r="S21" i="77"/>
  <c r="Q21" i="77"/>
  <c r="R21" i="77" s="1"/>
  <c r="J21" i="77"/>
  <c r="H21" i="77"/>
  <c r="F21" i="77"/>
  <c r="G21" i="77" s="1"/>
  <c r="U20" i="77"/>
  <c r="S20" i="77"/>
  <c r="R20" i="77"/>
  <c r="Q20" i="77"/>
  <c r="J20" i="77"/>
  <c r="H20" i="77"/>
  <c r="F20" i="77"/>
  <c r="G20" i="77" s="1"/>
  <c r="U19" i="77"/>
  <c r="S19" i="77"/>
  <c r="Q19" i="77"/>
  <c r="R19" i="77" s="1"/>
  <c r="J19" i="77"/>
  <c r="H19" i="77"/>
  <c r="F19" i="77"/>
  <c r="G19" i="77" s="1"/>
  <c r="U18" i="77"/>
  <c r="S18" i="77"/>
  <c r="R18" i="77"/>
  <c r="Q18" i="77"/>
  <c r="J18" i="77"/>
  <c r="H18" i="77"/>
  <c r="F18" i="77"/>
  <c r="G18" i="77" s="1"/>
  <c r="U17" i="77"/>
  <c r="S17" i="77"/>
  <c r="Q17" i="77"/>
  <c r="R17" i="77" s="1"/>
  <c r="J17" i="77"/>
  <c r="H17" i="77"/>
  <c r="F17" i="77"/>
  <c r="G17" i="77" s="1"/>
  <c r="U16" i="77"/>
  <c r="S16" i="77"/>
  <c r="Q16" i="77"/>
  <c r="R16" i="77" s="1"/>
  <c r="J16" i="77"/>
  <c r="H16" i="77"/>
  <c r="F16" i="77"/>
  <c r="G16" i="77" s="1"/>
  <c r="U15" i="77"/>
  <c r="S15" i="77"/>
  <c r="Q15" i="77"/>
  <c r="R15" i="77" s="1"/>
  <c r="J15" i="77"/>
  <c r="H15" i="77"/>
  <c r="F15" i="77"/>
  <c r="G15" i="77" s="1"/>
  <c r="U14" i="77"/>
  <c r="S14" i="77"/>
  <c r="R14" i="77"/>
  <c r="Q14" i="77"/>
  <c r="J14" i="77"/>
  <c r="H14" i="77"/>
  <c r="F14" i="77"/>
  <c r="G14" i="77" s="1"/>
  <c r="U13" i="77"/>
  <c r="S13" i="77"/>
  <c r="Q13" i="77"/>
  <c r="R13" i="77" s="1"/>
  <c r="J13" i="77"/>
  <c r="H13" i="77"/>
  <c r="F13" i="77"/>
  <c r="G13" i="77" s="1"/>
  <c r="U12" i="77"/>
  <c r="S12" i="77"/>
  <c r="Q12" i="77"/>
  <c r="R12" i="77" s="1"/>
  <c r="J12" i="77"/>
  <c r="H12" i="77"/>
  <c r="F12" i="77"/>
  <c r="G12" i="77" s="1"/>
  <c r="U11" i="77"/>
  <c r="S11" i="77"/>
  <c r="R11" i="77"/>
  <c r="Q11" i="77"/>
  <c r="J11" i="77"/>
  <c r="H11" i="77"/>
  <c r="F11" i="77"/>
  <c r="G11" i="77" s="1"/>
  <c r="U10" i="77"/>
  <c r="S10" i="77"/>
  <c r="Q10" i="77"/>
  <c r="R10" i="77" s="1"/>
  <c r="J10" i="77"/>
  <c r="H10" i="77"/>
  <c r="F10" i="77"/>
  <c r="G10" i="77" s="1"/>
  <c r="U9" i="77"/>
  <c r="S9" i="77"/>
  <c r="Q9" i="77"/>
  <c r="R9" i="77" s="1"/>
  <c r="J9" i="77"/>
  <c r="H9" i="77"/>
  <c r="F9" i="77"/>
  <c r="G9" i="77" s="1"/>
  <c r="U8" i="77"/>
  <c r="S8" i="77"/>
  <c r="Q8" i="77"/>
  <c r="R8" i="77" s="1"/>
  <c r="J8" i="77"/>
  <c r="H8" i="77"/>
  <c r="F8" i="77"/>
  <c r="G8" i="77" s="1"/>
  <c r="U7" i="77"/>
  <c r="S7" i="77"/>
  <c r="Q7" i="77"/>
  <c r="R7" i="77" s="1"/>
  <c r="J7" i="77"/>
  <c r="H7" i="77"/>
  <c r="F7" i="77"/>
  <c r="G7" i="77" s="1"/>
  <c r="U6" i="77"/>
  <c r="S6" i="77"/>
  <c r="Q6" i="77"/>
  <c r="R6" i="77" s="1"/>
  <c r="J6" i="77"/>
  <c r="H6" i="77"/>
  <c r="F6" i="77"/>
  <c r="G6" i="77" s="1"/>
  <c r="U5" i="77"/>
  <c r="S5" i="77"/>
  <c r="Q5" i="77"/>
  <c r="L5" i="77"/>
  <c r="J5" i="77"/>
  <c r="H5" i="77"/>
  <c r="F5" i="77"/>
  <c r="A5" i="77"/>
  <c r="F6" i="51"/>
  <c r="G6" i="51" s="1"/>
  <c r="F8" i="51"/>
  <c r="G8" i="51" s="1"/>
  <c r="F9" i="51"/>
  <c r="G9" i="51" s="1"/>
  <c r="F10" i="51"/>
  <c r="G10" i="51" s="1"/>
  <c r="F11" i="51"/>
  <c r="G11" i="51" s="1"/>
  <c r="F12" i="51"/>
  <c r="G12" i="51" s="1"/>
  <c r="F13" i="51"/>
  <c r="G13" i="51" s="1"/>
  <c r="F18" i="51"/>
  <c r="F19" i="51"/>
  <c r="G19" i="51" s="1"/>
  <c r="F21" i="51"/>
  <c r="G21" i="51" s="1"/>
  <c r="F22" i="51"/>
  <c r="G22" i="51" s="1"/>
  <c r="F23" i="51"/>
  <c r="F24" i="51"/>
  <c r="G24" i="51" s="1"/>
  <c r="F26" i="51"/>
  <c r="G26" i="51" s="1"/>
  <c r="F27" i="51"/>
  <c r="G27" i="51" s="1"/>
  <c r="F29" i="51"/>
  <c r="G29" i="51" s="1"/>
  <c r="F30" i="51"/>
  <c r="G30" i="51" s="1"/>
  <c r="F32" i="51"/>
  <c r="G32" i="51" s="1"/>
  <c r="F34" i="51"/>
  <c r="F35" i="51"/>
  <c r="G35" i="51" s="1"/>
  <c r="H6" i="51"/>
  <c r="H7" i="51"/>
  <c r="F7" i="51" s="1"/>
  <c r="G7" i="51" s="1"/>
  <c r="H8" i="51"/>
  <c r="H9" i="51"/>
  <c r="H10" i="51"/>
  <c r="H11" i="51"/>
  <c r="H12" i="51"/>
  <c r="H13" i="51"/>
  <c r="H14" i="51"/>
  <c r="F14" i="51" s="1"/>
  <c r="G14" i="51" s="1"/>
  <c r="H15" i="51"/>
  <c r="F15" i="51" s="1"/>
  <c r="H16" i="51"/>
  <c r="F16" i="51" s="1"/>
  <c r="G16" i="51" s="1"/>
  <c r="H17" i="51"/>
  <c r="F17" i="51" s="1"/>
  <c r="G17" i="51" s="1"/>
  <c r="G18" i="51"/>
  <c r="H18" i="51"/>
  <c r="H19" i="51"/>
  <c r="H20" i="51"/>
  <c r="F20" i="51" s="1"/>
  <c r="G20" i="51" s="1"/>
  <c r="H21" i="51"/>
  <c r="H22" i="51"/>
  <c r="G23" i="51"/>
  <c r="H23" i="51"/>
  <c r="H24" i="51"/>
  <c r="H25" i="51"/>
  <c r="F25" i="51" s="1"/>
  <c r="G25" i="51" s="1"/>
  <c r="H26" i="51"/>
  <c r="H27" i="51"/>
  <c r="H28" i="51"/>
  <c r="F28" i="51" s="1"/>
  <c r="G28" i="51" s="1"/>
  <c r="H29" i="51"/>
  <c r="H30" i="51"/>
  <c r="H31" i="51"/>
  <c r="F31" i="51" s="1"/>
  <c r="G31" i="51" s="1"/>
  <c r="H32" i="51"/>
  <c r="H33" i="51"/>
  <c r="F33" i="51" s="1"/>
  <c r="G33" i="51" s="1"/>
  <c r="G34" i="51"/>
  <c r="H34" i="51"/>
  <c r="H35" i="51"/>
  <c r="F7" i="43"/>
  <c r="G7" i="43" s="1"/>
  <c r="F8" i="43"/>
  <c r="G8" i="43" s="1"/>
  <c r="F10" i="43"/>
  <c r="G10" i="43" s="1"/>
  <c r="F13" i="43"/>
  <c r="G13" i="43" s="1"/>
  <c r="F29" i="43"/>
  <c r="G29" i="43" s="1"/>
  <c r="F30" i="43"/>
  <c r="G30" i="43" s="1"/>
  <c r="F32" i="43"/>
  <c r="G32" i="43" s="1"/>
  <c r="F36" i="43"/>
  <c r="G36" i="43" s="1"/>
  <c r="F38" i="43"/>
  <c r="G38" i="43" s="1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48" i="63"/>
  <c r="B348" i="63" s="1"/>
  <c r="A349" i="63"/>
  <c r="T349" i="63" s="1"/>
  <c r="A350" i="63"/>
  <c r="T350" i="63" s="1"/>
  <c r="A351" i="63"/>
  <c r="T351" i="63" s="1"/>
  <c r="A338" i="67"/>
  <c r="A339" i="67"/>
  <c r="A340" i="67"/>
  <c r="A341" i="67"/>
  <c r="A342" i="67"/>
  <c r="A343" i="67"/>
  <c r="A344" i="67"/>
  <c r="A345" i="67"/>
  <c r="A346" i="67"/>
  <c r="A347" i="67"/>
  <c r="A348" i="67"/>
  <c r="A349" i="67"/>
  <c r="A350" i="67"/>
  <c r="A351" i="67"/>
  <c r="A342" i="63"/>
  <c r="T342" i="63" s="1"/>
  <c r="A343" i="63"/>
  <c r="A344" i="63"/>
  <c r="A345" i="63"/>
  <c r="T345" i="63" s="1"/>
  <c r="A346" i="63"/>
  <c r="A347" i="63"/>
  <c r="T347" i="63" s="1"/>
  <c r="A338" i="63"/>
  <c r="A339" i="63"/>
  <c r="A340" i="63"/>
  <c r="B340" i="63" s="1"/>
  <c r="A341" i="63"/>
  <c r="H247" i="1"/>
  <c r="H248" i="1"/>
  <c r="H249" i="1"/>
  <c r="H250" i="1"/>
  <c r="H251" i="1"/>
  <c r="H252" i="1"/>
  <c r="H253" i="1"/>
  <c r="H254" i="1"/>
  <c r="H255" i="1"/>
  <c r="H256" i="1"/>
  <c r="H243" i="1"/>
  <c r="H244" i="1"/>
  <c r="H245" i="1"/>
  <c r="H246" i="1"/>
  <c r="B344" i="63" l="1"/>
  <c r="AA344" i="63"/>
  <c r="X343" i="63"/>
  <c r="AA343" i="63"/>
  <c r="T344" i="63"/>
  <c r="B342" i="63"/>
  <c r="AA342" i="63"/>
  <c r="B350" i="63"/>
  <c r="AA350" i="63"/>
  <c r="T343" i="63"/>
  <c r="B341" i="63"/>
  <c r="AA341" i="63"/>
  <c r="B339" i="63"/>
  <c r="AA339" i="63"/>
  <c r="T348" i="63"/>
  <c r="T340" i="63"/>
  <c r="B346" i="63"/>
  <c r="AA346" i="63"/>
  <c r="T339" i="63"/>
  <c r="AA348" i="63"/>
  <c r="B351" i="63"/>
  <c r="AA351" i="63"/>
  <c r="B349" i="63"/>
  <c r="AA349" i="63"/>
  <c r="B338" i="63"/>
  <c r="AA338" i="63"/>
  <c r="T341" i="63"/>
  <c r="X347" i="63"/>
  <c r="AA347" i="63"/>
  <c r="Y345" i="63"/>
  <c r="AA345" i="63"/>
  <c r="T346" i="63"/>
  <c r="T338" i="63"/>
  <c r="AA340" i="63"/>
  <c r="G15" i="51"/>
  <c r="Q36" i="77"/>
  <c r="R5" i="77"/>
  <c r="R36" i="77" s="1"/>
  <c r="U36" i="77"/>
  <c r="L6" i="77"/>
  <c r="L7" i="77" s="1"/>
  <c r="L8" i="77" s="1"/>
  <c r="L9" i="77" s="1"/>
  <c r="L10" i="77" s="1"/>
  <c r="L11" i="77" s="1"/>
  <c r="L12" i="77" s="1"/>
  <c r="L13" i="77" s="1"/>
  <c r="L14" i="77" s="1"/>
  <c r="L15" i="77" s="1"/>
  <c r="L16" i="77" s="1"/>
  <c r="L17" i="77" s="1"/>
  <c r="L18" i="77" s="1"/>
  <c r="L19" i="77" s="1"/>
  <c r="L20" i="77" s="1"/>
  <c r="L21" i="77" s="1"/>
  <c r="L22" i="77" s="1"/>
  <c r="L23" i="77" s="1"/>
  <c r="L24" i="77" s="1"/>
  <c r="L25" i="77" s="1"/>
  <c r="L26" i="77" s="1"/>
  <c r="L27" i="77" s="1"/>
  <c r="L28" i="77" s="1"/>
  <c r="L29" i="77" s="1"/>
  <c r="L30" i="77" s="1"/>
  <c r="L31" i="77" s="1"/>
  <c r="L32" i="77" s="1"/>
  <c r="L33" i="77" s="1"/>
  <c r="L34" i="77" s="1"/>
  <c r="L35" i="77" s="1"/>
  <c r="F36" i="77"/>
  <c r="J36" i="77"/>
  <c r="G5" i="77"/>
  <c r="G36" i="77" s="1"/>
  <c r="A6" i="77"/>
  <c r="A7" i="77" s="1"/>
  <c r="A8" i="77" s="1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B351" i="5"/>
  <c r="F351" i="5"/>
  <c r="H351" i="5"/>
  <c r="J351" i="5"/>
  <c r="L351" i="5"/>
  <c r="O351" i="5"/>
  <c r="P351" i="5"/>
  <c r="Q351" i="5"/>
  <c r="R351" i="5"/>
  <c r="S351" i="5"/>
  <c r="T351" i="5"/>
  <c r="C351" i="5"/>
  <c r="G351" i="5"/>
  <c r="I351" i="5"/>
  <c r="K351" i="5"/>
  <c r="M351" i="5"/>
  <c r="N351" i="5"/>
  <c r="C349" i="5"/>
  <c r="G349" i="5"/>
  <c r="I349" i="5"/>
  <c r="K349" i="5"/>
  <c r="M349" i="5"/>
  <c r="N349" i="5"/>
  <c r="O349" i="5"/>
  <c r="P349" i="5"/>
  <c r="Q349" i="5"/>
  <c r="R349" i="5"/>
  <c r="S349" i="5"/>
  <c r="T349" i="5"/>
  <c r="B349" i="5"/>
  <c r="F349" i="5"/>
  <c r="H349" i="5"/>
  <c r="J349" i="5"/>
  <c r="L349" i="5"/>
  <c r="B347" i="5"/>
  <c r="F347" i="5"/>
  <c r="H347" i="5"/>
  <c r="J347" i="5"/>
  <c r="L347" i="5"/>
  <c r="O347" i="5"/>
  <c r="P347" i="5"/>
  <c r="Q347" i="5"/>
  <c r="R347" i="5"/>
  <c r="S347" i="5"/>
  <c r="T347" i="5"/>
  <c r="C347" i="5"/>
  <c r="G347" i="5"/>
  <c r="I347" i="5"/>
  <c r="K347" i="5"/>
  <c r="M347" i="5"/>
  <c r="N347" i="5"/>
  <c r="C345" i="5"/>
  <c r="G345" i="5"/>
  <c r="I345" i="5"/>
  <c r="K345" i="5"/>
  <c r="M345" i="5"/>
  <c r="N345" i="5"/>
  <c r="O345" i="5"/>
  <c r="P345" i="5"/>
  <c r="Q345" i="5"/>
  <c r="R345" i="5"/>
  <c r="S345" i="5"/>
  <c r="T345" i="5"/>
  <c r="B345" i="5"/>
  <c r="F345" i="5"/>
  <c r="H345" i="5"/>
  <c r="J345" i="5"/>
  <c r="L345" i="5"/>
  <c r="B343" i="5"/>
  <c r="F343" i="5"/>
  <c r="H343" i="5"/>
  <c r="J343" i="5"/>
  <c r="L343" i="5"/>
  <c r="O343" i="5"/>
  <c r="P343" i="5"/>
  <c r="Q343" i="5"/>
  <c r="R343" i="5"/>
  <c r="S343" i="5"/>
  <c r="T343" i="5"/>
  <c r="C343" i="5"/>
  <c r="G343" i="5"/>
  <c r="I343" i="5"/>
  <c r="K343" i="5"/>
  <c r="M343" i="5"/>
  <c r="N343" i="5"/>
  <c r="C341" i="5"/>
  <c r="G341" i="5"/>
  <c r="I341" i="5"/>
  <c r="K341" i="5"/>
  <c r="M341" i="5"/>
  <c r="N341" i="5"/>
  <c r="O341" i="5"/>
  <c r="P341" i="5"/>
  <c r="Q341" i="5"/>
  <c r="R341" i="5"/>
  <c r="S341" i="5"/>
  <c r="T341" i="5"/>
  <c r="U341" i="5"/>
  <c r="B341" i="5"/>
  <c r="F341" i="5"/>
  <c r="H341" i="5"/>
  <c r="J341" i="5"/>
  <c r="L341" i="5"/>
  <c r="B339" i="5"/>
  <c r="F339" i="5"/>
  <c r="H339" i="5"/>
  <c r="J339" i="5"/>
  <c r="L339" i="5"/>
  <c r="O339" i="5"/>
  <c r="P339" i="5"/>
  <c r="Q339" i="5"/>
  <c r="R339" i="5"/>
  <c r="S339" i="5"/>
  <c r="T339" i="5"/>
  <c r="U339" i="5"/>
  <c r="C339" i="5"/>
  <c r="G339" i="5"/>
  <c r="I339" i="5"/>
  <c r="K339" i="5"/>
  <c r="M339" i="5"/>
  <c r="N339" i="5"/>
  <c r="AB351" i="5"/>
  <c r="AB349" i="5"/>
  <c r="AB347" i="5"/>
  <c r="AB345" i="5"/>
  <c r="AB343" i="5"/>
  <c r="AB341" i="5"/>
  <c r="AB339" i="5"/>
  <c r="AA351" i="5"/>
  <c r="AA349" i="5"/>
  <c r="AA347" i="5"/>
  <c r="AA345" i="5"/>
  <c r="AA343" i="5"/>
  <c r="AA341" i="5"/>
  <c r="AA339" i="5"/>
  <c r="Z351" i="5"/>
  <c r="Z349" i="5"/>
  <c r="Z347" i="5"/>
  <c r="Z345" i="5"/>
  <c r="Z343" i="5"/>
  <c r="Z341" i="5"/>
  <c r="Z339" i="5"/>
  <c r="Y351" i="5"/>
  <c r="Y349" i="5"/>
  <c r="Y347" i="5"/>
  <c r="Y345" i="5"/>
  <c r="Y343" i="5"/>
  <c r="Y341" i="5"/>
  <c r="Y339" i="5"/>
  <c r="X351" i="5"/>
  <c r="X349" i="5"/>
  <c r="X347" i="5"/>
  <c r="X345" i="5"/>
  <c r="X343" i="5"/>
  <c r="X341" i="5"/>
  <c r="X339" i="5"/>
  <c r="W351" i="5"/>
  <c r="W349" i="5"/>
  <c r="W347" i="5"/>
  <c r="W345" i="5"/>
  <c r="W343" i="5"/>
  <c r="W341" i="5"/>
  <c r="W339" i="5"/>
  <c r="V351" i="5"/>
  <c r="V349" i="5"/>
  <c r="V347" i="5"/>
  <c r="V345" i="5"/>
  <c r="V343" i="5"/>
  <c r="V341" i="5"/>
  <c r="V339" i="5"/>
  <c r="U351" i="5"/>
  <c r="U349" i="5"/>
  <c r="U347" i="5"/>
  <c r="U345" i="5"/>
  <c r="U343" i="5"/>
  <c r="B350" i="5"/>
  <c r="C350" i="5"/>
  <c r="F350" i="5"/>
  <c r="G350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B348" i="5"/>
  <c r="C348" i="5"/>
  <c r="F348" i="5"/>
  <c r="G348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B346" i="5"/>
  <c r="C346" i="5"/>
  <c r="F346" i="5"/>
  <c r="G346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B344" i="5"/>
  <c r="C344" i="5"/>
  <c r="F344" i="5"/>
  <c r="G344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B342" i="5"/>
  <c r="C342" i="5"/>
  <c r="F342" i="5"/>
  <c r="G342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B340" i="5"/>
  <c r="C340" i="5"/>
  <c r="F340" i="5"/>
  <c r="G340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B338" i="5"/>
  <c r="C338" i="5"/>
  <c r="F338" i="5"/>
  <c r="G338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AB350" i="5"/>
  <c r="AB348" i="5"/>
  <c r="AB346" i="5"/>
  <c r="AB344" i="5"/>
  <c r="AB342" i="5"/>
  <c r="AB340" i="5"/>
  <c r="AB338" i="5"/>
  <c r="AA350" i="5"/>
  <c r="AA348" i="5"/>
  <c r="AA346" i="5"/>
  <c r="AA344" i="5"/>
  <c r="AA342" i="5"/>
  <c r="AA340" i="5"/>
  <c r="AA338" i="5"/>
  <c r="Z350" i="5"/>
  <c r="Z348" i="5"/>
  <c r="Z346" i="5"/>
  <c r="Z344" i="5"/>
  <c r="Z342" i="5"/>
  <c r="Z340" i="5"/>
  <c r="Z338" i="5"/>
  <c r="Y350" i="5"/>
  <c r="Y348" i="5"/>
  <c r="Y346" i="5"/>
  <c r="Y344" i="5"/>
  <c r="Y342" i="5"/>
  <c r="Y340" i="5"/>
  <c r="Y338" i="5"/>
  <c r="X350" i="5"/>
  <c r="X348" i="5"/>
  <c r="X346" i="5"/>
  <c r="X344" i="5"/>
  <c r="X342" i="5"/>
  <c r="X340" i="5"/>
  <c r="X338" i="5"/>
  <c r="W350" i="5"/>
  <c r="W348" i="5"/>
  <c r="W346" i="5"/>
  <c r="W344" i="5"/>
  <c r="W342" i="5"/>
  <c r="W340" i="5"/>
  <c r="W338" i="5"/>
  <c r="V350" i="5"/>
  <c r="V348" i="5"/>
  <c r="V346" i="5"/>
  <c r="V344" i="5"/>
  <c r="V342" i="5"/>
  <c r="V340" i="5"/>
  <c r="V338" i="5"/>
  <c r="U350" i="5"/>
  <c r="U348" i="5"/>
  <c r="U346" i="5"/>
  <c r="U344" i="5"/>
  <c r="U342" i="5"/>
  <c r="Z351" i="63"/>
  <c r="Z349" i="63"/>
  <c r="Y351" i="63"/>
  <c r="Y349" i="63"/>
  <c r="X351" i="63"/>
  <c r="X349" i="63"/>
  <c r="W351" i="63"/>
  <c r="W349" i="63"/>
  <c r="V351" i="63"/>
  <c r="V349" i="63"/>
  <c r="U351" i="63"/>
  <c r="U349" i="63"/>
  <c r="S351" i="63"/>
  <c r="S349" i="63"/>
  <c r="R351" i="63"/>
  <c r="R349" i="63"/>
  <c r="Q351" i="63"/>
  <c r="Q349" i="63"/>
  <c r="P351" i="63"/>
  <c r="P349" i="63"/>
  <c r="O351" i="63"/>
  <c r="O349" i="63"/>
  <c r="N351" i="63"/>
  <c r="N349" i="63"/>
  <c r="M351" i="63"/>
  <c r="M349" i="63"/>
  <c r="L351" i="63"/>
  <c r="L349" i="63"/>
  <c r="K351" i="63"/>
  <c r="K349" i="63"/>
  <c r="J351" i="63"/>
  <c r="J349" i="63"/>
  <c r="I351" i="63"/>
  <c r="I349" i="63"/>
  <c r="H351" i="63"/>
  <c r="H349" i="63"/>
  <c r="G351" i="63"/>
  <c r="G349" i="63"/>
  <c r="F351" i="63"/>
  <c r="F349" i="63"/>
  <c r="E351" i="63"/>
  <c r="E349" i="63"/>
  <c r="C351" i="63"/>
  <c r="C349" i="63"/>
  <c r="Z350" i="63"/>
  <c r="Z348" i="63"/>
  <c r="Y350" i="63"/>
  <c r="Y348" i="63"/>
  <c r="X350" i="63"/>
  <c r="X348" i="63"/>
  <c r="W350" i="63"/>
  <c r="W348" i="63"/>
  <c r="V350" i="63"/>
  <c r="V348" i="63"/>
  <c r="U350" i="63"/>
  <c r="U348" i="63"/>
  <c r="S350" i="63"/>
  <c r="S348" i="63"/>
  <c r="R350" i="63"/>
  <c r="R348" i="63"/>
  <c r="Q350" i="63"/>
  <c r="Q348" i="63"/>
  <c r="P350" i="63"/>
  <c r="P348" i="63"/>
  <c r="O350" i="63"/>
  <c r="O348" i="63"/>
  <c r="N350" i="63"/>
  <c r="N348" i="63"/>
  <c r="M350" i="63"/>
  <c r="M348" i="63"/>
  <c r="L350" i="63"/>
  <c r="L348" i="63"/>
  <c r="K350" i="63"/>
  <c r="K348" i="63"/>
  <c r="J350" i="63"/>
  <c r="J348" i="63"/>
  <c r="I350" i="63"/>
  <c r="I348" i="63"/>
  <c r="H350" i="63"/>
  <c r="H348" i="63"/>
  <c r="G350" i="63"/>
  <c r="G348" i="63"/>
  <c r="F350" i="63"/>
  <c r="F348" i="63"/>
  <c r="E350" i="63"/>
  <c r="E348" i="63"/>
  <c r="C350" i="63"/>
  <c r="C348" i="63"/>
  <c r="B350" i="67"/>
  <c r="C350" i="67"/>
  <c r="E350" i="67"/>
  <c r="F350" i="67"/>
  <c r="G350" i="67"/>
  <c r="H350" i="67"/>
  <c r="I350" i="67"/>
  <c r="J350" i="67"/>
  <c r="K350" i="67"/>
  <c r="L350" i="67"/>
  <c r="M350" i="67"/>
  <c r="N350" i="67"/>
  <c r="O350" i="67"/>
  <c r="P350" i="67"/>
  <c r="Q350" i="67"/>
  <c r="R350" i="67"/>
  <c r="S350" i="67"/>
  <c r="B348" i="67"/>
  <c r="C348" i="67"/>
  <c r="E348" i="67"/>
  <c r="F348" i="67"/>
  <c r="G348" i="67"/>
  <c r="H348" i="67"/>
  <c r="I348" i="67"/>
  <c r="J348" i="67"/>
  <c r="K348" i="67"/>
  <c r="L348" i="67"/>
  <c r="M348" i="67"/>
  <c r="N348" i="67"/>
  <c r="O348" i="67"/>
  <c r="P348" i="67"/>
  <c r="Q348" i="67"/>
  <c r="R348" i="67"/>
  <c r="S348" i="67"/>
  <c r="B346" i="67"/>
  <c r="C346" i="67"/>
  <c r="E346" i="67"/>
  <c r="F346" i="67"/>
  <c r="G346" i="67"/>
  <c r="H346" i="67"/>
  <c r="I346" i="67"/>
  <c r="J346" i="67"/>
  <c r="K346" i="67"/>
  <c r="L346" i="67"/>
  <c r="M346" i="67"/>
  <c r="N346" i="67"/>
  <c r="O346" i="67"/>
  <c r="P346" i="67"/>
  <c r="Q346" i="67"/>
  <c r="R346" i="67"/>
  <c r="S346" i="67"/>
  <c r="B344" i="67"/>
  <c r="C344" i="67"/>
  <c r="E344" i="67"/>
  <c r="F344" i="67"/>
  <c r="G344" i="67"/>
  <c r="H344" i="67"/>
  <c r="I344" i="67"/>
  <c r="J344" i="67"/>
  <c r="K344" i="67"/>
  <c r="L344" i="67"/>
  <c r="M344" i="67"/>
  <c r="N344" i="67"/>
  <c r="O344" i="67"/>
  <c r="P344" i="67"/>
  <c r="Q344" i="67"/>
  <c r="R344" i="67"/>
  <c r="S344" i="67"/>
  <c r="B342" i="67"/>
  <c r="C342" i="67"/>
  <c r="E342" i="67"/>
  <c r="F342" i="67"/>
  <c r="G342" i="67"/>
  <c r="H342" i="67"/>
  <c r="I342" i="67"/>
  <c r="J342" i="67"/>
  <c r="K342" i="67"/>
  <c r="L342" i="67"/>
  <c r="M342" i="67"/>
  <c r="N342" i="67"/>
  <c r="O342" i="67"/>
  <c r="P342" i="67"/>
  <c r="Q342" i="67"/>
  <c r="R342" i="67"/>
  <c r="S342" i="67"/>
  <c r="T342" i="67"/>
  <c r="B340" i="67"/>
  <c r="C340" i="67"/>
  <c r="E340" i="67"/>
  <c r="F340" i="67"/>
  <c r="G340" i="67"/>
  <c r="H340" i="67"/>
  <c r="I340" i="67"/>
  <c r="J340" i="67"/>
  <c r="K340" i="67"/>
  <c r="L340" i="67"/>
  <c r="M340" i="67"/>
  <c r="N340" i="67"/>
  <c r="O340" i="67"/>
  <c r="P340" i="67"/>
  <c r="Q340" i="67"/>
  <c r="R340" i="67"/>
  <c r="S340" i="67"/>
  <c r="T340" i="67"/>
  <c r="B338" i="67"/>
  <c r="C338" i="67"/>
  <c r="E338" i="67"/>
  <c r="F338" i="67"/>
  <c r="G338" i="67"/>
  <c r="H338" i="67"/>
  <c r="I338" i="67"/>
  <c r="J338" i="67"/>
  <c r="K338" i="67"/>
  <c r="L338" i="67"/>
  <c r="M338" i="67"/>
  <c r="N338" i="67"/>
  <c r="O338" i="67"/>
  <c r="P338" i="67"/>
  <c r="Q338" i="67"/>
  <c r="R338" i="67"/>
  <c r="S338" i="67"/>
  <c r="T338" i="67"/>
  <c r="AB350" i="67"/>
  <c r="AB348" i="67"/>
  <c r="AB346" i="67"/>
  <c r="AB344" i="67"/>
  <c r="AB342" i="67"/>
  <c r="AB340" i="67"/>
  <c r="AB338" i="67"/>
  <c r="AA350" i="67"/>
  <c r="AA348" i="67"/>
  <c r="AA346" i="67"/>
  <c r="AA344" i="67"/>
  <c r="AA342" i="67"/>
  <c r="AA340" i="67"/>
  <c r="AA338" i="67"/>
  <c r="Z350" i="67"/>
  <c r="Z348" i="67"/>
  <c r="Z346" i="67"/>
  <c r="Z344" i="67"/>
  <c r="Z342" i="67"/>
  <c r="Z340" i="67"/>
  <c r="Z338" i="67"/>
  <c r="Y350" i="67"/>
  <c r="Y348" i="67"/>
  <c r="Y346" i="67"/>
  <c r="Y344" i="67"/>
  <c r="Y342" i="67"/>
  <c r="Y340" i="67"/>
  <c r="Y338" i="67"/>
  <c r="X350" i="67"/>
  <c r="X348" i="67"/>
  <c r="X346" i="67"/>
  <c r="X344" i="67"/>
  <c r="X342" i="67"/>
  <c r="X340" i="67"/>
  <c r="X338" i="67"/>
  <c r="W350" i="67"/>
  <c r="W348" i="67"/>
  <c r="W346" i="67"/>
  <c r="W344" i="67"/>
  <c r="W342" i="67"/>
  <c r="W340" i="67"/>
  <c r="W338" i="67"/>
  <c r="V350" i="67"/>
  <c r="V348" i="67"/>
  <c r="V346" i="67"/>
  <c r="V344" i="67"/>
  <c r="V342" i="67"/>
  <c r="V340" i="67"/>
  <c r="V338" i="67"/>
  <c r="U350" i="67"/>
  <c r="U348" i="67"/>
  <c r="U346" i="67"/>
  <c r="U344" i="67"/>
  <c r="U342" i="67"/>
  <c r="U340" i="67"/>
  <c r="U338" i="67"/>
  <c r="T350" i="67"/>
  <c r="T348" i="67"/>
  <c r="T346" i="67"/>
  <c r="T344" i="67"/>
  <c r="C351" i="67"/>
  <c r="F351" i="67"/>
  <c r="H351" i="67"/>
  <c r="J351" i="67"/>
  <c r="L351" i="67"/>
  <c r="B351" i="67"/>
  <c r="E351" i="67"/>
  <c r="G351" i="67"/>
  <c r="I351" i="67"/>
  <c r="K351" i="67"/>
  <c r="M351" i="67"/>
  <c r="N351" i="67"/>
  <c r="O351" i="67"/>
  <c r="P351" i="67"/>
  <c r="Q351" i="67"/>
  <c r="R351" i="67"/>
  <c r="S351" i="67"/>
  <c r="B349" i="67"/>
  <c r="E349" i="67"/>
  <c r="G349" i="67"/>
  <c r="I349" i="67"/>
  <c r="K349" i="67"/>
  <c r="M349" i="67"/>
  <c r="C349" i="67"/>
  <c r="F349" i="67"/>
  <c r="H349" i="67"/>
  <c r="J349" i="67"/>
  <c r="L349" i="67"/>
  <c r="N349" i="67"/>
  <c r="O349" i="67"/>
  <c r="P349" i="67"/>
  <c r="Q349" i="67"/>
  <c r="R349" i="67"/>
  <c r="S349" i="67"/>
  <c r="C347" i="67"/>
  <c r="F347" i="67"/>
  <c r="H347" i="67"/>
  <c r="J347" i="67"/>
  <c r="L347" i="67"/>
  <c r="B347" i="67"/>
  <c r="E347" i="67"/>
  <c r="G347" i="67"/>
  <c r="I347" i="67"/>
  <c r="K347" i="67"/>
  <c r="M347" i="67"/>
  <c r="N347" i="67"/>
  <c r="O347" i="67"/>
  <c r="P347" i="67"/>
  <c r="Q347" i="67"/>
  <c r="R347" i="67"/>
  <c r="S347" i="67"/>
  <c r="B345" i="67"/>
  <c r="E345" i="67"/>
  <c r="G345" i="67"/>
  <c r="I345" i="67"/>
  <c r="K345" i="67"/>
  <c r="M345" i="67"/>
  <c r="C345" i="67"/>
  <c r="F345" i="67"/>
  <c r="H345" i="67"/>
  <c r="J345" i="67"/>
  <c r="L345" i="67"/>
  <c r="N345" i="67"/>
  <c r="O345" i="67"/>
  <c r="P345" i="67"/>
  <c r="Q345" i="67"/>
  <c r="R345" i="67"/>
  <c r="S345" i="67"/>
  <c r="C343" i="67"/>
  <c r="F343" i="67"/>
  <c r="H343" i="67"/>
  <c r="J343" i="67"/>
  <c r="L343" i="67"/>
  <c r="B343" i="67"/>
  <c r="E343" i="67"/>
  <c r="G343" i="67"/>
  <c r="I343" i="67"/>
  <c r="K343" i="67"/>
  <c r="M343" i="67"/>
  <c r="N343" i="67"/>
  <c r="O343" i="67"/>
  <c r="P343" i="67"/>
  <c r="Q343" i="67"/>
  <c r="R343" i="67"/>
  <c r="S343" i="67"/>
  <c r="B341" i="67"/>
  <c r="E341" i="67"/>
  <c r="G341" i="67"/>
  <c r="I341" i="67"/>
  <c r="K341" i="67"/>
  <c r="M341" i="67"/>
  <c r="C341" i="67"/>
  <c r="F341" i="67"/>
  <c r="H341" i="67"/>
  <c r="J341" i="67"/>
  <c r="L341" i="67"/>
  <c r="N341" i="67"/>
  <c r="O341" i="67"/>
  <c r="P341" i="67"/>
  <c r="Q341" i="67"/>
  <c r="R341" i="67"/>
  <c r="S341" i="67"/>
  <c r="T341" i="67"/>
  <c r="B339" i="67"/>
  <c r="C339" i="67"/>
  <c r="F339" i="67"/>
  <c r="H339" i="67"/>
  <c r="J339" i="67"/>
  <c r="L339" i="67"/>
  <c r="E339" i="67"/>
  <c r="G339" i="67"/>
  <c r="I339" i="67"/>
  <c r="K339" i="67"/>
  <c r="M339" i="67"/>
  <c r="N339" i="67"/>
  <c r="O339" i="67"/>
  <c r="P339" i="67"/>
  <c r="Q339" i="67"/>
  <c r="R339" i="67"/>
  <c r="S339" i="67"/>
  <c r="T339" i="67"/>
  <c r="AB351" i="67"/>
  <c r="AB349" i="67"/>
  <c r="AB347" i="67"/>
  <c r="AB345" i="67"/>
  <c r="AB343" i="67"/>
  <c r="AB341" i="67"/>
  <c r="AB339" i="67"/>
  <c r="AA351" i="67"/>
  <c r="AA349" i="67"/>
  <c r="AA347" i="67"/>
  <c r="AA345" i="67"/>
  <c r="AA343" i="67"/>
  <c r="AA341" i="67"/>
  <c r="AA339" i="67"/>
  <c r="Z351" i="67"/>
  <c r="Z349" i="67"/>
  <c r="Z347" i="67"/>
  <c r="Z345" i="67"/>
  <c r="Z343" i="67"/>
  <c r="Z341" i="67"/>
  <c r="Z339" i="67"/>
  <c r="Y351" i="67"/>
  <c r="Y349" i="67"/>
  <c r="Y347" i="67"/>
  <c r="Y345" i="67"/>
  <c r="Y343" i="67"/>
  <c r="Y341" i="67"/>
  <c r="Y339" i="67"/>
  <c r="X351" i="67"/>
  <c r="X349" i="67"/>
  <c r="X347" i="67"/>
  <c r="X345" i="67"/>
  <c r="X343" i="67"/>
  <c r="X341" i="67"/>
  <c r="X339" i="67"/>
  <c r="W351" i="67"/>
  <c r="W349" i="67"/>
  <c r="W347" i="67"/>
  <c r="W345" i="67"/>
  <c r="W343" i="67"/>
  <c r="W341" i="67"/>
  <c r="W339" i="67"/>
  <c r="V351" i="67"/>
  <c r="V349" i="67"/>
  <c r="V347" i="67"/>
  <c r="V345" i="67"/>
  <c r="V343" i="67"/>
  <c r="V341" i="67"/>
  <c r="V339" i="67"/>
  <c r="U351" i="67"/>
  <c r="U349" i="67"/>
  <c r="U347" i="67"/>
  <c r="U345" i="67"/>
  <c r="U343" i="67"/>
  <c r="U341" i="67"/>
  <c r="U339" i="67"/>
  <c r="T351" i="67"/>
  <c r="T349" i="67"/>
  <c r="T347" i="67"/>
  <c r="T345" i="67"/>
  <c r="T343" i="67"/>
  <c r="Z341" i="63"/>
  <c r="Z339" i="63"/>
  <c r="Y341" i="63"/>
  <c r="Y339" i="63"/>
  <c r="X341" i="63"/>
  <c r="X339" i="63"/>
  <c r="W341" i="63"/>
  <c r="W339" i="63"/>
  <c r="V341" i="63"/>
  <c r="V339" i="63"/>
  <c r="U341" i="63"/>
  <c r="U339" i="63"/>
  <c r="S341" i="63"/>
  <c r="S339" i="63"/>
  <c r="R341" i="63"/>
  <c r="R339" i="63"/>
  <c r="Q341" i="63"/>
  <c r="Q339" i="63"/>
  <c r="P341" i="63"/>
  <c r="P339" i="63"/>
  <c r="O341" i="63"/>
  <c r="O339" i="63"/>
  <c r="N341" i="63"/>
  <c r="N339" i="63"/>
  <c r="M341" i="63"/>
  <c r="M339" i="63"/>
  <c r="L341" i="63"/>
  <c r="L339" i="63"/>
  <c r="K341" i="63"/>
  <c r="K339" i="63"/>
  <c r="J341" i="63"/>
  <c r="J339" i="63"/>
  <c r="I341" i="63"/>
  <c r="I339" i="63"/>
  <c r="H341" i="63"/>
  <c r="H339" i="63"/>
  <c r="G341" i="63"/>
  <c r="G339" i="63"/>
  <c r="F341" i="63"/>
  <c r="F339" i="63"/>
  <c r="E341" i="63"/>
  <c r="E339" i="63"/>
  <c r="C341" i="63"/>
  <c r="C339" i="63"/>
  <c r="Z347" i="63"/>
  <c r="Z343" i="63"/>
  <c r="Z340" i="63"/>
  <c r="Z338" i="63"/>
  <c r="Y340" i="63"/>
  <c r="Y338" i="63"/>
  <c r="X340" i="63"/>
  <c r="X338" i="63"/>
  <c r="W340" i="63"/>
  <c r="W338" i="63"/>
  <c r="V340" i="63"/>
  <c r="V338" i="63"/>
  <c r="U340" i="63"/>
  <c r="U338" i="63"/>
  <c r="S340" i="63"/>
  <c r="S338" i="63"/>
  <c r="R340" i="63"/>
  <c r="R338" i="63"/>
  <c r="Q340" i="63"/>
  <c r="Q338" i="63"/>
  <c r="P340" i="63"/>
  <c r="P338" i="63"/>
  <c r="O340" i="63"/>
  <c r="O338" i="63"/>
  <c r="N340" i="63"/>
  <c r="N338" i="63"/>
  <c r="M340" i="63"/>
  <c r="M338" i="63"/>
  <c r="L340" i="63"/>
  <c r="L338" i="63"/>
  <c r="K340" i="63"/>
  <c r="K338" i="63"/>
  <c r="J340" i="63"/>
  <c r="J338" i="63"/>
  <c r="I340" i="63"/>
  <c r="I338" i="63"/>
  <c r="H340" i="63"/>
  <c r="H338" i="63"/>
  <c r="G340" i="63"/>
  <c r="G338" i="63"/>
  <c r="F340" i="63"/>
  <c r="F338" i="63"/>
  <c r="E340" i="63"/>
  <c r="E338" i="63"/>
  <c r="C340" i="63"/>
  <c r="C338" i="63"/>
  <c r="B347" i="63"/>
  <c r="C347" i="63"/>
  <c r="E347" i="63"/>
  <c r="F347" i="63"/>
  <c r="G347" i="63"/>
  <c r="H347" i="63"/>
  <c r="I347" i="63"/>
  <c r="J347" i="63"/>
  <c r="K347" i="63"/>
  <c r="L347" i="63"/>
  <c r="M347" i="63"/>
  <c r="N347" i="63"/>
  <c r="O347" i="63"/>
  <c r="P347" i="63"/>
  <c r="Q347" i="63"/>
  <c r="R347" i="63"/>
  <c r="S347" i="63"/>
  <c r="U347" i="63"/>
  <c r="V347" i="63"/>
  <c r="B345" i="63"/>
  <c r="C345" i="63"/>
  <c r="E345" i="63"/>
  <c r="F345" i="63"/>
  <c r="G345" i="63"/>
  <c r="H345" i="63"/>
  <c r="I345" i="63"/>
  <c r="J345" i="63"/>
  <c r="K345" i="63"/>
  <c r="L345" i="63"/>
  <c r="M345" i="63"/>
  <c r="N345" i="63"/>
  <c r="O345" i="63"/>
  <c r="P345" i="63"/>
  <c r="Q345" i="63"/>
  <c r="R345" i="63"/>
  <c r="S345" i="63"/>
  <c r="U345" i="63"/>
  <c r="V345" i="63"/>
  <c r="W345" i="63"/>
  <c r="B343" i="63"/>
  <c r="C343" i="63"/>
  <c r="E343" i="63"/>
  <c r="F343" i="63"/>
  <c r="G343" i="63"/>
  <c r="H343" i="63"/>
  <c r="I343" i="63"/>
  <c r="J343" i="63"/>
  <c r="K343" i="63"/>
  <c r="L343" i="63"/>
  <c r="M343" i="63"/>
  <c r="N343" i="63"/>
  <c r="O343" i="63"/>
  <c r="P343" i="63"/>
  <c r="Q343" i="63"/>
  <c r="R343" i="63"/>
  <c r="S343" i="63"/>
  <c r="U343" i="63"/>
  <c r="V343" i="63"/>
  <c r="W343" i="63"/>
  <c r="Z345" i="63"/>
  <c r="Y347" i="63"/>
  <c r="Y343" i="63"/>
  <c r="X345" i="63"/>
  <c r="W347" i="63"/>
  <c r="Z346" i="63"/>
  <c r="Z344" i="63"/>
  <c r="Z342" i="63"/>
  <c r="Y346" i="63"/>
  <c r="Y344" i="63"/>
  <c r="Y342" i="63"/>
  <c r="X346" i="63"/>
  <c r="X344" i="63"/>
  <c r="X342" i="63"/>
  <c r="W346" i="63"/>
  <c r="W344" i="63"/>
  <c r="W342" i="63"/>
  <c r="V346" i="63"/>
  <c r="V344" i="63"/>
  <c r="V342" i="63"/>
  <c r="U346" i="63"/>
  <c r="U344" i="63"/>
  <c r="U342" i="63"/>
  <c r="S346" i="63"/>
  <c r="S344" i="63"/>
  <c r="S342" i="63"/>
  <c r="R346" i="63"/>
  <c r="R344" i="63"/>
  <c r="R342" i="63"/>
  <c r="Q346" i="63"/>
  <c r="Q344" i="63"/>
  <c r="Q342" i="63"/>
  <c r="P346" i="63"/>
  <c r="P344" i="63"/>
  <c r="P342" i="63"/>
  <c r="O346" i="63"/>
  <c r="O344" i="63"/>
  <c r="O342" i="63"/>
  <c r="N346" i="63"/>
  <c r="N344" i="63"/>
  <c r="N342" i="63"/>
  <c r="M346" i="63"/>
  <c r="M344" i="63"/>
  <c r="M342" i="63"/>
  <c r="L346" i="63"/>
  <c r="L344" i="63"/>
  <c r="L342" i="63"/>
  <c r="K346" i="63"/>
  <c r="K344" i="63"/>
  <c r="K342" i="63"/>
  <c r="J346" i="63"/>
  <c r="J344" i="63"/>
  <c r="J342" i="63"/>
  <c r="I346" i="63"/>
  <c r="I344" i="63"/>
  <c r="I342" i="63"/>
  <c r="H346" i="63"/>
  <c r="H344" i="63"/>
  <c r="H342" i="63"/>
  <c r="G346" i="63"/>
  <c r="G344" i="63"/>
  <c r="G342" i="63"/>
  <c r="F346" i="63"/>
  <c r="F344" i="63"/>
  <c r="F342" i="63"/>
  <c r="E346" i="63"/>
  <c r="E344" i="63"/>
  <c r="E342" i="63"/>
  <c r="C346" i="63"/>
  <c r="C344" i="63"/>
  <c r="C342" i="63"/>
  <c r="D341" i="63" l="1"/>
  <c r="D338" i="63"/>
  <c r="D340" i="63"/>
  <c r="D339" i="63"/>
  <c r="D349" i="63"/>
  <c r="D340" i="67"/>
  <c r="D347" i="67"/>
  <c r="D348" i="63"/>
  <c r="D351" i="67"/>
  <c r="D351" i="63"/>
  <c r="D341" i="67"/>
  <c r="D346" i="67"/>
  <c r="D349" i="67"/>
  <c r="D342" i="63"/>
  <c r="D346" i="63"/>
  <c r="D350" i="63"/>
  <c r="D338" i="67"/>
  <c r="D342" i="67"/>
  <c r="D350" i="67"/>
  <c r="D345" i="67"/>
  <c r="D344" i="67"/>
  <c r="D348" i="67"/>
  <c r="D343" i="67"/>
  <c r="D339" i="67"/>
  <c r="D340" i="5"/>
  <c r="D342" i="5"/>
  <c r="D344" i="5"/>
  <c r="D346" i="5"/>
  <c r="D348" i="5"/>
  <c r="D350" i="5"/>
  <c r="D343" i="5"/>
  <c r="D345" i="5"/>
  <c r="D347" i="5"/>
  <c r="D349" i="5"/>
  <c r="D351" i="5"/>
  <c r="D338" i="5"/>
  <c r="D339" i="5"/>
  <c r="D341" i="5"/>
  <c r="D344" i="63"/>
  <c r="D343" i="63"/>
  <c r="D345" i="63"/>
  <c r="D347" i="63"/>
  <c r="S6" i="76" l="1"/>
  <c r="S7" i="76"/>
  <c r="S8" i="76"/>
  <c r="S9" i="76"/>
  <c r="S10" i="76"/>
  <c r="S11" i="76"/>
  <c r="S12" i="76"/>
  <c r="S13" i="76"/>
  <c r="S14" i="76"/>
  <c r="S15" i="76"/>
  <c r="S16" i="76"/>
  <c r="S17" i="76"/>
  <c r="S18" i="76"/>
  <c r="S19" i="76"/>
  <c r="S20" i="76"/>
  <c r="S21" i="76"/>
  <c r="S22" i="76"/>
  <c r="S23" i="76"/>
  <c r="S24" i="76"/>
  <c r="S25" i="76"/>
  <c r="S26" i="76"/>
  <c r="S27" i="76"/>
  <c r="S28" i="76"/>
  <c r="S29" i="76"/>
  <c r="S30" i="76"/>
  <c r="S32" i="76"/>
  <c r="S33" i="76"/>
  <c r="S34" i="76"/>
  <c r="S35" i="76"/>
  <c r="S5" i="76"/>
  <c r="H6" i="76"/>
  <c r="H7" i="76"/>
  <c r="H8" i="76"/>
  <c r="H9" i="76"/>
  <c r="H10" i="76"/>
  <c r="H11" i="76"/>
  <c r="H12" i="76"/>
  <c r="H13" i="76"/>
  <c r="H14" i="76"/>
  <c r="H15" i="76"/>
  <c r="H16" i="76"/>
  <c r="H17" i="76"/>
  <c r="H18" i="76"/>
  <c r="H19" i="76"/>
  <c r="H20" i="76"/>
  <c r="H21" i="76"/>
  <c r="H22" i="76"/>
  <c r="H23" i="76"/>
  <c r="H24" i="76"/>
  <c r="H25" i="76"/>
  <c r="H26" i="76"/>
  <c r="H27" i="76"/>
  <c r="H28" i="76"/>
  <c r="H29" i="76"/>
  <c r="H30" i="76"/>
  <c r="H31" i="76"/>
  <c r="H32" i="76"/>
  <c r="H33" i="76"/>
  <c r="H34" i="76"/>
  <c r="H35" i="76"/>
  <c r="H5" i="76"/>
  <c r="A318" i="5" l="1"/>
  <c r="B318" i="5" s="1"/>
  <c r="A319" i="5"/>
  <c r="C319" i="5" s="1"/>
  <c r="A320" i="5"/>
  <c r="B320" i="5" s="1"/>
  <c r="A321" i="5"/>
  <c r="B321" i="5" s="1"/>
  <c r="A322" i="5"/>
  <c r="C322" i="5" s="1"/>
  <c r="A323" i="5"/>
  <c r="C323" i="5" s="1"/>
  <c r="A324" i="5"/>
  <c r="F324" i="5" s="1"/>
  <c r="A325" i="5"/>
  <c r="J325" i="5" s="1"/>
  <c r="A326" i="5"/>
  <c r="G326" i="5" s="1"/>
  <c r="A327" i="5"/>
  <c r="C327" i="5" s="1"/>
  <c r="A328" i="5"/>
  <c r="G328" i="5" s="1"/>
  <c r="A329" i="5"/>
  <c r="B329" i="5" s="1"/>
  <c r="A330" i="5"/>
  <c r="B330" i="5" s="1"/>
  <c r="A331" i="5"/>
  <c r="B331" i="5" s="1"/>
  <c r="A332" i="5"/>
  <c r="C332" i="5" s="1"/>
  <c r="A333" i="5"/>
  <c r="I333" i="5" s="1"/>
  <c r="A334" i="5"/>
  <c r="F334" i="5" s="1"/>
  <c r="A335" i="5"/>
  <c r="C335" i="5" s="1"/>
  <c r="A336" i="5"/>
  <c r="F336" i="5" s="1"/>
  <c r="A337" i="5"/>
  <c r="B337" i="5" s="1"/>
  <c r="A335" i="67"/>
  <c r="A336" i="67"/>
  <c r="H336" i="67" s="1"/>
  <c r="A337" i="67"/>
  <c r="A325" i="67"/>
  <c r="L325" i="67" s="1"/>
  <c r="A326" i="67"/>
  <c r="C326" i="67" s="1"/>
  <c r="A327" i="67"/>
  <c r="C327" i="67" s="1"/>
  <c r="A328" i="67"/>
  <c r="B328" i="67" s="1"/>
  <c r="A329" i="67"/>
  <c r="B329" i="67" s="1"/>
  <c r="A330" i="67"/>
  <c r="F330" i="67" s="1"/>
  <c r="A331" i="67"/>
  <c r="E331" i="67" s="1"/>
  <c r="A332" i="67"/>
  <c r="A333" i="67"/>
  <c r="W333" i="67" s="1"/>
  <c r="A334" i="67"/>
  <c r="C334" i="67" s="1"/>
  <c r="A317" i="67"/>
  <c r="B317" i="67" s="1"/>
  <c r="A318" i="67"/>
  <c r="B318" i="67" s="1"/>
  <c r="A319" i="67"/>
  <c r="B319" i="67" s="1"/>
  <c r="A320" i="67"/>
  <c r="B320" i="67" s="1"/>
  <c r="A321" i="67"/>
  <c r="H321" i="67" s="1"/>
  <c r="A322" i="67"/>
  <c r="A323" i="67"/>
  <c r="Q323" i="67" s="1"/>
  <c r="A324" i="67"/>
  <c r="B324" i="67" s="1"/>
  <c r="A313" i="67"/>
  <c r="C313" i="67" s="1"/>
  <c r="A314" i="67"/>
  <c r="C314" i="67" s="1"/>
  <c r="A315" i="67"/>
  <c r="H315" i="67" s="1"/>
  <c r="A316" i="67"/>
  <c r="M316" i="67" s="1"/>
  <c r="A304" i="67"/>
  <c r="B304" i="67" s="1"/>
  <c r="A305" i="67"/>
  <c r="J305" i="67" s="1"/>
  <c r="A306" i="67"/>
  <c r="I306" i="67" s="1"/>
  <c r="A307" i="67"/>
  <c r="H307" i="67" s="1"/>
  <c r="A308" i="67"/>
  <c r="G308" i="67" s="1"/>
  <c r="A309" i="67"/>
  <c r="F309" i="67" s="1"/>
  <c r="A310" i="67"/>
  <c r="E310" i="67" s="1"/>
  <c r="A311" i="67"/>
  <c r="C311" i="67" s="1"/>
  <c r="A312" i="67"/>
  <c r="B312" i="67" s="1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18" i="63"/>
  <c r="A319" i="63"/>
  <c r="A320" i="63"/>
  <c r="A321" i="63"/>
  <c r="A322" i="63"/>
  <c r="A323" i="63"/>
  <c r="A324" i="63"/>
  <c r="A325" i="63"/>
  <c r="H340" i="1"/>
  <c r="H341" i="1"/>
  <c r="H342" i="1"/>
  <c r="H343" i="1"/>
  <c r="H344" i="1"/>
  <c r="H345" i="1"/>
  <c r="H346" i="1"/>
  <c r="H347" i="1"/>
  <c r="H348" i="1"/>
  <c r="H349" i="1"/>
  <c r="H350" i="1"/>
  <c r="H35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B323" i="63" l="1"/>
  <c r="T323" i="63"/>
  <c r="AA323" i="63"/>
  <c r="B322" i="63"/>
  <c r="T322" i="63"/>
  <c r="AA322" i="63"/>
  <c r="B334" i="63"/>
  <c r="AA334" i="63"/>
  <c r="T334" i="63"/>
  <c r="B326" i="63"/>
  <c r="AA326" i="63"/>
  <c r="T326" i="63"/>
  <c r="B321" i="63"/>
  <c r="T321" i="63"/>
  <c r="AA321" i="63"/>
  <c r="AA333" i="63"/>
  <c r="T333" i="63"/>
  <c r="B320" i="63"/>
  <c r="T320" i="63"/>
  <c r="AA320" i="63"/>
  <c r="T332" i="63"/>
  <c r="AA332" i="63"/>
  <c r="B319" i="63"/>
  <c r="T319" i="63"/>
  <c r="AA319" i="63"/>
  <c r="Y331" i="63"/>
  <c r="T331" i="63"/>
  <c r="AA331" i="63"/>
  <c r="AA335" i="63"/>
  <c r="T335" i="63"/>
  <c r="B318" i="63"/>
  <c r="AA318" i="63"/>
  <c r="T318" i="63"/>
  <c r="T330" i="63"/>
  <c r="AA330" i="63"/>
  <c r="B325" i="63"/>
  <c r="AA325" i="63"/>
  <c r="T325" i="63"/>
  <c r="Y337" i="63"/>
  <c r="AA337" i="63"/>
  <c r="T337" i="63"/>
  <c r="B329" i="63"/>
  <c r="T329" i="63"/>
  <c r="AA329" i="63"/>
  <c r="T327" i="63"/>
  <c r="AA327" i="63"/>
  <c r="B324" i="63"/>
  <c r="T324" i="63"/>
  <c r="AA324" i="63"/>
  <c r="AA336" i="63"/>
  <c r="T336" i="63"/>
  <c r="T328" i="63"/>
  <c r="AA328" i="63"/>
  <c r="Y321" i="67"/>
  <c r="U329" i="67"/>
  <c r="AB323" i="67"/>
  <c r="Z327" i="67"/>
  <c r="M336" i="67"/>
  <c r="F315" i="67"/>
  <c r="Z321" i="67"/>
  <c r="U321" i="67"/>
  <c r="X331" i="67"/>
  <c r="R327" i="67"/>
  <c r="N327" i="67"/>
  <c r="J329" i="67"/>
  <c r="C325" i="67"/>
  <c r="AA336" i="67"/>
  <c r="J315" i="67"/>
  <c r="P331" i="67"/>
  <c r="M331" i="67"/>
  <c r="F329" i="67"/>
  <c r="AA311" i="67"/>
  <c r="AB316" i="67"/>
  <c r="W316" i="67"/>
  <c r="S316" i="67"/>
  <c r="O316" i="67"/>
  <c r="H314" i="67"/>
  <c r="J322" i="67"/>
  <c r="G322" i="67"/>
  <c r="V322" i="67"/>
  <c r="N322" i="67"/>
  <c r="AB334" i="67"/>
  <c r="E337" i="67"/>
  <c r="J337" i="67"/>
  <c r="Y337" i="67"/>
  <c r="B335" i="67"/>
  <c r="O335" i="67"/>
  <c r="AB335" i="67"/>
  <c r="W335" i="67"/>
  <c r="T311" i="67"/>
  <c r="AB313" i="67"/>
  <c r="Y316" i="67"/>
  <c r="U316" i="67"/>
  <c r="Q316" i="67"/>
  <c r="M314" i="67"/>
  <c r="J313" i="67"/>
  <c r="H313" i="67"/>
  <c r="F313" i="67"/>
  <c r="G323" i="67"/>
  <c r="C323" i="67"/>
  <c r="S323" i="67"/>
  <c r="W323" i="67"/>
  <c r="E321" i="67"/>
  <c r="J321" i="67"/>
  <c r="O321" i="67"/>
  <c r="Q321" i="67"/>
  <c r="R321" i="67"/>
  <c r="AB321" i="67"/>
  <c r="Z322" i="67"/>
  <c r="Y323" i="67"/>
  <c r="W321" i="67"/>
  <c r="S321" i="67"/>
  <c r="O323" i="67"/>
  <c r="L323" i="67"/>
  <c r="F321" i="67"/>
  <c r="AB326" i="67"/>
  <c r="Q337" i="67"/>
  <c r="H335" i="67"/>
  <c r="AB336" i="5"/>
  <c r="AB328" i="5"/>
  <c r="AA333" i="5"/>
  <c r="AA328" i="5"/>
  <c r="AA320" i="5"/>
  <c r="Z328" i="5"/>
  <c r="Z323" i="5"/>
  <c r="Y333" i="5"/>
  <c r="Y325" i="5"/>
  <c r="Y320" i="5"/>
  <c r="X331" i="5"/>
  <c r="X323" i="5"/>
  <c r="W336" i="5"/>
  <c r="W328" i="5"/>
  <c r="V336" i="5"/>
  <c r="V325" i="5"/>
  <c r="U336" i="5"/>
  <c r="U331" i="5"/>
  <c r="U320" i="5"/>
  <c r="T328" i="5"/>
  <c r="T320" i="5"/>
  <c r="S331" i="5"/>
  <c r="S320" i="5"/>
  <c r="R328" i="5"/>
  <c r="R323" i="5"/>
  <c r="Q333" i="5"/>
  <c r="Q323" i="5"/>
  <c r="P331" i="5"/>
  <c r="P323" i="5"/>
  <c r="O336" i="5"/>
  <c r="O328" i="5"/>
  <c r="N336" i="5"/>
  <c r="N325" i="5"/>
  <c r="M328" i="5"/>
  <c r="M320" i="5"/>
  <c r="L331" i="5"/>
  <c r="L320" i="5"/>
  <c r="K328" i="5"/>
  <c r="J336" i="5"/>
  <c r="J323" i="5"/>
  <c r="I331" i="5"/>
  <c r="I323" i="5"/>
  <c r="H328" i="5"/>
  <c r="F323" i="5"/>
  <c r="C320" i="5"/>
  <c r="AB327" i="67"/>
  <c r="AB325" i="67"/>
  <c r="AA331" i="67"/>
  <c r="Y329" i="67"/>
  <c r="V327" i="67"/>
  <c r="T331" i="67"/>
  <c r="Q329" i="67"/>
  <c r="O333" i="67"/>
  <c r="K327" i="67"/>
  <c r="G327" i="67"/>
  <c r="B327" i="67"/>
  <c r="T336" i="67"/>
  <c r="E336" i="67"/>
  <c r="AB331" i="5"/>
  <c r="AB320" i="5"/>
  <c r="AA331" i="5"/>
  <c r="AA323" i="5"/>
  <c r="Z336" i="5"/>
  <c r="Z325" i="5"/>
  <c r="Y336" i="5"/>
  <c r="Y331" i="5"/>
  <c r="Y323" i="5"/>
  <c r="X333" i="5"/>
  <c r="X328" i="5"/>
  <c r="X320" i="5"/>
  <c r="W331" i="5"/>
  <c r="W320" i="5"/>
  <c r="V328" i="5"/>
  <c r="V323" i="5"/>
  <c r="U333" i="5"/>
  <c r="U323" i="5"/>
  <c r="T331" i="5"/>
  <c r="T323" i="5"/>
  <c r="S336" i="5"/>
  <c r="S328" i="5"/>
  <c r="R336" i="5"/>
  <c r="R325" i="5"/>
  <c r="Q336" i="5"/>
  <c r="Q331" i="5"/>
  <c r="Q320" i="5"/>
  <c r="P328" i="5"/>
  <c r="P320" i="5"/>
  <c r="O331" i="5"/>
  <c r="O320" i="5"/>
  <c r="N328" i="5"/>
  <c r="N323" i="5"/>
  <c r="M331" i="5"/>
  <c r="M323" i="5"/>
  <c r="L336" i="5"/>
  <c r="L328" i="5"/>
  <c r="K336" i="5"/>
  <c r="K323" i="5"/>
  <c r="J331" i="5"/>
  <c r="J320" i="5"/>
  <c r="I328" i="5"/>
  <c r="I320" i="5"/>
  <c r="G336" i="5"/>
  <c r="C331" i="5"/>
  <c r="B328" i="5"/>
  <c r="K325" i="5"/>
  <c r="J333" i="5"/>
  <c r="G325" i="5"/>
  <c r="F333" i="5"/>
  <c r="AB326" i="5"/>
  <c r="AA330" i="5"/>
  <c r="AA318" i="5"/>
  <c r="Z334" i="5"/>
  <c r="Z324" i="5"/>
  <c r="Y332" i="5"/>
  <c r="Y322" i="5"/>
  <c r="X330" i="5"/>
  <c r="X318" i="5"/>
  <c r="W326" i="5"/>
  <c r="V334" i="5"/>
  <c r="V324" i="5"/>
  <c r="U332" i="5"/>
  <c r="U322" i="5"/>
  <c r="T330" i="5"/>
  <c r="T318" i="5"/>
  <c r="S326" i="5"/>
  <c r="R334" i="5"/>
  <c r="R324" i="5"/>
  <c r="Q332" i="5"/>
  <c r="Q322" i="5"/>
  <c r="P330" i="5"/>
  <c r="P318" i="5"/>
  <c r="O326" i="5"/>
  <c r="N334" i="5"/>
  <c r="N324" i="5"/>
  <c r="M330" i="5"/>
  <c r="M318" i="5"/>
  <c r="L326" i="5"/>
  <c r="K334" i="5"/>
  <c r="K324" i="5"/>
  <c r="J332" i="5"/>
  <c r="J322" i="5"/>
  <c r="I330" i="5"/>
  <c r="I318" i="5"/>
  <c r="H326" i="5"/>
  <c r="G334" i="5"/>
  <c r="G324" i="5"/>
  <c r="F332" i="5"/>
  <c r="F322" i="5"/>
  <c r="C330" i="5"/>
  <c r="C318" i="5"/>
  <c r="B326" i="5"/>
  <c r="S325" i="5"/>
  <c r="R333" i="5"/>
  <c r="K333" i="5"/>
  <c r="H336" i="5"/>
  <c r="H325" i="5"/>
  <c r="G333" i="5"/>
  <c r="G323" i="5"/>
  <c r="F331" i="5"/>
  <c r="F320" i="5"/>
  <c r="C328" i="5"/>
  <c r="B336" i="5"/>
  <c r="B325" i="5"/>
  <c r="AB325" i="5"/>
  <c r="O325" i="5"/>
  <c r="N333" i="5"/>
  <c r="L325" i="5"/>
  <c r="AB334" i="5"/>
  <c r="AB324" i="5"/>
  <c r="AA326" i="5"/>
  <c r="Z332" i="5"/>
  <c r="Z322" i="5"/>
  <c r="Y330" i="5"/>
  <c r="Y318" i="5"/>
  <c r="X326" i="5"/>
  <c r="W334" i="5"/>
  <c r="W324" i="5"/>
  <c r="V332" i="5"/>
  <c r="V322" i="5"/>
  <c r="U330" i="5"/>
  <c r="U318" i="5"/>
  <c r="T326" i="5"/>
  <c r="S334" i="5"/>
  <c r="S324" i="5"/>
  <c r="R332" i="5"/>
  <c r="R322" i="5"/>
  <c r="Q330" i="5"/>
  <c r="Q318" i="5"/>
  <c r="P326" i="5"/>
  <c r="O334" i="5"/>
  <c r="O324" i="5"/>
  <c r="N332" i="5"/>
  <c r="N322" i="5"/>
  <c r="M326" i="5"/>
  <c r="L334" i="5"/>
  <c r="L324" i="5"/>
  <c r="K332" i="5"/>
  <c r="K322" i="5"/>
  <c r="J330" i="5"/>
  <c r="J318" i="5"/>
  <c r="I326" i="5"/>
  <c r="H334" i="5"/>
  <c r="H324" i="5"/>
  <c r="G332" i="5"/>
  <c r="G322" i="5"/>
  <c r="F330" i="5"/>
  <c r="F318" i="5"/>
  <c r="C326" i="5"/>
  <c r="B334" i="5"/>
  <c r="B324" i="5"/>
  <c r="Z333" i="5"/>
  <c r="AB333" i="5"/>
  <c r="AB323" i="5"/>
  <c r="AA336" i="5"/>
  <c r="AA325" i="5"/>
  <c r="Z331" i="5"/>
  <c r="Z320" i="5"/>
  <c r="Y328" i="5"/>
  <c r="X336" i="5"/>
  <c r="X325" i="5"/>
  <c r="W333" i="5"/>
  <c r="W323" i="5"/>
  <c r="V331" i="5"/>
  <c r="V320" i="5"/>
  <c r="U328" i="5"/>
  <c r="T336" i="5"/>
  <c r="T325" i="5"/>
  <c r="S333" i="5"/>
  <c r="S323" i="5"/>
  <c r="R331" i="5"/>
  <c r="R320" i="5"/>
  <c r="Q328" i="5"/>
  <c r="P336" i="5"/>
  <c r="P325" i="5"/>
  <c r="O333" i="5"/>
  <c r="O323" i="5"/>
  <c r="N331" i="5"/>
  <c r="N320" i="5"/>
  <c r="M336" i="5"/>
  <c r="M325" i="5"/>
  <c r="L333" i="5"/>
  <c r="L323" i="5"/>
  <c r="K331" i="5"/>
  <c r="K320" i="5"/>
  <c r="J328" i="5"/>
  <c r="I336" i="5"/>
  <c r="I325" i="5"/>
  <c r="H333" i="5"/>
  <c r="H323" i="5"/>
  <c r="G331" i="5"/>
  <c r="G320" i="5"/>
  <c r="F328" i="5"/>
  <c r="C336" i="5"/>
  <c r="C325" i="5"/>
  <c r="B333" i="5"/>
  <c r="B323" i="5"/>
  <c r="W325" i="5"/>
  <c r="V333" i="5"/>
  <c r="AB332" i="5"/>
  <c r="AB322" i="5"/>
  <c r="AA334" i="5"/>
  <c r="AA324" i="5"/>
  <c r="Z330" i="5"/>
  <c r="Z318" i="5"/>
  <c r="Y326" i="5"/>
  <c r="X334" i="5"/>
  <c r="X324" i="5"/>
  <c r="W332" i="5"/>
  <c r="W322" i="5"/>
  <c r="V330" i="5"/>
  <c r="V318" i="5"/>
  <c r="U326" i="5"/>
  <c r="T334" i="5"/>
  <c r="T324" i="5"/>
  <c r="S332" i="5"/>
  <c r="S322" i="5"/>
  <c r="R330" i="5"/>
  <c r="R318" i="5"/>
  <c r="Q326" i="5"/>
  <c r="P334" i="5"/>
  <c r="P324" i="5"/>
  <c r="O332" i="5"/>
  <c r="O322" i="5"/>
  <c r="N330" i="5"/>
  <c r="N318" i="5"/>
  <c r="M334" i="5"/>
  <c r="M324" i="5"/>
  <c r="L332" i="5"/>
  <c r="L322" i="5"/>
  <c r="K330" i="5"/>
  <c r="K318" i="5"/>
  <c r="J326" i="5"/>
  <c r="I334" i="5"/>
  <c r="H332" i="5"/>
  <c r="H322" i="5"/>
  <c r="G330" i="5"/>
  <c r="G318" i="5"/>
  <c r="F326" i="5"/>
  <c r="C334" i="5"/>
  <c r="C324" i="5"/>
  <c r="B332" i="5"/>
  <c r="B322" i="5"/>
  <c r="Q325" i="5"/>
  <c r="P333" i="5"/>
  <c r="M333" i="5"/>
  <c r="H331" i="5"/>
  <c r="H320" i="5"/>
  <c r="F325" i="5"/>
  <c r="C333" i="5"/>
  <c r="U325" i="5"/>
  <c r="T333" i="5"/>
  <c r="AB330" i="5"/>
  <c r="AB318" i="5"/>
  <c r="AA332" i="5"/>
  <c r="AA322" i="5"/>
  <c r="Z326" i="5"/>
  <c r="Y334" i="5"/>
  <c r="Y324" i="5"/>
  <c r="X332" i="5"/>
  <c r="X322" i="5"/>
  <c r="W330" i="5"/>
  <c r="W318" i="5"/>
  <c r="V326" i="5"/>
  <c r="U334" i="5"/>
  <c r="U324" i="5"/>
  <c r="T332" i="5"/>
  <c r="T322" i="5"/>
  <c r="S330" i="5"/>
  <c r="S318" i="5"/>
  <c r="R326" i="5"/>
  <c r="Q334" i="5"/>
  <c r="Q324" i="5"/>
  <c r="P332" i="5"/>
  <c r="P322" i="5"/>
  <c r="O330" i="5"/>
  <c r="O318" i="5"/>
  <c r="N326" i="5"/>
  <c r="M332" i="5"/>
  <c r="M322" i="5"/>
  <c r="L330" i="5"/>
  <c r="L318" i="5"/>
  <c r="K326" i="5"/>
  <c r="J334" i="5"/>
  <c r="J324" i="5"/>
  <c r="I332" i="5"/>
  <c r="I322" i="5"/>
  <c r="H330" i="5"/>
  <c r="H318" i="5"/>
  <c r="AB337" i="5"/>
  <c r="AB321" i="5"/>
  <c r="Y329" i="5"/>
  <c r="W329" i="5"/>
  <c r="U337" i="5"/>
  <c r="U329" i="5"/>
  <c r="U321" i="5"/>
  <c r="S329" i="5"/>
  <c r="Q337" i="5"/>
  <c r="Q321" i="5"/>
  <c r="O329" i="5"/>
  <c r="L337" i="5"/>
  <c r="L321" i="5"/>
  <c r="J329" i="5"/>
  <c r="H337" i="5"/>
  <c r="H321" i="5"/>
  <c r="F329" i="5"/>
  <c r="AB335" i="5"/>
  <c r="AB327" i="5"/>
  <c r="AB319" i="5"/>
  <c r="Y335" i="5"/>
  <c r="Y327" i="5"/>
  <c r="Y319" i="5"/>
  <c r="W335" i="5"/>
  <c r="W327" i="5"/>
  <c r="W319" i="5"/>
  <c r="U335" i="5"/>
  <c r="U327" i="5"/>
  <c r="U319" i="5"/>
  <c r="S335" i="5"/>
  <c r="S327" i="5"/>
  <c r="S319" i="5"/>
  <c r="Q335" i="5"/>
  <c r="Q327" i="5"/>
  <c r="Q319" i="5"/>
  <c r="O335" i="5"/>
  <c r="O327" i="5"/>
  <c r="O319" i="5"/>
  <c r="L335" i="5"/>
  <c r="L327" i="5"/>
  <c r="L319" i="5"/>
  <c r="J335" i="5"/>
  <c r="J327" i="5"/>
  <c r="J319" i="5"/>
  <c r="H335" i="5"/>
  <c r="H327" i="5"/>
  <c r="H319" i="5"/>
  <c r="F335" i="5"/>
  <c r="F327" i="5"/>
  <c r="F319" i="5"/>
  <c r="B335" i="5"/>
  <c r="B327" i="5"/>
  <c r="B319" i="5"/>
  <c r="V329" i="5"/>
  <c r="T337" i="5"/>
  <c r="T321" i="5"/>
  <c r="R337" i="5"/>
  <c r="R329" i="5"/>
  <c r="R321" i="5"/>
  <c r="P337" i="5"/>
  <c r="P329" i="5"/>
  <c r="P321" i="5"/>
  <c r="N337" i="5"/>
  <c r="N321" i="5"/>
  <c r="M321" i="5"/>
  <c r="K329" i="5"/>
  <c r="I337" i="5"/>
  <c r="Z337" i="5"/>
  <c r="Z329" i="5"/>
  <c r="Z321" i="5"/>
  <c r="X337" i="5"/>
  <c r="V337" i="5"/>
  <c r="V321" i="5"/>
  <c r="T329" i="5"/>
  <c r="N329" i="5"/>
  <c r="M337" i="5"/>
  <c r="M329" i="5"/>
  <c r="K337" i="5"/>
  <c r="K321" i="5"/>
  <c r="I329" i="5"/>
  <c r="I321" i="5"/>
  <c r="G337" i="5"/>
  <c r="G329" i="5"/>
  <c r="G321" i="5"/>
  <c r="C337" i="5"/>
  <c r="C329" i="5"/>
  <c r="C321" i="5"/>
  <c r="AA335" i="5"/>
  <c r="AA327" i="5"/>
  <c r="AA319" i="5"/>
  <c r="Z335" i="5"/>
  <c r="Z327" i="5"/>
  <c r="Z319" i="5"/>
  <c r="X335" i="5"/>
  <c r="X327" i="5"/>
  <c r="X319" i="5"/>
  <c r="V335" i="5"/>
  <c r="V327" i="5"/>
  <c r="V319" i="5"/>
  <c r="T335" i="5"/>
  <c r="T327" i="5"/>
  <c r="T319" i="5"/>
  <c r="R335" i="5"/>
  <c r="R327" i="5"/>
  <c r="R319" i="5"/>
  <c r="P335" i="5"/>
  <c r="P327" i="5"/>
  <c r="P319" i="5"/>
  <c r="N335" i="5"/>
  <c r="N327" i="5"/>
  <c r="N319" i="5"/>
  <c r="M335" i="5"/>
  <c r="M327" i="5"/>
  <c r="M319" i="5"/>
  <c r="K335" i="5"/>
  <c r="K327" i="5"/>
  <c r="K319" i="5"/>
  <c r="I335" i="5"/>
  <c r="I327" i="5"/>
  <c r="I319" i="5"/>
  <c r="G335" i="5"/>
  <c r="G327" i="5"/>
  <c r="G319" i="5"/>
  <c r="AA337" i="5"/>
  <c r="AA329" i="5"/>
  <c r="AA321" i="5"/>
  <c r="X329" i="5"/>
  <c r="X321" i="5"/>
  <c r="AB329" i="5"/>
  <c r="Y337" i="5"/>
  <c r="Y321" i="5"/>
  <c r="W337" i="5"/>
  <c r="W321" i="5"/>
  <c r="S337" i="5"/>
  <c r="S321" i="5"/>
  <c r="Q329" i="5"/>
  <c r="O337" i="5"/>
  <c r="O321" i="5"/>
  <c r="L329" i="5"/>
  <c r="J337" i="5"/>
  <c r="J321" i="5"/>
  <c r="H329" i="5"/>
  <c r="F337" i="5"/>
  <c r="F321" i="5"/>
  <c r="O311" i="67"/>
  <c r="AB315" i="67"/>
  <c r="Y315" i="67"/>
  <c r="W315" i="67"/>
  <c r="U315" i="67"/>
  <c r="S315" i="67"/>
  <c r="Q315" i="67"/>
  <c r="O315" i="67"/>
  <c r="J314" i="67"/>
  <c r="C315" i="67"/>
  <c r="X323" i="67"/>
  <c r="V321" i="67"/>
  <c r="S322" i="67"/>
  <c r="P323" i="67"/>
  <c r="N321" i="67"/>
  <c r="L322" i="67"/>
  <c r="I323" i="67"/>
  <c r="G321" i="67"/>
  <c r="C322" i="67"/>
  <c r="F331" i="67"/>
  <c r="J331" i="67"/>
  <c r="Q331" i="67"/>
  <c r="U331" i="67"/>
  <c r="Y331" i="67"/>
  <c r="B331" i="67"/>
  <c r="G331" i="67"/>
  <c r="K331" i="67"/>
  <c r="N331" i="67"/>
  <c r="R331" i="67"/>
  <c r="V331" i="67"/>
  <c r="Z331" i="67"/>
  <c r="C331" i="67"/>
  <c r="H331" i="67"/>
  <c r="L331" i="67"/>
  <c r="O331" i="67"/>
  <c r="S331" i="67"/>
  <c r="W331" i="67"/>
  <c r="AB331" i="67"/>
  <c r="AB333" i="67"/>
  <c r="O325" i="67"/>
  <c r="I331" i="67"/>
  <c r="L312" i="67"/>
  <c r="AB314" i="67"/>
  <c r="Y314" i="67"/>
  <c r="W314" i="67"/>
  <c r="U314" i="67"/>
  <c r="S314" i="67"/>
  <c r="Q314" i="67"/>
  <c r="O314" i="67"/>
  <c r="X322" i="67"/>
  <c r="U323" i="67"/>
  <c r="P322" i="67"/>
  <c r="L321" i="67"/>
  <c r="I322" i="67"/>
  <c r="F323" i="67"/>
  <c r="C321" i="67"/>
  <c r="H333" i="67"/>
  <c r="E332" i="67"/>
  <c r="I332" i="67"/>
  <c r="M332" i="67"/>
  <c r="P332" i="67"/>
  <c r="T332" i="67"/>
  <c r="X332" i="67"/>
  <c r="AA332" i="67"/>
  <c r="F332" i="67"/>
  <c r="J332" i="67"/>
  <c r="Q332" i="67"/>
  <c r="U332" i="67"/>
  <c r="Y332" i="67"/>
  <c r="B332" i="67"/>
  <c r="G332" i="67"/>
  <c r="K332" i="67"/>
  <c r="N332" i="67"/>
  <c r="R332" i="67"/>
  <c r="V332" i="67"/>
  <c r="Z332" i="67"/>
  <c r="C332" i="67"/>
  <c r="H332" i="67"/>
  <c r="L332" i="67"/>
  <c r="O332" i="67"/>
  <c r="S332" i="67"/>
  <c r="W332" i="67"/>
  <c r="AB332" i="67"/>
  <c r="G312" i="67"/>
  <c r="Y313" i="67"/>
  <c r="W313" i="67"/>
  <c r="U313" i="67"/>
  <c r="S313" i="67"/>
  <c r="Q313" i="67"/>
  <c r="O313" i="67"/>
  <c r="Z323" i="67"/>
  <c r="X321" i="67"/>
  <c r="U322" i="67"/>
  <c r="R323" i="67"/>
  <c r="P321" i="67"/>
  <c r="K323" i="67"/>
  <c r="I321" i="67"/>
  <c r="F322" i="67"/>
  <c r="B323" i="67"/>
  <c r="S333" i="67"/>
  <c r="H325" i="67"/>
  <c r="C316" i="67"/>
  <c r="F316" i="67"/>
  <c r="H316" i="67"/>
  <c r="J316" i="67"/>
  <c r="L316" i="67"/>
  <c r="B316" i="67"/>
  <c r="E316" i="67"/>
  <c r="G316" i="67"/>
  <c r="I316" i="67"/>
  <c r="K316" i="67"/>
  <c r="AA316" i="67"/>
  <c r="Z316" i="67"/>
  <c r="X316" i="67"/>
  <c r="V316" i="67"/>
  <c r="T316" i="67"/>
  <c r="R316" i="67"/>
  <c r="P316" i="67"/>
  <c r="N316" i="67"/>
  <c r="K322" i="67"/>
  <c r="H323" i="67"/>
  <c r="B322" i="67"/>
  <c r="S325" i="67"/>
  <c r="R322" i="67"/>
  <c r="B315" i="67"/>
  <c r="E315" i="67"/>
  <c r="G315" i="67"/>
  <c r="I315" i="67"/>
  <c r="K315" i="67"/>
  <c r="M315" i="67"/>
  <c r="AA315" i="67"/>
  <c r="Z315" i="67"/>
  <c r="X315" i="67"/>
  <c r="V315" i="67"/>
  <c r="T315" i="67"/>
  <c r="R315" i="67"/>
  <c r="P315" i="67"/>
  <c r="N315" i="67"/>
  <c r="L315" i="67"/>
  <c r="AB322" i="67"/>
  <c r="AA323" i="67"/>
  <c r="W322" i="67"/>
  <c r="T323" i="67"/>
  <c r="O322" i="67"/>
  <c r="M323" i="67"/>
  <c r="K321" i="67"/>
  <c r="H322" i="67"/>
  <c r="E323" i="67"/>
  <c r="B321" i="67"/>
  <c r="L333" i="67"/>
  <c r="B314" i="67"/>
  <c r="E314" i="67"/>
  <c r="G314" i="67"/>
  <c r="I314" i="67"/>
  <c r="K314" i="67"/>
  <c r="AA314" i="67"/>
  <c r="X314" i="67"/>
  <c r="T314" i="67"/>
  <c r="P314" i="67"/>
  <c r="N314" i="67"/>
  <c r="L314" i="67"/>
  <c r="AA322" i="67"/>
  <c r="T322" i="67"/>
  <c r="M322" i="67"/>
  <c r="J323" i="67"/>
  <c r="E322" i="67"/>
  <c r="Z314" i="67"/>
  <c r="V314" i="67"/>
  <c r="R314" i="67"/>
  <c r="Y309" i="67"/>
  <c r="B313" i="67"/>
  <c r="E313" i="67"/>
  <c r="G313" i="67"/>
  <c r="I313" i="67"/>
  <c r="K313" i="67"/>
  <c r="M313" i="67"/>
  <c r="AA313" i="67"/>
  <c r="Z313" i="67"/>
  <c r="X313" i="67"/>
  <c r="V313" i="67"/>
  <c r="T313" i="67"/>
  <c r="R313" i="67"/>
  <c r="P313" i="67"/>
  <c r="N313" i="67"/>
  <c r="L313" i="67"/>
  <c r="F314" i="67"/>
  <c r="AA321" i="67"/>
  <c r="Y322" i="67"/>
  <c r="V323" i="67"/>
  <c r="T321" i="67"/>
  <c r="Q322" i="67"/>
  <c r="N323" i="67"/>
  <c r="M321" i="67"/>
  <c r="E333" i="67"/>
  <c r="I333" i="67"/>
  <c r="M333" i="67"/>
  <c r="P333" i="67"/>
  <c r="T333" i="67"/>
  <c r="X333" i="67"/>
  <c r="AA333" i="67"/>
  <c r="F333" i="67"/>
  <c r="J333" i="67"/>
  <c r="Q333" i="67"/>
  <c r="U333" i="67"/>
  <c r="Y333" i="67"/>
  <c r="B333" i="67"/>
  <c r="G333" i="67"/>
  <c r="K333" i="67"/>
  <c r="N333" i="67"/>
  <c r="R333" i="67"/>
  <c r="V333" i="67"/>
  <c r="Z333" i="67"/>
  <c r="E325" i="67"/>
  <c r="I325" i="67"/>
  <c r="M325" i="67"/>
  <c r="P325" i="67"/>
  <c r="T325" i="67"/>
  <c r="X325" i="67"/>
  <c r="AA325" i="67"/>
  <c r="F325" i="67"/>
  <c r="J325" i="67"/>
  <c r="Q325" i="67"/>
  <c r="U325" i="67"/>
  <c r="Y325" i="67"/>
  <c r="B325" i="67"/>
  <c r="G325" i="67"/>
  <c r="K325" i="67"/>
  <c r="N325" i="67"/>
  <c r="R325" i="67"/>
  <c r="V325" i="67"/>
  <c r="Z325" i="67"/>
  <c r="W325" i="67"/>
  <c r="C333" i="67"/>
  <c r="AB320" i="67"/>
  <c r="AA320" i="67"/>
  <c r="Z320" i="67"/>
  <c r="Y320" i="67"/>
  <c r="X320" i="67"/>
  <c r="W320" i="67"/>
  <c r="V320" i="67"/>
  <c r="U320" i="67"/>
  <c r="T320" i="67"/>
  <c r="S320" i="67"/>
  <c r="R320" i="67"/>
  <c r="Q320" i="67"/>
  <c r="P320" i="67"/>
  <c r="O320" i="67"/>
  <c r="N320" i="67"/>
  <c r="M320" i="67"/>
  <c r="L320" i="67"/>
  <c r="K320" i="67"/>
  <c r="J320" i="67"/>
  <c r="I320" i="67"/>
  <c r="H320" i="67"/>
  <c r="G320" i="67"/>
  <c r="F320" i="67"/>
  <c r="E320" i="67"/>
  <c r="C320" i="67"/>
  <c r="AA330" i="67"/>
  <c r="Z334" i="67"/>
  <c r="Z326" i="67"/>
  <c r="Y328" i="67"/>
  <c r="X330" i="67"/>
  <c r="V334" i="67"/>
  <c r="V326" i="67"/>
  <c r="U328" i="67"/>
  <c r="T330" i="67"/>
  <c r="R334" i="67"/>
  <c r="R326" i="67"/>
  <c r="Q328" i="67"/>
  <c r="P330" i="67"/>
  <c r="N334" i="67"/>
  <c r="N326" i="67"/>
  <c r="M330" i="67"/>
  <c r="K334" i="67"/>
  <c r="K326" i="67"/>
  <c r="J328" i="67"/>
  <c r="I330" i="67"/>
  <c r="G334" i="67"/>
  <c r="G326" i="67"/>
  <c r="F328" i="67"/>
  <c r="E330" i="67"/>
  <c r="B334" i="67"/>
  <c r="B326" i="67"/>
  <c r="AA335" i="67"/>
  <c r="Y336" i="67"/>
  <c r="V337" i="67"/>
  <c r="T335" i="67"/>
  <c r="Q336" i="67"/>
  <c r="N337" i="67"/>
  <c r="M335" i="67"/>
  <c r="J336" i="67"/>
  <c r="G337" i="67"/>
  <c r="E335" i="67"/>
  <c r="AB319" i="67"/>
  <c r="AA319" i="67"/>
  <c r="Z319" i="67"/>
  <c r="Y319" i="67"/>
  <c r="X319" i="67"/>
  <c r="W319" i="67"/>
  <c r="V319" i="67"/>
  <c r="U319" i="67"/>
  <c r="T319" i="67"/>
  <c r="S319" i="67"/>
  <c r="R319" i="67"/>
  <c r="Q319" i="67"/>
  <c r="P319" i="67"/>
  <c r="O319" i="67"/>
  <c r="N319" i="67"/>
  <c r="M319" i="67"/>
  <c r="L319" i="67"/>
  <c r="K319" i="67"/>
  <c r="J319" i="67"/>
  <c r="I319" i="67"/>
  <c r="H319" i="67"/>
  <c r="G319" i="67"/>
  <c r="F319" i="67"/>
  <c r="E319" i="67"/>
  <c r="C319" i="67"/>
  <c r="AA329" i="67"/>
  <c r="Y327" i="67"/>
  <c r="X329" i="67"/>
  <c r="U327" i="67"/>
  <c r="T329" i="67"/>
  <c r="Q327" i="67"/>
  <c r="P329" i="67"/>
  <c r="M329" i="67"/>
  <c r="J327" i="67"/>
  <c r="I329" i="67"/>
  <c r="F327" i="67"/>
  <c r="E329" i="67"/>
  <c r="Y335" i="67"/>
  <c r="V336" i="67"/>
  <c r="S337" i="67"/>
  <c r="Q335" i="67"/>
  <c r="N336" i="67"/>
  <c r="L337" i="67"/>
  <c r="J335" i="67"/>
  <c r="G336" i="67"/>
  <c r="C337" i="67"/>
  <c r="AB318" i="67"/>
  <c r="AA318" i="67"/>
  <c r="Z318" i="67"/>
  <c r="Y318" i="67"/>
  <c r="X318" i="67"/>
  <c r="W318" i="67"/>
  <c r="V318" i="67"/>
  <c r="U318" i="67"/>
  <c r="T318" i="67"/>
  <c r="S318" i="67"/>
  <c r="R318" i="67"/>
  <c r="Q318" i="67"/>
  <c r="P318" i="67"/>
  <c r="O318" i="67"/>
  <c r="N318" i="67"/>
  <c r="M318" i="67"/>
  <c r="L318" i="67"/>
  <c r="K318" i="67"/>
  <c r="J318" i="67"/>
  <c r="I318" i="67"/>
  <c r="H318" i="67"/>
  <c r="G318" i="67"/>
  <c r="F318" i="67"/>
  <c r="E318" i="67"/>
  <c r="C318" i="67"/>
  <c r="AB330" i="67"/>
  <c r="AA328" i="67"/>
  <c r="Y334" i="67"/>
  <c r="Y326" i="67"/>
  <c r="X328" i="67"/>
  <c r="W330" i="67"/>
  <c r="U334" i="67"/>
  <c r="U326" i="67"/>
  <c r="T328" i="67"/>
  <c r="S330" i="67"/>
  <c r="Q334" i="67"/>
  <c r="Q326" i="67"/>
  <c r="P328" i="67"/>
  <c r="O330" i="67"/>
  <c r="M328" i="67"/>
  <c r="L330" i="67"/>
  <c r="J334" i="67"/>
  <c r="J326" i="67"/>
  <c r="I328" i="67"/>
  <c r="H330" i="67"/>
  <c r="F334" i="67"/>
  <c r="F326" i="67"/>
  <c r="E328" i="67"/>
  <c r="C330" i="67"/>
  <c r="X337" i="67"/>
  <c r="V335" i="67"/>
  <c r="S336" i="67"/>
  <c r="P337" i="67"/>
  <c r="N335" i="67"/>
  <c r="L336" i="67"/>
  <c r="I337" i="67"/>
  <c r="G335" i="67"/>
  <c r="C336" i="67"/>
  <c r="AB317" i="67"/>
  <c r="AA317" i="67"/>
  <c r="Z317" i="67"/>
  <c r="Y317" i="67"/>
  <c r="X317" i="67"/>
  <c r="W317" i="67"/>
  <c r="V317" i="67"/>
  <c r="U317" i="67"/>
  <c r="T317" i="67"/>
  <c r="S317" i="67"/>
  <c r="R317" i="67"/>
  <c r="Q317" i="67"/>
  <c r="P317" i="67"/>
  <c r="O317" i="67"/>
  <c r="N317" i="67"/>
  <c r="M317" i="67"/>
  <c r="L317" i="67"/>
  <c r="K317" i="67"/>
  <c r="J317" i="67"/>
  <c r="I317" i="67"/>
  <c r="H317" i="67"/>
  <c r="G317" i="67"/>
  <c r="F317" i="67"/>
  <c r="E317" i="67"/>
  <c r="C317" i="67"/>
  <c r="AB329" i="67"/>
  <c r="AA327" i="67"/>
  <c r="X327" i="67"/>
  <c r="W329" i="67"/>
  <c r="T327" i="67"/>
  <c r="S329" i="67"/>
  <c r="P327" i="67"/>
  <c r="O329" i="67"/>
  <c r="M327" i="67"/>
  <c r="L329" i="67"/>
  <c r="I327" i="67"/>
  <c r="H329" i="67"/>
  <c r="E327" i="67"/>
  <c r="C329" i="67"/>
  <c r="X336" i="67"/>
  <c r="U337" i="67"/>
  <c r="S335" i="67"/>
  <c r="P336" i="67"/>
  <c r="L335" i="67"/>
  <c r="I336" i="67"/>
  <c r="F337" i="67"/>
  <c r="C335" i="67"/>
  <c r="AB324" i="67"/>
  <c r="AA324" i="67"/>
  <c r="Z324" i="67"/>
  <c r="Y324" i="67"/>
  <c r="X324" i="67"/>
  <c r="W324" i="67"/>
  <c r="V324" i="67"/>
  <c r="U324" i="67"/>
  <c r="T324" i="67"/>
  <c r="S324" i="67"/>
  <c r="R324" i="67"/>
  <c r="Q324" i="67"/>
  <c r="P324" i="67"/>
  <c r="O324" i="67"/>
  <c r="N324" i="67"/>
  <c r="M324" i="67"/>
  <c r="L324" i="67"/>
  <c r="K324" i="67"/>
  <c r="J324" i="67"/>
  <c r="I324" i="67"/>
  <c r="H324" i="67"/>
  <c r="G324" i="67"/>
  <c r="F324" i="67"/>
  <c r="E324" i="67"/>
  <c r="C324" i="67"/>
  <c r="AB328" i="67"/>
  <c r="AA334" i="67"/>
  <c r="AA326" i="67"/>
  <c r="Z330" i="67"/>
  <c r="X334" i="67"/>
  <c r="X326" i="67"/>
  <c r="W328" i="67"/>
  <c r="V330" i="67"/>
  <c r="T334" i="67"/>
  <c r="T326" i="67"/>
  <c r="S328" i="67"/>
  <c r="R330" i="67"/>
  <c r="P334" i="67"/>
  <c r="P326" i="67"/>
  <c r="O328" i="67"/>
  <c r="N330" i="67"/>
  <c r="M334" i="67"/>
  <c r="M326" i="67"/>
  <c r="L328" i="67"/>
  <c r="K330" i="67"/>
  <c r="I334" i="67"/>
  <c r="I326" i="67"/>
  <c r="H328" i="67"/>
  <c r="G330" i="67"/>
  <c r="E334" i="67"/>
  <c r="E326" i="67"/>
  <c r="C328" i="67"/>
  <c r="B330" i="67"/>
  <c r="Z337" i="67"/>
  <c r="X335" i="67"/>
  <c r="U336" i="67"/>
  <c r="R337" i="67"/>
  <c r="P335" i="67"/>
  <c r="K337" i="67"/>
  <c r="I335" i="67"/>
  <c r="F336" i="67"/>
  <c r="B337" i="67"/>
  <c r="Z329" i="67"/>
  <c r="W327" i="67"/>
  <c r="V329" i="67"/>
  <c r="S327" i="67"/>
  <c r="R329" i="67"/>
  <c r="O327" i="67"/>
  <c r="N329" i="67"/>
  <c r="L327" i="67"/>
  <c r="K329" i="67"/>
  <c r="H327" i="67"/>
  <c r="G329" i="67"/>
  <c r="AB337" i="67"/>
  <c r="Z336" i="67"/>
  <c r="W337" i="67"/>
  <c r="U335" i="67"/>
  <c r="R336" i="67"/>
  <c r="O337" i="67"/>
  <c r="K336" i="67"/>
  <c r="H337" i="67"/>
  <c r="F335" i="67"/>
  <c r="B336" i="67"/>
  <c r="Z328" i="67"/>
  <c r="Y330" i="67"/>
  <c r="W334" i="67"/>
  <c r="W326" i="67"/>
  <c r="V328" i="67"/>
  <c r="U330" i="67"/>
  <c r="S334" i="67"/>
  <c r="S326" i="67"/>
  <c r="R328" i="67"/>
  <c r="Q330" i="67"/>
  <c r="O334" i="67"/>
  <c r="O326" i="67"/>
  <c r="N328" i="67"/>
  <c r="L334" i="67"/>
  <c r="L326" i="67"/>
  <c r="K328" i="67"/>
  <c r="J330" i="67"/>
  <c r="H334" i="67"/>
  <c r="H326" i="67"/>
  <c r="G328" i="67"/>
  <c r="AB336" i="67"/>
  <c r="AA337" i="67"/>
  <c r="Z335" i="67"/>
  <c r="W336" i="67"/>
  <c r="T337" i="67"/>
  <c r="R335" i="67"/>
  <c r="O336" i="67"/>
  <c r="M337" i="67"/>
  <c r="K335" i="67"/>
  <c r="Z331" i="63"/>
  <c r="S337" i="63"/>
  <c r="O337" i="63"/>
  <c r="C337" i="63"/>
  <c r="Q337" i="63"/>
  <c r="Y306" i="67"/>
  <c r="T306" i="67"/>
  <c r="O308" i="67"/>
  <c r="L304" i="67"/>
  <c r="G309" i="67"/>
  <c r="Z326" i="63"/>
  <c r="W311" i="67"/>
  <c r="S312" i="67"/>
  <c r="N312" i="67"/>
  <c r="K308" i="67"/>
  <c r="G304" i="67"/>
  <c r="AA306" i="67"/>
  <c r="W308" i="67"/>
  <c r="S304" i="67"/>
  <c r="N309" i="67"/>
  <c r="K305" i="67"/>
  <c r="F305" i="67"/>
  <c r="Y334" i="63"/>
  <c r="L337" i="63"/>
  <c r="AB311" i="67"/>
  <c r="V312" i="67"/>
  <c r="R308" i="67"/>
  <c r="N304" i="67"/>
  <c r="J309" i="67"/>
  <c r="E311" i="67"/>
  <c r="J337" i="63"/>
  <c r="AB308" i="67"/>
  <c r="V309" i="67"/>
  <c r="R305" i="67"/>
  <c r="J306" i="67"/>
  <c r="E306" i="67"/>
  <c r="W337" i="63"/>
  <c r="H337" i="63"/>
  <c r="Z308" i="67"/>
  <c r="V304" i="67"/>
  <c r="Q309" i="67"/>
  <c r="M311" i="67"/>
  <c r="H311" i="67"/>
  <c r="C312" i="67"/>
  <c r="U337" i="63"/>
  <c r="F337" i="63"/>
  <c r="Z305" i="67"/>
  <c r="U305" i="67"/>
  <c r="Q306" i="67"/>
  <c r="M306" i="67"/>
  <c r="H308" i="67"/>
  <c r="C304" i="67"/>
  <c r="AB306" i="67"/>
  <c r="AA309" i="67"/>
  <c r="Z311" i="67"/>
  <c r="Y312" i="67"/>
  <c r="Y304" i="67"/>
  <c r="X305" i="67"/>
  <c r="W306" i="67"/>
  <c r="V307" i="67"/>
  <c r="U308" i="67"/>
  <c r="T309" i="67"/>
  <c r="S310" i="67"/>
  <c r="R311" i="67"/>
  <c r="Q312" i="67"/>
  <c r="Q304" i="67"/>
  <c r="P305" i="67"/>
  <c r="O306" i="67"/>
  <c r="N307" i="67"/>
  <c r="M309" i="67"/>
  <c r="L310" i="67"/>
  <c r="K311" i="67"/>
  <c r="J312" i="67"/>
  <c r="J304" i="67"/>
  <c r="I305" i="67"/>
  <c r="H306" i="67"/>
  <c r="G307" i="67"/>
  <c r="F308" i="67"/>
  <c r="E309" i="67"/>
  <c r="C310" i="67"/>
  <c r="B311" i="67"/>
  <c r="AB305" i="67"/>
  <c r="AA308" i="67"/>
  <c r="Z310" i="67"/>
  <c r="Y311" i="67"/>
  <c r="X312" i="67"/>
  <c r="X304" i="67"/>
  <c r="W305" i="67"/>
  <c r="V306" i="67"/>
  <c r="U307" i="67"/>
  <c r="T308" i="67"/>
  <c r="S309" i="67"/>
  <c r="R310" i="67"/>
  <c r="Q311" i="67"/>
  <c r="P312" i="67"/>
  <c r="P304" i="67"/>
  <c r="O305" i="67"/>
  <c r="N306" i="67"/>
  <c r="M308" i="67"/>
  <c r="L309" i="67"/>
  <c r="K310" i="67"/>
  <c r="J311" i="67"/>
  <c r="I312" i="67"/>
  <c r="I304" i="67"/>
  <c r="H305" i="67"/>
  <c r="G306" i="67"/>
  <c r="F307" i="67"/>
  <c r="E308" i="67"/>
  <c r="C309" i="67"/>
  <c r="B310" i="67"/>
  <c r="AB312" i="67"/>
  <c r="AB304" i="67"/>
  <c r="AA307" i="67"/>
  <c r="Z309" i="67"/>
  <c r="Y310" i="67"/>
  <c r="X311" i="67"/>
  <c r="W312" i="67"/>
  <c r="W304" i="67"/>
  <c r="V305" i="67"/>
  <c r="U306" i="67"/>
  <c r="T307" i="67"/>
  <c r="S308" i="67"/>
  <c r="R309" i="67"/>
  <c r="Q310" i="67"/>
  <c r="P311" i="67"/>
  <c r="O312" i="67"/>
  <c r="O304" i="67"/>
  <c r="N305" i="67"/>
  <c r="M307" i="67"/>
  <c r="L308" i="67"/>
  <c r="K309" i="67"/>
  <c r="J310" i="67"/>
  <c r="I311" i="67"/>
  <c r="H312" i="67"/>
  <c r="H304" i="67"/>
  <c r="G305" i="67"/>
  <c r="F306" i="67"/>
  <c r="E307" i="67"/>
  <c r="C308" i="67"/>
  <c r="B309" i="67"/>
  <c r="X310" i="67"/>
  <c r="S307" i="67"/>
  <c r="P310" i="67"/>
  <c r="L307" i="67"/>
  <c r="I310" i="67"/>
  <c r="C307" i="67"/>
  <c r="B308" i="67"/>
  <c r="AB310" i="67"/>
  <c r="AA305" i="67"/>
  <c r="Z307" i="67"/>
  <c r="Y308" i="67"/>
  <c r="X309" i="67"/>
  <c r="W310" i="67"/>
  <c r="V311" i="67"/>
  <c r="U312" i="67"/>
  <c r="U304" i="67"/>
  <c r="T305" i="67"/>
  <c r="S306" i="67"/>
  <c r="R307" i="67"/>
  <c r="Q308" i="67"/>
  <c r="P309" i="67"/>
  <c r="O310" i="67"/>
  <c r="N311" i="67"/>
  <c r="M305" i="67"/>
  <c r="L306" i="67"/>
  <c r="K307" i="67"/>
  <c r="J308" i="67"/>
  <c r="I309" i="67"/>
  <c r="H310" i="67"/>
  <c r="G311" i="67"/>
  <c r="F312" i="67"/>
  <c r="F304" i="67"/>
  <c r="E305" i="67"/>
  <c r="C306" i="67"/>
  <c r="B307" i="67"/>
  <c r="AB309" i="67"/>
  <c r="AA312" i="67"/>
  <c r="AA304" i="67"/>
  <c r="Z306" i="67"/>
  <c r="Y307" i="67"/>
  <c r="X308" i="67"/>
  <c r="W309" i="67"/>
  <c r="V310" i="67"/>
  <c r="U311" i="67"/>
  <c r="T312" i="67"/>
  <c r="T304" i="67"/>
  <c r="S305" i="67"/>
  <c r="R306" i="67"/>
  <c r="Q307" i="67"/>
  <c r="P308" i="67"/>
  <c r="O309" i="67"/>
  <c r="N310" i="67"/>
  <c r="M312" i="67"/>
  <c r="M304" i="67"/>
  <c r="L305" i="67"/>
  <c r="K306" i="67"/>
  <c r="J307" i="67"/>
  <c r="I308" i="67"/>
  <c r="H309" i="67"/>
  <c r="G310" i="67"/>
  <c r="F311" i="67"/>
  <c r="E312" i="67"/>
  <c r="E304" i="67"/>
  <c r="C305" i="67"/>
  <c r="B306" i="67"/>
  <c r="U310" i="67"/>
  <c r="P307" i="67"/>
  <c r="I307" i="67"/>
  <c r="F310" i="67"/>
  <c r="B305" i="67"/>
  <c r="X307" i="67"/>
  <c r="AB307" i="67"/>
  <c r="AA310" i="67"/>
  <c r="Z312" i="67"/>
  <c r="Z304" i="67"/>
  <c r="Y305" i="67"/>
  <c r="X306" i="67"/>
  <c r="W307" i="67"/>
  <c r="V308" i="67"/>
  <c r="U309" i="67"/>
  <c r="T310" i="67"/>
  <c r="S311" i="67"/>
  <c r="R312" i="67"/>
  <c r="R304" i="67"/>
  <c r="Q305" i="67"/>
  <c r="P306" i="67"/>
  <c r="O307" i="67"/>
  <c r="N308" i="67"/>
  <c r="M310" i="67"/>
  <c r="L311" i="67"/>
  <c r="K312" i="67"/>
  <c r="K304" i="67"/>
  <c r="Z322" i="63"/>
  <c r="U322" i="63"/>
  <c r="P322" i="63"/>
  <c r="M322" i="63"/>
  <c r="F322" i="63"/>
  <c r="Z321" i="63"/>
  <c r="Y321" i="63"/>
  <c r="X321" i="63"/>
  <c r="W321" i="63"/>
  <c r="V321" i="63"/>
  <c r="U321" i="63"/>
  <c r="S321" i="63"/>
  <c r="R321" i="63"/>
  <c r="Q321" i="63"/>
  <c r="P321" i="63"/>
  <c r="O321" i="63"/>
  <c r="N321" i="63"/>
  <c r="M321" i="63"/>
  <c r="L321" i="63"/>
  <c r="K321" i="63"/>
  <c r="J321" i="63"/>
  <c r="I321" i="63"/>
  <c r="H321" i="63"/>
  <c r="G321" i="63"/>
  <c r="F321" i="63"/>
  <c r="E321" i="63"/>
  <c r="C321" i="63"/>
  <c r="Z337" i="63"/>
  <c r="W334" i="63"/>
  <c r="U334" i="63"/>
  <c r="S334" i="63"/>
  <c r="Q334" i="63"/>
  <c r="O334" i="63"/>
  <c r="L334" i="63"/>
  <c r="J334" i="63"/>
  <c r="H334" i="63"/>
  <c r="F334" i="63"/>
  <c r="C334" i="63"/>
  <c r="Z320" i="63"/>
  <c r="Y320" i="63"/>
  <c r="X320" i="63"/>
  <c r="W320" i="63"/>
  <c r="V320" i="63"/>
  <c r="U320" i="63"/>
  <c r="S320" i="63"/>
  <c r="R320" i="63"/>
  <c r="Q320" i="63"/>
  <c r="P320" i="63"/>
  <c r="O320" i="63"/>
  <c r="N320" i="63"/>
  <c r="M320" i="63"/>
  <c r="L320" i="63"/>
  <c r="K320" i="63"/>
  <c r="J320" i="63"/>
  <c r="I320" i="63"/>
  <c r="H320" i="63"/>
  <c r="G320" i="63"/>
  <c r="F320" i="63"/>
  <c r="E320" i="63"/>
  <c r="C320" i="63"/>
  <c r="B336" i="63"/>
  <c r="C336" i="63"/>
  <c r="E336" i="63"/>
  <c r="F336" i="63"/>
  <c r="G336" i="63"/>
  <c r="H336" i="63"/>
  <c r="I336" i="63"/>
  <c r="J336" i="63"/>
  <c r="K336" i="63"/>
  <c r="L336" i="63"/>
  <c r="M336" i="63"/>
  <c r="N336" i="63"/>
  <c r="O336" i="63"/>
  <c r="P336" i="63"/>
  <c r="Q336" i="63"/>
  <c r="R336" i="63"/>
  <c r="S336" i="63"/>
  <c r="U336" i="63"/>
  <c r="V336" i="63"/>
  <c r="W336" i="63"/>
  <c r="X336" i="63"/>
  <c r="Y336" i="63"/>
  <c r="Z336" i="63"/>
  <c r="B328" i="63"/>
  <c r="C328" i="63"/>
  <c r="E328" i="63"/>
  <c r="F328" i="63"/>
  <c r="G328" i="63"/>
  <c r="H328" i="63"/>
  <c r="I328" i="63"/>
  <c r="J328" i="63"/>
  <c r="K328" i="63"/>
  <c r="L328" i="63"/>
  <c r="M328" i="63"/>
  <c r="N328" i="63"/>
  <c r="O328" i="63"/>
  <c r="P328" i="63"/>
  <c r="Q328" i="63"/>
  <c r="R328" i="63"/>
  <c r="S328" i="63"/>
  <c r="U328" i="63"/>
  <c r="V328" i="63"/>
  <c r="W328" i="63"/>
  <c r="X328" i="63"/>
  <c r="Y328" i="63"/>
  <c r="Z328" i="63"/>
  <c r="Z334" i="63"/>
  <c r="Y329" i="63"/>
  <c r="W329" i="63"/>
  <c r="U329" i="63"/>
  <c r="S329" i="63"/>
  <c r="Q329" i="63"/>
  <c r="O329" i="63"/>
  <c r="L329" i="63"/>
  <c r="J329" i="63"/>
  <c r="H329" i="63"/>
  <c r="F329" i="63"/>
  <c r="C329" i="63"/>
  <c r="V322" i="63"/>
  <c r="Q322" i="63"/>
  <c r="L322" i="63"/>
  <c r="H322" i="63"/>
  <c r="Z319" i="63"/>
  <c r="Y319" i="63"/>
  <c r="X319" i="63"/>
  <c r="W319" i="63"/>
  <c r="V319" i="63"/>
  <c r="U319" i="63"/>
  <c r="S319" i="63"/>
  <c r="R319" i="63"/>
  <c r="Q319" i="63"/>
  <c r="P319" i="63"/>
  <c r="O319" i="63"/>
  <c r="N319" i="63"/>
  <c r="M319" i="63"/>
  <c r="L319" i="63"/>
  <c r="K319" i="63"/>
  <c r="J319" i="63"/>
  <c r="I319" i="63"/>
  <c r="H319" i="63"/>
  <c r="G319" i="63"/>
  <c r="F319" i="63"/>
  <c r="E319" i="63"/>
  <c r="C319" i="63"/>
  <c r="B335" i="63"/>
  <c r="C335" i="63"/>
  <c r="E335" i="63"/>
  <c r="F335" i="63"/>
  <c r="G335" i="63"/>
  <c r="H335" i="63"/>
  <c r="I335" i="63"/>
  <c r="J335" i="63"/>
  <c r="K335" i="63"/>
  <c r="L335" i="63"/>
  <c r="M335" i="63"/>
  <c r="N335" i="63"/>
  <c r="O335" i="63"/>
  <c r="P335" i="63"/>
  <c r="Q335" i="63"/>
  <c r="R335" i="63"/>
  <c r="S335" i="63"/>
  <c r="U335" i="63"/>
  <c r="V335" i="63"/>
  <c r="W335" i="63"/>
  <c r="X335" i="63"/>
  <c r="Y335" i="63"/>
  <c r="Z335" i="63"/>
  <c r="B327" i="63"/>
  <c r="C327" i="63"/>
  <c r="E327" i="63"/>
  <c r="F327" i="63"/>
  <c r="G327" i="63"/>
  <c r="H327" i="63"/>
  <c r="I327" i="63"/>
  <c r="J327" i="63"/>
  <c r="K327" i="63"/>
  <c r="L327" i="63"/>
  <c r="M327" i="63"/>
  <c r="N327" i="63"/>
  <c r="O327" i="63"/>
  <c r="P327" i="63"/>
  <c r="Q327" i="63"/>
  <c r="R327" i="63"/>
  <c r="S327" i="63"/>
  <c r="U327" i="63"/>
  <c r="V327" i="63"/>
  <c r="W327" i="63"/>
  <c r="X327" i="63"/>
  <c r="Y327" i="63"/>
  <c r="Z327" i="63"/>
  <c r="Y326" i="63"/>
  <c r="W326" i="63"/>
  <c r="U326" i="63"/>
  <c r="S326" i="63"/>
  <c r="Q326" i="63"/>
  <c r="O326" i="63"/>
  <c r="L326" i="63"/>
  <c r="J326" i="63"/>
  <c r="H326" i="63"/>
  <c r="F326" i="63"/>
  <c r="C326" i="63"/>
  <c r="Y322" i="63"/>
  <c r="O322" i="63"/>
  <c r="K322" i="63"/>
  <c r="E322" i="63"/>
  <c r="Z318" i="63"/>
  <c r="Y318" i="63"/>
  <c r="X318" i="63"/>
  <c r="W318" i="63"/>
  <c r="V318" i="63"/>
  <c r="U318" i="63"/>
  <c r="S318" i="63"/>
  <c r="R318" i="63"/>
  <c r="Q318" i="63"/>
  <c r="P318" i="63"/>
  <c r="O318" i="63"/>
  <c r="N318" i="63"/>
  <c r="M318" i="63"/>
  <c r="L318" i="63"/>
  <c r="K318" i="63"/>
  <c r="J318" i="63"/>
  <c r="I318" i="63"/>
  <c r="H318" i="63"/>
  <c r="G318" i="63"/>
  <c r="F318" i="63"/>
  <c r="E318" i="63"/>
  <c r="C318" i="63"/>
  <c r="Z329" i="63"/>
  <c r="X337" i="63"/>
  <c r="V337" i="63"/>
  <c r="R337" i="63"/>
  <c r="P337" i="63"/>
  <c r="N337" i="63"/>
  <c r="M337" i="63"/>
  <c r="K337" i="63"/>
  <c r="I337" i="63"/>
  <c r="G337" i="63"/>
  <c r="E337" i="63"/>
  <c r="B337" i="63"/>
  <c r="X322" i="63"/>
  <c r="S322" i="63"/>
  <c r="I322" i="63"/>
  <c r="C322" i="63"/>
  <c r="Z325" i="63"/>
  <c r="Y325" i="63"/>
  <c r="X325" i="63"/>
  <c r="W325" i="63"/>
  <c r="V325" i="63"/>
  <c r="U325" i="63"/>
  <c r="S325" i="63"/>
  <c r="R325" i="63"/>
  <c r="Q325" i="63"/>
  <c r="P325" i="63"/>
  <c r="O325" i="63"/>
  <c r="N325" i="63"/>
  <c r="M325" i="63"/>
  <c r="L325" i="63"/>
  <c r="K325" i="63"/>
  <c r="J325" i="63"/>
  <c r="I325" i="63"/>
  <c r="H325" i="63"/>
  <c r="G325" i="63"/>
  <c r="F325" i="63"/>
  <c r="E325" i="63"/>
  <c r="C325" i="63"/>
  <c r="B333" i="63"/>
  <c r="C333" i="63"/>
  <c r="E333" i="63"/>
  <c r="F333" i="63"/>
  <c r="G333" i="63"/>
  <c r="H333" i="63"/>
  <c r="I333" i="63"/>
  <c r="J333" i="63"/>
  <c r="K333" i="63"/>
  <c r="L333" i="63"/>
  <c r="M333" i="63"/>
  <c r="N333" i="63"/>
  <c r="O333" i="63"/>
  <c r="P333" i="63"/>
  <c r="Q333" i="63"/>
  <c r="R333" i="63"/>
  <c r="S333" i="63"/>
  <c r="U333" i="63"/>
  <c r="V333" i="63"/>
  <c r="W333" i="63"/>
  <c r="X333" i="63"/>
  <c r="Y333" i="63"/>
  <c r="Z333" i="63"/>
  <c r="X334" i="63"/>
  <c r="V334" i="63"/>
  <c r="R334" i="63"/>
  <c r="P334" i="63"/>
  <c r="N334" i="63"/>
  <c r="M334" i="63"/>
  <c r="K334" i="63"/>
  <c r="I334" i="63"/>
  <c r="G334" i="63"/>
  <c r="E334" i="63"/>
  <c r="W322" i="63"/>
  <c r="R322" i="63"/>
  <c r="N322" i="63"/>
  <c r="J322" i="63"/>
  <c r="G322" i="63"/>
  <c r="B330" i="63"/>
  <c r="C330" i="63"/>
  <c r="E330" i="63"/>
  <c r="F330" i="63"/>
  <c r="G330" i="63"/>
  <c r="H330" i="63"/>
  <c r="I330" i="63"/>
  <c r="J330" i="63"/>
  <c r="K330" i="63"/>
  <c r="L330" i="63"/>
  <c r="M330" i="63"/>
  <c r="N330" i="63"/>
  <c r="O330" i="63"/>
  <c r="P330" i="63"/>
  <c r="Q330" i="63"/>
  <c r="R330" i="63"/>
  <c r="S330" i="63"/>
  <c r="U330" i="63"/>
  <c r="V330" i="63"/>
  <c r="W330" i="63"/>
  <c r="X330" i="63"/>
  <c r="Y330" i="63"/>
  <c r="Z330" i="63"/>
  <c r="Z324" i="63"/>
  <c r="Y324" i="63"/>
  <c r="X324" i="63"/>
  <c r="W324" i="63"/>
  <c r="V324" i="63"/>
  <c r="U324" i="63"/>
  <c r="S324" i="63"/>
  <c r="R324" i="63"/>
  <c r="Q324" i="63"/>
  <c r="P324" i="63"/>
  <c r="O324" i="63"/>
  <c r="N324" i="63"/>
  <c r="M324" i="63"/>
  <c r="L324" i="63"/>
  <c r="K324" i="63"/>
  <c r="J324" i="63"/>
  <c r="I324" i="63"/>
  <c r="H324" i="63"/>
  <c r="G324" i="63"/>
  <c r="F324" i="63"/>
  <c r="E324" i="63"/>
  <c r="C324" i="63"/>
  <c r="B332" i="63"/>
  <c r="C332" i="63"/>
  <c r="E332" i="63"/>
  <c r="F332" i="63"/>
  <c r="G332" i="63"/>
  <c r="H332" i="63"/>
  <c r="I332" i="63"/>
  <c r="J332" i="63"/>
  <c r="K332" i="63"/>
  <c r="L332" i="63"/>
  <c r="M332" i="63"/>
  <c r="N332" i="63"/>
  <c r="O332" i="63"/>
  <c r="P332" i="63"/>
  <c r="Q332" i="63"/>
  <c r="R332" i="63"/>
  <c r="S332" i="63"/>
  <c r="U332" i="63"/>
  <c r="V332" i="63"/>
  <c r="W332" i="63"/>
  <c r="X332" i="63"/>
  <c r="Y332" i="63"/>
  <c r="Z332" i="63"/>
  <c r="X329" i="63"/>
  <c r="V329" i="63"/>
  <c r="R329" i="63"/>
  <c r="P329" i="63"/>
  <c r="N329" i="63"/>
  <c r="M329" i="63"/>
  <c r="K329" i="63"/>
  <c r="I329" i="63"/>
  <c r="G329" i="63"/>
  <c r="E329" i="63"/>
  <c r="Z323" i="63"/>
  <c r="Y323" i="63"/>
  <c r="X323" i="63"/>
  <c r="W323" i="63"/>
  <c r="V323" i="63"/>
  <c r="U323" i="63"/>
  <c r="S323" i="63"/>
  <c r="R323" i="63"/>
  <c r="Q323" i="63"/>
  <c r="P323" i="63"/>
  <c r="O323" i="63"/>
  <c r="N323" i="63"/>
  <c r="M323" i="63"/>
  <c r="L323" i="63"/>
  <c r="K323" i="63"/>
  <c r="J323" i="63"/>
  <c r="I323" i="63"/>
  <c r="H323" i="63"/>
  <c r="G323" i="63"/>
  <c r="F323" i="63"/>
  <c r="E323" i="63"/>
  <c r="C323" i="63"/>
  <c r="B331" i="63"/>
  <c r="C331" i="63"/>
  <c r="E331" i="63"/>
  <c r="F331" i="63"/>
  <c r="G331" i="63"/>
  <c r="H331" i="63"/>
  <c r="I331" i="63"/>
  <c r="J331" i="63"/>
  <c r="K331" i="63"/>
  <c r="L331" i="63"/>
  <c r="M331" i="63"/>
  <c r="N331" i="63"/>
  <c r="O331" i="63"/>
  <c r="P331" i="63"/>
  <c r="Q331" i="63"/>
  <c r="R331" i="63"/>
  <c r="S331" i="63"/>
  <c r="U331" i="63"/>
  <c r="V331" i="63"/>
  <c r="W331" i="63"/>
  <c r="X331" i="63"/>
  <c r="X326" i="63"/>
  <c r="V326" i="63"/>
  <c r="R326" i="63"/>
  <c r="P326" i="63"/>
  <c r="N326" i="63"/>
  <c r="M326" i="63"/>
  <c r="K326" i="63"/>
  <c r="I326" i="63"/>
  <c r="G326" i="63"/>
  <c r="E326" i="63"/>
  <c r="D320" i="5" l="1"/>
  <c r="D328" i="5"/>
  <c r="D331" i="67"/>
  <c r="D337" i="67"/>
  <c r="D334" i="67"/>
  <c r="D336" i="67"/>
  <c r="D322" i="5"/>
  <c r="D334" i="5"/>
  <c r="D326" i="5"/>
  <c r="D336" i="5"/>
  <c r="D323" i="5"/>
  <c r="D330" i="5"/>
  <c r="D333" i="5"/>
  <c r="D331" i="5"/>
  <c r="D318" i="5"/>
  <c r="D332" i="5"/>
  <c r="D327" i="63"/>
  <c r="D327" i="67"/>
  <c r="D316" i="67"/>
  <c r="D324" i="67"/>
  <c r="D321" i="67"/>
  <c r="D322" i="67"/>
  <c r="D325" i="5"/>
  <c r="D320" i="67"/>
  <c r="D328" i="67"/>
  <c r="D318" i="67"/>
  <c r="D323" i="67"/>
  <c r="D330" i="67"/>
  <c r="D325" i="67"/>
  <c r="D333" i="67"/>
  <c r="D313" i="67"/>
  <c r="D314" i="67"/>
  <c r="D315" i="67"/>
  <c r="D332" i="67"/>
  <c r="D329" i="67"/>
  <c r="D317" i="67"/>
  <c r="D319" i="67"/>
  <c r="D326" i="67"/>
  <c r="D321" i="5"/>
  <c r="D319" i="5"/>
  <c r="D329" i="5"/>
  <c r="D337" i="5"/>
  <c r="D327" i="5"/>
  <c r="D335" i="5"/>
  <c r="D335" i="67"/>
  <c r="D304" i="67"/>
  <c r="D325" i="63"/>
  <c r="D332" i="63"/>
  <c r="D321" i="63"/>
  <c r="D311" i="67"/>
  <c r="D333" i="63"/>
  <c r="D337" i="63"/>
  <c r="D318" i="63"/>
  <c r="D322" i="63"/>
  <c r="D326" i="63"/>
  <c r="D335" i="63"/>
  <c r="D319" i="63"/>
  <c r="D328" i="63"/>
  <c r="D336" i="63"/>
  <c r="D320" i="63"/>
  <c r="D334" i="63"/>
  <c r="D310" i="67"/>
  <c r="D331" i="63"/>
  <c r="D323" i="63"/>
  <c r="D329" i="63"/>
  <c r="D324" i="63"/>
  <c r="D330" i="63"/>
  <c r="D306" i="67"/>
  <c r="D312" i="67"/>
  <c r="D305" i="67"/>
  <c r="D307" i="67"/>
  <c r="D308" i="67"/>
  <c r="D309" i="67"/>
  <c r="H223" i="1" l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J16" i="43" l="1"/>
  <c r="J18" i="43"/>
  <c r="J19" i="43"/>
  <c r="J6" i="43"/>
  <c r="J7" i="43"/>
  <c r="J8" i="43"/>
  <c r="J10" i="43"/>
  <c r="J11" i="43"/>
  <c r="J12" i="43"/>
  <c r="J13" i="43"/>
  <c r="J14" i="43"/>
  <c r="J15" i="43"/>
  <c r="J21" i="43"/>
  <c r="J22" i="43"/>
  <c r="J23" i="43"/>
  <c r="J24" i="43"/>
  <c r="J25" i="43"/>
  <c r="J29" i="43"/>
  <c r="J30" i="43"/>
  <c r="J31" i="43"/>
  <c r="J32" i="43"/>
  <c r="J34" i="43"/>
  <c r="J35" i="43"/>
  <c r="J36" i="43"/>
  <c r="J38" i="43"/>
  <c r="J39" i="43"/>
  <c r="J5" i="43"/>
  <c r="J7" i="39"/>
  <c r="J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24" i="39"/>
  <c r="J25" i="39"/>
  <c r="J26" i="39"/>
  <c r="J27" i="39"/>
  <c r="J28" i="39"/>
  <c r="I324" i="5" s="1"/>
  <c r="D324" i="5" s="1"/>
  <c r="J29" i="39"/>
  <c r="J30" i="39"/>
  <c r="J31" i="39"/>
  <c r="J32" i="39"/>
  <c r="J33" i="39"/>
  <c r="J34" i="39"/>
  <c r="J35" i="39"/>
  <c r="J36" i="39"/>
  <c r="P36" i="76" l="1"/>
  <c r="O36" i="76"/>
  <c r="M36" i="76"/>
  <c r="E36" i="76"/>
  <c r="D36" i="76"/>
  <c r="B36" i="76"/>
  <c r="U35" i="76"/>
  <c r="Q35" i="76"/>
  <c r="R35" i="76" s="1"/>
  <c r="J35" i="76"/>
  <c r="F35" i="76"/>
  <c r="G35" i="76" s="1"/>
  <c r="U34" i="76"/>
  <c r="Q34" i="76"/>
  <c r="R34" i="76" s="1"/>
  <c r="J34" i="76"/>
  <c r="F34" i="76"/>
  <c r="G34" i="76" s="1"/>
  <c r="U33" i="76"/>
  <c r="Q33" i="76"/>
  <c r="R33" i="76" s="1"/>
  <c r="J33" i="76"/>
  <c r="F33" i="76"/>
  <c r="G33" i="76" s="1"/>
  <c r="U32" i="76"/>
  <c r="Q32" i="76"/>
  <c r="R32" i="76" s="1"/>
  <c r="J32" i="76"/>
  <c r="F32" i="76"/>
  <c r="G32" i="76" s="1"/>
  <c r="U31" i="76"/>
  <c r="Q31" i="76"/>
  <c r="R31" i="76" s="1"/>
  <c r="J31" i="76"/>
  <c r="F31" i="76"/>
  <c r="G31" i="76" s="1"/>
  <c r="U30" i="76"/>
  <c r="Q30" i="76"/>
  <c r="R30" i="76" s="1"/>
  <c r="J30" i="76"/>
  <c r="F30" i="76"/>
  <c r="G30" i="76" s="1"/>
  <c r="U29" i="76"/>
  <c r="Q29" i="76"/>
  <c r="R29" i="76" s="1"/>
  <c r="J29" i="76"/>
  <c r="F29" i="76"/>
  <c r="G29" i="76" s="1"/>
  <c r="U28" i="76"/>
  <c r="Q28" i="76"/>
  <c r="R28" i="76" s="1"/>
  <c r="J28" i="76"/>
  <c r="F28" i="76"/>
  <c r="G28" i="76" s="1"/>
  <c r="U27" i="76"/>
  <c r="Q27" i="76"/>
  <c r="R27" i="76" s="1"/>
  <c r="J27" i="76"/>
  <c r="F27" i="76"/>
  <c r="G27" i="76" s="1"/>
  <c r="U26" i="76"/>
  <c r="Q26" i="76"/>
  <c r="R26" i="76" s="1"/>
  <c r="J26" i="76"/>
  <c r="F26" i="76"/>
  <c r="G26" i="76" s="1"/>
  <c r="U25" i="76"/>
  <c r="Q25" i="76"/>
  <c r="R25" i="76" s="1"/>
  <c r="J25" i="76"/>
  <c r="F25" i="76"/>
  <c r="G25" i="76" s="1"/>
  <c r="U24" i="76"/>
  <c r="Q24" i="76"/>
  <c r="R24" i="76" s="1"/>
  <c r="J24" i="76"/>
  <c r="F24" i="76"/>
  <c r="G24" i="76" s="1"/>
  <c r="U23" i="76"/>
  <c r="Q23" i="76"/>
  <c r="R23" i="76" s="1"/>
  <c r="J23" i="76"/>
  <c r="F23" i="76"/>
  <c r="G23" i="76" s="1"/>
  <c r="U22" i="76"/>
  <c r="Q22" i="76"/>
  <c r="R22" i="76" s="1"/>
  <c r="J22" i="76"/>
  <c r="F22" i="76"/>
  <c r="G22" i="76" s="1"/>
  <c r="U21" i="76"/>
  <c r="Q21" i="76"/>
  <c r="R21" i="76" s="1"/>
  <c r="J21" i="76"/>
  <c r="F21" i="76"/>
  <c r="G21" i="76" s="1"/>
  <c r="U20" i="76"/>
  <c r="Q20" i="76"/>
  <c r="R20" i="76" s="1"/>
  <c r="J20" i="76"/>
  <c r="F20" i="76"/>
  <c r="G20" i="76" s="1"/>
  <c r="U19" i="76"/>
  <c r="Q19" i="76"/>
  <c r="R19" i="76" s="1"/>
  <c r="J19" i="76"/>
  <c r="F19" i="76"/>
  <c r="G19" i="76" s="1"/>
  <c r="U18" i="76"/>
  <c r="Q18" i="76"/>
  <c r="R18" i="76" s="1"/>
  <c r="J18" i="76"/>
  <c r="F18" i="76"/>
  <c r="G18" i="76" s="1"/>
  <c r="U17" i="76"/>
  <c r="Q17" i="76"/>
  <c r="R17" i="76" s="1"/>
  <c r="J17" i="76"/>
  <c r="F17" i="76"/>
  <c r="G17" i="76" s="1"/>
  <c r="U16" i="76"/>
  <c r="Q16" i="76"/>
  <c r="R16" i="76" s="1"/>
  <c r="J16" i="76"/>
  <c r="F16" i="76"/>
  <c r="G16" i="76" s="1"/>
  <c r="U15" i="76"/>
  <c r="Q15" i="76"/>
  <c r="R15" i="76" s="1"/>
  <c r="J15" i="76"/>
  <c r="F15" i="76"/>
  <c r="G15" i="76" s="1"/>
  <c r="U14" i="76"/>
  <c r="Q14" i="76"/>
  <c r="R14" i="76" s="1"/>
  <c r="J14" i="76"/>
  <c r="F14" i="76"/>
  <c r="G14" i="76" s="1"/>
  <c r="U13" i="76"/>
  <c r="Q13" i="76"/>
  <c r="R13" i="76" s="1"/>
  <c r="J13" i="76"/>
  <c r="F13" i="76"/>
  <c r="G13" i="76" s="1"/>
  <c r="U12" i="76"/>
  <c r="Q12" i="76"/>
  <c r="R12" i="76" s="1"/>
  <c r="J12" i="76"/>
  <c r="F12" i="76"/>
  <c r="G12" i="76" s="1"/>
  <c r="U11" i="76"/>
  <c r="Q11" i="76"/>
  <c r="R11" i="76" s="1"/>
  <c r="J11" i="76"/>
  <c r="F11" i="76"/>
  <c r="G11" i="76" s="1"/>
  <c r="U10" i="76"/>
  <c r="Q10" i="76"/>
  <c r="R10" i="76" s="1"/>
  <c r="J10" i="76"/>
  <c r="F10" i="76"/>
  <c r="G10" i="76" s="1"/>
  <c r="U9" i="76"/>
  <c r="Q9" i="76"/>
  <c r="R9" i="76" s="1"/>
  <c r="J9" i="76"/>
  <c r="F9" i="76"/>
  <c r="G9" i="76" s="1"/>
  <c r="U8" i="76"/>
  <c r="Q8" i="76"/>
  <c r="R8" i="76" s="1"/>
  <c r="J8" i="76"/>
  <c r="F8" i="76"/>
  <c r="G8" i="76" s="1"/>
  <c r="U7" i="76"/>
  <c r="Q7" i="76"/>
  <c r="R7" i="76" s="1"/>
  <c r="J7" i="76"/>
  <c r="F7" i="76"/>
  <c r="G7" i="76" s="1"/>
  <c r="U6" i="76"/>
  <c r="Q6" i="76"/>
  <c r="R6" i="76" s="1"/>
  <c r="J6" i="76"/>
  <c r="F6" i="76"/>
  <c r="G6" i="76" s="1"/>
  <c r="U5" i="76"/>
  <c r="Q5" i="76"/>
  <c r="L5" i="76"/>
  <c r="J5" i="76"/>
  <c r="F5" i="76"/>
  <c r="A5" i="76"/>
  <c r="A6" i="76" s="1"/>
  <c r="A7" i="76" s="1"/>
  <c r="U36" i="76" l="1"/>
  <c r="Q36" i="76"/>
  <c r="F36" i="76"/>
  <c r="J36" i="76"/>
  <c r="G5" i="76"/>
  <c r="G36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R5" i="76"/>
  <c r="R36" i="76" s="1"/>
  <c r="L6" i="76"/>
  <c r="L7" i="76" s="1"/>
  <c r="L8" i="76" s="1"/>
  <c r="L9" i="76" s="1"/>
  <c r="L10" i="76" s="1"/>
  <c r="L11" i="76" s="1"/>
  <c r="L12" i="76" s="1"/>
  <c r="L13" i="76" s="1"/>
  <c r="L14" i="76" s="1"/>
  <c r="L15" i="76" s="1"/>
  <c r="L16" i="76" s="1"/>
  <c r="L17" i="76" s="1"/>
  <c r="L18" i="76" s="1"/>
  <c r="L19" i="76" s="1"/>
  <c r="L20" i="76" s="1"/>
  <c r="L21" i="76" s="1"/>
  <c r="L22" i="76" s="1"/>
  <c r="L23" i="76" s="1"/>
  <c r="L24" i="76" s="1"/>
  <c r="L25" i="76" s="1"/>
  <c r="L26" i="76" s="1"/>
  <c r="L27" i="76" s="1"/>
  <c r="L28" i="76" s="1"/>
  <c r="L29" i="76" s="1"/>
  <c r="L30" i="76" s="1"/>
  <c r="L31" i="76" s="1"/>
  <c r="L32" i="76" s="1"/>
  <c r="L33" i="76" s="1"/>
  <c r="L34" i="76" s="1"/>
  <c r="L35" i="76" s="1"/>
  <c r="H9" i="39" l="1"/>
  <c r="H10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H32" i="39"/>
  <c r="H33" i="39"/>
  <c r="H34" i="39"/>
  <c r="H35" i="39"/>
  <c r="H36" i="39"/>
  <c r="H7" i="39"/>
  <c r="H8" i="39"/>
  <c r="H5" i="39"/>
  <c r="A301" i="5" l="1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299" i="67"/>
  <c r="A300" i="67"/>
  <c r="A301" i="67"/>
  <c r="A302" i="67"/>
  <c r="A303" i="67"/>
  <c r="A287" i="67"/>
  <c r="A288" i="67"/>
  <c r="A289" i="67"/>
  <c r="A290" i="67"/>
  <c r="A291" i="67"/>
  <c r="A292" i="67"/>
  <c r="A293" i="67"/>
  <c r="A294" i="67"/>
  <c r="A295" i="67"/>
  <c r="A296" i="67"/>
  <c r="A297" i="67"/>
  <c r="A298" i="67"/>
  <c r="A314" i="63"/>
  <c r="A315" i="63"/>
  <c r="A316" i="63"/>
  <c r="A317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T314" i="63" l="1"/>
  <c r="AA314" i="63"/>
  <c r="AA310" i="63"/>
  <c r="T310" i="63"/>
  <c r="AA302" i="63"/>
  <c r="T302" i="63"/>
  <c r="B317" i="63"/>
  <c r="AA317" i="63"/>
  <c r="T317" i="63"/>
  <c r="AA301" i="63"/>
  <c r="T301" i="63"/>
  <c r="T316" i="63"/>
  <c r="AA316" i="63"/>
  <c r="T313" i="63"/>
  <c r="AA313" i="63"/>
  <c r="AA309" i="63"/>
  <c r="T309" i="63"/>
  <c r="T308" i="63"/>
  <c r="AA308" i="63"/>
  <c r="T307" i="63"/>
  <c r="AA307" i="63"/>
  <c r="T306" i="63"/>
  <c r="AA306" i="63"/>
  <c r="T315" i="63"/>
  <c r="AA315" i="63"/>
  <c r="T305" i="63"/>
  <c r="AA305" i="63"/>
  <c r="T312" i="63"/>
  <c r="AA312" i="63"/>
  <c r="T304" i="63"/>
  <c r="AA304" i="63"/>
  <c r="T311" i="63"/>
  <c r="AA311" i="63"/>
  <c r="T303" i="63"/>
  <c r="AA303" i="63"/>
  <c r="F315" i="5"/>
  <c r="AB315" i="5"/>
  <c r="F307" i="5"/>
  <c r="AB307" i="5"/>
  <c r="G314" i="5"/>
  <c r="AB314" i="5"/>
  <c r="G306" i="5"/>
  <c r="AB306" i="5"/>
  <c r="C308" i="5"/>
  <c r="AB308" i="5"/>
  <c r="H313" i="5"/>
  <c r="AB313" i="5"/>
  <c r="H305" i="5"/>
  <c r="AB305" i="5"/>
  <c r="C316" i="5"/>
  <c r="AB316" i="5"/>
  <c r="I312" i="5"/>
  <c r="AB312" i="5"/>
  <c r="I304" i="5"/>
  <c r="AB304" i="5"/>
  <c r="J311" i="5"/>
  <c r="AB311" i="5"/>
  <c r="J303" i="5"/>
  <c r="AB303" i="5"/>
  <c r="K310" i="5"/>
  <c r="AB310" i="5"/>
  <c r="K302" i="5"/>
  <c r="AB302" i="5"/>
  <c r="B317" i="5"/>
  <c r="AB317" i="5"/>
  <c r="B309" i="5"/>
  <c r="AB309" i="5"/>
  <c r="B301" i="5"/>
  <c r="AB301" i="5"/>
  <c r="E291" i="67"/>
  <c r="AB291" i="67"/>
  <c r="F300" i="67"/>
  <c r="AB300" i="67"/>
  <c r="C298" i="67"/>
  <c r="AB298" i="67"/>
  <c r="C290" i="67"/>
  <c r="AB290" i="67"/>
  <c r="B299" i="67"/>
  <c r="AB299" i="67"/>
  <c r="I301" i="67"/>
  <c r="AB301" i="67"/>
  <c r="C297" i="67"/>
  <c r="AB297" i="67"/>
  <c r="C289" i="67"/>
  <c r="AB289" i="67"/>
  <c r="B293" i="67"/>
  <c r="AB293" i="67"/>
  <c r="C302" i="67"/>
  <c r="AB302" i="67"/>
  <c r="B292" i="67"/>
  <c r="AB292" i="67"/>
  <c r="C296" i="67"/>
  <c r="AB296" i="67"/>
  <c r="C288" i="67"/>
  <c r="AB288" i="67"/>
  <c r="B295" i="67"/>
  <c r="AB295" i="67"/>
  <c r="B287" i="67"/>
  <c r="AB287" i="67"/>
  <c r="S301" i="67"/>
  <c r="B294" i="67"/>
  <c r="AB294" i="67"/>
  <c r="G303" i="67"/>
  <c r="AB303" i="67"/>
  <c r="L301" i="67"/>
  <c r="C308" i="63"/>
  <c r="AB308" i="63"/>
  <c r="I307" i="63"/>
  <c r="AB307" i="63"/>
  <c r="B305" i="63"/>
  <c r="AB305" i="63"/>
  <c r="F306" i="63"/>
  <c r="AB306" i="63"/>
  <c r="B313" i="63"/>
  <c r="AB313" i="63"/>
  <c r="H312" i="63"/>
  <c r="AB312" i="63"/>
  <c r="H304" i="63"/>
  <c r="AB304" i="63"/>
  <c r="E311" i="63"/>
  <c r="AB311" i="63"/>
  <c r="E303" i="63"/>
  <c r="AB303" i="63"/>
  <c r="B316" i="63"/>
  <c r="AB316" i="63"/>
  <c r="G309" i="63"/>
  <c r="AB309" i="63"/>
  <c r="G301" i="63"/>
  <c r="AB301" i="63"/>
  <c r="B314" i="63"/>
  <c r="AB314" i="63"/>
  <c r="J310" i="63"/>
  <c r="AB310" i="63"/>
  <c r="J302" i="63"/>
  <c r="AB302" i="63"/>
  <c r="B315" i="63"/>
  <c r="AB315" i="63"/>
  <c r="W295" i="67"/>
  <c r="U295" i="67"/>
  <c r="F295" i="67"/>
  <c r="C295" i="67"/>
  <c r="W303" i="63"/>
  <c r="H317" i="63"/>
  <c r="Y295" i="67"/>
  <c r="H295" i="67"/>
  <c r="S287" i="67"/>
  <c r="C287" i="67"/>
  <c r="M302" i="63"/>
  <c r="H303" i="63"/>
  <c r="O287" i="67"/>
  <c r="O295" i="67"/>
  <c r="E310" i="63"/>
  <c r="W317" i="63"/>
  <c r="W312" i="5"/>
  <c r="B304" i="63"/>
  <c r="L287" i="67"/>
  <c r="V305" i="5"/>
  <c r="M310" i="63"/>
  <c r="Q317" i="63"/>
  <c r="S295" i="67"/>
  <c r="J295" i="67"/>
  <c r="C301" i="67"/>
  <c r="Y309" i="63"/>
  <c r="L307" i="63"/>
  <c r="Q295" i="67"/>
  <c r="H287" i="67"/>
  <c r="AA307" i="5"/>
  <c r="J309" i="63"/>
  <c r="S316" i="5"/>
  <c r="R304" i="63"/>
  <c r="E302" i="63"/>
  <c r="W287" i="67"/>
  <c r="L295" i="67"/>
  <c r="O304" i="5"/>
  <c r="Q301" i="63"/>
  <c r="L308" i="5"/>
  <c r="Y301" i="63"/>
  <c r="S307" i="63"/>
  <c r="J301" i="63"/>
  <c r="C307" i="63"/>
  <c r="U317" i="63"/>
  <c r="F317" i="63"/>
  <c r="Q303" i="67"/>
  <c r="G313" i="5"/>
  <c r="N308" i="63"/>
  <c r="W311" i="63"/>
  <c r="R312" i="63"/>
  <c r="H311" i="63"/>
  <c r="B312" i="63"/>
  <c r="S317" i="63"/>
  <c r="C317" i="63"/>
  <c r="U287" i="67"/>
  <c r="F287" i="67"/>
  <c r="N302" i="67"/>
  <c r="W304" i="5"/>
  <c r="S308" i="5"/>
  <c r="N313" i="5"/>
  <c r="K317" i="5"/>
  <c r="G305" i="5"/>
  <c r="V313" i="5"/>
  <c r="R317" i="5"/>
  <c r="N305" i="5"/>
  <c r="K309" i="5"/>
  <c r="F314" i="5"/>
  <c r="V308" i="63"/>
  <c r="Q309" i="63"/>
  <c r="G308" i="63"/>
  <c r="O317" i="63"/>
  <c r="Z317" i="5"/>
  <c r="R309" i="5"/>
  <c r="K301" i="5"/>
  <c r="F306" i="5"/>
  <c r="U313" i="63"/>
  <c r="F313" i="63"/>
  <c r="Z309" i="5"/>
  <c r="U314" i="5"/>
  <c r="R301" i="5"/>
  <c r="J310" i="5"/>
  <c r="C315" i="5"/>
  <c r="Y303" i="67"/>
  <c r="J303" i="67"/>
  <c r="Z312" i="63"/>
  <c r="U305" i="63"/>
  <c r="O311" i="63"/>
  <c r="K312" i="63"/>
  <c r="F305" i="63"/>
  <c r="L317" i="63"/>
  <c r="Y287" i="67"/>
  <c r="Q287" i="67"/>
  <c r="J287" i="67"/>
  <c r="V302" i="67"/>
  <c r="G302" i="67"/>
  <c r="Z301" i="5"/>
  <c r="U306" i="5"/>
  <c r="Q310" i="5"/>
  <c r="M315" i="5"/>
  <c r="J302" i="5"/>
  <c r="C307" i="5"/>
  <c r="Z304" i="63"/>
  <c r="O303" i="63"/>
  <c r="K304" i="63"/>
  <c r="Y317" i="63"/>
  <c r="J317" i="63"/>
  <c r="U299" i="67"/>
  <c r="F299" i="67"/>
  <c r="Y310" i="5"/>
  <c r="T315" i="5"/>
  <c r="Q302" i="5"/>
  <c r="M307" i="5"/>
  <c r="H312" i="5"/>
  <c r="B316" i="5"/>
  <c r="AA315" i="5"/>
  <c r="Y302" i="5"/>
  <c r="T307" i="5"/>
  <c r="O312" i="5"/>
  <c r="L316" i="5"/>
  <c r="H304" i="5"/>
  <c r="B308" i="5"/>
  <c r="AA314" i="5"/>
  <c r="AA306" i="5"/>
  <c r="Z316" i="5"/>
  <c r="Z308" i="5"/>
  <c r="Y317" i="5"/>
  <c r="Y309" i="5"/>
  <c r="Y301" i="5"/>
  <c r="X310" i="5"/>
  <c r="X302" i="5"/>
  <c r="W311" i="5"/>
  <c r="W303" i="5"/>
  <c r="V312" i="5"/>
  <c r="V304" i="5"/>
  <c r="U313" i="5"/>
  <c r="U305" i="5"/>
  <c r="T314" i="5"/>
  <c r="T306" i="5"/>
  <c r="S315" i="5"/>
  <c r="S307" i="5"/>
  <c r="R316" i="5"/>
  <c r="R308" i="5"/>
  <c r="Q317" i="5"/>
  <c r="Q309" i="5"/>
  <c r="Q301" i="5"/>
  <c r="P310" i="5"/>
  <c r="P302" i="5"/>
  <c r="O311" i="5"/>
  <c r="O303" i="5"/>
  <c r="N312" i="5"/>
  <c r="N304" i="5"/>
  <c r="M314" i="5"/>
  <c r="M306" i="5"/>
  <c r="L315" i="5"/>
  <c r="L307" i="5"/>
  <c r="K316" i="5"/>
  <c r="K308" i="5"/>
  <c r="J317" i="5"/>
  <c r="J309" i="5"/>
  <c r="J301" i="5"/>
  <c r="I310" i="5"/>
  <c r="I302" i="5"/>
  <c r="H311" i="5"/>
  <c r="H303" i="5"/>
  <c r="G312" i="5"/>
  <c r="G304" i="5"/>
  <c r="F313" i="5"/>
  <c r="F305" i="5"/>
  <c r="C314" i="5"/>
  <c r="C306" i="5"/>
  <c r="B315" i="5"/>
  <c r="B307" i="5"/>
  <c r="AA313" i="5"/>
  <c r="AA305" i="5"/>
  <c r="Z315" i="5"/>
  <c r="Z307" i="5"/>
  <c r="Y316" i="5"/>
  <c r="Y308" i="5"/>
  <c r="X317" i="5"/>
  <c r="X309" i="5"/>
  <c r="X301" i="5"/>
  <c r="W310" i="5"/>
  <c r="W302" i="5"/>
  <c r="V311" i="5"/>
  <c r="V303" i="5"/>
  <c r="U312" i="5"/>
  <c r="U304" i="5"/>
  <c r="T313" i="5"/>
  <c r="T305" i="5"/>
  <c r="S314" i="5"/>
  <c r="S306" i="5"/>
  <c r="R315" i="5"/>
  <c r="R307" i="5"/>
  <c r="Q308" i="5"/>
  <c r="P317" i="5"/>
  <c r="P309" i="5"/>
  <c r="P301" i="5"/>
  <c r="O310" i="5"/>
  <c r="O302" i="5"/>
  <c r="N311" i="5"/>
  <c r="N303" i="5"/>
  <c r="M313" i="5"/>
  <c r="M305" i="5"/>
  <c r="L314" i="5"/>
  <c r="L306" i="5"/>
  <c r="K315" i="5"/>
  <c r="K307" i="5"/>
  <c r="J316" i="5"/>
  <c r="J308" i="5"/>
  <c r="I317" i="5"/>
  <c r="I309" i="5"/>
  <c r="I301" i="5"/>
  <c r="H310" i="5"/>
  <c r="H302" i="5"/>
  <c r="G311" i="5"/>
  <c r="G303" i="5"/>
  <c r="F312" i="5"/>
  <c r="F304" i="5"/>
  <c r="C313" i="5"/>
  <c r="C305" i="5"/>
  <c r="B314" i="5"/>
  <c r="B306" i="5"/>
  <c r="AA312" i="5"/>
  <c r="AA304" i="5"/>
  <c r="Z314" i="5"/>
  <c r="Z306" i="5"/>
  <c r="Y315" i="5"/>
  <c r="Y307" i="5"/>
  <c r="X316" i="5"/>
  <c r="X308" i="5"/>
  <c r="W317" i="5"/>
  <c r="W309" i="5"/>
  <c r="W301" i="5"/>
  <c r="V310" i="5"/>
  <c r="V302" i="5"/>
  <c r="U311" i="5"/>
  <c r="U303" i="5"/>
  <c r="T312" i="5"/>
  <c r="T304" i="5"/>
  <c r="S313" i="5"/>
  <c r="S305" i="5"/>
  <c r="R314" i="5"/>
  <c r="R306" i="5"/>
  <c r="Q315" i="5"/>
  <c r="Q307" i="5"/>
  <c r="P316" i="5"/>
  <c r="P308" i="5"/>
  <c r="O317" i="5"/>
  <c r="O309" i="5"/>
  <c r="O301" i="5"/>
  <c r="N310" i="5"/>
  <c r="N302" i="5"/>
  <c r="M312" i="5"/>
  <c r="M304" i="5"/>
  <c r="L313" i="5"/>
  <c r="L305" i="5"/>
  <c r="K314" i="5"/>
  <c r="K306" i="5"/>
  <c r="J315" i="5"/>
  <c r="J307" i="5"/>
  <c r="I316" i="5"/>
  <c r="I308" i="5"/>
  <c r="H317" i="5"/>
  <c r="H309" i="5"/>
  <c r="H301" i="5"/>
  <c r="G310" i="5"/>
  <c r="G302" i="5"/>
  <c r="F311" i="5"/>
  <c r="F303" i="5"/>
  <c r="C312" i="5"/>
  <c r="C304" i="5"/>
  <c r="B313" i="5"/>
  <c r="B305" i="5"/>
  <c r="X311" i="5"/>
  <c r="X303" i="5"/>
  <c r="AA311" i="5"/>
  <c r="AA303" i="5"/>
  <c r="Z313" i="5"/>
  <c r="Z305" i="5"/>
  <c r="Y314" i="5"/>
  <c r="Y306" i="5"/>
  <c r="X315" i="5"/>
  <c r="X307" i="5"/>
  <c r="W316" i="5"/>
  <c r="W308" i="5"/>
  <c r="V317" i="5"/>
  <c r="V309" i="5"/>
  <c r="V301" i="5"/>
  <c r="U310" i="5"/>
  <c r="U302" i="5"/>
  <c r="T311" i="5"/>
  <c r="T303" i="5"/>
  <c r="S312" i="5"/>
  <c r="S304" i="5"/>
  <c r="R313" i="5"/>
  <c r="R305" i="5"/>
  <c r="Q314" i="5"/>
  <c r="Q306" i="5"/>
  <c r="P315" i="5"/>
  <c r="P307" i="5"/>
  <c r="O316" i="5"/>
  <c r="O308" i="5"/>
  <c r="N317" i="5"/>
  <c r="N309" i="5"/>
  <c r="N301" i="5"/>
  <c r="M311" i="5"/>
  <c r="M303" i="5"/>
  <c r="L312" i="5"/>
  <c r="L304" i="5"/>
  <c r="K313" i="5"/>
  <c r="K305" i="5"/>
  <c r="J314" i="5"/>
  <c r="J306" i="5"/>
  <c r="I315" i="5"/>
  <c r="I307" i="5"/>
  <c r="H316" i="5"/>
  <c r="H308" i="5"/>
  <c r="G317" i="5"/>
  <c r="G309" i="5"/>
  <c r="G301" i="5"/>
  <c r="F310" i="5"/>
  <c r="F302" i="5"/>
  <c r="C311" i="5"/>
  <c r="C303" i="5"/>
  <c r="B312" i="5"/>
  <c r="B304" i="5"/>
  <c r="P311" i="5"/>
  <c r="P303" i="5"/>
  <c r="I303" i="5"/>
  <c r="AA310" i="5"/>
  <c r="AA302" i="5"/>
  <c r="Z312" i="5"/>
  <c r="Z304" i="5"/>
  <c r="Y313" i="5"/>
  <c r="Y305" i="5"/>
  <c r="X314" i="5"/>
  <c r="X306" i="5"/>
  <c r="W315" i="5"/>
  <c r="W307" i="5"/>
  <c r="V316" i="5"/>
  <c r="V308" i="5"/>
  <c r="U317" i="5"/>
  <c r="U309" i="5"/>
  <c r="U301" i="5"/>
  <c r="T310" i="5"/>
  <c r="T302" i="5"/>
  <c r="S311" i="5"/>
  <c r="S303" i="5"/>
  <c r="R312" i="5"/>
  <c r="R304" i="5"/>
  <c r="Q313" i="5"/>
  <c r="Q305" i="5"/>
  <c r="P314" i="5"/>
  <c r="P306" i="5"/>
  <c r="O315" i="5"/>
  <c r="O307" i="5"/>
  <c r="N316" i="5"/>
  <c r="N308" i="5"/>
  <c r="M310" i="5"/>
  <c r="M302" i="5"/>
  <c r="L311" i="5"/>
  <c r="L303" i="5"/>
  <c r="K312" i="5"/>
  <c r="K304" i="5"/>
  <c r="J313" i="5"/>
  <c r="J305" i="5"/>
  <c r="I314" i="5"/>
  <c r="I306" i="5"/>
  <c r="H315" i="5"/>
  <c r="H307" i="5"/>
  <c r="G316" i="5"/>
  <c r="G308" i="5"/>
  <c r="F317" i="5"/>
  <c r="F309" i="5"/>
  <c r="F301" i="5"/>
  <c r="C310" i="5"/>
  <c r="C302" i="5"/>
  <c r="B311" i="5"/>
  <c r="B303" i="5"/>
  <c r="I311" i="5"/>
  <c r="AA317" i="5"/>
  <c r="AA309" i="5"/>
  <c r="AA301" i="5"/>
  <c r="Z311" i="5"/>
  <c r="Z303" i="5"/>
  <c r="Y312" i="5"/>
  <c r="Y304" i="5"/>
  <c r="X313" i="5"/>
  <c r="X305" i="5"/>
  <c r="W314" i="5"/>
  <c r="W306" i="5"/>
  <c r="V315" i="5"/>
  <c r="V307" i="5"/>
  <c r="U316" i="5"/>
  <c r="U308" i="5"/>
  <c r="T317" i="5"/>
  <c r="T309" i="5"/>
  <c r="T301" i="5"/>
  <c r="S310" i="5"/>
  <c r="S302" i="5"/>
  <c r="R311" i="5"/>
  <c r="R303" i="5"/>
  <c r="Q312" i="5"/>
  <c r="Q304" i="5"/>
  <c r="P313" i="5"/>
  <c r="P305" i="5"/>
  <c r="O314" i="5"/>
  <c r="O306" i="5"/>
  <c r="N315" i="5"/>
  <c r="N307" i="5"/>
  <c r="M317" i="5"/>
  <c r="M309" i="5"/>
  <c r="M301" i="5"/>
  <c r="L310" i="5"/>
  <c r="L302" i="5"/>
  <c r="K311" i="5"/>
  <c r="K303" i="5"/>
  <c r="J312" i="5"/>
  <c r="J304" i="5"/>
  <c r="I313" i="5"/>
  <c r="I305" i="5"/>
  <c r="H314" i="5"/>
  <c r="H306" i="5"/>
  <c r="G315" i="5"/>
  <c r="G307" i="5"/>
  <c r="F316" i="5"/>
  <c r="F308" i="5"/>
  <c r="C317" i="5"/>
  <c r="C309" i="5"/>
  <c r="C301" i="5"/>
  <c r="B310" i="5"/>
  <c r="B302" i="5"/>
  <c r="AA316" i="5"/>
  <c r="AA308" i="5"/>
  <c r="Z310" i="5"/>
  <c r="Z302" i="5"/>
  <c r="Y311" i="5"/>
  <c r="Y303" i="5"/>
  <c r="X312" i="5"/>
  <c r="X304" i="5"/>
  <c r="W313" i="5"/>
  <c r="W305" i="5"/>
  <c r="V314" i="5"/>
  <c r="V306" i="5"/>
  <c r="U315" i="5"/>
  <c r="U307" i="5"/>
  <c r="T316" i="5"/>
  <c r="T308" i="5"/>
  <c r="S317" i="5"/>
  <c r="S309" i="5"/>
  <c r="S301" i="5"/>
  <c r="R310" i="5"/>
  <c r="R302" i="5"/>
  <c r="Q311" i="5"/>
  <c r="Q303" i="5"/>
  <c r="P312" i="5"/>
  <c r="P304" i="5"/>
  <c r="O313" i="5"/>
  <c r="O305" i="5"/>
  <c r="N314" i="5"/>
  <c r="N306" i="5"/>
  <c r="M316" i="5"/>
  <c r="M308" i="5"/>
  <c r="L317" i="5"/>
  <c r="L309" i="5"/>
  <c r="L301" i="5"/>
  <c r="X291" i="67"/>
  <c r="G291" i="67"/>
  <c r="X300" i="67"/>
  <c r="AA298" i="67"/>
  <c r="AA290" i="67"/>
  <c r="Z298" i="67"/>
  <c r="Z290" i="67"/>
  <c r="Y294" i="67"/>
  <c r="X298" i="67"/>
  <c r="X290" i="67"/>
  <c r="W294" i="67"/>
  <c r="V298" i="67"/>
  <c r="V290" i="67"/>
  <c r="U294" i="67"/>
  <c r="T298" i="67"/>
  <c r="T290" i="67"/>
  <c r="S294" i="67"/>
  <c r="R298" i="67"/>
  <c r="R290" i="67"/>
  <c r="Q294" i="67"/>
  <c r="P298" i="67"/>
  <c r="P290" i="67"/>
  <c r="O294" i="67"/>
  <c r="N298" i="67"/>
  <c r="N290" i="67"/>
  <c r="M298" i="67"/>
  <c r="M290" i="67"/>
  <c r="L294" i="67"/>
  <c r="K298" i="67"/>
  <c r="K290" i="67"/>
  <c r="J294" i="67"/>
  <c r="I298" i="67"/>
  <c r="I290" i="67"/>
  <c r="H294" i="67"/>
  <c r="G298" i="67"/>
  <c r="G290" i="67"/>
  <c r="F294" i="67"/>
  <c r="E298" i="67"/>
  <c r="E290" i="67"/>
  <c r="C294" i="67"/>
  <c r="B298" i="67"/>
  <c r="B290" i="67"/>
  <c r="AA303" i="67"/>
  <c r="Y302" i="67"/>
  <c r="X299" i="67"/>
  <c r="V301" i="67"/>
  <c r="T303" i="67"/>
  <c r="S300" i="67"/>
  <c r="Q302" i="67"/>
  <c r="P299" i="67"/>
  <c r="N301" i="67"/>
  <c r="M303" i="67"/>
  <c r="L300" i="67"/>
  <c r="J302" i="67"/>
  <c r="I299" i="67"/>
  <c r="G301" i="67"/>
  <c r="E303" i="67"/>
  <c r="C300" i="67"/>
  <c r="I291" i="67"/>
  <c r="AA297" i="67"/>
  <c r="AA289" i="67"/>
  <c r="Z297" i="67"/>
  <c r="Z289" i="67"/>
  <c r="Y293" i="67"/>
  <c r="X297" i="67"/>
  <c r="X289" i="67"/>
  <c r="W293" i="67"/>
  <c r="V297" i="67"/>
  <c r="V289" i="67"/>
  <c r="U293" i="67"/>
  <c r="T297" i="67"/>
  <c r="T289" i="67"/>
  <c r="S293" i="67"/>
  <c r="R297" i="67"/>
  <c r="R289" i="67"/>
  <c r="Q293" i="67"/>
  <c r="P297" i="67"/>
  <c r="P289" i="67"/>
  <c r="O293" i="67"/>
  <c r="N297" i="67"/>
  <c r="N289" i="67"/>
  <c r="M297" i="67"/>
  <c r="M289" i="67"/>
  <c r="L293" i="67"/>
  <c r="K297" i="67"/>
  <c r="K289" i="67"/>
  <c r="J293" i="67"/>
  <c r="I297" i="67"/>
  <c r="I289" i="67"/>
  <c r="H293" i="67"/>
  <c r="G297" i="67"/>
  <c r="G289" i="67"/>
  <c r="F293" i="67"/>
  <c r="E297" i="67"/>
  <c r="E289" i="67"/>
  <c r="C293" i="67"/>
  <c r="B297" i="67"/>
  <c r="B289" i="67"/>
  <c r="AA302" i="67"/>
  <c r="Y301" i="67"/>
  <c r="W303" i="67"/>
  <c r="V300" i="67"/>
  <c r="T302" i="67"/>
  <c r="S299" i="67"/>
  <c r="Q301" i="67"/>
  <c r="O303" i="67"/>
  <c r="N300" i="67"/>
  <c r="M302" i="67"/>
  <c r="L299" i="67"/>
  <c r="J301" i="67"/>
  <c r="H303" i="67"/>
  <c r="G300" i="67"/>
  <c r="E302" i="67"/>
  <c r="C299" i="67"/>
  <c r="B291" i="67"/>
  <c r="AA296" i="67"/>
  <c r="AA288" i="67"/>
  <c r="Z296" i="67"/>
  <c r="Z288" i="67"/>
  <c r="Y292" i="67"/>
  <c r="X296" i="67"/>
  <c r="X288" i="67"/>
  <c r="W292" i="67"/>
  <c r="V296" i="67"/>
  <c r="V288" i="67"/>
  <c r="U292" i="67"/>
  <c r="T296" i="67"/>
  <c r="T288" i="67"/>
  <c r="S292" i="67"/>
  <c r="R296" i="67"/>
  <c r="R288" i="67"/>
  <c r="Q292" i="67"/>
  <c r="P296" i="67"/>
  <c r="P288" i="67"/>
  <c r="O292" i="67"/>
  <c r="N296" i="67"/>
  <c r="N288" i="67"/>
  <c r="M296" i="67"/>
  <c r="M288" i="67"/>
  <c r="L292" i="67"/>
  <c r="K296" i="67"/>
  <c r="K288" i="67"/>
  <c r="J292" i="67"/>
  <c r="I296" i="67"/>
  <c r="I288" i="67"/>
  <c r="H292" i="67"/>
  <c r="G296" i="67"/>
  <c r="G288" i="67"/>
  <c r="F292" i="67"/>
  <c r="E296" i="67"/>
  <c r="E288" i="67"/>
  <c r="C292" i="67"/>
  <c r="B296" i="67"/>
  <c r="B288" i="67"/>
  <c r="AA301" i="67"/>
  <c r="Z303" i="67"/>
  <c r="Y300" i="67"/>
  <c r="W302" i="67"/>
  <c r="V299" i="67"/>
  <c r="T301" i="67"/>
  <c r="R303" i="67"/>
  <c r="Q300" i="67"/>
  <c r="O302" i="67"/>
  <c r="N299" i="67"/>
  <c r="M301" i="67"/>
  <c r="K303" i="67"/>
  <c r="J300" i="67"/>
  <c r="H302" i="67"/>
  <c r="G299" i="67"/>
  <c r="E301" i="67"/>
  <c r="B303" i="67"/>
  <c r="R291" i="67"/>
  <c r="AA295" i="67"/>
  <c r="AA287" i="67"/>
  <c r="Z295" i="67"/>
  <c r="Z287" i="67"/>
  <c r="Y291" i="67"/>
  <c r="X295" i="67"/>
  <c r="X287" i="67"/>
  <c r="W291" i="67"/>
  <c r="V295" i="67"/>
  <c r="V287" i="67"/>
  <c r="U291" i="67"/>
  <c r="T295" i="67"/>
  <c r="T287" i="67"/>
  <c r="S291" i="67"/>
  <c r="R295" i="67"/>
  <c r="R287" i="67"/>
  <c r="Q291" i="67"/>
  <c r="P295" i="67"/>
  <c r="P287" i="67"/>
  <c r="O291" i="67"/>
  <c r="N295" i="67"/>
  <c r="N287" i="67"/>
  <c r="M295" i="67"/>
  <c r="M287" i="67"/>
  <c r="L291" i="67"/>
  <c r="K295" i="67"/>
  <c r="K287" i="67"/>
  <c r="J291" i="67"/>
  <c r="I295" i="67"/>
  <c r="I287" i="67"/>
  <c r="H291" i="67"/>
  <c r="G295" i="67"/>
  <c r="G287" i="67"/>
  <c r="F291" i="67"/>
  <c r="E295" i="67"/>
  <c r="E287" i="67"/>
  <c r="C291" i="67"/>
  <c r="AA300" i="67"/>
  <c r="Z302" i="67"/>
  <c r="Y299" i="67"/>
  <c r="W301" i="67"/>
  <c r="U303" i="67"/>
  <c r="T300" i="67"/>
  <c r="R302" i="67"/>
  <c r="Q299" i="67"/>
  <c r="O301" i="67"/>
  <c r="M300" i="67"/>
  <c r="K302" i="67"/>
  <c r="J299" i="67"/>
  <c r="H301" i="67"/>
  <c r="F303" i="67"/>
  <c r="E300" i="67"/>
  <c r="B302" i="67"/>
  <c r="V291" i="67"/>
  <c r="M291" i="67"/>
  <c r="K291" i="67"/>
  <c r="P300" i="67"/>
  <c r="I300" i="67"/>
  <c r="AA294" i="67"/>
  <c r="Z294" i="67"/>
  <c r="Y298" i="67"/>
  <c r="Y290" i="67"/>
  <c r="X294" i="67"/>
  <c r="W298" i="67"/>
  <c r="W290" i="67"/>
  <c r="V294" i="67"/>
  <c r="U298" i="67"/>
  <c r="U290" i="67"/>
  <c r="T294" i="67"/>
  <c r="S298" i="67"/>
  <c r="S290" i="67"/>
  <c r="R294" i="67"/>
  <c r="Q298" i="67"/>
  <c r="Q290" i="67"/>
  <c r="P294" i="67"/>
  <c r="O298" i="67"/>
  <c r="O290" i="67"/>
  <c r="N294" i="67"/>
  <c r="M294" i="67"/>
  <c r="L298" i="67"/>
  <c r="L290" i="67"/>
  <c r="K294" i="67"/>
  <c r="J298" i="67"/>
  <c r="J290" i="67"/>
  <c r="I294" i="67"/>
  <c r="H298" i="67"/>
  <c r="H290" i="67"/>
  <c r="G294" i="67"/>
  <c r="F298" i="67"/>
  <c r="F290" i="67"/>
  <c r="E294" i="67"/>
  <c r="AA299" i="67"/>
  <c r="Z301" i="67"/>
  <c r="X303" i="67"/>
  <c r="W300" i="67"/>
  <c r="U302" i="67"/>
  <c r="T299" i="67"/>
  <c r="R301" i="67"/>
  <c r="P303" i="67"/>
  <c r="O300" i="67"/>
  <c r="M299" i="67"/>
  <c r="K301" i="67"/>
  <c r="I303" i="67"/>
  <c r="H300" i="67"/>
  <c r="F302" i="67"/>
  <c r="E299" i="67"/>
  <c r="B301" i="67"/>
  <c r="AA291" i="67"/>
  <c r="T291" i="67"/>
  <c r="AA293" i="67"/>
  <c r="Z293" i="67"/>
  <c r="Y297" i="67"/>
  <c r="Y289" i="67"/>
  <c r="X293" i="67"/>
  <c r="W297" i="67"/>
  <c r="W289" i="67"/>
  <c r="V293" i="67"/>
  <c r="U297" i="67"/>
  <c r="U289" i="67"/>
  <c r="T293" i="67"/>
  <c r="S297" i="67"/>
  <c r="S289" i="67"/>
  <c r="R293" i="67"/>
  <c r="Q297" i="67"/>
  <c r="Q289" i="67"/>
  <c r="P293" i="67"/>
  <c r="O297" i="67"/>
  <c r="O289" i="67"/>
  <c r="N293" i="67"/>
  <c r="M293" i="67"/>
  <c r="L297" i="67"/>
  <c r="L289" i="67"/>
  <c r="K293" i="67"/>
  <c r="J297" i="67"/>
  <c r="J289" i="67"/>
  <c r="I293" i="67"/>
  <c r="H297" i="67"/>
  <c r="H289" i="67"/>
  <c r="G293" i="67"/>
  <c r="F297" i="67"/>
  <c r="F289" i="67"/>
  <c r="E293" i="67"/>
  <c r="Z300" i="67"/>
  <c r="X302" i="67"/>
  <c r="W299" i="67"/>
  <c r="U301" i="67"/>
  <c r="S303" i="67"/>
  <c r="R300" i="67"/>
  <c r="P302" i="67"/>
  <c r="O299" i="67"/>
  <c r="L303" i="67"/>
  <c r="K300" i="67"/>
  <c r="I302" i="67"/>
  <c r="H299" i="67"/>
  <c r="F301" i="67"/>
  <c r="C303" i="67"/>
  <c r="B300" i="67"/>
  <c r="Z291" i="67"/>
  <c r="P291" i="67"/>
  <c r="N291" i="67"/>
  <c r="AA292" i="67"/>
  <c r="Z292" i="67"/>
  <c r="Y296" i="67"/>
  <c r="Y288" i="67"/>
  <c r="X292" i="67"/>
  <c r="W296" i="67"/>
  <c r="W288" i="67"/>
  <c r="V292" i="67"/>
  <c r="U296" i="67"/>
  <c r="U288" i="67"/>
  <c r="T292" i="67"/>
  <c r="S296" i="67"/>
  <c r="S288" i="67"/>
  <c r="R292" i="67"/>
  <c r="Q296" i="67"/>
  <c r="Q288" i="67"/>
  <c r="P292" i="67"/>
  <c r="O296" i="67"/>
  <c r="O288" i="67"/>
  <c r="N292" i="67"/>
  <c r="M292" i="67"/>
  <c r="L296" i="67"/>
  <c r="L288" i="67"/>
  <c r="K292" i="67"/>
  <c r="J296" i="67"/>
  <c r="J288" i="67"/>
  <c r="I292" i="67"/>
  <c r="H296" i="67"/>
  <c r="H288" i="67"/>
  <c r="G292" i="67"/>
  <c r="F296" i="67"/>
  <c r="F288" i="67"/>
  <c r="E292" i="67"/>
  <c r="Z299" i="67"/>
  <c r="X301" i="67"/>
  <c r="V303" i="67"/>
  <c r="U300" i="67"/>
  <c r="S302" i="67"/>
  <c r="R299" i="67"/>
  <c r="P301" i="67"/>
  <c r="N303" i="67"/>
  <c r="L302" i="67"/>
  <c r="K299" i="67"/>
  <c r="I306" i="63"/>
  <c r="Z311" i="63"/>
  <c r="Z303" i="63"/>
  <c r="Y308" i="63"/>
  <c r="X313" i="63"/>
  <c r="X305" i="63"/>
  <c r="W310" i="63"/>
  <c r="W302" i="63"/>
  <c r="V307" i="63"/>
  <c r="U312" i="63"/>
  <c r="U304" i="63"/>
  <c r="S306" i="63"/>
  <c r="R311" i="63"/>
  <c r="R303" i="63"/>
  <c r="Q308" i="63"/>
  <c r="P313" i="63"/>
  <c r="P305" i="63"/>
  <c r="O310" i="63"/>
  <c r="O302" i="63"/>
  <c r="N307" i="63"/>
  <c r="M309" i="63"/>
  <c r="M301" i="63"/>
  <c r="L306" i="63"/>
  <c r="K311" i="63"/>
  <c r="K303" i="63"/>
  <c r="J308" i="63"/>
  <c r="I313" i="63"/>
  <c r="I305" i="63"/>
  <c r="H310" i="63"/>
  <c r="H302" i="63"/>
  <c r="G307" i="63"/>
  <c r="F312" i="63"/>
  <c r="F304" i="63"/>
  <c r="E309" i="63"/>
  <c r="E301" i="63"/>
  <c r="C306" i="63"/>
  <c r="B311" i="63"/>
  <c r="B303" i="63"/>
  <c r="Y316" i="63"/>
  <c r="W316" i="63"/>
  <c r="U316" i="63"/>
  <c r="S316" i="63"/>
  <c r="Q316" i="63"/>
  <c r="O316" i="63"/>
  <c r="L316" i="63"/>
  <c r="J316" i="63"/>
  <c r="H316" i="63"/>
  <c r="F316" i="63"/>
  <c r="C316" i="63"/>
  <c r="Z310" i="63"/>
  <c r="Z302" i="63"/>
  <c r="Y307" i="63"/>
  <c r="X312" i="63"/>
  <c r="X304" i="63"/>
  <c r="W309" i="63"/>
  <c r="W301" i="63"/>
  <c r="V306" i="63"/>
  <c r="U311" i="63"/>
  <c r="U303" i="63"/>
  <c r="S313" i="63"/>
  <c r="S305" i="63"/>
  <c r="R310" i="63"/>
  <c r="R302" i="63"/>
  <c r="Q307" i="63"/>
  <c r="P312" i="63"/>
  <c r="P304" i="63"/>
  <c r="O309" i="63"/>
  <c r="O301" i="63"/>
  <c r="N306" i="63"/>
  <c r="M308" i="63"/>
  <c r="L313" i="63"/>
  <c r="L305" i="63"/>
  <c r="K310" i="63"/>
  <c r="K302" i="63"/>
  <c r="J307" i="63"/>
  <c r="I312" i="63"/>
  <c r="I304" i="63"/>
  <c r="H309" i="63"/>
  <c r="H301" i="63"/>
  <c r="G306" i="63"/>
  <c r="F311" i="63"/>
  <c r="F303" i="63"/>
  <c r="E308" i="63"/>
  <c r="C313" i="63"/>
  <c r="C305" i="63"/>
  <c r="B310" i="63"/>
  <c r="B302" i="63"/>
  <c r="Y315" i="63"/>
  <c r="W315" i="63"/>
  <c r="U315" i="63"/>
  <c r="S315" i="63"/>
  <c r="Q315" i="63"/>
  <c r="O315" i="63"/>
  <c r="L315" i="63"/>
  <c r="J315" i="63"/>
  <c r="H315" i="63"/>
  <c r="F315" i="63"/>
  <c r="C315" i="63"/>
  <c r="Z309" i="63"/>
  <c r="Z301" i="63"/>
  <c r="Y306" i="63"/>
  <c r="X311" i="63"/>
  <c r="X303" i="63"/>
  <c r="W308" i="63"/>
  <c r="V313" i="63"/>
  <c r="V305" i="63"/>
  <c r="U310" i="63"/>
  <c r="U302" i="63"/>
  <c r="S312" i="63"/>
  <c r="S304" i="63"/>
  <c r="R309" i="63"/>
  <c r="R301" i="63"/>
  <c r="Q306" i="63"/>
  <c r="P311" i="63"/>
  <c r="P303" i="63"/>
  <c r="O308" i="63"/>
  <c r="N313" i="63"/>
  <c r="N305" i="63"/>
  <c r="M307" i="63"/>
  <c r="L312" i="63"/>
  <c r="L304" i="63"/>
  <c r="K309" i="63"/>
  <c r="K301" i="63"/>
  <c r="J306" i="63"/>
  <c r="I311" i="63"/>
  <c r="I303" i="63"/>
  <c r="H308" i="63"/>
  <c r="G313" i="63"/>
  <c r="G305" i="63"/>
  <c r="F310" i="63"/>
  <c r="F302" i="63"/>
  <c r="E307" i="63"/>
  <c r="C312" i="63"/>
  <c r="C304" i="63"/>
  <c r="B309" i="63"/>
  <c r="B301" i="63"/>
  <c r="Y314" i="63"/>
  <c r="W314" i="63"/>
  <c r="U314" i="63"/>
  <c r="S314" i="63"/>
  <c r="Q314" i="63"/>
  <c r="O314" i="63"/>
  <c r="L314" i="63"/>
  <c r="J314" i="63"/>
  <c r="H314" i="63"/>
  <c r="F314" i="63"/>
  <c r="C314" i="63"/>
  <c r="X306" i="63"/>
  <c r="P306" i="63"/>
  <c r="Z308" i="63"/>
  <c r="Y313" i="63"/>
  <c r="Y305" i="63"/>
  <c r="X310" i="63"/>
  <c r="X302" i="63"/>
  <c r="W307" i="63"/>
  <c r="V312" i="63"/>
  <c r="V304" i="63"/>
  <c r="U309" i="63"/>
  <c r="U301" i="63"/>
  <c r="S311" i="63"/>
  <c r="S303" i="63"/>
  <c r="R308" i="63"/>
  <c r="Q313" i="63"/>
  <c r="Q305" i="63"/>
  <c r="P310" i="63"/>
  <c r="P302" i="63"/>
  <c r="O307" i="63"/>
  <c r="N312" i="63"/>
  <c r="N304" i="63"/>
  <c r="M306" i="63"/>
  <c r="L311" i="63"/>
  <c r="L303" i="63"/>
  <c r="K308" i="63"/>
  <c r="J313" i="63"/>
  <c r="J305" i="63"/>
  <c r="I310" i="63"/>
  <c r="I302" i="63"/>
  <c r="H307" i="63"/>
  <c r="G312" i="63"/>
  <c r="G304" i="63"/>
  <c r="F309" i="63"/>
  <c r="F301" i="63"/>
  <c r="E306" i="63"/>
  <c r="C311" i="63"/>
  <c r="C303" i="63"/>
  <c r="B308" i="63"/>
  <c r="Z317" i="63"/>
  <c r="X317" i="63"/>
  <c r="V317" i="63"/>
  <c r="R317" i="63"/>
  <c r="P317" i="63"/>
  <c r="N317" i="63"/>
  <c r="M317" i="63"/>
  <c r="K317" i="63"/>
  <c r="I317" i="63"/>
  <c r="G317" i="63"/>
  <c r="E317" i="63"/>
  <c r="Z307" i="63"/>
  <c r="Y312" i="63"/>
  <c r="Y304" i="63"/>
  <c r="X309" i="63"/>
  <c r="X301" i="63"/>
  <c r="W306" i="63"/>
  <c r="V311" i="63"/>
  <c r="V303" i="63"/>
  <c r="U308" i="63"/>
  <c r="S310" i="63"/>
  <c r="S302" i="63"/>
  <c r="R307" i="63"/>
  <c r="Q312" i="63"/>
  <c r="Q304" i="63"/>
  <c r="P309" i="63"/>
  <c r="P301" i="63"/>
  <c r="O306" i="63"/>
  <c r="N311" i="63"/>
  <c r="N303" i="63"/>
  <c r="M313" i="63"/>
  <c r="M305" i="63"/>
  <c r="L310" i="63"/>
  <c r="L302" i="63"/>
  <c r="K307" i="63"/>
  <c r="J312" i="63"/>
  <c r="J304" i="63"/>
  <c r="I309" i="63"/>
  <c r="I301" i="63"/>
  <c r="H306" i="63"/>
  <c r="G311" i="63"/>
  <c r="G303" i="63"/>
  <c r="F308" i="63"/>
  <c r="E313" i="63"/>
  <c r="E305" i="63"/>
  <c r="C310" i="63"/>
  <c r="C302" i="63"/>
  <c r="B307" i="63"/>
  <c r="Z316" i="63"/>
  <c r="X316" i="63"/>
  <c r="V316" i="63"/>
  <c r="R316" i="63"/>
  <c r="P316" i="63"/>
  <c r="N316" i="63"/>
  <c r="M316" i="63"/>
  <c r="K316" i="63"/>
  <c r="I316" i="63"/>
  <c r="G316" i="63"/>
  <c r="E316" i="63"/>
  <c r="Z306" i="63"/>
  <c r="Y311" i="63"/>
  <c r="Y303" i="63"/>
  <c r="X308" i="63"/>
  <c r="W313" i="63"/>
  <c r="W305" i="63"/>
  <c r="V310" i="63"/>
  <c r="V302" i="63"/>
  <c r="U307" i="63"/>
  <c r="S309" i="63"/>
  <c r="S301" i="63"/>
  <c r="R306" i="63"/>
  <c r="Q311" i="63"/>
  <c r="Q303" i="63"/>
  <c r="P308" i="63"/>
  <c r="O313" i="63"/>
  <c r="O305" i="63"/>
  <c r="N310" i="63"/>
  <c r="N302" i="63"/>
  <c r="M312" i="63"/>
  <c r="M304" i="63"/>
  <c r="L309" i="63"/>
  <c r="L301" i="63"/>
  <c r="K306" i="63"/>
  <c r="J311" i="63"/>
  <c r="J303" i="63"/>
  <c r="I308" i="63"/>
  <c r="H313" i="63"/>
  <c r="H305" i="63"/>
  <c r="G310" i="63"/>
  <c r="G302" i="63"/>
  <c r="F307" i="63"/>
  <c r="E312" i="63"/>
  <c r="E304" i="63"/>
  <c r="C309" i="63"/>
  <c r="C301" i="63"/>
  <c r="B306" i="63"/>
  <c r="Z315" i="63"/>
  <c r="X315" i="63"/>
  <c r="V315" i="63"/>
  <c r="R315" i="63"/>
  <c r="P315" i="63"/>
  <c r="N315" i="63"/>
  <c r="M315" i="63"/>
  <c r="K315" i="63"/>
  <c r="I315" i="63"/>
  <c r="G315" i="63"/>
  <c r="E315" i="63"/>
  <c r="Z313" i="63"/>
  <c r="Z305" i="63"/>
  <c r="Y310" i="63"/>
  <c r="Y302" i="63"/>
  <c r="X307" i="63"/>
  <c r="W312" i="63"/>
  <c r="W304" i="63"/>
  <c r="V309" i="63"/>
  <c r="V301" i="63"/>
  <c r="U306" i="63"/>
  <c r="S308" i="63"/>
  <c r="R313" i="63"/>
  <c r="R305" i="63"/>
  <c r="Q310" i="63"/>
  <c r="Q302" i="63"/>
  <c r="P307" i="63"/>
  <c r="O312" i="63"/>
  <c r="O304" i="63"/>
  <c r="N309" i="63"/>
  <c r="N301" i="63"/>
  <c r="M311" i="63"/>
  <c r="M303" i="63"/>
  <c r="L308" i="63"/>
  <c r="K313" i="63"/>
  <c r="K305" i="63"/>
  <c r="Z314" i="63"/>
  <c r="X314" i="63"/>
  <c r="V314" i="63"/>
  <c r="R314" i="63"/>
  <c r="P314" i="63"/>
  <c r="N314" i="63"/>
  <c r="M314" i="63"/>
  <c r="K314" i="63"/>
  <c r="I314" i="63"/>
  <c r="G314" i="63"/>
  <c r="E314" i="63"/>
  <c r="J6" i="49"/>
  <c r="J7" i="49"/>
  <c r="J8" i="49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Q316" i="5" s="1"/>
  <c r="J30" i="49"/>
  <c r="J31" i="49"/>
  <c r="J32" i="49"/>
  <c r="J33" i="49"/>
  <c r="J34" i="49"/>
  <c r="J35" i="49"/>
  <c r="J5" i="49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5" i="38"/>
  <c r="D301" i="63" l="1"/>
  <c r="D290" i="67"/>
  <c r="D303" i="63"/>
  <c r="D288" i="67"/>
  <c r="D298" i="67"/>
  <c r="D302" i="63"/>
  <c r="D312" i="63"/>
  <c r="D292" i="67"/>
  <c r="D295" i="67"/>
  <c r="D287" i="67"/>
  <c r="D293" i="67"/>
  <c r="D294" i="67"/>
  <c r="D308" i="63"/>
  <c r="D307" i="63"/>
  <c r="D304" i="63"/>
  <c r="D311" i="63"/>
  <c r="D310" i="63"/>
  <c r="D309" i="63"/>
  <c r="D306" i="63"/>
  <c r="D305" i="63"/>
  <c r="D291" i="67"/>
  <c r="D296" i="67"/>
  <c r="D289" i="67"/>
  <c r="D297" i="67"/>
  <c r="D313" i="63"/>
  <c r="D307" i="5"/>
  <c r="D315" i="5"/>
  <c r="D309" i="5"/>
  <c r="D302" i="5"/>
  <c r="D308" i="5"/>
  <c r="D317" i="5"/>
  <c r="D310" i="5"/>
  <c r="D311" i="5"/>
  <c r="D316" i="5"/>
  <c r="D306" i="5"/>
  <c r="D305" i="5"/>
  <c r="D314" i="5"/>
  <c r="D313" i="5"/>
  <c r="D303" i="5"/>
  <c r="D304" i="5"/>
  <c r="D301" i="5"/>
  <c r="D312" i="5"/>
  <c r="D299" i="67"/>
  <c r="D301" i="67"/>
  <c r="D300" i="67"/>
  <c r="D302" i="67"/>
  <c r="D303" i="67"/>
  <c r="D316" i="63"/>
  <c r="D315" i="63"/>
  <c r="D314" i="63"/>
  <c r="D317" i="63"/>
  <c r="U6" i="51"/>
  <c r="U8" i="51"/>
  <c r="U9" i="51"/>
  <c r="U10" i="51"/>
  <c r="U11" i="51"/>
  <c r="U12" i="51"/>
  <c r="U13" i="51"/>
  <c r="U14" i="51"/>
  <c r="U15" i="51"/>
  <c r="U16" i="51"/>
  <c r="U17" i="51"/>
  <c r="U18" i="51"/>
  <c r="U19" i="51"/>
  <c r="U20" i="51"/>
  <c r="U21" i="51"/>
  <c r="U22" i="51"/>
  <c r="U23" i="51"/>
  <c r="U24" i="51"/>
  <c r="U25" i="51"/>
  <c r="U26" i="51"/>
  <c r="U27" i="51"/>
  <c r="U28" i="51"/>
  <c r="U29" i="51"/>
  <c r="U30" i="51"/>
  <c r="U31" i="51"/>
  <c r="U32" i="51"/>
  <c r="U33" i="51"/>
  <c r="U34" i="51"/>
  <c r="U35" i="51"/>
  <c r="U5" i="51"/>
  <c r="J6" i="51"/>
  <c r="J7" i="51"/>
  <c r="J8" i="51"/>
  <c r="J9" i="51"/>
  <c r="J10" i="51"/>
  <c r="J11" i="51"/>
  <c r="J12" i="51"/>
  <c r="J13" i="51"/>
  <c r="J14" i="51"/>
  <c r="J15" i="51"/>
  <c r="J16" i="51"/>
  <c r="J17" i="51"/>
  <c r="J18" i="51"/>
  <c r="J19" i="51"/>
  <c r="J20" i="5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6" i="61"/>
  <c r="J27" i="61"/>
  <c r="J28" i="61"/>
  <c r="J29" i="61"/>
  <c r="J30" i="61"/>
  <c r="J31" i="61"/>
  <c r="J32" i="61"/>
  <c r="J33" i="61"/>
  <c r="J34" i="61"/>
  <c r="J35" i="61"/>
  <c r="J5" i="61"/>
  <c r="U6" i="61"/>
  <c r="U7" i="61"/>
  <c r="U8" i="61"/>
  <c r="U9" i="61"/>
  <c r="U10" i="61"/>
  <c r="U11" i="61"/>
  <c r="U12" i="61"/>
  <c r="U13" i="61"/>
  <c r="U14" i="61"/>
  <c r="U15" i="61"/>
  <c r="U16" i="61"/>
  <c r="U17" i="61"/>
  <c r="U18" i="61"/>
  <c r="U19" i="61"/>
  <c r="U20" i="61"/>
  <c r="U21" i="61"/>
  <c r="U22" i="61"/>
  <c r="U23" i="61"/>
  <c r="U24" i="61"/>
  <c r="U25" i="61"/>
  <c r="U26" i="61"/>
  <c r="U27" i="61"/>
  <c r="U28" i="61"/>
  <c r="U29" i="61"/>
  <c r="U30" i="61"/>
  <c r="U31" i="61"/>
  <c r="U32" i="61"/>
  <c r="U33" i="61"/>
  <c r="U34" i="61"/>
  <c r="U35" i="61"/>
  <c r="U5" i="61"/>
  <c r="H220" i="1" l="1"/>
  <c r="H221" i="1"/>
  <c r="H222" i="1"/>
  <c r="H219" i="1" l="1"/>
  <c r="H210" i="1"/>
  <c r="H211" i="1"/>
  <c r="H212" i="1"/>
  <c r="H213" i="1"/>
  <c r="H215" i="1"/>
  <c r="H216" i="1"/>
  <c r="H217" i="1"/>
  <c r="H218" i="1"/>
  <c r="C15" i="73"/>
  <c r="C14" i="73"/>
  <c r="C13" i="73"/>
  <c r="B40" i="43" l="1"/>
  <c r="U6" i="43"/>
  <c r="U7" i="43"/>
  <c r="U8" i="43"/>
  <c r="U9" i="43"/>
  <c r="U11" i="43"/>
  <c r="U12" i="43"/>
  <c r="U13" i="43"/>
  <c r="U14" i="43"/>
  <c r="U15" i="43"/>
  <c r="U16" i="43"/>
  <c r="U17" i="43"/>
  <c r="U18" i="43"/>
  <c r="U19" i="43"/>
  <c r="U20" i="43"/>
  <c r="U21" i="43"/>
  <c r="U22" i="43"/>
  <c r="U23" i="43"/>
  <c r="U24" i="43"/>
  <c r="U25" i="43"/>
  <c r="U26" i="43"/>
  <c r="U27" i="43"/>
  <c r="U28" i="43"/>
  <c r="U29" i="43"/>
  <c r="U30" i="43"/>
  <c r="U31" i="43"/>
  <c r="U32" i="43"/>
  <c r="U33" i="43"/>
  <c r="U34" i="43"/>
  <c r="U5" i="43"/>
  <c r="X6" i="35"/>
  <c r="X7" i="35"/>
  <c r="X8" i="35"/>
  <c r="X9" i="35"/>
  <c r="X10" i="35"/>
  <c r="X11" i="35"/>
  <c r="X12" i="35"/>
  <c r="X13" i="35"/>
  <c r="X14" i="35"/>
  <c r="X15" i="35"/>
  <c r="X16" i="35"/>
  <c r="X17" i="35"/>
  <c r="X18" i="35"/>
  <c r="X19" i="35"/>
  <c r="X20" i="35"/>
  <c r="X21" i="35"/>
  <c r="X22" i="35"/>
  <c r="X23" i="35"/>
  <c r="X24" i="35"/>
  <c r="X25" i="35"/>
  <c r="X26" i="35"/>
  <c r="X27" i="35"/>
  <c r="X28" i="35"/>
  <c r="X29" i="35"/>
  <c r="X30" i="35"/>
  <c r="X31" i="35"/>
  <c r="X32" i="35"/>
  <c r="X33" i="35"/>
  <c r="X34" i="35"/>
  <c r="X35" i="35"/>
  <c r="X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5" i="35"/>
  <c r="A208" i="5"/>
  <c r="A209" i="5"/>
  <c r="A210" i="5"/>
  <c r="A211" i="5"/>
  <c r="A212" i="5"/>
  <c r="AB212" i="5" s="1"/>
  <c r="A213" i="5"/>
  <c r="A214" i="5"/>
  <c r="AB214" i="5" s="1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B230" i="5" s="1"/>
  <c r="A231" i="5"/>
  <c r="A232" i="5"/>
  <c r="A233" i="5"/>
  <c r="A234" i="5"/>
  <c r="A235" i="5"/>
  <c r="A236" i="5"/>
  <c r="A237" i="5"/>
  <c r="A238" i="5"/>
  <c r="AB238" i="5" s="1"/>
  <c r="A239" i="5"/>
  <c r="A240" i="5"/>
  <c r="A241" i="5"/>
  <c r="A242" i="5"/>
  <c r="A243" i="5"/>
  <c r="A244" i="5"/>
  <c r="AB244" i="5" s="1"/>
  <c r="A245" i="5"/>
  <c r="A246" i="5"/>
  <c r="A247" i="5"/>
  <c r="A248" i="5"/>
  <c r="A249" i="5"/>
  <c r="A250" i="5"/>
  <c r="A251" i="5"/>
  <c r="A252" i="5"/>
  <c r="A253" i="5"/>
  <c r="A254" i="5"/>
  <c r="AB254" i="5" s="1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B276" i="5" s="1"/>
  <c r="A277" i="5"/>
  <c r="A278" i="5"/>
  <c r="A279" i="5"/>
  <c r="A280" i="5"/>
  <c r="A281" i="5"/>
  <c r="A282" i="5"/>
  <c r="A283" i="5"/>
  <c r="A284" i="5"/>
  <c r="A285" i="5"/>
  <c r="A286" i="5"/>
  <c r="AB286" i="5" s="1"/>
  <c r="A287" i="5"/>
  <c r="A288" i="5"/>
  <c r="A289" i="5"/>
  <c r="A290" i="5"/>
  <c r="A291" i="5"/>
  <c r="A292" i="5"/>
  <c r="AB292" i="5" s="1"/>
  <c r="A293" i="5"/>
  <c r="AB293" i="5" s="1"/>
  <c r="A294" i="5"/>
  <c r="AB294" i="5" s="1"/>
  <c r="A295" i="5"/>
  <c r="A296" i="5"/>
  <c r="A297" i="5"/>
  <c r="A298" i="5"/>
  <c r="A299" i="5"/>
  <c r="A300" i="5"/>
  <c r="A277" i="67"/>
  <c r="A278" i="67"/>
  <c r="A279" i="67"/>
  <c r="A280" i="67"/>
  <c r="A281" i="67"/>
  <c r="A282" i="67"/>
  <c r="A283" i="67"/>
  <c r="A284" i="67"/>
  <c r="A285" i="67"/>
  <c r="A286" i="67"/>
  <c r="AB286" i="67" s="1"/>
  <c r="A208" i="67"/>
  <c r="AB208" i="67" s="1"/>
  <c r="A209" i="67"/>
  <c r="A210" i="67"/>
  <c r="A211" i="67"/>
  <c r="A212" i="67"/>
  <c r="A213" i="67"/>
  <c r="A214" i="67"/>
  <c r="A215" i="67"/>
  <c r="A216" i="67"/>
  <c r="A217" i="67"/>
  <c r="A218" i="67"/>
  <c r="A219" i="67"/>
  <c r="A220" i="67"/>
  <c r="A221" i="67"/>
  <c r="A222" i="67"/>
  <c r="A223" i="67"/>
  <c r="A224" i="67"/>
  <c r="A225" i="67"/>
  <c r="A226" i="67"/>
  <c r="A227" i="67"/>
  <c r="A228" i="67"/>
  <c r="A229" i="67"/>
  <c r="A230" i="67"/>
  <c r="A231" i="67"/>
  <c r="A232" i="67"/>
  <c r="A233" i="67"/>
  <c r="A234" i="67"/>
  <c r="A235" i="67"/>
  <c r="AB235" i="67" s="1"/>
  <c r="A236" i="67"/>
  <c r="A237" i="67"/>
  <c r="A238" i="67"/>
  <c r="A239" i="67"/>
  <c r="A240" i="67"/>
  <c r="A241" i="67"/>
  <c r="A242" i="67"/>
  <c r="A243" i="67"/>
  <c r="A244" i="67"/>
  <c r="A245" i="67"/>
  <c r="A246" i="67"/>
  <c r="A247" i="67"/>
  <c r="A248" i="67"/>
  <c r="A249" i="67"/>
  <c r="A250" i="67"/>
  <c r="A251" i="67"/>
  <c r="A252" i="67"/>
  <c r="A253" i="67"/>
  <c r="A254" i="67"/>
  <c r="A255" i="67"/>
  <c r="A256" i="67"/>
  <c r="A257" i="67"/>
  <c r="A258" i="67"/>
  <c r="A259" i="67"/>
  <c r="A260" i="67"/>
  <c r="A261" i="67"/>
  <c r="A262" i="67"/>
  <c r="A263" i="67"/>
  <c r="A264" i="67"/>
  <c r="A265" i="67"/>
  <c r="A266" i="67"/>
  <c r="A267" i="67"/>
  <c r="A268" i="67"/>
  <c r="A269" i="67"/>
  <c r="A270" i="67"/>
  <c r="A271" i="67"/>
  <c r="A272" i="67"/>
  <c r="A273" i="67"/>
  <c r="A274" i="67"/>
  <c r="A275" i="67"/>
  <c r="A276" i="67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8" i="1"/>
  <c r="H339" i="1"/>
  <c r="H259" i="1"/>
  <c r="H258" i="1"/>
  <c r="H208" i="1"/>
  <c r="H209" i="1"/>
  <c r="T258" i="63" l="1"/>
  <c r="AA258" i="63"/>
  <c r="T226" i="63"/>
  <c r="AA226" i="63"/>
  <c r="AB295" i="63"/>
  <c r="T295" i="63"/>
  <c r="AA295" i="63"/>
  <c r="T249" i="63"/>
  <c r="AA249" i="63"/>
  <c r="AB294" i="63"/>
  <c r="AA294" i="63"/>
  <c r="T294" i="63"/>
  <c r="AB256" i="63"/>
  <c r="T256" i="63"/>
  <c r="AA256" i="63"/>
  <c r="T248" i="63"/>
  <c r="AA248" i="63"/>
  <c r="T240" i="63"/>
  <c r="AA240" i="63"/>
  <c r="T232" i="63"/>
  <c r="AA232" i="63"/>
  <c r="AB224" i="63"/>
  <c r="T224" i="63"/>
  <c r="AA224" i="63"/>
  <c r="T216" i="63"/>
  <c r="AA216" i="63"/>
  <c r="T208" i="63"/>
  <c r="AA208" i="63"/>
  <c r="AA293" i="63"/>
  <c r="T293" i="63"/>
  <c r="AA285" i="63"/>
  <c r="T285" i="63"/>
  <c r="AA277" i="63"/>
  <c r="T277" i="63"/>
  <c r="AB269" i="63"/>
  <c r="AA269" i="63"/>
  <c r="T269" i="63"/>
  <c r="AB234" i="63"/>
  <c r="T234" i="63"/>
  <c r="AA234" i="63"/>
  <c r="T287" i="63"/>
  <c r="AA287" i="63"/>
  <c r="AB241" i="63"/>
  <c r="T241" i="63"/>
  <c r="AA241" i="63"/>
  <c r="AA286" i="63"/>
  <c r="T286" i="63"/>
  <c r="T263" i="63"/>
  <c r="AA263" i="63"/>
  <c r="T255" i="63"/>
  <c r="AA255" i="63"/>
  <c r="T247" i="63"/>
  <c r="AA247" i="63"/>
  <c r="AB239" i="63"/>
  <c r="T239" i="63"/>
  <c r="AA239" i="63"/>
  <c r="T231" i="63"/>
  <c r="AA231" i="63"/>
  <c r="T223" i="63"/>
  <c r="AA223" i="63"/>
  <c r="AB215" i="63"/>
  <c r="T215" i="63"/>
  <c r="AA215" i="63"/>
  <c r="T300" i="63"/>
  <c r="AA300" i="63"/>
  <c r="T292" i="63"/>
  <c r="AA292" i="63"/>
  <c r="T284" i="63"/>
  <c r="AA284" i="63"/>
  <c r="T276" i="63"/>
  <c r="AA276" i="63"/>
  <c r="T268" i="63"/>
  <c r="AA268" i="63"/>
  <c r="T250" i="63"/>
  <c r="AA250" i="63"/>
  <c r="AB257" i="63"/>
  <c r="T257" i="63"/>
  <c r="AA257" i="63"/>
  <c r="AB209" i="63"/>
  <c r="T209" i="63"/>
  <c r="AA209" i="63"/>
  <c r="AB262" i="63"/>
  <c r="AA262" i="63"/>
  <c r="T262" i="63"/>
  <c r="AA254" i="63"/>
  <c r="T254" i="63"/>
  <c r="AA246" i="63"/>
  <c r="T246" i="63"/>
  <c r="AA238" i="63"/>
  <c r="T238" i="63"/>
  <c r="AA230" i="63"/>
  <c r="T230" i="63"/>
  <c r="AA222" i="63"/>
  <c r="T222" i="63"/>
  <c r="AA214" i="63"/>
  <c r="T214" i="63"/>
  <c r="T299" i="63"/>
  <c r="AA299" i="63"/>
  <c r="T291" i="63"/>
  <c r="AA291" i="63"/>
  <c r="T283" i="63"/>
  <c r="AA283" i="63"/>
  <c r="T275" i="63"/>
  <c r="AA275" i="63"/>
  <c r="T267" i="63"/>
  <c r="AA267" i="63"/>
  <c r="T218" i="63"/>
  <c r="AA218" i="63"/>
  <c r="T271" i="63"/>
  <c r="AA271" i="63"/>
  <c r="T225" i="63"/>
  <c r="AA225" i="63"/>
  <c r="AA270" i="63"/>
  <c r="T270" i="63"/>
  <c r="AA261" i="63"/>
  <c r="T261" i="63"/>
  <c r="AA253" i="63"/>
  <c r="T253" i="63"/>
  <c r="AA245" i="63"/>
  <c r="T245" i="63"/>
  <c r="AA237" i="63"/>
  <c r="T237" i="63"/>
  <c r="AA229" i="63"/>
  <c r="T229" i="63"/>
  <c r="AA221" i="63"/>
  <c r="T221" i="63"/>
  <c r="AB213" i="63"/>
  <c r="AA213" i="63"/>
  <c r="T213" i="63"/>
  <c r="AB298" i="63"/>
  <c r="T298" i="63"/>
  <c r="AA298" i="63"/>
  <c r="AB290" i="63"/>
  <c r="T290" i="63"/>
  <c r="AA290" i="63"/>
  <c r="AB282" i="63"/>
  <c r="T282" i="63"/>
  <c r="AA282" i="63"/>
  <c r="T274" i="63"/>
  <c r="AA274" i="63"/>
  <c r="AB266" i="63"/>
  <c r="T266" i="63"/>
  <c r="AA266" i="63"/>
  <c r="T210" i="63"/>
  <c r="AA210" i="63"/>
  <c r="T217" i="63"/>
  <c r="AA217" i="63"/>
  <c r="T260" i="63"/>
  <c r="AA260" i="63"/>
  <c r="T252" i="63"/>
  <c r="AA252" i="63"/>
  <c r="T244" i="63"/>
  <c r="AA244" i="63"/>
  <c r="AB236" i="63"/>
  <c r="T236" i="63"/>
  <c r="AA236" i="63"/>
  <c r="T228" i="63"/>
  <c r="AA228" i="63"/>
  <c r="T220" i="63"/>
  <c r="AA220" i="63"/>
  <c r="T212" i="63"/>
  <c r="AA212" i="63"/>
  <c r="T297" i="63"/>
  <c r="AA297" i="63"/>
  <c r="T289" i="63"/>
  <c r="AA289" i="63"/>
  <c r="T281" i="63"/>
  <c r="AA281" i="63"/>
  <c r="T273" i="63"/>
  <c r="AA273" i="63"/>
  <c r="T265" i="63"/>
  <c r="AA265" i="63"/>
  <c r="T242" i="63"/>
  <c r="AA242" i="63"/>
  <c r="T279" i="63"/>
  <c r="AA279" i="63"/>
  <c r="T233" i="63"/>
  <c r="AA233" i="63"/>
  <c r="AB278" i="63"/>
  <c r="AA278" i="63"/>
  <c r="T278" i="63"/>
  <c r="T259" i="63"/>
  <c r="AA259" i="63"/>
  <c r="T251" i="63"/>
  <c r="AA251" i="63"/>
  <c r="T243" i="63"/>
  <c r="AA243" i="63"/>
  <c r="T235" i="63"/>
  <c r="AA235" i="63"/>
  <c r="T227" i="63"/>
  <c r="AA227" i="63"/>
  <c r="T219" i="63"/>
  <c r="AA219" i="63"/>
  <c r="T211" i="63"/>
  <c r="AA211" i="63"/>
  <c r="AB296" i="63"/>
  <c r="T296" i="63"/>
  <c r="AA296" i="63"/>
  <c r="T288" i="63"/>
  <c r="AA288" i="63"/>
  <c r="T280" i="63"/>
  <c r="AA280" i="63"/>
  <c r="T272" i="63"/>
  <c r="AA272" i="63"/>
  <c r="T264" i="63"/>
  <c r="AA264" i="63"/>
  <c r="Z297" i="5"/>
  <c r="AB297" i="5"/>
  <c r="AB289" i="5"/>
  <c r="Z281" i="5"/>
  <c r="AB281" i="5"/>
  <c r="AB273" i="5"/>
  <c r="AB265" i="5"/>
  <c r="W257" i="5"/>
  <c r="AB257" i="5"/>
  <c r="AB241" i="5"/>
  <c r="AB233" i="5"/>
  <c r="AB225" i="5"/>
  <c r="AB217" i="5"/>
  <c r="AB209" i="5"/>
  <c r="AB296" i="5"/>
  <c r="AB288" i="5"/>
  <c r="AB280" i="5"/>
  <c r="AB272" i="5"/>
  <c r="AB264" i="5"/>
  <c r="AB256" i="5"/>
  <c r="AB248" i="5"/>
  <c r="AB240" i="5"/>
  <c r="AB232" i="5"/>
  <c r="AB224" i="5"/>
  <c r="AB216" i="5"/>
  <c r="AB208" i="5"/>
  <c r="AB249" i="5"/>
  <c r="AB295" i="5"/>
  <c r="P287" i="5"/>
  <c r="AB287" i="5"/>
  <c r="AB279" i="5"/>
  <c r="AB271" i="5"/>
  <c r="AB263" i="5"/>
  <c r="AB255" i="5"/>
  <c r="Y247" i="5"/>
  <c r="AB247" i="5"/>
  <c r="AB239" i="5"/>
  <c r="AB231" i="5"/>
  <c r="AB223" i="5"/>
  <c r="AB215" i="5"/>
  <c r="AB278" i="5"/>
  <c r="AB270" i="5"/>
  <c r="AB262" i="5"/>
  <c r="AB246" i="5"/>
  <c r="AB222" i="5"/>
  <c r="AB285" i="5"/>
  <c r="AB277" i="5"/>
  <c r="AB269" i="5"/>
  <c r="AB261" i="5"/>
  <c r="AB253" i="5"/>
  <c r="AB245" i="5"/>
  <c r="AB237" i="5"/>
  <c r="AB229" i="5"/>
  <c r="AB221" i="5"/>
  <c r="AB213" i="5"/>
  <c r="AB300" i="5"/>
  <c r="X284" i="5"/>
  <c r="AB284" i="5"/>
  <c r="AB268" i="5"/>
  <c r="X260" i="5"/>
  <c r="AB260" i="5"/>
  <c r="AB252" i="5"/>
  <c r="AB236" i="5"/>
  <c r="AB228" i="5"/>
  <c r="X220" i="5"/>
  <c r="AB220" i="5"/>
  <c r="AB299" i="5"/>
  <c r="AB291" i="5"/>
  <c r="AB283" i="5"/>
  <c r="AB275" i="5"/>
  <c r="U267" i="5"/>
  <c r="AB267" i="5"/>
  <c r="AB259" i="5"/>
  <c r="AB251" i="5"/>
  <c r="AB243" i="5"/>
  <c r="AB235" i="5"/>
  <c r="AB227" i="5"/>
  <c r="AB219" i="5"/>
  <c r="AB211" i="5"/>
  <c r="Z298" i="5"/>
  <c r="AB298" i="5"/>
  <c r="AB290" i="5"/>
  <c r="AB282" i="5"/>
  <c r="AB274" i="5"/>
  <c r="AB266" i="5"/>
  <c r="AB258" i="5"/>
  <c r="AB250" i="5"/>
  <c r="Z242" i="5"/>
  <c r="AB242" i="5"/>
  <c r="AB234" i="5"/>
  <c r="AB226" i="5"/>
  <c r="AB218" i="5"/>
  <c r="AB210" i="5"/>
  <c r="S253" i="67"/>
  <c r="AB253" i="67"/>
  <c r="U260" i="67"/>
  <c r="AB260" i="67"/>
  <c r="AB244" i="67"/>
  <c r="Z226" i="67"/>
  <c r="AB226" i="67"/>
  <c r="U218" i="67"/>
  <c r="AB218" i="67"/>
  <c r="Z210" i="67"/>
  <c r="AB210" i="67"/>
  <c r="B281" i="67"/>
  <c r="AB281" i="67"/>
  <c r="R275" i="67"/>
  <c r="AB275" i="67"/>
  <c r="AB267" i="67"/>
  <c r="R259" i="67"/>
  <c r="AB259" i="67"/>
  <c r="L251" i="67"/>
  <c r="AB251" i="67"/>
  <c r="U243" i="67"/>
  <c r="AB243" i="67"/>
  <c r="O241" i="67"/>
  <c r="AB241" i="67"/>
  <c r="Z233" i="67"/>
  <c r="AB233" i="67"/>
  <c r="P225" i="67"/>
  <c r="AB225" i="67"/>
  <c r="U217" i="67"/>
  <c r="AB217" i="67"/>
  <c r="R209" i="67"/>
  <c r="AB209" i="67"/>
  <c r="L280" i="67"/>
  <c r="AB280" i="67"/>
  <c r="AB245" i="67"/>
  <c r="Z266" i="67"/>
  <c r="AB266" i="67"/>
  <c r="AB240" i="67"/>
  <c r="O232" i="67"/>
  <c r="AB232" i="67"/>
  <c r="X224" i="67"/>
  <c r="AB224" i="67"/>
  <c r="W216" i="67"/>
  <c r="AB216" i="67"/>
  <c r="E279" i="67"/>
  <c r="AB279" i="67"/>
  <c r="AB265" i="67"/>
  <c r="AB215" i="67"/>
  <c r="B278" i="67"/>
  <c r="AB278" i="67"/>
  <c r="P276" i="67"/>
  <c r="AB276" i="67"/>
  <c r="G242" i="67"/>
  <c r="AB242" i="67"/>
  <c r="AB258" i="67"/>
  <c r="X223" i="67"/>
  <c r="AB223" i="67"/>
  <c r="AB272" i="67"/>
  <c r="R264" i="67"/>
  <c r="AB264" i="67"/>
  <c r="X256" i="67"/>
  <c r="AB256" i="67"/>
  <c r="AA248" i="67"/>
  <c r="AB248" i="67"/>
  <c r="Y238" i="67"/>
  <c r="AB238" i="67"/>
  <c r="AB230" i="67"/>
  <c r="S222" i="67"/>
  <c r="AB222" i="67"/>
  <c r="AA214" i="67"/>
  <c r="AB214" i="67"/>
  <c r="X285" i="67"/>
  <c r="AB285" i="67"/>
  <c r="Z277" i="67"/>
  <c r="AB277" i="67"/>
  <c r="AB261" i="67"/>
  <c r="AB234" i="67"/>
  <c r="V257" i="67"/>
  <c r="AB257" i="67"/>
  <c r="AB231" i="67"/>
  <c r="V271" i="67"/>
  <c r="AB271" i="67"/>
  <c r="I263" i="67"/>
  <c r="AB263" i="67"/>
  <c r="X255" i="67"/>
  <c r="AB255" i="67"/>
  <c r="T247" i="67"/>
  <c r="AB247" i="67"/>
  <c r="U237" i="67"/>
  <c r="AB237" i="67"/>
  <c r="I229" i="67"/>
  <c r="AB229" i="67"/>
  <c r="O221" i="67"/>
  <c r="AB221" i="67"/>
  <c r="T213" i="67"/>
  <c r="AB213" i="67"/>
  <c r="AB284" i="67"/>
  <c r="L269" i="67"/>
  <c r="AB269" i="67"/>
  <c r="Q268" i="67"/>
  <c r="AB268" i="67"/>
  <c r="W252" i="67"/>
  <c r="AB252" i="67"/>
  <c r="K274" i="67"/>
  <c r="AB274" i="67"/>
  <c r="N250" i="67"/>
  <c r="AB250" i="67"/>
  <c r="H273" i="67"/>
  <c r="AB273" i="67"/>
  <c r="C249" i="67"/>
  <c r="AB249" i="67"/>
  <c r="V239" i="67"/>
  <c r="AB239" i="67"/>
  <c r="Y270" i="67"/>
  <c r="AB270" i="67"/>
  <c r="AB262" i="67"/>
  <c r="X254" i="67"/>
  <c r="AB254" i="67"/>
  <c r="AA246" i="67"/>
  <c r="AB246" i="67"/>
  <c r="X236" i="67"/>
  <c r="AB236" i="67"/>
  <c r="I228" i="67"/>
  <c r="AB228" i="67"/>
  <c r="AA220" i="67"/>
  <c r="AB220" i="67"/>
  <c r="O212" i="67"/>
  <c r="AB212" i="67"/>
  <c r="AB283" i="67"/>
  <c r="AB227" i="67"/>
  <c r="AB219" i="67"/>
  <c r="S211" i="67"/>
  <c r="AB211" i="67"/>
  <c r="K282" i="67"/>
  <c r="AB282" i="67"/>
  <c r="Z218" i="63"/>
  <c r="AB218" i="63"/>
  <c r="Q210" i="63"/>
  <c r="AB210" i="63"/>
  <c r="I297" i="63"/>
  <c r="AB297" i="63"/>
  <c r="O233" i="63"/>
  <c r="AB233" i="63"/>
  <c r="Z225" i="63"/>
  <c r="AB225" i="63"/>
  <c r="F217" i="63"/>
  <c r="AB217" i="63"/>
  <c r="H216" i="63"/>
  <c r="AB216" i="63"/>
  <c r="AB208" i="63"/>
  <c r="U287" i="63"/>
  <c r="AB287" i="63"/>
  <c r="U279" i="63"/>
  <c r="AB279" i="63"/>
  <c r="W271" i="63"/>
  <c r="AB271" i="63"/>
  <c r="AB281" i="63"/>
  <c r="AB265" i="63"/>
  <c r="F272" i="63"/>
  <c r="AB272" i="63"/>
  <c r="O270" i="63"/>
  <c r="AB270" i="63"/>
  <c r="AB249" i="63"/>
  <c r="Z248" i="63"/>
  <c r="AB248" i="63"/>
  <c r="Z240" i="63"/>
  <c r="AB240" i="63"/>
  <c r="L232" i="63"/>
  <c r="AB232" i="63"/>
  <c r="U263" i="63"/>
  <c r="AB263" i="63"/>
  <c r="Y255" i="63"/>
  <c r="AB255" i="63"/>
  <c r="S247" i="63"/>
  <c r="AB247" i="63"/>
  <c r="U293" i="63"/>
  <c r="AB293" i="63"/>
  <c r="E285" i="63"/>
  <c r="AB285" i="63"/>
  <c r="Y277" i="63"/>
  <c r="AB277" i="63"/>
  <c r="Z258" i="63"/>
  <c r="AB258" i="63"/>
  <c r="R250" i="63"/>
  <c r="AB250" i="63"/>
  <c r="Z242" i="63"/>
  <c r="AB242" i="63"/>
  <c r="Z226" i="63"/>
  <c r="AB226" i="63"/>
  <c r="R231" i="63"/>
  <c r="AB231" i="63"/>
  <c r="R223" i="63"/>
  <c r="AB223" i="63"/>
  <c r="Y246" i="63"/>
  <c r="AB246" i="63"/>
  <c r="Z230" i="63"/>
  <c r="AB230" i="63"/>
  <c r="Y214" i="63"/>
  <c r="AB214" i="63"/>
  <c r="AB261" i="63"/>
  <c r="AB253" i="63"/>
  <c r="AB245" i="63"/>
  <c r="AB237" i="63"/>
  <c r="Q229" i="63"/>
  <c r="AB229" i="63"/>
  <c r="M221" i="63"/>
  <c r="AB221" i="63"/>
  <c r="S300" i="63"/>
  <c r="AB300" i="63"/>
  <c r="U292" i="63"/>
  <c r="AB292" i="63"/>
  <c r="J284" i="63"/>
  <c r="AB284" i="63"/>
  <c r="U276" i="63"/>
  <c r="AB276" i="63"/>
  <c r="U268" i="63"/>
  <c r="AB268" i="63"/>
  <c r="AB289" i="63"/>
  <c r="AB273" i="63"/>
  <c r="U288" i="63"/>
  <c r="AB288" i="63"/>
  <c r="F280" i="63"/>
  <c r="AB280" i="63"/>
  <c r="U264" i="63"/>
  <c r="AB264" i="63"/>
  <c r="U286" i="63"/>
  <c r="AB286" i="63"/>
  <c r="Y254" i="63"/>
  <c r="AB254" i="63"/>
  <c r="P238" i="63"/>
  <c r="AB238" i="63"/>
  <c r="L222" i="63"/>
  <c r="AB222" i="63"/>
  <c r="V260" i="63"/>
  <c r="AB260" i="63"/>
  <c r="AB252" i="63"/>
  <c r="X244" i="63"/>
  <c r="AB244" i="63"/>
  <c r="U228" i="63"/>
  <c r="AB228" i="63"/>
  <c r="U220" i="63"/>
  <c r="AB220" i="63"/>
  <c r="X212" i="63"/>
  <c r="AB212" i="63"/>
  <c r="U299" i="63"/>
  <c r="AB299" i="63"/>
  <c r="U291" i="63"/>
  <c r="AB291" i="63"/>
  <c r="N283" i="63"/>
  <c r="AB283" i="63"/>
  <c r="U275" i="63"/>
  <c r="AB275" i="63"/>
  <c r="U267" i="63"/>
  <c r="AB267" i="63"/>
  <c r="X259" i="63"/>
  <c r="AB259" i="63"/>
  <c r="Y251" i="63"/>
  <c r="AB251" i="63"/>
  <c r="X243" i="63"/>
  <c r="AB243" i="63"/>
  <c r="Y235" i="63"/>
  <c r="AB235" i="63"/>
  <c r="X227" i="63"/>
  <c r="AB227" i="63"/>
  <c r="Y219" i="63"/>
  <c r="AB219" i="63"/>
  <c r="X211" i="63"/>
  <c r="AB211" i="63"/>
  <c r="X274" i="63"/>
  <c r="AB274" i="63"/>
  <c r="W209" i="5"/>
  <c r="N215" i="67"/>
  <c r="Y279" i="67"/>
  <c r="X239" i="67"/>
  <c r="V231" i="67"/>
  <c r="Q279" i="67"/>
  <c r="O231" i="67"/>
  <c r="O279" i="67"/>
  <c r="AA225" i="67"/>
  <c r="T241" i="67"/>
  <c r="S215" i="67"/>
  <c r="K281" i="67"/>
  <c r="Q241" i="67"/>
  <c r="C279" i="67"/>
  <c r="W265" i="67"/>
  <c r="X284" i="67"/>
  <c r="V292" i="63"/>
  <c r="W223" i="67"/>
  <c r="W279" i="67"/>
  <c r="Q284" i="63"/>
  <c r="W215" i="67"/>
  <c r="Q284" i="67"/>
  <c r="U289" i="63"/>
  <c r="AA215" i="67"/>
  <c r="Y241" i="67"/>
  <c r="W251" i="67"/>
  <c r="V221" i="67"/>
  <c r="S271" i="67"/>
  <c r="Q215" i="67"/>
  <c r="Z282" i="67"/>
  <c r="Q283" i="67"/>
  <c r="I280" i="67"/>
  <c r="AA265" i="67"/>
  <c r="Z251" i="67"/>
  <c r="X267" i="67"/>
  <c r="U268" i="67"/>
  <c r="S265" i="67"/>
  <c r="P248" i="67"/>
  <c r="Y284" i="67"/>
  <c r="Q282" i="67"/>
  <c r="AA264" i="67"/>
  <c r="X257" i="67"/>
  <c r="W233" i="67"/>
  <c r="U257" i="67"/>
  <c r="S232" i="67"/>
  <c r="Y247" i="67"/>
  <c r="AA251" i="67"/>
  <c r="Y278" i="67"/>
  <c r="P283" i="67"/>
  <c r="M231" i="63"/>
  <c r="Z232" i="67"/>
  <c r="U239" i="67"/>
  <c r="R276" i="67"/>
  <c r="M252" i="67"/>
  <c r="Z223" i="67"/>
  <c r="X215" i="67"/>
  <c r="V249" i="67"/>
  <c r="U231" i="67"/>
  <c r="R251" i="67"/>
  <c r="M223" i="67"/>
  <c r="Z288" i="63"/>
  <c r="AA239" i="67"/>
  <c r="Y267" i="67"/>
  <c r="W273" i="67"/>
  <c r="V238" i="67"/>
  <c r="U209" i="67"/>
  <c r="R215" i="67"/>
  <c r="J242" i="67"/>
  <c r="AA280" i="67"/>
  <c r="S282" i="67"/>
  <c r="M280" i="67"/>
  <c r="AA270" i="67"/>
  <c r="I230" i="63"/>
  <c r="V276" i="63"/>
  <c r="AA267" i="67"/>
  <c r="AA250" i="67"/>
  <c r="AA241" i="67"/>
  <c r="AA223" i="67"/>
  <c r="Z250" i="67"/>
  <c r="Z231" i="67"/>
  <c r="Y259" i="67"/>
  <c r="Y229" i="67"/>
  <c r="X265" i="67"/>
  <c r="X212" i="67"/>
  <c r="W249" i="67"/>
  <c r="W231" i="67"/>
  <c r="V246" i="67"/>
  <c r="U267" i="67"/>
  <c r="U208" i="67"/>
  <c r="T221" i="67"/>
  <c r="S229" i="67"/>
  <c r="R241" i="67"/>
  <c r="Q231" i="67"/>
  <c r="P231" i="67"/>
  <c r="O225" i="67"/>
  <c r="M251" i="67"/>
  <c r="H217" i="67"/>
  <c r="Y282" i="67"/>
  <c r="V280" i="67"/>
  <c r="S280" i="67"/>
  <c r="Q281" i="67"/>
  <c r="N282" i="67"/>
  <c r="K280" i="67"/>
  <c r="H282" i="67"/>
  <c r="B279" i="67"/>
  <c r="S264" i="5"/>
  <c r="U297" i="63"/>
  <c r="AA266" i="67"/>
  <c r="AA249" i="67"/>
  <c r="AA240" i="67"/>
  <c r="AA217" i="67"/>
  <c r="Z249" i="67"/>
  <c r="Z230" i="67"/>
  <c r="Y248" i="67"/>
  <c r="Y228" i="67"/>
  <c r="X264" i="67"/>
  <c r="W275" i="67"/>
  <c r="W243" i="67"/>
  <c r="W225" i="67"/>
  <c r="U265" i="67"/>
  <c r="U241" i="67"/>
  <c r="T274" i="67"/>
  <c r="S273" i="67"/>
  <c r="S223" i="67"/>
  <c r="R240" i="67"/>
  <c r="Q226" i="67"/>
  <c r="P212" i="67"/>
  <c r="O209" i="67"/>
  <c r="M233" i="67"/>
  <c r="H214" i="67"/>
  <c r="Y281" i="67"/>
  <c r="V279" i="67"/>
  <c r="S279" i="67"/>
  <c r="Q280" i="67"/>
  <c r="N279" i="67"/>
  <c r="K279" i="67"/>
  <c r="H279" i="67"/>
  <c r="AA243" i="67"/>
  <c r="AA216" i="67"/>
  <c r="Y225" i="67"/>
  <c r="X262" i="67"/>
  <c r="U259" i="67"/>
  <c r="T267" i="67"/>
  <c r="Q225" i="67"/>
  <c r="O273" i="67"/>
  <c r="N266" i="67"/>
  <c r="E267" i="67"/>
  <c r="V277" i="67"/>
  <c r="R282" i="67"/>
  <c r="N277" i="67"/>
  <c r="J282" i="67"/>
  <c r="G282" i="67"/>
  <c r="B277" i="67"/>
  <c r="AA233" i="67"/>
  <c r="Z216" i="67"/>
  <c r="Y246" i="67"/>
  <c r="Y217" i="67"/>
  <c r="T259" i="67"/>
  <c r="R212" i="67"/>
  <c r="O259" i="67"/>
  <c r="L241" i="67"/>
  <c r="E208" i="67"/>
  <c r="U281" i="67"/>
  <c r="R281" i="67"/>
  <c r="J281" i="67"/>
  <c r="G281" i="67"/>
  <c r="AA248" i="5"/>
  <c r="Z264" i="63"/>
  <c r="S292" i="63"/>
  <c r="AA259" i="67"/>
  <c r="AA231" i="67"/>
  <c r="Z273" i="67"/>
  <c r="Z209" i="67"/>
  <c r="Y243" i="67"/>
  <c r="Y213" i="67"/>
  <c r="X247" i="67"/>
  <c r="X228" i="67"/>
  <c r="W262" i="67"/>
  <c r="W209" i="67"/>
  <c r="V223" i="67"/>
  <c r="U250" i="67"/>
  <c r="U230" i="67"/>
  <c r="T255" i="67"/>
  <c r="S257" i="67"/>
  <c r="R272" i="67"/>
  <c r="Q267" i="67"/>
  <c r="P275" i="67"/>
  <c r="O249" i="67"/>
  <c r="C223" i="67"/>
  <c r="Z281" i="67"/>
  <c r="U279" i="67"/>
  <c r="R279" i="67"/>
  <c r="P282" i="67"/>
  <c r="J279" i="67"/>
  <c r="G279" i="67"/>
  <c r="S273" i="63"/>
  <c r="AA275" i="67"/>
  <c r="AA257" i="67"/>
  <c r="AA230" i="67"/>
  <c r="AA209" i="67"/>
  <c r="Z241" i="67"/>
  <c r="Y275" i="67"/>
  <c r="Y209" i="67"/>
  <c r="X246" i="67"/>
  <c r="X225" i="67"/>
  <c r="W259" i="67"/>
  <c r="W241" i="67"/>
  <c r="V273" i="67"/>
  <c r="U249" i="67"/>
  <c r="U225" i="67"/>
  <c r="R267" i="67"/>
  <c r="Q251" i="67"/>
  <c r="P257" i="67"/>
  <c r="K257" i="67"/>
  <c r="B231" i="67"/>
  <c r="AA282" i="67"/>
  <c r="Z279" i="67"/>
  <c r="T282" i="67"/>
  <c r="P281" i="67"/>
  <c r="I282" i="67"/>
  <c r="F282" i="67"/>
  <c r="O255" i="63"/>
  <c r="V300" i="63"/>
  <c r="R287" i="63"/>
  <c r="AA273" i="67"/>
  <c r="AA254" i="67"/>
  <c r="AA228" i="67"/>
  <c r="Z259" i="67"/>
  <c r="Y268" i="67"/>
  <c r="X275" i="67"/>
  <c r="X243" i="67"/>
  <c r="X217" i="67"/>
  <c r="W254" i="67"/>
  <c r="W236" i="67"/>
  <c r="U275" i="67"/>
  <c r="U215" i="67"/>
  <c r="Q247" i="67"/>
  <c r="P251" i="67"/>
  <c r="AA281" i="67"/>
  <c r="X282" i="67"/>
  <c r="T281" i="67"/>
  <c r="O282" i="67"/>
  <c r="L279" i="67"/>
  <c r="I281" i="67"/>
  <c r="F279" i="67"/>
  <c r="Z250" i="5"/>
  <c r="W235" i="67"/>
  <c r="W219" i="67"/>
  <c r="V268" i="67"/>
  <c r="V218" i="67"/>
  <c r="U242" i="67"/>
  <c r="T252" i="67"/>
  <c r="R245" i="67"/>
  <c r="R234" i="67"/>
  <c r="Q276" i="67"/>
  <c r="P211" i="67"/>
  <c r="N252" i="67"/>
  <c r="J235" i="67"/>
  <c r="C276" i="67"/>
  <c r="V262" i="5"/>
  <c r="V238" i="5"/>
  <c r="V236" i="63"/>
  <c r="Y236" i="63"/>
  <c r="T227" i="67"/>
  <c r="Y263" i="67"/>
  <c r="Y242" i="67"/>
  <c r="Y227" i="67"/>
  <c r="W234" i="67"/>
  <c r="V263" i="67"/>
  <c r="V235" i="67"/>
  <c r="V213" i="67"/>
  <c r="U248" i="67"/>
  <c r="U222" i="67"/>
  <c r="T269" i="67"/>
  <c r="T218" i="67"/>
  <c r="S261" i="67"/>
  <c r="R230" i="67"/>
  <c r="Q269" i="67"/>
  <c r="M234" i="67"/>
  <c r="K270" i="67"/>
  <c r="C226" i="67"/>
  <c r="X260" i="63"/>
  <c r="X228" i="63"/>
  <c r="R211" i="63"/>
  <c r="W287" i="63"/>
  <c r="U281" i="63"/>
  <c r="B274" i="67"/>
  <c r="G274" i="67"/>
  <c r="F274" i="67"/>
  <c r="E274" i="67"/>
  <c r="I274" i="67"/>
  <c r="H274" i="67"/>
  <c r="L274" i="67"/>
  <c r="N274" i="67"/>
  <c r="O274" i="67"/>
  <c r="Q274" i="67"/>
  <c r="V274" i="67"/>
  <c r="Y274" i="67"/>
  <c r="C274" i="67"/>
  <c r="P274" i="67"/>
  <c r="S274" i="67"/>
  <c r="Z274" i="67"/>
  <c r="U274" i="67"/>
  <c r="R274" i="67"/>
  <c r="M274" i="67"/>
  <c r="B266" i="67"/>
  <c r="G266" i="67"/>
  <c r="I266" i="67"/>
  <c r="C266" i="67"/>
  <c r="J266" i="67"/>
  <c r="L266" i="67"/>
  <c r="Q266" i="67"/>
  <c r="V266" i="67"/>
  <c r="H266" i="67"/>
  <c r="O266" i="67"/>
  <c r="Y266" i="67"/>
  <c r="K266" i="67"/>
  <c r="M266" i="67"/>
  <c r="F266" i="67"/>
  <c r="S266" i="67"/>
  <c r="U266" i="67"/>
  <c r="T266" i="67"/>
  <c r="B258" i="67"/>
  <c r="G258" i="67"/>
  <c r="C258" i="67"/>
  <c r="I258" i="67"/>
  <c r="E258" i="67"/>
  <c r="K258" i="67"/>
  <c r="Q258" i="67"/>
  <c r="L258" i="67"/>
  <c r="V258" i="67"/>
  <c r="N258" i="67"/>
  <c r="Y258" i="67"/>
  <c r="O258" i="67"/>
  <c r="M258" i="67"/>
  <c r="X258" i="67"/>
  <c r="H258" i="67"/>
  <c r="R258" i="67"/>
  <c r="W258" i="67"/>
  <c r="J258" i="67"/>
  <c r="B250" i="67"/>
  <c r="E250" i="67"/>
  <c r="F250" i="67"/>
  <c r="G250" i="67"/>
  <c r="I250" i="67"/>
  <c r="C250" i="67"/>
  <c r="J250" i="67"/>
  <c r="H250" i="67"/>
  <c r="K250" i="67"/>
  <c r="Q250" i="67"/>
  <c r="V250" i="67"/>
  <c r="Y250" i="67"/>
  <c r="M250" i="67"/>
  <c r="T250" i="67"/>
  <c r="S250" i="67"/>
  <c r="L250" i="67"/>
  <c r="O250" i="67"/>
  <c r="W250" i="67"/>
  <c r="P250" i="67"/>
  <c r="R250" i="67"/>
  <c r="B240" i="67"/>
  <c r="G240" i="67"/>
  <c r="E240" i="67"/>
  <c r="I240" i="67"/>
  <c r="P240" i="67"/>
  <c r="C240" i="67"/>
  <c r="J240" i="67"/>
  <c r="H240" i="67"/>
  <c r="Q240" i="67"/>
  <c r="V240" i="67"/>
  <c r="N240" i="67"/>
  <c r="Y240" i="67"/>
  <c r="K240" i="67"/>
  <c r="L240" i="67"/>
  <c r="O240" i="67"/>
  <c r="X240" i="67"/>
  <c r="M240" i="67"/>
  <c r="W240" i="67"/>
  <c r="F240" i="67"/>
  <c r="B232" i="67"/>
  <c r="G232" i="67"/>
  <c r="I232" i="67"/>
  <c r="E232" i="67"/>
  <c r="P232" i="67"/>
  <c r="K232" i="67"/>
  <c r="F232" i="67"/>
  <c r="N232" i="67"/>
  <c r="Q232" i="67"/>
  <c r="L232" i="67"/>
  <c r="V232" i="67"/>
  <c r="J232" i="67"/>
  <c r="Y232" i="67"/>
  <c r="H232" i="67"/>
  <c r="M232" i="67"/>
  <c r="R232" i="67"/>
  <c r="T232" i="67"/>
  <c r="C232" i="67"/>
  <c r="W232" i="67"/>
  <c r="B224" i="67"/>
  <c r="G224" i="67"/>
  <c r="C224" i="67"/>
  <c r="H224" i="67"/>
  <c r="I224" i="67"/>
  <c r="L224" i="67"/>
  <c r="P224" i="67"/>
  <c r="O224" i="67"/>
  <c r="Q224" i="67"/>
  <c r="E224" i="67"/>
  <c r="M224" i="67"/>
  <c r="N224" i="67"/>
  <c r="V224" i="67"/>
  <c r="Y224" i="67"/>
  <c r="F224" i="67"/>
  <c r="K224" i="67"/>
  <c r="S224" i="67"/>
  <c r="Z224" i="67"/>
  <c r="U224" i="67"/>
  <c r="R224" i="67"/>
  <c r="T224" i="67"/>
  <c r="J224" i="67"/>
  <c r="B216" i="67"/>
  <c r="G216" i="67"/>
  <c r="F216" i="67"/>
  <c r="H216" i="67"/>
  <c r="I216" i="67"/>
  <c r="C216" i="67"/>
  <c r="P216" i="67"/>
  <c r="M216" i="67"/>
  <c r="E216" i="67"/>
  <c r="J216" i="67"/>
  <c r="L216" i="67"/>
  <c r="Q216" i="67"/>
  <c r="O216" i="67"/>
  <c r="V216" i="67"/>
  <c r="Y216" i="67"/>
  <c r="K216" i="67"/>
  <c r="N216" i="67"/>
  <c r="S216" i="67"/>
  <c r="U216" i="67"/>
  <c r="B208" i="67"/>
  <c r="G208" i="67"/>
  <c r="I208" i="67"/>
  <c r="F208" i="67"/>
  <c r="H208" i="67"/>
  <c r="P208" i="67"/>
  <c r="K208" i="67"/>
  <c r="Q208" i="67"/>
  <c r="M208" i="67"/>
  <c r="V208" i="67"/>
  <c r="J208" i="67"/>
  <c r="N208" i="67"/>
  <c r="Y208" i="67"/>
  <c r="C208" i="67"/>
  <c r="O208" i="67"/>
  <c r="L208" i="67"/>
  <c r="X208" i="67"/>
  <c r="T208" i="67"/>
  <c r="W208" i="67"/>
  <c r="R208" i="67"/>
  <c r="AA274" i="67"/>
  <c r="AA262" i="67"/>
  <c r="AA238" i="67"/>
  <c r="AA224" i="67"/>
  <c r="AA212" i="67"/>
  <c r="Z261" i="67"/>
  <c r="Z248" i="67"/>
  <c r="Z242" i="67"/>
  <c r="Y260" i="67"/>
  <c r="Y245" i="67"/>
  <c r="X238" i="67"/>
  <c r="X222" i="67"/>
  <c r="W274" i="67"/>
  <c r="W253" i="67"/>
  <c r="V262" i="67"/>
  <c r="V234" i="67"/>
  <c r="V212" i="67"/>
  <c r="U240" i="67"/>
  <c r="U221" i="67"/>
  <c r="T268" i="67"/>
  <c r="T246" i="67"/>
  <c r="T240" i="67"/>
  <c r="T216" i="67"/>
  <c r="S258" i="67"/>
  <c r="R266" i="67"/>
  <c r="R227" i="67"/>
  <c r="O270" i="67"/>
  <c r="I262" i="67"/>
  <c r="U277" i="63"/>
  <c r="M277" i="63"/>
  <c r="U269" i="63"/>
  <c r="Y269" i="63"/>
  <c r="S245" i="67"/>
  <c r="E276" i="67"/>
  <c r="F276" i="67"/>
  <c r="H276" i="67"/>
  <c r="G276" i="67"/>
  <c r="K276" i="67"/>
  <c r="I276" i="67"/>
  <c r="J276" i="67"/>
  <c r="L276" i="67"/>
  <c r="M276" i="67"/>
  <c r="X276" i="67"/>
  <c r="B276" i="67"/>
  <c r="O276" i="67"/>
  <c r="S276" i="67"/>
  <c r="N276" i="67"/>
  <c r="V276" i="67"/>
  <c r="AA276" i="67"/>
  <c r="U276" i="67"/>
  <c r="Y276" i="67"/>
  <c r="T276" i="67"/>
  <c r="E260" i="67"/>
  <c r="C260" i="67"/>
  <c r="F260" i="67"/>
  <c r="H260" i="67"/>
  <c r="K260" i="67"/>
  <c r="B260" i="67"/>
  <c r="G260" i="67"/>
  <c r="I260" i="67"/>
  <c r="N260" i="67"/>
  <c r="M260" i="67"/>
  <c r="X260" i="67"/>
  <c r="J260" i="67"/>
  <c r="S260" i="67"/>
  <c r="L260" i="67"/>
  <c r="T260" i="67"/>
  <c r="AA260" i="67"/>
  <c r="P260" i="67"/>
  <c r="R260" i="67"/>
  <c r="W260" i="67"/>
  <c r="V260" i="67"/>
  <c r="E244" i="67"/>
  <c r="B244" i="67"/>
  <c r="H244" i="67"/>
  <c r="K244" i="67"/>
  <c r="F244" i="67"/>
  <c r="I244" i="67"/>
  <c r="C244" i="67"/>
  <c r="L244" i="67"/>
  <c r="G244" i="67"/>
  <c r="M244" i="67"/>
  <c r="X244" i="67"/>
  <c r="O244" i="67"/>
  <c r="P244" i="67"/>
  <c r="Q244" i="67"/>
  <c r="S244" i="67"/>
  <c r="N244" i="67"/>
  <c r="J244" i="67"/>
  <c r="V244" i="67"/>
  <c r="AA244" i="67"/>
  <c r="R244" i="67"/>
  <c r="U244" i="67"/>
  <c r="Y244" i="67"/>
  <c r="T244" i="67"/>
  <c r="E242" i="67"/>
  <c r="H242" i="67"/>
  <c r="F242" i="67"/>
  <c r="K242" i="67"/>
  <c r="I242" i="67"/>
  <c r="B242" i="67"/>
  <c r="C242" i="67"/>
  <c r="L242" i="67"/>
  <c r="O242" i="67"/>
  <c r="P242" i="67"/>
  <c r="M242" i="67"/>
  <c r="X242" i="67"/>
  <c r="S242" i="67"/>
  <c r="N242" i="67"/>
  <c r="Q242" i="67"/>
  <c r="T242" i="67"/>
  <c r="AA242" i="67"/>
  <c r="W242" i="67"/>
  <c r="V242" i="67"/>
  <c r="E226" i="67"/>
  <c r="G226" i="67"/>
  <c r="K226" i="67"/>
  <c r="B226" i="67"/>
  <c r="I226" i="67"/>
  <c r="F226" i="67"/>
  <c r="J226" i="67"/>
  <c r="H226" i="67"/>
  <c r="L226" i="67"/>
  <c r="M226" i="67"/>
  <c r="O226" i="67"/>
  <c r="X226" i="67"/>
  <c r="S226" i="67"/>
  <c r="N226" i="67"/>
  <c r="V226" i="67"/>
  <c r="AA226" i="67"/>
  <c r="U226" i="67"/>
  <c r="Y226" i="67"/>
  <c r="T226" i="67"/>
  <c r="P226" i="67"/>
  <c r="E210" i="67"/>
  <c r="C210" i="67"/>
  <c r="F210" i="67"/>
  <c r="O210" i="67"/>
  <c r="B210" i="67"/>
  <c r="K210" i="67"/>
  <c r="G210" i="67"/>
  <c r="I210" i="67"/>
  <c r="H210" i="67"/>
  <c r="M210" i="67"/>
  <c r="R210" i="67"/>
  <c r="X210" i="67"/>
  <c r="S210" i="67"/>
  <c r="N210" i="67"/>
  <c r="J210" i="67"/>
  <c r="P210" i="67"/>
  <c r="AA210" i="67"/>
  <c r="L210" i="67"/>
  <c r="Q210" i="67"/>
  <c r="W210" i="67"/>
  <c r="V210" i="67"/>
  <c r="W279" i="63"/>
  <c r="U273" i="63"/>
  <c r="N267" i="63"/>
  <c r="AA236" i="67"/>
  <c r="Z260" i="67"/>
  <c r="Z244" i="67"/>
  <c r="Z208" i="67"/>
  <c r="Y220" i="67"/>
  <c r="X274" i="67"/>
  <c r="X237" i="67"/>
  <c r="W212" i="67"/>
  <c r="V261" i="67"/>
  <c r="V211" i="67"/>
  <c r="T245" i="67"/>
  <c r="T237" i="67"/>
  <c r="S221" i="67"/>
  <c r="R226" i="67"/>
  <c r="O260" i="67"/>
  <c r="N234" i="67"/>
  <c r="F261" i="67"/>
  <c r="B236" i="67"/>
  <c r="Y285" i="63"/>
  <c r="Z269" i="67"/>
  <c r="E268" i="67"/>
  <c r="F268" i="67"/>
  <c r="B268" i="67"/>
  <c r="H268" i="67"/>
  <c r="K268" i="67"/>
  <c r="I268" i="67"/>
  <c r="X268" i="67"/>
  <c r="S268" i="67"/>
  <c r="C268" i="67"/>
  <c r="J268" i="67"/>
  <c r="O268" i="67"/>
  <c r="R268" i="67"/>
  <c r="AA268" i="67"/>
  <c r="W268" i="67"/>
  <c r="N268" i="67"/>
  <c r="P268" i="67"/>
  <c r="G268" i="67"/>
  <c r="E252" i="67"/>
  <c r="B252" i="67"/>
  <c r="C252" i="67"/>
  <c r="F252" i="67"/>
  <c r="H252" i="67"/>
  <c r="K252" i="67"/>
  <c r="I252" i="67"/>
  <c r="L252" i="67"/>
  <c r="G252" i="67"/>
  <c r="J252" i="67"/>
  <c r="P252" i="67"/>
  <c r="Q252" i="67"/>
  <c r="X252" i="67"/>
  <c r="S252" i="67"/>
  <c r="Z252" i="67"/>
  <c r="AA252" i="67"/>
  <c r="U252" i="67"/>
  <c r="Y252" i="67"/>
  <c r="O252" i="67"/>
  <c r="E234" i="67"/>
  <c r="B234" i="67"/>
  <c r="G234" i="67"/>
  <c r="H234" i="67"/>
  <c r="K234" i="67"/>
  <c r="I234" i="67"/>
  <c r="C234" i="67"/>
  <c r="L234" i="67"/>
  <c r="X234" i="67"/>
  <c r="S234" i="67"/>
  <c r="J234" i="67"/>
  <c r="O234" i="67"/>
  <c r="Z234" i="67"/>
  <c r="AA234" i="67"/>
  <c r="U234" i="67"/>
  <c r="Y234" i="67"/>
  <c r="F234" i="67"/>
  <c r="Q234" i="67"/>
  <c r="E218" i="67"/>
  <c r="F218" i="67"/>
  <c r="K218" i="67"/>
  <c r="H218" i="67"/>
  <c r="I218" i="67"/>
  <c r="G218" i="67"/>
  <c r="C218" i="67"/>
  <c r="X218" i="67"/>
  <c r="P218" i="67"/>
  <c r="S218" i="67"/>
  <c r="B218" i="67"/>
  <c r="L218" i="67"/>
  <c r="O218" i="67"/>
  <c r="AA218" i="67"/>
  <c r="R218" i="67"/>
  <c r="W218" i="67"/>
  <c r="M218" i="67"/>
  <c r="J218" i="67"/>
  <c r="N218" i="67"/>
  <c r="Q218" i="67"/>
  <c r="Y263" i="63"/>
  <c r="G247" i="63"/>
  <c r="W247" i="63"/>
  <c r="U239" i="63"/>
  <c r="V239" i="63"/>
  <c r="V215" i="63"/>
  <c r="Q215" i="63"/>
  <c r="Z228" i="63"/>
  <c r="W215" i="63"/>
  <c r="N225" i="63"/>
  <c r="Z296" i="63"/>
  <c r="U280" i="63"/>
  <c r="Z280" i="63"/>
  <c r="Z272" i="63"/>
  <c r="U265" i="63"/>
  <c r="K287" i="63"/>
  <c r="C272" i="67"/>
  <c r="L272" i="67"/>
  <c r="N272" i="67"/>
  <c r="F272" i="67"/>
  <c r="K272" i="67"/>
  <c r="B272" i="67"/>
  <c r="H272" i="67"/>
  <c r="I272" i="67"/>
  <c r="T272" i="67"/>
  <c r="G272" i="67"/>
  <c r="P272" i="67"/>
  <c r="W272" i="67"/>
  <c r="E272" i="67"/>
  <c r="Q272" i="67"/>
  <c r="Y272" i="67"/>
  <c r="M272" i="67"/>
  <c r="O272" i="67"/>
  <c r="L264" i="67"/>
  <c r="F264" i="67"/>
  <c r="N264" i="67"/>
  <c r="C264" i="67"/>
  <c r="H264" i="67"/>
  <c r="J264" i="67"/>
  <c r="G264" i="67"/>
  <c r="K264" i="67"/>
  <c r="O264" i="67"/>
  <c r="T264" i="67"/>
  <c r="W264" i="67"/>
  <c r="M264" i="67"/>
  <c r="P264" i="67"/>
  <c r="E264" i="67"/>
  <c r="Q264" i="67"/>
  <c r="I264" i="67"/>
  <c r="V264" i="67"/>
  <c r="Z264" i="67"/>
  <c r="S264" i="67"/>
  <c r="U264" i="67"/>
  <c r="Y264" i="67"/>
  <c r="B264" i="67"/>
  <c r="B256" i="67"/>
  <c r="G256" i="67"/>
  <c r="L256" i="67"/>
  <c r="N256" i="67"/>
  <c r="E256" i="67"/>
  <c r="I256" i="67"/>
  <c r="F256" i="67"/>
  <c r="M256" i="67"/>
  <c r="O256" i="67"/>
  <c r="C256" i="67"/>
  <c r="T256" i="67"/>
  <c r="W256" i="67"/>
  <c r="P256" i="67"/>
  <c r="R256" i="67"/>
  <c r="U256" i="67"/>
  <c r="J256" i="67"/>
  <c r="K256" i="67"/>
  <c r="S256" i="67"/>
  <c r="E248" i="67"/>
  <c r="L248" i="67"/>
  <c r="C248" i="67"/>
  <c r="G248" i="67"/>
  <c r="N248" i="67"/>
  <c r="B248" i="67"/>
  <c r="F248" i="67"/>
  <c r="J248" i="67"/>
  <c r="I248" i="67"/>
  <c r="T248" i="67"/>
  <c r="M248" i="67"/>
  <c r="W248" i="67"/>
  <c r="K248" i="67"/>
  <c r="O248" i="67"/>
  <c r="X248" i="67"/>
  <c r="Q248" i="67"/>
  <c r="R248" i="67"/>
  <c r="V248" i="67"/>
  <c r="B238" i="67"/>
  <c r="C238" i="67"/>
  <c r="E238" i="67"/>
  <c r="L238" i="67"/>
  <c r="N238" i="67"/>
  <c r="H238" i="67"/>
  <c r="J238" i="67"/>
  <c r="G238" i="67"/>
  <c r="I238" i="67"/>
  <c r="Q238" i="67"/>
  <c r="T238" i="67"/>
  <c r="K238" i="67"/>
  <c r="O238" i="67"/>
  <c r="P238" i="67"/>
  <c r="W238" i="67"/>
  <c r="M238" i="67"/>
  <c r="S238" i="67"/>
  <c r="F238" i="67"/>
  <c r="U238" i="67"/>
  <c r="R238" i="67"/>
  <c r="B230" i="67"/>
  <c r="C230" i="67"/>
  <c r="L230" i="67"/>
  <c r="F230" i="67"/>
  <c r="N230" i="67"/>
  <c r="I230" i="67"/>
  <c r="H230" i="67"/>
  <c r="J230" i="67"/>
  <c r="T230" i="67"/>
  <c r="E230" i="67"/>
  <c r="G230" i="67"/>
  <c r="M230" i="67"/>
  <c r="Q230" i="67"/>
  <c r="W230" i="67"/>
  <c r="O230" i="67"/>
  <c r="P230" i="67"/>
  <c r="X230" i="67"/>
  <c r="S230" i="67"/>
  <c r="K230" i="67"/>
  <c r="V230" i="67"/>
  <c r="B222" i="67"/>
  <c r="L222" i="67"/>
  <c r="N222" i="67"/>
  <c r="H222" i="67"/>
  <c r="C222" i="67"/>
  <c r="K222" i="67"/>
  <c r="J222" i="67"/>
  <c r="T222" i="67"/>
  <c r="W222" i="67"/>
  <c r="F222" i="67"/>
  <c r="I222" i="67"/>
  <c r="Q222" i="67"/>
  <c r="E222" i="67"/>
  <c r="Y222" i="67"/>
  <c r="G222" i="67"/>
  <c r="O222" i="67"/>
  <c r="P222" i="67"/>
  <c r="M222" i="67"/>
  <c r="E214" i="67"/>
  <c r="L214" i="67"/>
  <c r="C214" i="67"/>
  <c r="N214" i="67"/>
  <c r="B214" i="67"/>
  <c r="J214" i="67"/>
  <c r="P214" i="67"/>
  <c r="F214" i="67"/>
  <c r="I214" i="67"/>
  <c r="K214" i="67"/>
  <c r="T214" i="67"/>
  <c r="W214" i="67"/>
  <c r="M214" i="67"/>
  <c r="Q214" i="67"/>
  <c r="R214" i="67"/>
  <c r="V214" i="67"/>
  <c r="Z214" i="67"/>
  <c r="O214" i="67"/>
  <c r="S214" i="67"/>
  <c r="U214" i="67"/>
  <c r="G214" i="67"/>
  <c r="Y214" i="67"/>
  <c r="AA272" i="67"/>
  <c r="AA258" i="67"/>
  <c r="AA222" i="67"/>
  <c r="AA208" i="67"/>
  <c r="Z276" i="67"/>
  <c r="Z240" i="67"/>
  <c r="Z222" i="67"/>
  <c r="Y256" i="67"/>
  <c r="Y237" i="67"/>
  <c r="Y219" i="67"/>
  <c r="X272" i="67"/>
  <c r="X216" i="67"/>
  <c r="W269" i="67"/>
  <c r="W226" i="67"/>
  <c r="V256" i="67"/>
  <c r="V228" i="67"/>
  <c r="U258" i="67"/>
  <c r="T262" i="67"/>
  <c r="T234" i="67"/>
  <c r="T210" i="67"/>
  <c r="S240" i="67"/>
  <c r="R222" i="67"/>
  <c r="Q260" i="67"/>
  <c r="P266" i="67"/>
  <c r="P234" i="67"/>
  <c r="N228" i="67"/>
  <c r="F258" i="67"/>
  <c r="Y220" i="63"/>
  <c r="C269" i="67"/>
  <c r="E269" i="67"/>
  <c r="F269" i="67"/>
  <c r="M269" i="67"/>
  <c r="B269" i="67"/>
  <c r="H269" i="67"/>
  <c r="G269" i="67"/>
  <c r="I269" i="67"/>
  <c r="N269" i="67"/>
  <c r="O269" i="67"/>
  <c r="J269" i="67"/>
  <c r="P269" i="67"/>
  <c r="U269" i="67"/>
  <c r="X269" i="67"/>
  <c r="K269" i="67"/>
  <c r="R269" i="67"/>
  <c r="AA269" i="67"/>
  <c r="V269" i="67"/>
  <c r="S269" i="67"/>
  <c r="B253" i="67"/>
  <c r="M253" i="67"/>
  <c r="F253" i="67"/>
  <c r="H253" i="67"/>
  <c r="O253" i="67"/>
  <c r="L253" i="67"/>
  <c r="K253" i="67"/>
  <c r="P253" i="67"/>
  <c r="U253" i="67"/>
  <c r="E253" i="67"/>
  <c r="I253" i="67"/>
  <c r="Q253" i="67"/>
  <c r="X253" i="67"/>
  <c r="G253" i="67"/>
  <c r="N253" i="67"/>
  <c r="Z253" i="67"/>
  <c r="AA253" i="67"/>
  <c r="J253" i="67"/>
  <c r="T253" i="67"/>
  <c r="C253" i="67"/>
  <c r="C235" i="67"/>
  <c r="M235" i="67"/>
  <c r="B235" i="67"/>
  <c r="G235" i="67"/>
  <c r="O235" i="67"/>
  <c r="L235" i="67"/>
  <c r="E235" i="67"/>
  <c r="I235" i="67"/>
  <c r="K235" i="67"/>
  <c r="F235" i="67"/>
  <c r="U235" i="67"/>
  <c r="X235" i="67"/>
  <c r="H235" i="67"/>
  <c r="N235" i="67"/>
  <c r="P235" i="67"/>
  <c r="Z235" i="67"/>
  <c r="AA235" i="67"/>
  <c r="R235" i="67"/>
  <c r="T235" i="67"/>
  <c r="Q235" i="67"/>
  <c r="C219" i="67"/>
  <c r="E219" i="67"/>
  <c r="F219" i="67"/>
  <c r="M219" i="67"/>
  <c r="G219" i="67"/>
  <c r="B219" i="67"/>
  <c r="I219" i="67"/>
  <c r="K219" i="67"/>
  <c r="N219" i="67"/>
  <c r="O219" i="67"/>
  <c r="R219" i="67"/>
  <c r="U219" i="67"/>
  <c r="X219" i="67"/>
  <c r="P219" i="67"/>
  <c r="L219" i="67"/>
  <c r="H219" i="67"/>
  <c r="T219" i="67"/>
  <c r="AA219" i="67"/>
  <c r="V219" i="67"/>
  <c r="J219" i="67"/>
  <c r="S219" i="67"/>
  <c r="Q219" i="67"/>
  <c r="Z268" i="67"/>
  <c r="Z211" i="67"/>
  <c r="Y210" i="67"/>
  <c r="W276" i="67"/>
  <c r="U295" i="63"/>
  <c r="W295" i="63"/>
  <c r="K271" i="63"/>
  <c r="C271" i="67"/>
  <c r="B271" i="67"/>
  <c r="N271" i="67"/>
  <c r="J271" i="67"/>
  <c r="H271" i="67"/>
  <c r="F271" i="67"/>
  <c r="K271" i="67"/>
  <c r="I271" i="67"/>
  <c r="E271" i="67"/>
  <c r="M271" i="67"/>
  <c r="G271" i="67"/>
  <c r="P271" i="67"/>
  <c r="W271" i="67"/>
  <c r="Q271" i="67"/>
  <c r="R271" i="67"/>
  <c r="Z271" i="67"/>
  <c r="Y271" i="67"/>
  <c r="L271" i="67"/>
  <c r="T271" i="67"/>
  <c r="X271" i="67"/>
  <c r="O271" i="67"/>
  <c r="AA271" i="67"/>
  <c r="C263" i="67"/>
  <c r="F263" i="67"/>
  <c r="N263" i="67"/>
  <c r="E263" i="67"/>
  <c r="J263" i="67"/>
  <c r="H263" i="67"/>
  <c r="G263" i="67"/>
  <c r="L263" i="67"/>
  <c r="K263" i="67"/>
  <c r="W263" i="67"/>
  <c r="M263" i="67"/>
  <c r="P263" i="67"/>
  <c r="R263" i="67"/>
  <c r="Z263" i="67"/>
  <c r="S263" i="67"/>
  <c r="U263" i="67"/>
  <c r="O263" i="67"/>
  <c r="Q263" i="67"/>
  <c r="T263" i="67"/>
  <c r="X263" i="67"/>
  <c r="AA263" i="67"/>
  <c r="B263" i="67"/>
  <c r="C255" i="67"/>
  <c r="N255" i="67"/>
  <c r="J255" i="67"/>
  <c r="F255" i="67"/>
  <c r="H255" i="67"/>
  <c r="I255" i="67"/>
  <c r="M255" i="67"/>
  <c r="W255" i="67"/>
  <c r="O255" i="67"/>
  <c r="R255" i="67"/>
  <c r="Z255" i="67"/>
  <c r="E255" i="67"/>
  <c r="P255" i="67"/>
  <c r="Q255" i="67"/>
  <c r="V255" i="67"/>
  <c r="B255" i="67"/>
  <c r="G255" i="67"/>
  <c r="K255" i="67"/>
  <c r="S255" i="67"/>
  <c r="AA255" i="67"/>
  <c r="L255" i="67"/>
  <c r="C247" i="67"/>
  <c r="G247" i="67"/>
  <c r="N247" i="67"/>
  <c r="J247" i="67"/>
  <c r="H247" i="67"/>
  <c r="B247" i="67"/>
  <c r="M247" i="67"/>
  <c r="F247" i="67"/>
  <c r="O247" i="67"/>
  <c r="E247" i="67"/>
  <c r="W247" i="67"/>
  <c r="R247" i="67"/>
  <c r="Z247" i="67"/>
  <c r="K247" i="67"/>
  <c r="P247" i="67"/>
  <c r="L247" i="67"/>
  <c r="V247" i="67"/>
  <c r="AA247" i="67"/>
  <c r="U247" i="67"/>
  <c r="I247" i="67"/>
  <c r="C237" i="67"/>
  <c r="E237" i="67"/>
  <c r="F237" i="67"/>
  <c r="H237" i="67"/>
  <c r="N237" i="67"/>
  <c r="J237" i="67"/>
  <c r="B237" i="67"/>
  <c r="G237" i="67"/>
  <c r="M237" i="67"/>
  <c r="K237" i="67"/>
  <c r="O237" i="67"/>
  <c r="P237" i="67"/>
  <c r="W237" i="67"/>
  <c r="R237" i="67"/>
  <c r="Z237" i="67"/>
  <c r="L237" i="67"/>
  <c r="I237" i="67"/>
  <c r="V237" i="67"/>
  <c r="AA237" i="67"/>
  <c r="C229" i="67"/>
  <c r="B229" i="67"/>
  <c r="E229" i="67"/>
  <c r="H229" i="67"/>
  <c r="F229" i="67"/>
  <c r="N229" i="67"/>
  <c r="J229" i="67"/>
  <c r="M229" i="67"/>
  <c r="G229" i="67"/>
  <c r="Q229" i="67"/>
  <c r="W229" i="67"/>
  <c r="R229" i="67"/>
  <c r="Z229" i="67"/>
  <c r="O229" i="67"/>
  <c r="P229" i="67"/>
  <c r="K229" i="67"/>
  <c r="V229" i="67"/>
  <c r="AA229" i="67"/>
  <c r="U229" i="67"/>
  <c r="L229" i="67"/>
  <c r="C221" i="67"/>
  <c r="B221" i="67"/>
  <c r="H221" i="67"/>
  <c r="N221" i="67"/>
  <c r="J221" i="67"/>
  <c r="F221" i="67"/>
  <c r="K221" i="67"/>
  <c r="G221" i="67"/>
  <c r="I221" i="67"/>
  <c r="R221" i="67"/>
  <c r="W221" i="67"/>
  <c r="Q221" i="67"/>
  <c r="Z221" i="67"/>
  <c r="E221" i="67"/>
  <c r="Y221" i="67"/>
  <c r="X221" i="67"/>
  <c r="L221" i="67"/>
  <c r="M221" i="67"/>
  <c r="AA221" i="67"/>
  <c r="C213" i="67"/>
  <c r="H213" i="67"/>
  <c r="N213" i="67"/>
  <c r="J213" i="67"/>
  <c r="E213" i="67"/>
  <c r="L213" i="67"/>
  <c r="R213" i="67"/>
  <c r="B213" i="67"/>
  <c r="W213" i="67"/>
  <c r="Z213" i="67"/>
  <c r="M213" i="67"/>
  <c r="Q213" i="67"/>
  <c r="G213" i="67"/>
  <c r="O213" i="67"/>
  <c r="P213" i="67"/>
  <c r="S213" i="67"/>
  <c r="U213" i="67"/>
  <c r="F213" i="67"/>
  <c r="K213" i="67"/>
  <c r="X213" i="67"/>
  <c r="AA213" i="67"/>
  <c r="I213" i="67"/>
  <c r="AA232" i="67"/>
  <c r="Z258" i="67"/>
  <c r="Z238" i="67"/>
  <c r="Z219" i="67"/>
  <c r="Y255" i="67"/>
  <c r="Y235" i="67"/>
  <c r="Y218" i="67"/>
  <c r="X232" i="67"/>
  <c r="W266" i="67"/>
  <c r="V253" i="67"/>
  <c r="U272" i="67"/>
  <c r="U232" i="67"/>
  <c r="U210" i="67"/>
  <c r="T229" i="67"/>
  <c r="S248" i="67"/>
  <c r="S237" i="67"/>
  <c r="R253" i="67"/>
  <c r="R242" i="67"/>
  <c r="R216" i="67"/>
  <c r="Q256" i="67"/>
  <c r="Q237" i="67"/>
  <c r="P258" i="67"/>
  <c r="L268" i="67"/>
  <c r="J274" i="67"/>
  <c r="H256" i="67"/>
  <c r="B261" i="67"/>
  <c r="C261" i="67"/>
  <c r="E261" i="67"/>
  <c r="M261" i="67"/>
  <c r="H261" i="67"/>
  <c r="J261" i="67"/>
  <c r="K261" i="67"/>
  <c r="O261" i="67"/>
  <c r="N261" i="67"/>
  <c r="L261" i="67"/>
  <c r="P261" i="67"/>
  <c r="Q261" i="67"/>
  <c r="U261" i="67"/>
  <c r="X261" i="67"/>
  <c r="I261" i="67"/>
  <c r="Y261" i="67"/>
  <c r="T261" i="67"/>
  <c r="AA261" i="67"/>
  <c r="G261" i="67"/>
  <c r="R261" i="67"/>
  <c r="W261" i="67"/>
  <c r="B245" i="67"/>
  <c r="M245" i="67"/>
  <c r="H245" i="67"/>
  <c r="O245" i="67"/>
  <c r="I245" i="67"/>
  <c r="C245" i="67"/>
  <c r="E245" i="67"/>
  <c r="K245" i="67"/>
  <c r="N245" i="67"/>
  <c r="P245" i="67"/>
  <c r="U245" i="67"/>
  <c r="G245" i="67"/>
  <c r="X245" i="67"/>
  <c r="F245" i="67"/>
  <c r="L245" i="67"/>
  <c r="W245" i="67"/>
  <c r="Q245" i="67"/>
  <c r="V245" i="67"/>
  <c r="AA245" i="67"/>
  <c r="J245" i="67"/>
  <c r="Z245" i="67"/>
  <c r="F227" i="67"/>
  <c r="M227" i="67"/>
  <c r="E227" i="67"/>
  <c r="C227" i="67"/>
  <c r="H227" i="67"/>
  <c r="O227" i="67"/>
  <c r="B227" i="67"/>
  <c r="J227" i="67"/>
  <c r="L227" i="67"/>
  <c r="P227" i="67"/>
  <c r="U227" i="67"/>
  <c r="X227" i="67"/>
  <c r="I227" i="67"/>
  <c r="N227" i="67"/>
  <c r="Q227" i="67"/>
  <c r="W227" i="67"/>
  <c r="S227" i="67"/>
  <c r="V227" i="67"/>
  <c r="AA227" i="67"/>
  <c r="K227" i="67"/>
  <c r="Z227" i="67"/>
  <c r="G227" i="67"/>
  <c r="B211" i="67"/>
  <c r="C211" i="67"/>
  <c r="E211" i="67"/>
  <c r="M211" i="67"/>
  <c r="J211" i="67"/>
  <c r="O211" i="67"/>
  <c r="F211" i="67"/>
  <c r="H211" i="67"/>
  <c r="N211" i="67"/>
  <c r="L211" i="67"/>
  <c r="Q211" i="67"/>
  <c r="U211" i="67"/>
  <c r="R211" i="67"/>
  <c r="X211" i="67"/>
  <c r="G211" i="67"/>
  <c r="K211" i="67"/>
  <c r="Y211" i="67"/>
  <c r="AA211" i="67"/>
  <c r="I211" i="67"/>
  <c r="T211" i="67"/>
  <c r="W211" i="67"/>
  <c r="M262" i="63"/>
  <c r="R262" i="63"/>
  <c r="U231" i="63"/>
  <c r="K230" i="63"/>
  <c r="U294" i="63"/>
  <c r="O294" i="63"/>
  <c r="U278" i="63"/>
  <c r="Y293" i="63"/>
  <c r="H270" i="63"/>
  <c r="B270" i="67"/>
  <c r="C270" i="67"/>
  <c r="E270" i="67"/>
  <c r="J270" i="67"/>
  <c r="M270" i="67"/>
  <c r="I270" i="67"/>
  <c r="G270" i="67"/>
  <c r="F270" i="67"/>
  <c r="Q270" i="67"/>
  <c r="R270" i="67"/>
  <c r="Z270" i="67"/>
  <c r="U270" i="67"/>
  <c r="H270" i="67"/>
  <c r="S270" i="67"/>
  <c r="L270" i="67"/>
  <c r="T270" i="67"/>
  <c r="X270" i="67"/>
  <c r="W270" i="67"/>
  <c r="V270" i="67"/>
  <c r="N270" i="67"/>
  <c r="P270" i="67"/>
  <c r="B262" i="67"/>
  <c r="E262" i="67"/>
  <c r="J262" i="67"/>
  <c r="M262" i="67"/>
  <c r="C262" i="67"/>
  <c r="G262" i="67"/>
  <c r="H262" i="67"/>
  <c r="L262" i="67"/>
  <c r="K262" i="67"/>
  <c r="P262" i="67"/>
  <c r="R262" i="67"/>
  <c r="Z262" i="67"/>
  <c r="Q262" i="67"/>
  <c r="U262" i="67"/>
  <c r="N262" i="67"/>
  <c r="S262" i="67"/>
  <c r="F262" i="67"/>
  <c r="O262" i="67"/>
  <c r="Y262" i="67"/>
  <c r="J254" i="67"/>
  <c r="M254" i="67"/>
  <c r="E254" i="67"/>
  <c r="F254" i="67"/>
  <c r="L254" i="67"/>
  <c r="B254" i="67"/>
  <c r="H254" i="67"/>
  <c r="O254" i="67"/>
  <c r="R254" i="67"/>
  <c r="Z254" i="67"/>
  <c r="P254" i="67"/>
  <c r="U254" i="67"/>
  <c r="I254" i="67"/>
  <c r="G254" i="67"/>
  <c r="S254" i="67"/>
  <c r="V254" i="67"/>
  <c r="N254" i="67"/>
  <c r="K254" i="67"/>
  <c r="Y254" i="67"/>
  <c r="T254" i="67"/>
  <c r="C254" i="67"/>
  <c r="C246" i="67"/>
  <c r="J246" i="67"/>
  <c r="B246" i="67"/>
  <c r="M246" i="67"/>
  <c r="G246" i="67"/>
  <c r="I246" i="67"/>
  <c r="L246" i="67"/>
  <c r="R246" i="67"/>
  <c r="Z246" i="67"/>
  <c r="K246" i="67"/>
  <c r="U246" i="67"/>
  <c r="O246" i="67"/>
  <c r="P246" i="67"/>
  <c r="F246" i="67"/>
  <c r="H246" i="67"/>
  <c r="N246" i="67"/>
  <c r="Q246" i="67"/>
  <c r="S246" i="67"/>
  <c r="W246" i="67"/>
  <c r="E246" i="67"/>
  <c r="F236" i="67"/>
  <c r="J236" i="67"/>
  <c r="C236" i="67"/>
  <c r="M236" i="67"/>
  <c r="H236" i="67"/>
  <c r="G236" i="67"/>
  <c r="L236" i="67"/>
  <c r="R236" i="67"/>
  <c r="Z236" i="67"/>
  <c r="U236" i="67"/>
  <c r="E236" i="67"/>
  <c r="S236" i="67"/>
  <c r="I236" i="67"/>
  <c r="V236" i="67"/>
  <c r="N236" i="67"/>
  <c r="O236" i="67"/>
  <c r="P236" i="67"/>
  <c r="Y236" i="67"/>
  <c r="T236" i="67"/>
  <c r="K236" i="67"/>
  <c r="Q236" i="67"/>
  <c r="C228" i="67"/>
  <c r="E228" i="67"/>
  <c r="F228" i="67"/>
  <c r="J228" i="67"/>
  <c r="M228" i="67"/>
  <c r="G228" i="67"/>
  <c r="K228" i="67"/>
  <c r="R228" i="67"/>
  <c r="Z228" i="67"/>
  <c r="O228" i="67"/>
  <c r="P228" i="67"/>
  <c r="U228" i="67"/>
  <c r="B228" i="67"/>
  <c r="S228" i="67"/>
  <c r="H228" i="67"/>
  <c r="Q228" i="67"/>
  <c r="W228" i="67"/>
  <c r="L228" i="67"/>
  <c r="B220" i="67"/>
  <c r="C220" i="67"/>
  <c r="E220" i="67"/>
  <c r="J220" i="67"/>
  <c r="M220" i="67"/>
  <c r="K220" i="67"/>
  <c r="G220" i="67"/>
  <c r="I220" i="67"/>
  <c r="H220" i="67"/>
  <c r="Q220" i="67"/>
  <c r="Z220" i="67"/>
  <c r="F220" i="67"/>
  <c r="R220" i="67"/>
  <c r="U220" i="67"/>
  <c r="O220" i="67"/>
  <c r="P220" i="67"/>
  <c r="S220" i="67"/>
  <c r="X220" i="67"/>
  <c r="T220" i="67"/>
  <c r="L220" i="67"/>
  <c r="W220" i="67"/>
  <c r="V220" i="67"/>
  <c r="N220" i="67"/>
  <c r="B212" i="67"/>
  <c r="C212" i="67"/>
  <c r="J212" i="67"/>
  <c r="M212" i="67"/>
  <c r="K212" i="67"/>
  <c r="E212" i="67"/>
  <c r="L212" i="67"/>
  <c r="F212" i="67"/>
  <c r="G212" i="67"/>
  <c r="Z212" i="67"/>
  <c r="Q212" i="67"/>
  <c r="U212" i="67"/>
  <c r="H212" i="67"/>
  <c r="N212" i="67"/>
  <c r="S212" i="67"/>
  <c r="Y212" i="67"/>
  <c r="I212" i="67"/>
  <c r="T212" i="67"/>
  <c r="AA256" i="67"/>
  <c r="Z272" i="67"/>
  <c r="Z256" i="67"/>
  <c r="Z218" i="67"/>
  <c r="Y269" i="67"/>
  <c r="Y253" i="67"/>
  <c r="Y230" i="67"/>
  <c r="X266" i="67"/>
  <c r="X250" i="67"/>
  <c r="X229" i="67"/>
  <c r="X214" i="67"/>
  <c r="W244" i="67"/>
  <c r="W224" i="67"/>
  <c r="V272" i="67"/>
  <c r="V252" i="67"/>
  <c r="V222" i="67"/>
  <c r="U271" i="67"/>
  <c r="U255" i="67"/>
  <c r="T258" i="67"/>
  <c r="T228" i="67"/>
  <c r="S272" i="67"/>
  <c r="S247" i="67"/>
  <c r="S235" i="67"/>
  <c r="S208" i="67"/>
  <c r="R252" i="67"/>
  <c r="Q254" i="67"/>
  <c r="P221" i="67"/>
  <c r="M268" i="67"/>
  <c r="J272" i="67"/>
  <c r="H248" i="67"/>
  <c r="E266" i="67"/>
  <c r="G286" i="67"/>
  <c r="P286" i="67"/>
  <c r="Q286" i="67"/>
  <c r="H286" i="67"/>
  <c r="R286" i="67"/>
  <c r="AA286" i="67"/>
  <c r="I286" i="67"/>
  <c r="J286" i="67"/>
  <c r="S286" i="67"/>
  <c r="K286" i="67"/>
  <c r="C286" i="67"/>
  <c r="B286" i="67"/>
  <c r="F286" i="67"/>
  <c r="M286" i="67"/>
  <c r="V286" i="67"/>
  <c r="O286" i="67"/>
  <c r="U286" i="67"/>
  <c r="N286" i="67"/>
  <c r="E286" i="67"/>
  <c r="W286" i="67"/>
  <c r="Z286" i="67"/>
  <c r="X286" i="67"/>
  <c r="L286" i="67"/>
  <c r="E278" i="67"/>
  <c r="F278" i="67"/>
  <c r="O278" i="67"/>
  <c r="Z278" i="67"/>
  <c r="G278" i="67"/>
  <c r="P278" i="67"/>
  <c r="Q278" i="67"/>
  <c r="H278" i="67"/>
  <c r="R278" i="67"/>
  <c r="I278" i="67"/>
  <c r="J278" i="67"/>
  <c r="N278" i="67"/>
  <c r="L278" i="67"/>
  <c r="X278" i="67"/>
  <c r="T278" i="67"/>
  <c r="C278" i="67"/>
  <c r="W278" i="67"/>
  <c r="U278" i="67"/>
  <c r="M278" i="67"/>
  <c r="S278" i="67"/>
  <c r="K278" i="67"/>
  <c r="V278" i="67"/>
  <c r="S231" i="67"/>
  <c r="R225" i="67"/>
  <c r="Q265" i="67"/>
  <c r="Q249" i="67"/>
  <c r="O251" i="67"/>
  <c r="O223" i="67"/>
  <c r="M273" i="67"/>
  <c r="G223" i="67"/>
  <c r="T286" i="67"/>
  <c r="V284" i="63"/>
  <c r="G275" i="67"/>
  <c r="K275" i="67"/>
  <c r="F275" i="67"/>
  <c r="C275" i="67"/>
  <c r="E275" i="67"/>
  <c r="J275" i="67"/>
  <c r="M275" i="67"/>
  <c r="H275" i="67"/>
  <c r="L275" i="67"/>
  <c r="B275" i="67"/>
  <c r="I275" i="67"/>
  <c r="O275" i="67"/>
  <c r="S275" i="67"/>
  <c r="N275" i="67"/>
  <c r="V275" i="67"/>
  <c r="K267" i="67"/>
  <c r="G267" i="67"/>
  <c r="F267" i="67"/>
  <c r="B267" i="67"/>
  <c r="M267" i="67"/>
  <c r="S267" i="67"/>
  <c r="C267" i="67"/>
  <c r="V267" i="67"/>
  <c r="H267" i="67"/>
  <c r="J267" i="67"/>
  <c r="O267" i="67"/>
  <c r="L267" i="67"/>
  <c r="E259" i="67"/>
  <c r="F259" i="67"/>
  <c r="K259" i="67"/>
  <c r="C259" i="67"/>
  <c r="N259" i="67"/>
  <c r="I259" i="67"/>
  <c r="H259" i="67"/>
  <c r="J259" i="67"/>
  <c r="S259" i="67"/>
  <c r="L259" i="67"/>
  <c r="V259" i="67"/>
  <c r="C251" i="67"/>
  <c r="E251" i="67"/>
  <c r="F251" i="67"/>
  <c r="K251" i="67"/>
  <c r="G251" i="67"/>
  <c r="J251" i="67"/>
  <c r="B251" i="67"/>
  <c r="H251" i="67"/>
  <c r="N251" i="67"/>
  <c r="I251" i="67"/>
  <c r="S251" i="67"/>
  <c r="V251" i="67"/>
  <c r="B243" i="67"/>
  <c r="C243" i="67"/>
  <c r="K243" i="67"/>
  <c r="I243" i="67"/>
  <c r="M243" i="67"/>
  <c r="L243" i="67"/>
  <c r="E243" i="67"/>
  <c r="G243" i="67"/>
  <c r="O243" i="67"/>
  <c r="P243" i="67"/>
  <c r="Q243" i="67"/>
  <c r="S243" i="67"/>
  <c r="F243" i="67"/>
  <c r="N243" i="67"/>
  <c r="V243" i="67"/>
  <c r="H243" i="67"/>
  <c r="J243" i="67"/>
  <c r="F241" i="67"/>
  <c r="K241" i="67"/>
  <c r="C241" i="67"/>
  <c r="N241" i="67"/>
  <c r="J241" i="67"/>
  <c r="M241" i="67"/>
  <c r="S241" i="67"/>
  <c r="I241" i="67"/>
  <c r="V241" i="67"/>
  <c r="E241" i="67"/>
  <c r="G241" i="67"/>
  <c r="P241" i="67"/>
  <c r="H233" i="67"/>
  <c r="K233" i="67"/>
  <c r="F233" i="67"/>
  <c r="E233" i="67"/>
  <c r="G233" i="67"/>
  <c r="I233" i="67"/>
  <c r="N233" i="67"/>
  <c r="B233" i="67"/>
  <c r="O233" i="67"/>
  <c r="P233" i="67"/>
  <c r="C233" i="67"/>
  <c r="S233" i="67"/>
  <c r="L233" i="67"/>
  <c r="V233" i="67"/>
  <c r="J233" i="67"/>
  <c r="Q233" i="67"/>
  <c r="E225" i="67"/>
  <c r="G225" i="67"/>
  <c r="K225" i="67"/>
  <c r="C225" i="67"/>
  <c r="H225" i="67"/>
  <c r="F225" i="67"/>
  <c r="J225" i="67"/>
  <c r="M225" i="67"/>
  <c r="B225" i="67"/>
  <c r="L225" i="67"/>
  <c r="I225" i="67"/>
  <c r="S225" i="67"/>
  <c r="N225" i="67"/>
  <c r="V225" i="67"/>
  <c r="T225" i="67"/>
  <c r="K217" i="67"/>
  <c r="F217" i="67"/>
  <c r="G217" i="67"/>
  <c r="E217" i="67"/>
  <c r="C217" i="67"/>
  <c r="M217" i="67"/>
  <c r="N217" i="67"/>
  <c r="P217" i="67"/>
  <c r="S217" i="67"/>
  <c r="B217" i="67"/>
  <c r="I217" i="67"/>
  <c r="L217" i="67"/>
  <c r="O217" i="67"/>
  <c r="V217" i="67"/>
  <c r="T217" i="67"/>
  <c r="E209" i="67"/>
  <c r="F209" i="67"/>
  <c r="B209" i="67"/>
  <c r="K209" i="67"/>
  <c r="H209" i="67"/>
  <c r="N209" i="67"/>
  <c r="I209" i="67"/>
  <c r="C209" i="67"/>
  <c r="L209" i="67"/>
  <c r="S209" i="67"/>
  <c r="G209" i="67"/>
  <c r="M209" i="67"/>
  <c r="V209" i="67"/>
  <c r="J209" i="67"/>
  <c r="P209" i="67"/>
  <c r="T209" i="67"/>
  <c r="Z267" i="67"/>
  <c r="Z257" i="67"/>
  <c r="Z239" i="67"/>
  <c r="Z217" i="67"/>
  <c r="X273" i="67"/>
  <c r="X251" i="67"/>
  <c r="X233" i="67"/>
  <c r="T275" i="67"/>
  <c r="T243" i="67"/>
  <c r="Q217" i="67"/>
  <c r="P267" i="67"/>
  <c r="P249" i="67"/>
  <c r="N267" i="67"/>
  <c r="G259" i="67"/>
  <c r="B259" i="67"/>
  <c r="AA278" i="67"/>
  <c r="Y286" i="67"/>
  <c r="J217" i="67"/>
  <c r="H241" i="67"/>
  <c r="V268" i="63"/>
  <c r="E273" i="67"/>
  <c r="I273" i="67"/>
  <c r="C273" i="67"/>
  <c r="L273" i="67"/>
  <c r="B273" i="67"/>
  <c r="J273" i="67"/>
  <c r="F273" i="67"/>
  <c r="K273" i="67"/>
  <c r="N273" i="67"/>
  <c r="Y273" i="67"/>
  <c r="T273" i="67"/>
  <c r="G273" i="67"/>
  <c r="P273" i="67"/>
  <c r="Q273" i="67"/>
  <c r="R273" i="67"/>
  <c r="F265" i="67"/>
  <c r="G265" i="67"/>
  <c r="I265" i="67"/>
  <c r="L265" i="67"/>
  <c r="E265" i="67"/>
  <c r="J265" i="67"/>
  <c r="B265" i="67"/>
  <c r="M265" i="67"/>
  <c r="C265" i="67"/>
  <c r="H265" i="67"/>
  <c r="O265" i="67"/>
  <c r="Y265" i="67"/>
  <c r="K265" i="67"/>
  <c r="T265" i="67"/>
  <c r="N265" i="67"/>
  <c r="P265" i="67"/>
  <c r="R265" i="67"/>
  <c r="F257" i="67"/>
  <c r="I257" i="67"/>
  <c r="B257" i="67"/>
  <c r="G257" i="67"/>
  <c r="L257" i="67"/>
  <c r="J257" i="67"/>
  <c r="E257" i="67"/>
  <c r="M257" i="67"/>
  <c r="C257" i="67"/>
  <c r="N257" i="67"/>
  <c r="Y257" i="67"/>
  <c r="T257" i="67"/>
  <c r="O257" i="67"/>
  <c r="R257" i="67"/>
  <c r="F249" i="67"/>
  <c r="I249" i="67"/>
  <c r="E249" i="67"/>
  <c r="L249" i="67"/>
  <c r="J249" i="67"/>
  <c r="H249" i="67"/>
  <c r="K249" i="67"/>
  <c r="N249" i="67"/>
  <c r="B249" i="67"/>
  <c r="G249" i="67"/>
  <c r="Y249" i="67"/>
  <c r="T249" i="67"/>
  <c r="M249" i="67"/>
  <c r="R249" i="67"/>
  <c r="F239" i="67"/>
  <c r="B239" i="67"/>
  <c r="C239" i="67"/>
  <c r="E239" i="67"/>
  <c r="I239" i="67"/>
  <c r="L239" i="67"/>
  <c r="J239" i="67"/>
  <c r="H239" i="67"/>
  <c r="M239" i="67"/>
  <c r="K239" i="67"/>
  <c r="N239" i="67"/>
  <c r="Y239" i="67"/>
  <c r="Q239" i="67"/>
  <c r="T239" i="67"/>
  <c r="G239" i="67"/>
  <c r="O239" i="67"/>
  <c r="P239" i="67"/>
  <c r="R239" i="67"/>
  <c r="F231" i="67"/>
  <c r="I231" i="67"/>
  <c r="L231" i="67"/>
  <c r="E231" i="67"/>
  <c r="J231" i="67"/>
  <c r="G231" i="67"/>
  <c r="K231" i="67"/>
  <c r="N231" i="67"/>
  <c r="Y231" i="67"/>
  <c r="H231" i="67"/>
  <c r="T231" i="67"/>
  <c r="M231" i="67"/>
  <c r="R231" i="67"/>
  <c r="F223" i="67"/>
  <c r="I223" i="67"/>
  <c r="B223" i="67"/>
  <c r="L223" i="67"/>
  <c r="J223" i="67"/>
  <c r="H223" i="67"/>
  <c r="N223" i="67"/>
  <c r="E223" i="67"/>
  <c r="K223" i="67"/>
  <c r="P223" i="67"/>
  <c r="Y223" i="67"/>
  <c r="T223" i="67"/>
  <c r="Q223" i="67"/>
  <c r="R223" i="67"/>
  <c r="F215" i="67"/>
  <c r="G215" i="67"/>
  <c r="H215" i="67"/>
  <c r="I215" i="67"/>
  <c r="E215" i="67"/>
  <c r="L215" i="67"/>
  <c r="J215" i="67"/>
  <c r="M215" i="67"/>
  <c r="O215" i="67"/>
  <c r="B215" i="67"/>
  <c r="Y215" i="67"/>
  <c r="K215" i="67"/>
  <c r="T215" i="67"/>
  <c r="C215" i="67"/>
  <c r="Z275" i="67"/>
  <c r="Z265" i="67"/>
  <c r="Z243" i="67"/>
  <c r="Z225" i="67"/>
  <c r="Z215" i="67"/>
  <c r="X259" i="67"/>
  <c r="X249" i="67"/>
  <c r="X241" i="67"/>
  <c r="X231" i="67"/>
  <c r="X209" i="67"/>
  <c r="V265" i="67"/>
  <c r="V215" i="67"/>
  <c r="T251" i="67"/>
  <c r="T233" i="67"/>
  <c r="S239" i="67"/>
  <c r="R233" i="67"/>
  <c r="Q275" i="67"/>
  <c r="Q259" i="67"/>
  <c r="P215" i="67"/>
  <c r="M259" i="67"/>
  <c r="I267" i="67"/>
  <c r="Y251" i="67"/>
  <c r="Y233" i="67"/>
  <c r="W267" i="67"/>
  <c r="W257" i="67"/>
  <c r="W239" i="67"/>
  <c r="W217" i="67"/>
  <c r="U273" i="67"/>
  <c r="U251" i="67"/>
  <c r="U233" i="67"/>
  <c r="U223" i="67"/>
  <c r="S249" i="67"/>
  <c r="R243" i="67"/>
  <c r="R217" i="67"/>
  <c r="Q257" i="67"/>
  <c r="Q209" i="67"/>
  <c r="P259" i="67"/>
  <c r="H257" i="67"/>
  <c r="C231" i="67"/>
  <c r="B241" i="67"/>
  <c r="F285" i="67"/>
  <c r="J285" i="67"/>
  <c r="Q285" i="67"/>
  <c r="U285" i="67"/>
  <c r="Y285" i="67"/>
  <c r="H285" i="67"/>
  <c r="R285" i="67"/>
  <c r="AA285" i="67"/>
  <c r="I285" i="67"/>
  <c r="S285" i="67"/>
  <c r="K285" i="67"/>
  <c r="T285" i="67"/>
  <c r="L285" i="67"/>
  <c r="B285" i="67"/>
  <c r="M285" i="67"/>
  <c r="P285" i="67"/>
  <c r="V285" i="67"/>
  <c r="O285" i="67"/>
  <c r="E285" i="67"/>
  <c r="N285" i="67"/>
  <c r="F277" i="67"/>
  <c r="J277" i="67"/>
  <c r="Q277" i="67"/>
  <c r="U277" i="67"/>
  <c r="Y277" i="67"/>
  <c r="G277" i="67"/>
  <c r="P277" i="67"/>
  <c r="H277" i="67"/>
  <c r="R277" i="67"/>
  <c r="AA277" i="67"/>
  <c r="I277" i="67"/>
  <c r="S277" i="67"/>
  <c r="K277" i="67"/>
  <c r="E277" i="67"/>
  <c r="L277" i="67"/>
  <c r="X277" i="67"/>
  <c r="T277" i="67"/>
  <c r="C277" i="67"/>
  <c r="W277" i="67"/>
  <c r="O277" i="67"/>
  <c r="I284" i="67"/>
  <c r="S284" i="67"/>
  <c r="J284" i="67"/>
  <c r="K284" i="67"/>
  <c r="T284" i="67"/>
  <c r="L284" i="67"/>
  <c r="U284" i="67"/>
  <c r="V284" i="67"/>
  <c r="B284" i="67"/>
  <c r="M284" i="67"/>
  <c r="P284" i="67"/>
  <c r="F284" i="67"/>
  <c r="O284" i="67"/>
  <c r="AA284" i="67"/>
  <c r="E284" i="67"/>
  <c r="N284" i="67"/>
  <c r="H284" i="67"/>
  <c r="R284" i="67"/>
  <c r="Z284" i="67"/>
  <c r="Z285" i="67"/>
  <c r="W285" i="67"/>
  <c r="G285" i="67"/>
  <c r="C285" i="67"/>
  <c r="B283" i="67"/>
  <c r="G283" i="67"/>
  <c r="K283" i="67"/>
  <c r="N283" i="67"/>
  <c r="R283" i="67"/>
  <c r="V283" i="67"/>
  <c r="Z283" i="67"/>
  <c r="J283" i="67"/>
  <c r="T283" i="67"/>
  <c r="L283" i="67"/>
  <c r="U283" i="67"/>
  <c r="M283" i="67"/>
  <c r="W283" i="67"/>
  <c r="C283" i="67"/>
  <c r="F283" i="67"/>
  <c r="I283" i="67"/>
  <c r="O283" i="67"/>
  <c r="S283" i="67"/>
  <c r="AA283" i="67"/>
  <c r="E283" i="67"/>
  <c r="H283" i="67"/>
  <c r="X283" i="67"/>
  <c r="Y283" i="67"/>
  <c r="W284" i="67"/>
  <c r="M277" i="67"/>
  <c r="G284" i="67"/>
  <c r="C284" i="67"/>
  <c r="T280" i="67"/>
  <c r="B280" i="67"/>
  <c r="W280" i="67"/>
  <c r="X280" i="67"/>
  <c r="C280" i="67"/>
  <c r="E280" i="67"/>
  <c r="N280" i="67"/>
  <c r="Y280" i="67"/>
  <c r="F280" i="67"/>
  <c r="O280" i="67"/>
  <c r="P280" i="67"/>
  <c r="G280" i="67"/>
  <c r="U280" i="67"/>
  <c r="J280" i="67"/>
  <c r="Z280" i="67"/>
  <c r="R280" i="67"/>
  <c r="H280" i="67"/>
  <c r="Y279" i="5"/>
  <c r="Y215" i="5"/>
  <c r="F281" i="67"/>
  <c r="E282" i="67"/>
  <c r="N281" i="67"/>
  <c r="E281" i="67"/>
  <c r="C282" i="67"/>
  <c r="B282" i="67"/>
  <c r="X281" i="67"/>
  <c r="W282" i="67"/>
  <c r="V282" i="67"/>
  <c r="M282" i="67"/>
  <c r="W273" i="5"/>
  <c r="AA264" i="5"/>
  <c r="C281" i="67"/>
  <c r="H281" i="67"/>
  <c r="L281" i="67"/>
  <c r="O281" i="67"/>
  <c r="S281" i="67"/>
  <c r="W281" i="67"/>
  <c r="V281" i="67"/>
  <c r="U282" i="67"/>
  <c r="M281" i="67"/>
  <c r="L282" i="67"/>
  <c r="Z296" i="5"/>
  <c r="AA296" i="5"/>
  <c r="AA288" i="5"/>
  <c r="AA280" i="5"/>
  <c r="AA272" i="5"/>
  <c r="AA240" i="5"/>
  <c r="AA232" i="5"/>
  <c r="AA224" i="5"/>
  <c r="AA216" i="5"/>
  <c r="AA208" i="5"/>
  <c r="AA256" i="5"/>
  <c r="AA279" i="67"/>
  <c r="X279" i="67"/>
  <c r="T279" i="67"/>
  <c r="P279" i="67"/>
  <c r="M279" i="67"/>
  <c r="I279" i="67"/>
  <c r="C299" i="5"/>
  <c r="G299" i="5"/>
  <c r="B299" i="5"/>
  <c r="I299" i="5"/>
  <c r="F299" i="5"/>
  <c r="L299" i="5"/>
  <c r="H299" i="5"/>
  <c r="J299" i="5"/>
  <c r="K299" i="5"/>
  <c r="O299" i="5"/>
  <c r="Q299" i="5"/>
  <c r="S299" i="5"/>
  <c r="P299" i="5"/>
  <c r="N299" i="5"/>
  <c r="R299" i="5"/>
  <c r="M299" i="5"/>
  <c r="Z299" i="5"/>
  <c r="W299" i="5"/>
  <c r="Y299" i="5"/>
  <c r="T299" i="5"/>
  <c r="V299" i="5"/>
  <c r="X299" i="5"/>
  <c r="C291" i="5"/>
  <c r="G291" i="5"/>
  <c r="B291" i="5"/>
  <c r="I291" i="5"/>
  <c r="F291" i="5"/>
  <c r="H291" i="5"/>
  <c r="L291" i="5"/>
  <c r="J291" i="5"/>
  <c r="K291" i="5"/>
  <c r="O291" i="5"/>
  <c r="Q291" i="5"/>
  <c r="S291" i="5"/>
  <c r="N291" i="5"/>
  <c r="P291" i="5"/>
  <c r="M291" i="5"/>
  <c r="R291" i="5"/>
  <c r="Z291" i="5"/>
  <c r="T291" i="5"/>
  <c r="W291" i="5"/>
  <c r="Y291" i="5"/>
  <c r="V291" i="5"/>
  <c r="X291" i="5"/>
  <c r="C283" i="5"/>
  <c r="J283" i="5"/>
  <c r="G283" i="5"/>
  <c r="B283" i="5"/>
  <c r="I283" i="5"/>
  <c r="F283" i="5"/>
  <c r="L283" i="5"/>
  <c r="K283" i="5"/>
  <c r="O283" i="5"/>
  <c r="Q283" i="5"/>
  <c r="N283" i="5"/>
  <c r="M283" i="5"/>
  <c r="S283" i="5"/>
  <c r="P283" i="5"/>
  <c r="H283" i="5"/>
  <c r="R283" i="5"/>
  <c r="Z283" i="5"/>
  <c r="W283" i="5"/>
  <c r="Y283" i="5"/>
  <c r="V283" i="5"/>
  <c r="T283" i="5"/>
  <c r="X283" i="5"/>
  <c r="C275" i="5"/>
  <c r="J275" i="5"/>
  <c r="G275" i="5"/>
  <c r="B275" i="5"/>
  <c r="I275" i="5"/>
  <c r="F275" i="5"/>
  <c r="L275" i="5"/>
  <c r="K275" i="5"/>
  <c r="O275" i="5"/>
  <c r="H275" i="5"/>
  <c r="M275" i="5"/>
  <c r="Q275" i="5"/>
  <c r="S275" i="5"/>
  <c r="P275" i="5"/>
  <c r="R275" i="5"/>
  <c r="N275" i="5"/>
  <c r="Z275" i="5"/>
  <c r="W275" i="5"/>
  <c r="T275" i="5"/>
  <c r="Y275" i="5"/>
  <c r="V275" i="5"/>
  <c r="X275" i="5"/>
  <c r="C267" i="5"/>
  <c r="J267" i="5"/>
  <c r="G267" i="5"/>
  <c r="B267" i="5"/>
  <c r="I267" i="5"/>
  <c r="F267" i="5"/>
  <c r="L267" i="5"/>
  <c r="K267" i="5"/>
  <c r="O267" i="5"/>
  <c r="Q267" i="5"/>
  <c r="S267" i="5"/>
  <c r="P267" i="5"/>
  <c r="H267" i="5"/>
  <c r="N267" i="5"/>
  <c r="R267" i="5"/>
  <c r="M267" i="5"/>
  <c r="Z267" i="5"/>
  <c r="T267" i="5"/>
  <c r="W267" i="5"/>
  <c r="Y267" i="5"/>
  <c r="V267" i="5"/>
  <c r="X267" i="5"/>
  <c r="C259" i="5"/>
  <c r="J259" i="5"/>
  <c r="G259" i="5"/>
  <c r="B259" i="5"/>
  <c r="I259" i="5"/>
  <c r="F259" i="5"/>
  <c r="L259" i="5"/>
  <c r="K259" i="5"/>
  <c r="H259" i="5"/>
  <c r="O259" i="5"/>
  <c r="Q259" i="5"/>
  <c r="S259" i="5"/>
  <c r="N259" i="5"/>
  <c r="P259" i="5"/>
  <c r="M259" i="5"/>
  <c r="R259" i="5"/>
  <c r="Z259" i="5"/>
  <c r="W259" i="5"/>
  <c r="Y259" i="5"/>
  <c r="V259" i="5"/>
  <c r="X259" i="5"/>
  <c r="C251" i="5"/>
  <c r="J251" i="5"/>
  <c r="G251" i="5"/>
  <c r="B251" i="5"/>
  <c r="I251" i="5"/>
  <c r="F251" i="5"/>
  <c r="L251" i="5"/>
  <c r="H251" i="5"/>
  <c r="K251" i="5"/>
  <c r="O251" i="5"/>
  <c r="Q251" i="5"/>
  <c r="N251" i="5"/>
  <c r="M251" i="5"/>
  <c r="S251" i="5"/>
  <c r="P251" i="5"/>
  <c r="R251" i="5"/>
  <c r="Z251" i="5"/>
  <c r="W251" i="5"/>
  <c r="Y251" i="5"/>
  <c r="V251" i="5"/>
  <c r="T251" i="5"/>
  <c r="X251" i="5"/>
  <c r="C243" i="5"/>
  <c r="J243" i="5"/>
  <c r="G243" i="5"/>
  <c r="B243" i="5"/>
  <c r="I243" i="5"/>
  <c r="F243" i="5"/>
  <c r="L243" i="5"/>
  <c r="H243" i="5"/>
  <c r="K243" i="5"/>
  <c r="O243" i="5"/>
  <c r="M243" i="5"/>
  <c r="Q243" i="5"/>
  <c r="S243" i="5"/>
  <c r="P243" i="5"/>
  <c r="U243" i="5"/>
  <c r="R243" i="5"/>
  <c r="Z243" i="5"/>
  <c r="W243" i="5"/>
  <c r="T243" i="5"/>
  <c r="Y243" i="5"/>
  <c r="V243" i="5"/>
  <c r="X243" i="5"/>
  <c r="C235" i="5"/>
  <c r="J235" i="5"/>
  <c r="G235" i="5"/>
  <c r="B235" i="5"/>
  <c r="I235" i="5"/>
  <c r="F235" i="5"/>
  <c r="L235" i="5"/>
  <c r="H235" i="5"/>
  <c r="K235" i="5"/>
  <c r="O235" i="5"/>
  <c r="Q235" i="5"/>
  <c r="S235" i="5"/>
  <c r="P235" i="5"/>
  <c r="U235" i="5"/>
  <c r="N235" i="5"/>
  <c r="R235" i="5"/>
  <c r="M235" i="5"/>
  <c r="Z235" i="5"/>
  <c r="T235" i="5"/>
  <c r="W235" i="5"/>
  <c r="Y235" i="5"/>
  <c r="V235" i="5"/>
  <c r="X235" i="5"/>
  <c r="C227" i="5"/>
  <c r="J227" i="5"/>
  <c r="G227" i="5"/>
  <c r="B227" i="5"/>
  <c r="I227" i="5"/>
  <c r="F227" i="5"/>
  <c r="H227" i="5"/>
  <c r="L227" i="5"/>
  <c r="K227" i="5"/>
  <c r="O227" i="5"/>
  <c r="Q227" i="5"/>
  <c r="S227" i="5"/>
  <c r="N227" i="5"/>
  <c r="P227" i="5"/>
  <c r="M227" i="5"/>
  <c r="U227" i="5"/>
  <c r="R227" i="5"/>
  <c r="Z227" i="5"/>
  <c r="W227" i="5"/>
  <c r="Y227" i="5"/>
  <c r="V227" i="5"/>
  <c r="X227" i="5"/>
  <c r="C219" i="5"/>
  <c r="J219" i="5"/>
  <c r="G219" i="5"/>
  <c r="B219" i="5"/>
  <c r="I219" i="5"/>
  <c r="F219" i="5"/>
  <c r="L219" i="5"/>
  <c r="O219" i="5"/>
  <c r="Q219" i="5"/>
  <c r="N219" i="5"/>
  <c r="M219" i="5"/>
  <c r="S219" i="5"/>
  <c r="H219" i="5"/>
  <c r="K219" i="5"/>
  <c r="U219" i="5"/>
  <c r="R219" i="5"/>
  <c r="P219" i="5"/>
  <c r="Z219" i="5"/>
  <c r="W219" i="5"/>
  <c r="Y219" i="5"/>
  <c r="V219" i="5"/>
  <c r="T219" i="5"/>
  <c r="X219" i="5"/>
  <c r="C211" i="5"/>
  <c r="J211" i="5"/>
  <c r="G211" i="5"/>
  <c r="B211" i="5"/>
  <c r="I211" i="5"/>
  <c r="F211" i="5"/>
  <c r="L211" i="5"/>
  <c r="O211" i="5"/>
  <c r="H211" i="5"/>
  <c r="K211" i="5"/>
  <c r="M211" i="5"/>
  <c r="Q211" i="5"/>
  <c r="P211" i="5"/>
  <c r="S211" i="5"/>
  <c r="U211" i="5"/>
  <c r="R211" i="5"/>
  <c r="Z211" i="5"/>
  <c r="W211" i="5"/>
  <c r="Y211" i="5"/>
  <c r="T211" i="5"/>
  <c r="V211" i="5"/>
  <c r="N211" i="5"/>
  <c r="X211" i="5"/>
  <c r="AA295" i="5"/>
  <c r="AA287" i="5"/>
  <c r="AA279" i="5"/>
  <c r="AA271" i="5"/>
  <c r="AA263" i="5"/>
  <c r="AA255" i="5"/>
  <c r="AA247" i="5"/>
  <c r="AA239" i="5"/>
  <c r="AA231" i="5"/>
  <c r="AA223" i="5"/>
  <c r="AA215" i="5"/>
  <c r="Z280" i="5"/>
  <c r="Y271" i="5"/>
  <c r="X300" i="5"/>
  <c r="X236" i="5"/>
  <c r="W265" i="5"/>
  <c r="V294" i="5"/>
  <c r="V230" i="5"/>
  <c r="U259" i="5"/>
  <c r="R293" i="5"/>
  <c r="X244" i="5"/>
  <c r="G298" i="5"/>
  <c r="B298" i="5"/>
  <c r="I298" i="5"/>
  <c r="F298" i="5"/>
  <c r="H298" i="5"/>
  <c r="J298" i="5"/>
  <c r="K298" i="5"/>
  <c r="O298" i="5"/>
  <c r="M298" i="5"/>
  <c r="C298" i="5"/>
  <c r="N298" i="5"/>
  <c r="S298" i="5"/>
  <c r="P298" i="5"/>
  <c r="R298" i="5"/>
  <c r="L298" i="5"/>
  <c r="W298" i="5"/>
  <c r="Y298" i="5"/>
  <c r="T298" i="5"/>
  <c r="V298" i="5"/>
  <c r="Q298" i="5"/>
  <c r="X298" i="5"/>
  <c r="U298" i="5"/>
  <c r="G290" i="5"/>
  <c r="B290" i="5"/>
  <c r="I290" i="5"/>
  <c r="F290" i="5"/>
  <c r="H290" i="5"/>
  <c r="J290" i="5"/>
  <c r="K290" i="5"/>
  <c r="O290" i="5"/>
  <c r="M290" i="5"/>
  <c r="N290" i="5"/>
  <c r="S290" i="5"/>
  <c r="P290" i="5"/>
  <c r="C290" i="5"/>
  <c r="R290" i="5"/>
  <c r="L290" i="5"/>
  <c r="T290" i="5"/>
  <c r="W290" i="5"/>
  <c r="Y290" i="5"/>
  <c r="Q290" i="5"/>
  <c r="V290" i="5"/>
  <c r="X290" i="5"/>
  <c r="U290" i="5"/>
  <c r="G282" i="5"/>
  <c r="B282" i="5"/>
  <c r="I282" i="5"/>
  <c r="F282" i="5"/>
  <c r="H282" i="5"/>
  <c r="K282" i="5"/>
  <c r="O282" i="5"/>
  <c r="C282" i="5"/>
  <c r="J282" i="5"/>
  <c r="M282" i="5"/>
  <c r="N282" i="5"/>
  <c r="S282" i="5"/>
  <c r="P282" i="5"/>
  <c r="L282" i="5"/>
  <c r="R282" i="5"/>
  <c r="W282" i="5"/>
  <c r="Q282" i="5"/>
  <c r="Y282" i="5"/>
  <c r="V282" i="5"/>
  <c r="T282" i="5"/>
  <c r="X282" i="5"/>
  <c r="U282" i="5"/>
  <c r="G274" i="5"/>
  <c r="B274" i="5"/>
  <c r="I274" i="5"/>
  <c r="F274" i="5"/>
  <c r="H274" i="5"/>
  <c r="K274" i="5"/>
  <c r="C274" i="5"/>
  <c r="O274" i="5"/>
  <c r="M274" i="5"/>
  <c r="J274" i="5"/>
  <c r="N274" i="5"/>
  <c r="L274" i="5"/>
  <c r="S274" i="5"/>
  <c r="P274" i="5"/>
  <c r="R274" i="5"/>
  <c r="W274" i="5"/>
  <c r="Q274" i="5"/>
  <c r="T274" i="5"/>
  <c r="Y274" i="5"/>
  <c r="V274" i="5"/>
  <c r="X274" i="5"/>
  <c r="U274" i="5"/>
  <c r="J266" i="5"/>
  <c r="G266" i="5"/>
  <c r="B266" i="5"/>
  <c r="I266" i="5"/>
  <c r="F266" i="5"/>
  <c r="H266" i="5"/>
  <c r="C266" i="5"/>
  <c r="K266" i="5"/>
  <c r="O266" i="5"/>
  <c r="M266" i="5"/>
  <c r="N266" i="5"/>
  <c r="S266" i="5"/>
  <c r="P266" i="5"/>
  <c r="R266" i="5"/>
  <c r="Q266" i="5"/>
  <c r="T266" i="5"/>
  <c r="W266" i="5"/>
  <c r="Y266" i="5"/>
  <c r="V266" i="5"/>
  <c r="X266" i="5"/>
  <c r="U266" i="5"/>
  <c r="J258" i="5"/>
  <c r="G258" i="5"/>
  <c r="B258" i="5"/>
  <c r="I258" i="5"/>
  <c r="F258" i="5"/>
  <c r="H258" i="5"/>
  <c r="C258" i="5"/>
  <c r="K258" i="5"/>
  <c r="O258" i="5"/>
  <c r="M258" i="5"/>
  <c r="N258" i="5"/>
  <c r="S258" i="5"/>
  <c r="P258" i="5"/>
  <c r="R258" i="5"/>
  <c r="L258" i="5"/>
  <c r="W258" i="5"/>
  <c r="Y258" i="5"/>
  <c r="V258" i="5"/>
  <c r="X258" i="5"/>
  <c r="T258" i="5"/>
  <c r="U258" i="5"/>
  <c r="J250" i="5"/>
  <c r="G250" i="5"/>
  <c r="B250" i="5"/>
  <c r="I250" i="5"/>
  <c r="F250" i="5"/>
  <c r="H250" i="5"/>
  <c r="C250" i="5"/>
  <c r="K250" i="5"/>
  <c r="O250" i="5"/>
  <c r="M250" i="5"/>
  <c r="N250" i="5"/>
  <c r="S250" i="5"/>
  <c r="P250" i="5"/>
  <c r="L250" i="5"/>
  <c r="R250" i="5"/>
  <c r="W250" i="5"/>
  <c r="Y250" i="5"/>
  <c r="V250" i="5"/>
  <c r="T250" i="5"/>
  <c r="X250" i="5"/>
  <c r="Q250" i="5"/>
  <c r="U250" i="5"/>
  <c r="J242" i="5"/>
  <c r="G242" i="5"/>
  <c r="B242" i="5"/>
  <c r="I242" i="5"/>
  <c r="F242" i="5"/>
  <c r="H242" i="5"/>
  <c r="K242" i="5"/>
  <c r="O242" i="5"/>
  <c r="M242" i="5"/>
  <c r="N242" i="5"/>
  <c r="L242" i="5"/>
  <c r="S242" i="5"/>
  <c r="P242" i="5"/>
  <c r="C242" i="5"/>
  <c r="U242" i="5"/>
  <c r="R242" i="5"/>
  <c r="W242" i="5"/>
  <c r="T242" i="5"/>
  <c r="Y242" i="5"/>
  <c r="V242" i="5"/>
  <c r="Q242" i="5"/>
  <c r="X242" i="5"/>
  <c r="J234" i="5"/>
  <c r="G234" i="5"/>
  <c r="B234" i="5"/>
  <c r="I234" i="5"/>
  <c r="F234" i="5"/>
  <c r="H234" i="5"/>
  <c r="K234" i="5"/>
  <c r="O234" i="5"/>
  <c r="M234" i="5"/>
  <c r="C234" i="5"/>
  <c r="N234" i="5"/>
  <c r="S234" i="5"/>
  <c r="P234" i="5"/>
  <c r="U234" i="5"/>
  <c r="R234" i="5"/>
  <c r="T234" i="5"/>
  <c r="W234" i="5"/>
  <c r="Y234" i="5"/>
  <c r="V234" i="5"/>
  <c r="Q234" i="5"/>
  <c r="X234" i="5"/>
  <c r="L234" i="5"/>
  <c r="J226" i="5"/>
  <c r="G226" i="5"/>
  <c r="B226" i="5"/>
  <c r="I226" i="5"/>
  <c r="F226" i="5"/>
  <c r="H226" i="5"/>
  <c r="K226" i="5"/>
  <c r="O226" i="5"/>
  <c r="M226" i="5"/>
  <c r="N226" i="5"/>
  <c r="S226" i="5"/>
  <c r="C226" i="5"/>
  <c r="P226" i="5"/>
  <c r="U226" i="5"/>
  <c r="R226" i="5"/>
  <c r="L226" i="5"/>
  <c r="W226" i="5"/>
  <c r="Y226" i="5"/>
  <c r="Q226" i="5"/>
  <c r="V226" i="5"/>
  <c r="X226" i="5"/>
  <c r="T226" i="5"/>
  <c r="J218" i="5"/>
  <c r="G218" i="5"/>
  <c r="B218" i="5"/>
  <c r="I218" i="5"/>
  <c r="F218" i="5"/>
  <c r="H218" i="5"/>
  <c r="P218" i="5"/>
  <c r="O218" i="5"/>
  <c r="C218" i="5"/>
  <c r="K218" i="5"/>
  <c r="M218" i="5"/>
  <c r="N218" i="5"/>
  <c r="S218" i="5"/>
  <c r="L218" i="5"/>
  <c r="U218" i="5"/>
  <c r="R218" i="5"/>
  <c r="T218" i="5"/>
  <c r="W218" i="5"/>
  <c r="Q218" i="5"/>
  <c r="Y218" i="5"/>
  <c r="V218" i="5"/>
  <c r="X218" i="5"/>
  <c r="J210" i="5"/>
  <c r="G210" i="5"/>
  <c r="B210" i="5"/>
  <c r="I210" i="5"/>
  <c r="F210" i="5"/>
  <c r="H210" i="5"/>
  <c r="P210" i="5"/>
  <c r="C210" i="5"/>
  <c r="O210" i="5"/>
  <c r="M210" i="5"/>
  <c r="N210" i="5"/>
  <c r="L210" i="5"/>
  <c r="S210" i="5"/>
  <c r="K210" i="5"/>
  <c r="U210" i="5"/>
  <c r="R210" i="5"/>
  <c r="T210" i="5"/>
  <c r="W210" i="5"/>
  <c r="Q210" i="5"/>
  <c r="Y210" i="5"/>
  <c r="V210" i="5"/>
  <c r="X210" i="5"/>
  <c r="AA294" i="5"/>
  <c r="AA286" i="5"/>
  <c r="AA278" i="5"/>
  <c r="AA270" i="5"/>
  <c r="AA262" i="5"/>
  <c r="AA254" i="5"/>
  <c r="AA246" i="5"/>
  <c r="AA238" i="5"/>
  <c r="AA230" i="5"/>
  <c r="AA222" i="5"/>
  <c r="AA214" i="5"/>
  <c r="Z274" i="5"/>
  <c r="Z234" i="5"/>
  <c r="Y263" i="5"/>
  <c r="X292" i="5"/>
  <c r="X228" i="5"/>
  <c r="V286" i="5"/>
  <c r="V222" i="5"/>
  <c r="U251" i="5"/>
  <c r="R229" i="5"/>
  <c r="G297" i="5"/>
  <c r="B297" i="5"/>
  <c r="I297" i="5"/>
  <c r="F297" i="5"/>
  <c r="H297" i="5"/>
  <c r="C297" i="5"/>
  <c r="J297" i="5"/>
  <c r="K297" i="5"/>
  <c r="O297" i="5"/>
  <c r="M297" i="5"/>
  <c r="L297" i="5"/>
  <c r="S297" i="5"/>
  <c r="P297" i="5"/>
  <c r="R297" i="5"/>
  <c r="N297" i="5"/>
  <c r="T297" i="5"/>
  <c r="Q297" i="5"/>
  <c r="Y297" i="5"/>
  <c r="V297" i="5"/>
  <c r="X297" i="5"/>
  <c r="U297" i="5"/>
  <c r="G289" i="5"/>
  <c r="B289" i="5"/>
  <c r="I289" i="5"/>
  <c r="F289" i="5"/>
  <c r="H289" i="5"/>
  <c r="C289" i="5"/>
  <c r="J289" i="5"/>
  <c r="K289" i="5"/>
  <c r="O289" i="5"/>
  <c r="M289" i="5"/>
  <c r="L289" i="5"/>
  <c r="S289" i="5"/>
  <c r="P289" i="5"/>
  <c r="N289" i="5"/>
  <c r="R289" i="5"/>
  <c r="T289" i="5"/>
  <c r="Q289" i="5"/>
  <c r="Y289" i="5"/>
  <c r="V289" i="5"/>
  <c r="X289" i="5"/>
  <c r="U289" i="5"/>
  <c r="G281" i="5"/>
  <c r="B281" i="5"/>
  <c r="I281" i="5"/>
  <c r="F281" i="5"/>
  <c r="H281" i="5"/>
  <c r="C281" i="5"/>
  <c r="K281" i="5"/>
  <c r="O281" i="5"/>
  <c r="J281" i="5"/>
  <c r="M281" i="5"/>
  <c r="L281" i="5"/>
  <c r="N281" i="5"/>
  <c r="S281" i="5"/>
  <c r="P281" i="5"/>
  <c r="R281" i="5"/>
  <c r="T281" i="5"/>
  <c r="Q281" i="5"/>
  <c r="Y281" i="5"/>
  <c r="V281" i="5"/>
  <c r="X281" i="5"/>
  <c r="U281" i="5"/>
  <c r="G273" i="5"/>
  <c r="B273" i="5"/>
  <c r="I273" i="5"/>
  <c r="F273" i="5"/>
  <c r="H273" i="5"/>
  <c r="C273" i="5"/>
  <c r="K273" i="5"/>
  <c r="O273" i="5"/>
  <c r="M273" i="5"/>
  <c r="L273" i="5"/>
  <c r="S273" i="5"/>
  <c r="P273" i="5"/>
  <c r="R273" i="5"/>
  <c r="J273" i="5"/>
  <c r="T273" i="5"/>
  <c r="N273" i="5"/>
  <c r="Q273" i="5"/>
  <c r="Y273" i="5"/>
  <c r="V273" i="5"/>
  <c r="X273" i="5"/>
  <c r="U273" i="5"/>
  <c r="G265" i="5"/>
  <c r="B265" i="5"/>
  <c r="I265" i="5"/>
  <c r="F265" i="5"/>
  <c r="H265" i="5"/>
  <c r="C265" i="5"/>
  <c r="K265" i="5"/>
  <c r="J265" i="5"/>
  <c r="O265" i="5"/>
  <c r="M265" i="5"/>
  <c r="L265" i="5"/>
  <c r="S265" i="5"/>
  <c r="P265" i="5"/>
  <c r="R265" i="5"/>
  <c r="N265" i="5"/>
  <c r="T265" i="5"/>
  <c r="Q265" i="5"/>
  <c r="Y265" i="5"/>
  <c r="V265" i="5"/>
  <c r="X265" i="5"/>
  <c r="U265" i="5"/>
  <c r="G257" i="5"/>
  <c r="B257" i="5"/>
  <c r="I257" i="5"/>
  <c r="F257" i="5"/>
  <c r="H257" i="5"/>
  <c r="C257" i="5"/>
  <c r="J257" i="5"/>
  <c r="K257" i="5"/>
  <c r="O257" i="5"/>
  <c r="M257" i="5"/>
  <c r="L257" i="5"/>
  <c r="S257" i="5"/>
  <c r="P257" i="5"/>
  <c r="N257" i="5"/>
  <c r="R257" i="5"/>
  <c r="T257" i="5"/>
  <c r="Q257" i="5"/>
  <c r="Y257" i="5"/>
  <c r="V257" i="5"/>
  <c r="X257" i="5"/>
  <c r="U257" i="5"/>
  <c r="Z257" i="5"/>
  <c r="G249" i="5"/>
  <c r="B249" i="5"/>
  <c r="I249" i="5"/>
  <c r="F249" i="5"/>
  <c r="H249" i="5"/>
  <c r="C249" i="5"/>
  <c r="K249" i="5"/>
  <c r="O249" i="5"/>
  <c r="M249" i="5"/>
  <c r="J249" i="5"/>
  <c r="L249" i="5"/>
  <c r="N249" i="5"/>
  <c r="S249" i="5"/>
  <c r="P249" i="5"/>
  <c r="R249" i="5"/>
  <c r="T249" i="5"/>
  <c r="Q249" i="5"/>
  <c r="Y249" i="5"/>
  <c r="V249" i="5"/>
  <c r="X249" i="5"/>
  <c r="U249" i="5"/>
  <c r="Z249" i="5"/>
  <c r="G241" i="5"/>
  <c r="B241" i="5"/>
  <c r="I241" i="5"/>
  <c r="F241" i="5"/>
  <c r="H241" i="5"/>
  <c r="C241" i="5"/>
  <c r="K241" i="5"/>
  <c r="O241" i="5"/>
  <c r="M241" i="5"/>
  <c r="J241" i="5"/>
  <c r="L241" i="5"/>
  <c r="S241" i="5"/>
  <c r="P241" i="5"/>
  <c r="U241" i="5"/>
  <c r="R241" i="5"/>
  <c r="T241" i="5"/>
  <c r="N241" i="5"/>
  <c r="Q241" i="5"/>
  <c r="Y241" i="5"/>
  <c r="V241" i="5"/>
  <c r="X241" i="5"/>
  <c r="Z241" i="5"/>
  <c r="G233" i="5"/>
  <c r="B233" i="5"/>
  <c r="I233" i="5"/>
  <c r="F233" i="5"/>
  <c r="K233" i="5"/>
  <c r="H233" i="5"/>
  <c r="C233" i="5"/>
  <c r="J233" i="5"/>
  <c r="O233" i="5"/>
  <c r="M233" i="5"/>
  <c r="L233" i="5"/>
  <c r="S233" i="5"/>
  <c r="P233" i="5"/>
  <c r="U233" i="5"/>
  <c r="R233" i="5"/>
  <c r="N233" i="5"/>
  <c r="T233" i="5"/>
  <c r="Q233" i="5"/>
  <c r="Y233" i="5"/>
  <c r="V233" i="5"/>
  <c r="X233" i="5"/>
  <c r="Z233" i="5"/>
  <c r="G225" i="5"/>
  <c r="B225" i="5"/>
  <c r="I225" i="5"/>
  <c r="F225" i="5"/>
  <c r="K225" i="5"/>
  <c r="H225" i="5"/>
  <c r="C225" i="5"/>
  <c r="J225" i="5"/>
  <c r="O225" i="5"/>
  <c r="M225" i="5"/>
  <c r="L225" i="5"/>
  <c r="S225" i="5"/>
  <c r="P225" i="5"/>
  <c r="N225" i="5"/>
  <c r="U225" i="5"/>
  <c r="R225" i="5"/>
  <c r="T225" i="5"/>
  <c r="Q225" i="5"/>
  <c r="Y225" i="5"/>
  <c r="V225" i="5"/>
  <c r="X225" i="5"/>
  <c r="Z225" i="5"/>
  <c r="G217" i="5"/>
  <c r="B217" i="5"/>
  <c r="I217" i="5"/>
  <c r="F217" i="5"/>
  <c r="K217" i="5"/>
  <c r="H217" i="5"/>
  <c r="C217" i="5"/>
  <c r="O217" i="5"/>
  <c r="M217" i="5"/>
  <c r="J217" i="5"/>
  <c r="L217" i="5"/>
  <c r="N217" i="5"/>
  <c r="S217" i="5"/>
  <c r="U217" i="5"/>
  <c r="R217" i="5"/>
  <c r="P217" i="5"/>
  <c r="T217" i="5"/>
  <c r="Q217" i="5"/>
  <c r="Y217" i="5"/>
  <c r="V217" i="5"/>
  <c r="X217" i="5"/>
  <c r="Z217" i="5"/>
  <c r="G209" i="5"/>
  <c r="B209" i="5"/>
  <c r="I209" i="5"/>
  <c r="F209" i="5"/>
  <c r="K209" i="5"/>
  <c r="H209" i="5"/>
  <c r="C209" i="5"/>
  <c r="O209" i="5"/>
  <c r="M209" i="5"/>
  <c r="L209" i="5"/>
  <c r="J209" i="5"/>
  <c r="S209" i="5"/>
  <c r="P209" i="5"/>
  <c r="U209" i="5"/>
  <c r="R209" i="5"/>
  <c r="T209" i="5"/>
  <c r="N209" i="5"/>
  <c r="Q209" i="5"/>
  <c r="Y209" i="5"/>
  <c r="V209" i="5"/>
  <c r="X209" i="5"/>
  <c r="Z209" i="5"/>
  <c r="AA293" i="5"/>
  <c r="AA285" i="5"/>
  <c r="AA277" i="5"/>
  <c r="AA269" i="5"/>
  <c r="AA261" i="5"/>
  <c r="AA253" i="5"/>
  <c r="AA245" i="5"/>
  <c r="AA237" i="5"/>
  <c r="AA229" i="5"/>
  <c r="AA221" i="5"/>
  <c r="AA213" i="5"/>
  <c r="Z273" i="5"/>
  <c r="Z226" i="5"/>
  <c r="Y255" i="5"/>
  <c r="W249" i="5"/>
  <c r="V278" i="5"/>
  <c r="V214" i="5"/>
  <c r="U237" i="5"/>
  <c r="Q258" i="5"/>
  <c r="H300" i="5"/>
  <c r="C300" i="5"/>
  <c r="G300" i="5"/>
  <c r="B300" i="5"/>
  <c r="I300" i="5"/>
  <c r="F300" i="5"/>
  <c r="N300" i="5"/>
  <c r="L300" i="5"/>
  <c r="J300" i="5"/>
  <c r="K300" i="5"/>
  <c r="M300" i="5"/>
  <c r="T300" i="5"/>
  <c r="Q300" i="5"/>
  <c r="S300" i="5"/>
  <c r="P300" i="5"/>
  <c r="R300" i="5"/>
  <c r="U300" i="5"/>
  <c r="Z300" i="5"/>
  <c r="W300" i="5"/>
  <c r="Y300" i="5"/>
  <c r="V300" i="5"/>
  <c r="O300" i="5"/>
  <c r="H284" i="5"/>
  <c r="C284" i="5"/>
  <c r="G284" i="5"/>
  <c r="B284" i="5"/>
  <c r="I284" i="5"/>
  <c r="F284" i="5"/>
  <c r="N284" i="5"/>
  <c r="L284" i="5"/>
  <c r="K284" i="5"/>
  <c r="M284" i="5"/>
  <c r="T284" i="5"/>
  <c r="Q284" i="5"/>
  <c r="S284" i="5"/>
  <c r="P284" i="5"/>
  <c r="J284" i="5"/>
  <c r="R284" i="5"/>
  <c r="U284" i="5"/>
  <c r="Z284" i="5"/>
  <c r="W284" i="5"/>
  <c r="Y284" i="5"/>
  <c r="O284" i="5"/>
  <c r="V284" i="5"/>
  <c r="H268" i="5"/>
  <c r="C268" i="5"/>
  <c r="J268" i="5"/>
  <c r="G268" i="5"/>
  <c r="B268" i="5"/>
  <c r="I268" i="5"/>
  <c r="F268" i="5"/>
  <c r="N268" i="5"/>
  <c r="L268" i="5"/>
  <c r="K268" i="5"/>
  <c r="M268" i="5"/>
  <c r="T268" i="5"/>
  <c r="Q268" i="5"/>
  <c r="S268" i="5"/>
  <c r="P268" i="5"/>
  <c r="R268" i="5"/>
  <c r="U268" i="5"/>
  <c r="Z268" i="5"/>
  <c r="W268" i="5"/>
  <c r="O268" i="5"/>
  <c r="Y268" i="5"/>
  <c r="V268" i="5"/>
  <c r="H252" i="5"/>
  <c r="C252" i="5"/>
  <c r="J252" i="5"/>
  <c r="G252" i="5"/>
  <c r="B252" i="5"/>
  <c r="I252" i="5"/>
  <c r="F252" i="5"/>
  <c r="N252" i="5"/>
  <c r="L252" i="5"/>
  <c r="K252" i="5"/>
  <c r="M252" i="5"/>
  <c r="T252" i="5"/>
  <c r="Q252" i="5"/>
  <c r="S252" i="5"/>
  <c r="P252" i="5"/>
  <c r="R252" i="5"/>
  <c r="U252" i="5"/>
  <c r="Z252" i="5"/>
  <c r="W252" i="5"/>
  <c r="O252" i="5"/>
  <c r="Y252" i="5"/>
  <c r="V252" i="5"/>
  <c r="H236" i="5"/>
  <c r="C236" i="5"/>
  <c r="J236" i="5"/>
  <c r="G236" i="5"/>
  <c r="B236" i="5"/>
  <c r="I236" i="5"/>
  <c r="F236" i="5"/>
  <c r="N236" i="5"/>
  <c r="L236" i="5"/>
  <c r="K236" i="5"/>
  <c r="M236" i="5"/>
  <c r="T236" i="5"/>
  <c r="Q236" i="5"/>
  <c r="S236" i="5"/>
  <c r="P236" i="5"/>
  <c r="U236" i="5"/>
  <c r="R236" i="5"/>
  <c r="Z236" i="5"/>
  <c r="O236" i="5"/>
  <c r="W236" i="5"/>
  <c r="Y236" i="5"/>
  <c r="V236" i="5"/>
  <c r="H220" i="5"/>
  <c r="C220" i="5"/>
  <c r="J220" i="5"/>
  <c r="G220" i="5"/>
  <c r="B220" i="5"/>
  <c r="I220" i="5"/>
  <c r="F220" i="5"/>
  <c r="N220" i="5"/>
  <c r="L220" i="5"/>
  <c r="P220" i="5"/>
  <c r="K220" i="5"/>
  <c r="M220" i="5"/>
  <c r="O220" i="5"/>
  <c r="T220" i="5"/>
  <c r="Q220" i="5"/>
  <c r="S220" i="5"/>
  <c r="U220" i="5"/>
  <c r="R220" i="5"/>
  <c r="Z220" i="5"/>
  <c r="W220" i="5"/>
  <c r="Y220" i="5"/>
  <c r="V220" i="5"/>
  <c r="B296" i="5"/>
  <c r="I296" i="5"/>
  <c r="F296" i="5"/>
  <c r="H296" i="5"/>
  <c r="C296" i="5"/>
  <c r="K296" i="5"/>
  <c r="M296" i="5"/>
  <c r="N296" i="5"/>
  <c r="P296" i="5"/>
  <c r="J296" i="5"/>
  <c r="G296" i="5"/>
  <c r="R296" i="5"/>
  <c r="T296" i="5"/>
  <c r="Q296" i="5"/>
  <c r="L296" i="5"/>
  <c r="O296" i="5"/>
  <c r="Y296" i="5"/>
  <c r="V296" i="5"/>
  <c r="S296" i="5"/>
  <c r="X296" i="5"/>
  <c r="U296" i="5"/>
  <c r="W296" i="5"/>
  <c r="B288" i="5"/>
  <c r="I288" i="5"/>
  <c r="F288" i="5"/>
  <c r="H288" i="5"/>
  <c r="C288" i="5"/>
  <c r="J288" i="5"/>
  <c r="K288" i="5"/>
  <c r="M288" i="5"/>
  <c r="G288" i="5"/>
  <c r="N288" i="5"/>
  <c r="P288" i="5"/>
  <c r="O288" i="5"/>
  <c r="R288" i="5"/>
  <c r="L288" i="5"/>
  <c r="T288" i="5"/>
  <c r="Q288" i="5"/>
  <c r="Y288" i="5"/>
  <c r="V288" i="5"/>
  <c r="S288" i="5"/>
  <c r="X288" i="5"/>
  <c r="U288" i="5"/>
  <c r="W288" i="5"/>
  <c r="B280" i="5"/>
  <c r="I280" i="5"/>
  <c r="F280" i="5"/>
  <c r="H280" i="5"/>
  <c r="C280" i="5"/>
  <c r="K280" i="5"/>
  <c r="J280" i="5"/>
  <c r="M280" i="5"/>
  <c r="G280" i="5"/>
  <c r="N280" i="5"/>
  <c r="P280" i="5"/>
  <c r="L280" i="5"/>
  <c r="R280" i="5"/>
  <c r="T280" i="5"/>
  <c r="Q280" i="5"/>
  <c r="O280" i="5"/>
  <c r="Y280" i="5"/>
  <c r="S280" i="5"/>
  <c r="V280" i="5"/>
  <c r="X280" i="5"/>
  <c r="U280" i="5"/>
  <c r="W280" i="5"/>
  <c r="B272" i="5"/>
  <c r="I272" i="5"/>
  <c r="F272" i="5"/>
  <c r="H272" i="5"/>
  <c r="C272" i="5"/>
  <c r="K272" i="5"/>
  <c r="G272" i="5"/>
  <c r="M272" i="5"/>
  <c r="J272" i="5"/>
  <c r="N272" i="5"/>
  <c r="L272" i="5"/>
  <c r="P272" i="5"/>
  <c r="O272" i="5"/>
  <c r="R272" i="5"/>
  <c r="T272" i="5"/>
  <c r="Q272" i="5"/>
  <c r="S272" i="5"/>
  <c r="Y272" i="5"/>
  <c r="V272" i="5"/>
  <c r="X272" i="5"/>
  <c r="U272" i="5"/>
  <c r="W272" i="5"/>
  <c r="B264" i="5"/>
  <c r="I264" i="5"/>
  <c r="F264" i="5"/>
  <c r="H264" i="5"/>
  <c r="C264" i="5"/>
  <c r="K264" i="5"/>
  <c r="G264" i="5"/>
  <c r="J264" i="5"/>
  <c r="M264" i="5"/>
  <c r="N264" i="5"/>
  <c r="P264" i="5"/>
  <c r="R264" i="5"/>
  <c r="T264" i="5"/>
  <c r="Q264" i="5"/>
  <c r="L264" i="5"/>
  <c r="O264" i="5"/>
  <c r="Y264" i="5"/>
  <c r="V264" i="5"/>
  <c r="X264" i="5"/>
  <c r="U264" i="5"/>
  <c r="Z264" i="5"/>
  <c r="W264" i="5"/>
  <c r="B256" i="5"/>
  <c r="I256" i="5"/>
  <c r="F256" i="5"/>
  <c r="H256" i="5"/>
  <c r="C256" i="5"/>
  <c r="G256" i="5"/>
  <c r="K256" i="5"/>
  <c r="M256" i="5"/>
  <c r="N256" i="5"/>
  <c r="P256" i="5"/>
  <c r="O256" i="5"/>
  <c r="R256" i="5"/>
  <c r="J256" i="5"/>
  <c r="L256" i="5"/>
  <c r="T256" i="5"/>
  <c r="Q256" i="5"/>
  <c r="Y256" i="5"/>
  <c r="V256" i="5"/>
  <c r="X256" i="5"/>
  <c r="U256" i="5"/>
  <c r="Z256" i="5"/>
  <c r="S256" i="5"/>
  <c r="W256" i="5"/>
  <c r="B248" i="5"/>
  <c r="I248" i="5"/>
  <c r="F248" i="5"/>
  <c r="H248" i="5"/>
  <c r="C248" i="5"/>
  <c r="K248" i="5"/>
  <c r="M248" i="5"/>
  <c r="N248" i="5"/>
  <c r="P248" i="5"/>
  <c r="G248" i="5"/>
  <c r="J248" i="5"/>
  <c r="L248" i="5"/>
  <c r="R248" i="5"/>
  <c r="T248" i="5"/>
  <c r="Q248" i="5"/>
  <c r="O248" i="5"/>
  <c r="Y248" i="5"/>
  <c r="V248" i="5"/>
  <c r="X248" i="5"/>
  <c r="U248" i="5"/>
  <c r="S248" i="5"/>
  <c r="Z248" i="5"/>
  <c r="W248" i="5"/>
  <c r="B240" i="5"/>
  <c r="I240" i="5"/>
  <c r="F240" i="5"/>
  <c r="H240" i="5"/>
  <c r="C240" i="5"/>
  <c r="K240" i="5"/>
  <c r="M240" i="5"/>
  <c r="J240" i="5"/>
  <c r="N240" i="5"/>
  <c r="G240" i="5"/>
  <c r="L240" i="5"/>
  <c r="P240" i="5"/>
  <c r="O240" i="5"/>
  <c r="R240" i="5"/>
  <c r="T240" i="5"/>
  <c r="Q240" i="5"/>
  <c r="Y240" i="5"/>
  <c r="U240" i="5"/>
  <c r="V240" i="5"/>
  <c r="X240" i="5"/>
  <c r="S240" i="5"/>
  <c r="Z240" i="5"/>
  <c r="W240" i="5"/>
  <c r="B232" i="5"/>
  <c r="I232" i="5"/>
  <c r="F232" i="5"/>
  <c r="H232" i="5"/>
  <c r="C232" i="5"/>
  <c r="J232" i="5"/>
  <c r="K232" i="5"/>
  <c r="M232" i="5"/>
  <c r="N232" i="5"/>
  <c r="G232" i="5"/>
  <c r="P232" i="5"/>
  <c r="R232" i="5"/>
  <c r="T232" i="5"/>
  <c r="Q232" i="5"/>
  <c r="L232" i="5"/>
  <c r="O232" i="5"/>
  <c r="Y232" i="5"/>
  <c r="V232" i="5"/>
  <c r="S232" i="5"/>
  <c r="X232" i="5"/>
  <c r="Z232" i="5"/>
  <c r="U232" i="5"/>
  <c r="W232" i="5"/>
  <c r="B224" i="5"/>
  <c r="I224" i="5"/>
  <c r="F224" i="5"/>
  <c r="H224" i="5"/>
  <c r="C224" i="5"/>
  <c r="O224" i="5"/>
  <c r="K224" i="5"/>
  <c r="M224" i="5"/>
  <c r="G224" i="5"/>
  <c r="N224" i="5"/>
  <c r="P224" i="5"/>
  <c r="J224" i="5"/>
  <c r="R224" i="5"/>
  <c r="L224" i="5"/>
  <c r="T224" i="5"/>
  <c r="Q224" i="5"/>
  <c r="Y224" i="5"/>
  <c r="V224" i="5"/>
  <c r="S224" i="5"/>
  <c r="U224" i="5"/>
  <c r="X224" i="5"/>
  <c r="Z224" i="5"/>
  <c r="W224" i="5"/>
  <c r="B216" i="5"/>
  <c r="I216" i="5"/>
  <c r="F216" i="5"/>
  <c r="H216" i="5"/>
  <c r="C216" i="5"/>
  <c r="J216" i="5"/>
  <c r="O216" i="5"/>
  <c r="M216" i="5"/>
  <c r="G216" i="5"/>
  <c r="K216" i="5"/>
  <c r="N216" i="5"/>
  <c r="L216" i="5"/>
  <c r="R216" i="5"/>
  <c r="P216" i="5"/>
  <c r="T216" i="5"/>
  <c r="Q216" i="5"/>
  <c r="U216" i="5"/>
  <c r="Y216" i="5"/>
  <c r="S216" i="5"/>
  <c r="V216" i="5"/>
  <c r="X216" i="5"/>
  <c r="Z216" i="5"/>
  <c r="W216" i="5"/>
  <c r="B208" i="5"/>
  <c r="I208" i="5"/>
  <c r="F208" i="5"/>
  <c r="H208" i="5"/>
  <c r="C208" i="5"/>
  <c r="J208" i="5"/>
  <c r="O208" i="5"/>
  <c r="G208" i="5"/>
  <c r="M208" i="5"/>
  <c r="K208" i="5"/>
  <c r="N208" i="5"/>
  <c r="L208" i="5"/>
  <c r="P208" i="5"/>
  <c r="R208" i="5"/>
  <c r="T208" i="5"/>
  <c r="Q208" i="5"/>
  <c r="S208" i="5"/>
  <c r="Y208" i="5"/>
  <c r="V208" i="5"/>
  <c r="X208" i="5"/>
  <c r="U208" i="5"/>
  <c r="Z208" i="5"/>
  <c r="W208" i="5"/>
  <c r="AA300" i="5"/>
  <c r="AA292" i="5"/>
  <c r="AA284" i="5"/>
  <c r="AA276" i="5"/>
  <c r="AA268" i="5"/>
  <c r="AA260" i="5"/>
  <c r="AA252" i="5"/>
  <c r="AA244" i="5"/>
  <c r="AA236" i="5"/>
  <c r="AA228" i="5"/>
  <c r="AA220" i="5"/>
  <c r="AA212" i="5"/>
  <c r="Z290" i="5"/>
  <c r="Z272" i="5"/>
  <c r="Z218" i="5"/>
  <c r="X276" i="5"/>
  <c r="X212" i="5"/>
  <c r="W241" i="5"/>
  <c r="V270" i="5"/>
  <c r="U299" i="5"/>
  <c r="U214" i="5"/>
  <c r="I295" i="5"/>
  <c r="F295" i="5"/>
  <c r="H295" i="5"/>
  <c r="C295" i="5"/>
  <c r="G295" i="5"/>
  <c r="O295" i="5"/>
  <c r="M295" i="5"/>
  <c r="B295" i="5"/>
  <c r="N295" i="5"/>
  <c r="L295" i="5"/>
  <c r="J295" i="5"/>
  <c r="R295" i="5"/>
  <c r="T295" i="5"/>
  <c r="Q295" i="5"/>
  <c r="S295" i="5"/>
  <c r="P295" i="5"/>
  <c r="V295" i="5"/>
  <c r="X295" i="5"/>
  <c r="U295" i="5"/>
  <c r="Z295" i="5"/>
  <c r="K295" i="5"/>
  <c r="W295" i="5"/>
  <c r="I287" i="5"/>
  <c r="F287" i="5"/>
  <c r="H287" i="5"/>
  <c r="C287" i="5"/>
  <c r="G287" i="5"/>
  <c r="O287" i="5"/>
  <c r="B287" i="5"/>
  <c r="M287" i="5"/>
  <c r="N287" i="5"/>
  <c r="L287" i="5"/>
  <c r="R287" i="5"/>
  <c r="T287" i="5"/>
  <c r="Q287" i="5"/>
  <c r="K287" i="5"/>
  <c r="S287" i="5"/>
  <c r="V287" i="5"/>
  <c r="J287" i="5"/>
  <c r="X287" i="5"/>
  <c r="U287" i="5"/>
  <c r="Z287" i="5"/>
  <c r="W287" i="5"/>
  <c r="I279" i="5"/>
  <c r="F279" i="5"/>
  <c r="H279" i="5"/>
  <c r="C279" i="5"/>
  <c r="G279" i="5"/>
  <c r="B279" i="5"/>
  <c r="O279" i="5"/>
  <c r="J279" i="5"/>
  <c r="M279" i="5"/>
  <c r="N279" i="5"/>
  <c r="L279" i="5"/>
  <c r="R279" i="5"/>
  <c r="K279" i="5"/>
  <c r="T279" i="5"/>
  <c r="Q279" i="5"/>
  <c r="S279" i="5"/>
  <c r="V279" i="5"/>
  <c r="X279" i="5"/>
  <c r="U279" i="5"/>
  <c r="Z279" i="5"/>
  <c r="W279" i="5"/>
  <c r="P279" i="5"/>
  <c r="I271" i="5"/>
  <c r="F271" i="5"/>
  <c r="H271" i="5"/>
  <c r="C271" i="5"/>
  <c r="G271" i="5"/>
  <c r="O271" i="5"/>
  <c r="M271" i="5"/>
  <c r="J271" i="5"/>
  <c r="N271" i="5"/>
  <c r="L271" i="5"/>
  <c r="B271" i="5"/>
  <c r="K271" i="5"/>
  <c r="R271" i="5"/>
  <c r="T271" i="5"/>
  <c r="Q271" i="5"/>
  <c r="S271" i="5"/>
  <c r="V271" i="5"/>
  <c r="X271" i="5"/>
  <c r="U271" i="5"/>
  <c r="Z271" i="5"/>
  <c r="P271" i="5"/>
  <c r="W271" i="5"/>
  <c r="I263" i="5"/>
  <c r="F263" i="5"/>
  <c r="H263" i="5"/>
  <c r="C263" i="5"/>
  <c r="J263" i="5"/>
  <c r="G263" i="5"/>
  <c r="O263" i="5"/>
  <c r="M263" i="5"/>
  <c r="N263" i="5"/>
  <c r="L263" i="5"/>
  <c r="B263" i="5"/>
  <c r="R263" i="5"/>
  <c r="T263" i="5"/>
  <c r="Q263" i="5"/>
  <c r="S263" i="5"/>
  <c r="V263" i="5"/>
  <c r="X263" i="5"/>
  <c r="U263" i="5"/>
  <c r="K263" i="5"/>
  <c r="P263" i="5"/>
  <c r="Z263" i="5"/>
  <c r="W263" i="5"/>
  <c r="I255" i="5"/>
  <c r="F255" i="5"/>
  <c r="H255" i="5"/>
  <c r="C255" i="5"/>
  <c r="J255" i="5"/>
  <c r="G255" i="5"/>
  <c r="O255" i="5"/>
  <c r="M255" i="5"/>
  <c r="N255" i="5"/>
  <c r="L255" i="5"/>
  <c r="B255" i="5"/>
  <c r="R255" i="5"/>
  <c r="T255" i="5"/>
  <c r="Q255" i="5"/>
  <c r="K255" i="5"/>
  <c r="S255" i="5"/>
  <c r="V255" i="5"/>
  <c r="X255" i="5"/>
  <c r="P255" i="5"/>
  <c r="U255" i="5"/>
  <c r="Z255" i="5"/>
  <c r="W255" i="5"/>
  <c r="I247" i="5"/>
  <c r="F247" i="5"/>
  <c r="H247" i="5"/>
  <c r="C247" i="5"/>
  <c r="J247" i="5"/>
  <c r="G247" i="5"/>
  <c r="O247" i="5"/>
  <c r="M247" i="5"/>
  <c r="N247" i="5"/>
  <c r="B247" i="5"/>
  <c r="L247" i="5"/>
  <c r="U247" i="5"/>
  <c r="R247" i="5"/>
  <c r="K247" i="5"/>
  <c r="T247" i="5"/>
  <c r="Q247" i="5"/>
  <c r="S247" i="5"/>
  <c r="V247" i="5"/>
  <c r="P247" i="5"/>
  <c r="X247" i="5"/>
  <c r="Z247" i="5"/>
  <c r="W247" i="5"/>
  <c r="I239" i="5"/>
  <c r="F239" i="5"/>
  <c r="H239" i="5"/>
  <c r="C239" i="5"/>
  <c r="J239" i="5"/>
  <c r="G239" i="5"/>
  <c r="O239" i="5"/>
  <c r="M239" i="5"/>
  <c r="B239" i="5"/>
  <c r="N239" i="5"/>
  <c r="L239" i="5"/>
  <c r="U239" i="5"/>
  <c r="K239" i="5"/>
  <c r="R239" i="5"/>
  <c r="T239" i="5"/>
  <c r="Q239" i="5"/>
  <c r="S239" i="5"/>
  <c r="V239" i="5"/>
  <c r="P239" i="5"/>
  <c r="X239" i="5"/>
  <c r="Z239" i="5"/>
  <c r="W239" i="5"/>
  <c r="I231" i="5"/>
  <c r="F231" i="5"/>
  <c r="H231" i="5"/>
  <c r="C231" i="5"/>
  <c r="J231" i="5"/>
  <c r="G231" i="5"/>
  <c r="K231" i="5"/>
  <c r="O231" i="5"/>
  <c r="M231" i="5"/>
  <c r="B231" i="5"/>
  <c r="N231" i="5"/>
  <c r="L231" i="5"/>
  <c r="U231" i="5"/>
  <c r="R231" i="5"/>
  <c r="T231" i="5"/>
  <c r="Q231" i="5"/>
  <c r="S231" i="5"/>
  <c r="P231" i="5"/>
  <c r="V231" i="5"/>
  <c r="X231" i="5"/>
  <c r="Z231" i="5"/>
  <c r="W231" i="5"/>
  <c r="I223" i="5"/>
  <c r="F223" i="5"/>
  <c r="H223" i="5"/>
  <c r="C223" i="5"/>
  <c r="J223" i="5"/>
  <c r="G223" i="5"/>
  <c r="O223" i="5"/>
  <c r="B223" i="5"/>
  <c r="K223" i="5"/>
  <c r="M223" i="5"/>
  <c r="N223" i="5"/>
  <c r="L223" i="5"/>
  <c r="U223" i="5"/>
  <c r="R223" i="5"/>
  <c r="T223" i="5"/>
  <c r="Q223" i="5"/>
  <c r="S223" i="5"/>
  <c r="V223" i="5"/>
  <c r="X223" i="5"/>
  <c r="Z223" i="5"/>
  <c r="W223" i="5"/>
  <c r="I215" i="5"/>
  <c r="F215" i="5"/>
  <c r="H215" i="5"/>
  <c r="C215" i="5"/>
  <c r="J215" i="5"/>
  <c r="G215" i="5"/>
  <c r="B215" i="5"/>
  <c r="O215" i="5"/>
  <c r="M215" i="5"/>
  <c r="K215" i="5"/>
  <c r="N215" i="5"/>
  <c r="L215" i="5"/>
  <c r="U215" i="5"/>
  <c r="R215" i="5"/>
  <c r="P215" i="5"/>
  <c r="T215" i="5"/>
  <c r="Q215" i="5"/>
  <c r="S215" i="5"/>
  <c r="V215" i="5"/>
  <c r="X215" i="5"/>
  <c r="Z215" i="5"/>
  <c r="W215" i="5"/>
  <c r="AA299" i="5"/>
  <c r="AA291" i="5"/>
  <c r="AA283" i="5"/>
  <c r="AA275" i="5"/>
  <c r="AA267" i="5"/>
  <c r="AA259" i="5"/>
  <c r="AA251" i="5"/>
  <c r="AA243" i="5"/>
  <c r="AA235" i="5"/>
  <c r="AA227" i="5"/>
  <c r="AA219" i="5"/>
  <c r="AA211" i="5"/>
  <c r="Z289" i="5"/>
  <c r="Z266" i="5"/>
  <c r="Z210" i="5"/>
  <c r="Y239" i="5"/>
  <c r="X268" i="5"/>
  <c r="W297" i="5"/>
  <c r="W233" i="5"/>
  <c r="U291" i="5"/>
  <c r="T285" i="5"/>
  <c r="P223" i="5"/>
  <c r="F294" i="5"/>
  <c r="H294" i="5"/>
  <c r="C294" i="5"/>
  <c r="J294" i="5"/>
  <c r="G294" i="5"/>
  <c r="B294" i="5"/>
  <c r="M294" i="5"/>
  <c r="N294" i="5"/>
  <c r="L294" i="5"/>
  <c r="I294" i="5"/>
  <c r="K294" i="5"/>
  <c r="R294" i="5"/>
  <c r="T294" i="5"/>
  <c r="Q294" i="5"/>
  <c r="O294" i="5"/>
  <c r="S294" i="5"/>
  <c r="P294" i="5"/>
  <c r="X294" i="5"/>
  <c r="U294" i="5"/>
  <c r="Z294" i="5"/>
  <c r="W294" i="5"/>
  <c r="Y294" i="5"/>
  <c r="F286" i="5"/>
  <c r="H286" i="5"/>
  <c r="C286" i="5"/>
  <c r="J286" i="5"/>
  <c r="G286" i="5"/>
  <c r="B286" i="5"/>
  <c r="M286" i="5"/>
  <c r="N286" i="5"/>
  <c r="I286" i="5"/>
  <c r="L286" i="5"/>
  <c r="K286" i="5"/>
  <c r="R286" i="5"/>
  <c r="O286" i="5"/>
  <c r="T286" i="5"/>
  <c r="Q286" i="5"/>
  <c r="S286" i="5"/>
  <c r="P286" i="5"/>
  <c r="X286" i="5"/>
  <c r="U286" i="5"/>
  <c r="Z286" i="5"/>
  <c r="W286" i="5"/>
  <c r="Y286" i="5"/>
  <c r="F278" i="5"/>
  <c r="H278" i="5"/>
  <c r="C278" i="5"/>
  <c r="J278" i="5"/>
  <c r="G278" i="5"/>
  <c r="B278" i="5"/>
  <c r="M278" i="5"/>
  <c r="I278" i="5"/>
  <c r="N278" i="5"/>
  <c r="L278" i="5"/>
  <c r="K278" i="5"/>
  <c r="R278" i="5"/>
  <c r="T278" i="5"/>
  <c r="Q278" i="5"/>
  <c r="O278" i="5"/>
  <c r="S278" i="5"/>
  <c r="P278" i="5"/>
  <c r="X278" i="5"/>
  <c r="U278" i="5"/>
  <c r="Z278" i="5"/>
  <c r="W278" i="5"/>
  <c r="Y278" i="5"/>
  <c r="F270" i="5"/>
  <c r="H270" i="5"/>
  <c r="C270" i="5"/>
  <c r="J270" i="5"/>
  <c r="G270" i="5"/>
  <c r="B270" i="5"/>
  <c r="M270" i="5"/>
  <c r="I270" i="5"/>
  <c r="N270" i="5"/>
  <c r="L270" i="5"/>
  <c r="K270" i="5"/>
  <c r="R270" i="5"/>
  <c r="O270" i="5"/>
  <c r="T270" i="5"/>
  <c r="Q270" i="5"/>
  <c r="S270" i="5"/>
  <c r="P270" i="5"/>
  <c r="X270" i="5"/>
  <c r="U270" i="5"/>
  <c r="Z270" i="5"/>
  <c r="W270" i="5"/>
  <c r="Y270" i="5"/>
  <c r="F262" i="5"/>
  <c r="H262" i="5"/>
  <c r="C262" i="5"/>
  <c r="J262" i="5"/>
  <c r="G262" i="5"/>
  <c r="B262" i="5"/>
  <c r="I262" i="5"/>
  <c r="M262" i="5"/>
  <c r="N262" i="5"/>
  <c r="L262" i="5"/>
  <c r="K262" i="5"/>
  <c r="R262" i="5"/>
  <c r="T262" i="5"/>
  <c r="Q262" i="5"/>
  <c r="O262" i="5"/>
  <c r="S262" i="5"/>
  <c r="P262" i="5"/>
  <c r="X262" i="5"/>
  <c r="U262" i="5"/>
  <c r="Z262" i="5"/>
  <c r="W262" i="5"/>
  <c r="Y262" i="5"/>
  <c r="F254" i="5"/>
  <c r="H254" i="5"/>
  <c r="C254" i="5"/>
  <c r="J254" i="5"/>
  <c r="G254" i="5"/>
  <c r="B254" i="5"/>
  <c r="M254" i="5"/>
  <c r="N254" i="5"/>
  <c r="L254" i="5"/>
  <c r="K254" i="5"/>
  <c r="R254" i="5"/>
  <c r="O254" i="5"/>
  <c r="T254" i="5"/>
  <c r="Q254" i="5"/>
  <c r="S254" i="5"/>
  <c r="P254" i="5"/>
  <c r="I254" i="5"/>
  <c r="X254" i="5"/>
  <c r="U254" i="5"/>
  <c r="Z254" i="5"/>
  <c r="W254" i="5"/>
  <c r="Y254" i="5"/>
  <c r="F246" i="5"/>
  <c r="H246" i="5"/>
  <c r="C246" i="5"/>
  <c r="J246" i="5"/>
  <c r="G246" i="5"/>
  <c r="B246" i="5"/>
  <c r="M246" i="5"/>
  <c r="N246" i="5"/>
  <c r="L246" i="5"/>
  <c r="I246" i="5"/>
  <c r="K246" i="5"/>
  <c r="R246" i="5"/>
  <c r="T246" i="5"/>
  <c r="Q246" i="5"/>
  <c r="O246" i="5"/>
  <c r="S246" i="5"/>
  <c r="P246" i="5"/>
  <c r="X246" i="5"/>
  <c r="U246" i="5"/>
  <c r="Z246" i="5"/>
  <c r="W246" i="5"/>
  <c r="Y246" i="5"/>
  <c r="F238" i="5"/>
  <c r="H238" i="5"/>
  <c r="C238" i="5"/>
  <c r="J238" i="5"/>
  <c r="G238" i="5"/>
  <c r="B238" i="5"/>
  <c r="M238" i="5"/>
  <c r="N238" i="5"/>
  <c r="L238" i="5"/>
  <c r="K238" i="5"/>
  <c r="R238" i="5"/>
  <c r="O238" i="5"/>
  <c r="T238" i="5"/>
  <c r="Q238" i="5"/>
  <c r="S238" i="5"/>
  <c r="I238" i="5"/>
  <c r="P238" i="5"/>
  <c r="U238" i="5"/>
  <c r="X238" i="5"/>
  <c r="Z238" i="5"/>
  <c r="W238" i="5"/>
  <c r="Y238" i="5"/>
  <c r="F230" i="5"/>
  <c r="H230" i="5"/>
  <c r="C230" i="5"/>
  <c r="J230" i="5"/>
  <c r="G230" i="5"/>
  <c r="B230" i="5"/>
  <c r="M230" i="5"/>
  <c r="N230" i="5"/>
  <c r="L230" i="5"/>
  <c r="I230" i="5"/>
  <c r="R230" i="5"/>
  <c r="T230" i="5"/>
  <c r="Q230" i="5"/>
  <c r="O230" i="5"/>
  <c r="S230" i="5"/>
  <c r="P230" i="5"/>
  <c r="X230" i="5"/>
  <c r="K230" i="5"/>
  <c r="Z230" i="5"/>
  <c r="W230" i="5"/>
  <c r="U230" i="5"/>
  <c r="Y230" i="5"/>
  <c r="F222" i="5"/>
  <c r="H222" i="5"/>
  <c r="C222" i="5"/>
  <c r="J222" i="5"/>
  <c r="G222" i="5"/>
  <c r="B222" i="5"/>
  <c r="K222" i="5"/>
  <c r="M222" i="5"/>
  <c r="N222" i="5"/>
  <c r="I222" i="5"/>
  <c r="L222" i="5"/>
  <c r="P222" i="5"/>
  <c r="R222" i="5"/>
  <c r="O222" i="5"/>
  <c r="T222" i="5"/>
  <c r="Q222" i="5"/>
  <c r="S222" i="5"/>
  <c r="X222" i="5"/>
  <c r="U222" i="5"/>
  <c r="Z222" i="5"/>
  <c r="W222" i="5"/>
  <c r="Y222" i="5"/>
  <c r="F214" i="5"/>
  <c r="H214" i="5"/>
  <c r="C214" i="5"/>
  <c r="J214" i="5"/>
  <c r="G214" i="5"/>
  <c r="B214" i="5"/>
  <c r="M214" i="5"/>
  <c r="K214" i="5"/>
  <c r="I214" i="5"/>
  <c r="N214" i="5"/>
  <c r="L214" i="5"/>
  <c r="P214" i="5"/>
  <c r="R214" i="5"/>
  <c r="T214" i="5"/>
  <c r="Q214" i="5"/>
  <c r="S214" i="5"/>
  <c r="O214" i="5"/>
  <c r="X214" i="5"/>
  <c r="Z214" i="5"/>
  <c r="W214" i="5"/>
  <c r="Y214" i="5"/>
  <c r="AA298" i="5"/>
  <c r="AA290" i="5"/>
  <c r="AA282" i="5"/>
  <c r="AA274" i="5"/>
  <c r="AA266" i="5"/>
  <c r="AA258" i="5"/>
  <c r="AA250" i="5"/>
  <c r="AA242" i="5"/>
  <c r="AA234" i="5"/>
  <c r="AA226" i="5"/>
  <c r="AA218" i="5"/>
  <c r="AA210" i="5"/>
  <c r="Z288" i="5"/>
  <c r="Z265" i="5"/>
  <c r="Y295" i="5"/>
  <c r="Y231" i="5"/>
  <c r="W289" i="5"/>
  <c r="W225" i="5"/>
  <c r="V254" i="5"/>
  <c r="U283" i="5"/>
  <c r="T259" i="5"/>
  <c r="N243" i="5"/>
  <c r="H292" i="5"/>
  <c r="C292" i="5"/>
  <c r="G292" i="5"/>
  <c r="B292" i="5"/>
  <c r="I292" i="5"/>
  <c r="F292" i="5"/>
  <c r="N292" i="5"/>
  <c r="L292" i="5"/>
  <c r="J292" i="5"/>
  <c r="K292" i="5"/>
  <c r="M292" i="5"/>
  <c r="T292" i="5"/>
  <c r="Q292" i="5"/>
  <c r="O292" i="5"/>
  <c r="S292" i="5"/>
  <c r="P292" i="5"/>
  <c r="R292" i="5"/>
  <c r="U292" i="5"/>
  <c r="Z292" i="5"/>
  <c r="W292" i="5"/>
  <c r="Y292" i="5"/>
  <c r="V292" i="5"/>
  <c r="H276" i="5"/>
  <c r="C276" i="5"/>
  <c r="G276" i="5"/>
  <c r="B276" i="5"/>
  <c r="I276" i="5"/>
  <c r="F276" i="5"/>
  <c r="N276" i="5"/>
  <c r="L276" i="5"/>
  <c r="K276" i="5"/>
  <c r="M276" i="5"/>
  <c r="T276" i="5"/>
  <c r="Q276" i="5"/>
  <c r="O276" i="5"/>
  <c r="S276" i="5"/>
  <c r="P276" i="5"/>
  <c r="J276" i="5"/>
  <c r="R276" i="5"/>
  <c r="U276" i="5"/>
  <c r="Z276" i="5"/>
  <c r="W276" i="5"/>
  <c r="Y276" i="5"/>
  <c r="V276" i="5"/>
  <c r="H260" i="5"/>
  <c r="C260" i="5"/>
  <c r="G260" i="5"/>
  <c r="B260" i="5"/>
  <c r="I260" i="5"/>
  <c r="F260" i="5"/>
  <c r="N260" i="5"/>
  <c r="L260" i="5"/>
  <c r="K260" i="5"/>
  <c r="M260" i="5"/>
  <c r="T260" i="5"/>
  <c r="Q260" i="5"/>
  <c r="O260" i="5"/>
  <c r="S260" i="5"/>
  <c r="P260" i="5"/>
  <c r="R260" i="5"/>
  <c r="U260" i="5"/>
  <c r="Z260" i="5"/>
  <c r="W260" i="5"/>
  <c r="Y260" i="5"/>
  <c r="V260" i="5"/>
  <c r="H244" i="5"/>
  <c r="C244" i="5"/>
  <c r="J244" i="5"/>
  <c r="G244" i="5"/>
  <c r="B244" i="5"/>
  <c r="I244" i="5"/>
  <c r="F244" i="5"/>
  <c r="N244" i="5"/>
  <c r="L244" i="5"/>
  <c r="K244" i="5"/>
  <c r="M244" i="5"/>
  <c r="T244" i="5"/>
  <c r="Q244" i="5"/>
  <c r="O244" i="5"/>
  <c r="S244" i="5"/>
  <c r="P244" i="5"/>
  <c r="U244" i="5"/>
  <c r="R244" i="5"/>
  <c r="Z244" i="5"/>
  <c r="W244" i="5"/>
  <c r="Y244" i="5"/>
  <c r="V244" i="5"/>
  <c r="H228" i="5"/>
  <c r="C228" i="5"/>
  <c r="J228" i="5"/>
  <c r="G228" i="5"/>
  <c r="B228" i="5"/>
  <c r="I228" i="5"/>
  <c r="F228" i="5"/>
  <c r="N228" i="5"/>
  <c r="L228" i="5"/>
  <c r="M228" i="5"/>
  <c r="T228" i="5"/>
  <c r="Q228" i="5"/>
  <c r="O228" i="5"/>
  <c r="S228" i="5"/>
  <c r="P228" i="5"/>
  <c r="U228" i="5"/>
  <c r="K228" i="5"/>
  <c r="R228" i="5"/>
  <c r="Z228" i="5"/>
  <c r="W228" i="5"/>
  <c r="Y228" i="5"/>
  <c r="V228" i="5"/>
  <c r="H212" i="5"/>
  <c r="C212" i="5"/>
  <c r="J212" i="5"/>
  <c r="G212" i="5"/>
  <c r="B212" i="5"/>
  <c r="I212" i="5"/>
  <c r="F212" i="5"/>
  <c r="N212" i="5"/>
  <c r="L212" i="5"/>
  <c r="P212" i="5"/>
  <c r="M212" i="5"/>
  <c r="T212" i="5"/>
  <c r="Q212" i="5"/>
  <c r="K212" i="5"/>
  <c r="S212" i="5"/>
  <c r="U212" i="5"/>
  <c r="O212" i="5"/>
  <c r="R212" i="5"/>
  <c r="Z212" i="5"/>
  <c r="W212" i="5"/>
  <c r="Y212" i="5"/>
  <c r="V212" i="5"/>
  <c r="H293" i="5"/>
  <c r="C293" i="5"/>
  <c r="G293" i="5"/>
  <c r="B293" i="5"/>
  <c r="I293" i="5"/>
  <c r="F293" i="5"/>
  <c r="N293" i="5"/>
  <c r="L293" i="5"/>
  <c r="J293" i="5"/>
  <c r="Q293" i="5"/>
  <c r="O293" i="5"/>
  <c r="S293" i="5"/>
  <c r="M293" i="5"/>
  <c r="P293" i="5"/>
  <c r="K293" i="5"/>
  <c r="X293" i="5"/>
  <c r="U293" i="5"/>
  <c r="T293" i="5"/>
  <c r="Z293" i="5"/>
  <c r="W293" i="5"/>
  <c r="Y293" i="5"/>
  <c r="V293" i="5"/>
  <c r="H285" i="5"/>
  <c r="C285" i="5"/>
  <c r="G285" i="5"/>
  <c r="B285" i="5"/>
  <c r="I285" i="5"/>
  <c r="F285" i="5"/>
  <c r="N285" i="5"/>
  <c r="L285" i="5"/>
  <c r="J285" i="5"/>
  <c r="O285" i="5"/>
  <c r="Q285" i="5"/>
  <c r="M285" i="5"/>
  <c r="K285" i="5"/>
  <c r="S285" i="5"/>
  <c r="P285" i="5"/>
  <c r="X285" i="5"/>
  <c r="U285" i="5"/>
  <c r="Z285" i="5"/>
  <c r="W285" i="5"/>
  <c r="Y285" i="5"/>
  <c r="R285" i="5"/>
  <c r="V285" i="5"/>
  <c r="H277" i="5"/>
  <c r="C277" i="5"/>
  <c r="G277" i="5"/>
  <c r="B277" i="5"/>
  <c r="I277" i="5"/>
  <c r="J277" i="5"/>
  <c r="N277" i="5"/>
  <c r="L277" i="5"/>
  <c r="M277" i="5"/>
  <c r="K277" i="5"/>
  <c r="Q277" i="5"/>
  <c r="O277" i="5"/>
  <c r="S277" i="5"/>
  <c r="P277" i="5"/>
  <c r="F277" i="5"/>
  <c r="X277" i="5"/>
  <c r="U277" i="5"/>
  <c r="Z277" i="5"/>
  <c r="W277" i="5"/>
  <c r="T277" i="5"/>
  <c r="R277" i="5"/>
  <c r="Y277" i="5"/>
  <c r="V277" i="5"/>
  <c r="H269" i="5"/>
  <c r="C269" i="5"/>
  <c r="J269" i="5"/>
  <c r="G269" i="5"/>
  <c r="B269" i="5"/>
  <c r="I269" i="5"/>
  <c r="N269" i="5"/>
  <c r="L269" i="5"/>
  <c r="F269" i="5"/>
  <c r="K269" i="5"/>
  <c r="O269" i="5"/>
  <c r="T269" i="5"/>
  <c r="Q269" i="5"/>
  <c r="S269" i="5"/>
  <c r="P269" i="5"/>
  <c r="X269" i="5"/>
  <c r="U269" i="5"/>
  <c r="M269" i="5"/>
  <c r="Z269" i="5"/>
  <c r="W269" i="5"/>
  <c r="R269" i="5"/>
  <c r="Y269" i="5"/>
  <c r="V269" i="5"/>
  <c r="C261" i="5"/>
  <c r="J261" i="5"/>
  <c r="G261" i="5"/>
  <c r="B261" i="5"/>
  <c r="I261" i="5"/>
  <c r="N261" i="5"/>
  <c r="L261" i="5"/>
  <c r="T261" i="5"/>
  <c r="O261" i="5"/>
  <c r="S261" i="5"/>
  <c r="M261" i="5"/>
  <c r="P261" i="5"/>
  <c r="F261" i="5"/>
  <c r="K261" i="5"/>
  <c r="X261" i="5"/>
  <c r="U261" i="5"/>
  <c r="Z261" i="5"/>
  <c r="R261" i="5"/>
  <c r="W261" i="5"/>
  <c r="Y261" i="5"/>
  <c r="V261" i="5"/>
  <c r="H253" i="5"/>
  <c r="C253" i="5"/>
  <c r="J253" i="5"/>
  <c r="G253" i="5"/>
  <c r="B253" i="5"/>
  <c r="I253" i="5"/>
  <c r="N253" i="5"/>
  <c r="L253" i="5"/>
  <c r="F253" i="5"/>
  <c r="O253" i="5"/>
  <c r="T253" i="5"/>
  <c r="Q253" i="5"/>
  <c r="M253" i="5"/>
  <c r="K253" i="5"/>
  <c r="S253" i="5"/>
  <c r="P253" i="5"/>
  <c r="X253" i="5"/>
  <c r="U253" i="5"/>
  <c r="R253" i="5"/>
  <c r="Z253" i="5"/>
  <c r="W253" i="5"/>
  <c r="Y253" i="5"/>
  <c r="V253" i="5"/>
  <c r="H245" i="5"/>
  <c r="C245" i="5"/>
  <c r="J245" i="5"/>
  <c r="G245" i="5"/>
  <c r="B245" i="5"/>
  <c r="I245" i="5"/>
  <c r="N245" i="5"/>
  <c r="L245" i="5"/>
  <c r="F245" i="5"/>
  <c r="M245" i="5"/>
  <c r="T245" i="5"/>
  <c r="K245" i="5"/>
  <c r="Q245" i="5"/>
  <c r="O245" i="5"/>
  <c r="S245" i="5"/>
  <c r="P245" i="5"/>
  <c r="X245" i="5"/>
  <c r="R245" i="5"/>
  <c r="U245" i="5"/>
  <c r="Z245" i="5"/>
  <c r="W245" i="5"/>
  <c r="Y245" i="5"/>
  <c r="V245" i="5"/>
  <c r="H237" i="5"/>
  <c r="C237" i="5"/>
  <c r="J237" i="5"/>
  <c r="G237" i="5"/>
  <c r="B237" i="5"/>
  <c r="I237" i="5"/>
  <c r="N237" i="5"/>
  <c r="F237" i="5"/>
  <c r="L237" i="5"/>
  <c r="K237" i="5"/>
  <c r="O237" i="5"/>
  <c r="T237" i="5"/>
  <c r="S237" i="5"/>
  <c r="P237" i="5"/>
  <c r="R237" i="5"/>
  <c r="X237" i="5"/>
  <c r="M237" i="5"/>
  <c r="Z237" i="5"/>
  <c r="W237" i="5"/>
  <c r="Y237" i="5"/>
  <c r="V237" i="5"/>
  <c r="H229" i="5"/>
  <c r="C229" i="5"/>
  <c r="J229" i="5"/>
  <c r="G229" i="5"/>
  <c r="B229" i="5"/>
  <c r="I229" i="5"/>
  <c r="F229" i="5"/>
  <c r="N229" i="5"/>
  <c r="L229" i="5"/>
  <c r="K229" i="5"/>
  <c r="T229" i="5"/>
  <c r="Q229" i="5"/>
  <c r="O229" i="5"/>
  <c r="S229" i="5"/>
  <c r="M229" i="5"/>
  <c r="P229" i="5"/>
  <c r="X229" i="5"/>
  <c r="Z229" i="5"/>
  <c r="W229" i="5"/>
  <c r="U229" i="5"/>
  <c r="Y229" i="5"/>
  <c r="V229" i="5"/>
  <c r="H221" i="5"/>
  <c r="C221" i="5"/>
  <c r="J221" i="5"/>
  <c r="G221" i="5"/>
  <c r="B221" i="5"/>
  <c r="I221" i="5"/>
  <c r="F221" i="5"/>
  <c r="N221" i="5"/>
  <c r="L221" i="5"/>
  <c r="P221" i="5"/>
  <c r="O221" i="5"/>
  <c r="T221" i="5"/>
  <c r="Q221" i="5"/>
  <c r="M221" i="5"/>
  <c r="S221" i="5"/>
  <c r="K221" i="5"/>
  <c r="X221" i="5"/>
  <c r="U221" i="5"/>
  <c r="Z221" i="5"/>
  <c r="W221" i="5"/>
  <c r="Y221" i="5"/>
  <c r="R221" i="5"/>
  <c r="V221" i="5"/>
  <c r="H213" i="5"/>
  <c r="C213" i="5"/>
  <c r="J213" i="5"/>
  <c r="G213" i="5"/>
  <c r="B213" i="5"/>
  <c r="I213" i="5"/>
  <c r="K213" i="5"/>
  <c r="N213" i="5"/>
  <c r="L213" i="5"/>
  <c r="P213" i="5"/>
  <c r="O213" i="5"/>
  <c r="M213" i="5"/>
  <c r="T213" i="5"/>
  <c r="Q213" i="5"/>
  <c r="S213" i="5"/>
  <c r="F213" i="5"/>
  <c r="X213" i="5"/>
  <c r="Z213" i="5"/>
  <c r="W213" i="5"/>
  <c r="R213" i="5"/>
  <c r="Y213" i="5"/>
  <c r="U213" i="5"/>
  <c r="V213" i="5"/>
  <c r="AA297" i="5"/>
  <c r="AA289" i="5"/>
  <c r="AA281" i="5"/>
  <c r="AA273" i="5"/>
  <c r="AA265" i="5"/>
  <c r="AA257" i="5"/>
  <c r="AA249" i="5"/>
  <c r="AA241" i="5"/>
  <c r="AA233" i="5"/>
  <c r="AA225" i="5"/>
  <c r="AA217" i="5"/>
  <c r="AA209" i="5"/>
  <c r="Z282" i="5"/>
  <c r="Z258" i="5"/>
  <c r="Y287" i="5"/>
  <c r="Y223" i="5"/>
  <c r="X252" i="5"/>
  <c r="W281" i="5"/>
  <c r="W217" i="5"/>
  <c r="V246" i="5"/>
  <c r="U275" i="5"/>
  <c r="T227" i="5"/>
  <c r="L266" i="5"/>
  <c r="F261" i="63"/>
  <c r="B244" i="63"/>
  <c r="C244" i="63"/>
  <c r="E244" i="63"/>
  <c r="I244" i="63"/>
  <c r="M244" i="63"/>
  <c r="G244" i="63"/>
  <c r="K244" i="63"/>
  <c r="N244" i="63"/>
  <c r="P244" i="63"/>
  <c r="Q244" i="63"/>
  <c r="R244" i="63"/>
  <c r="L244" i="63"/>
  <c r="O244" i="63"/>
  <c r="H244" i="63"/>
  <c r="J244" i="63"/>
  <c r="B212" i="63"/>
  <c r="C212" i="63"/>
  <c r="E212" i="63"/>
  <c r="I212" i="63"/>
  <c r="M212" i="63"/>
  <c r="P212" i="63"/>
  <c r="G212" i="63"/>
  <c r="K212" i="63"/>
  <c r="N212" i="63"/>
  <c r="Q212" i="63"/>
  <c r="R212" i="63"/>
  <c r="S212" i="63"/>
  <c r="H212" i="63"/>
  <c r="F212" i="63"/>
  <c r="O212" i="63"/>
  <c r="L212" i="63"/>
  <c r="J212" i="63"/>
  <c r="Z260" i="63"/>
  <c r="Z252" i="63"/>
  <c r="Z244" i="63"/>
  <c r="Z236" i="63"/>
  <c r="Z227" i="63"/>
  <c r="Z217" i="63"/>
  <c r="Y262" i="63"/>
  <c r="Y249" i="63"/>
  <c r="W244" i="63"/>
  <c r="W212" i="63"/>
  <c r="U260" i="63"/>
  <c r="S244" i="63"/>
  <c r="R258" i="63"/>
  <c r="Q262" i="63"/>
  <c r="O248" i="63"/>
  <c r="N220" i="63"/>
  <c r="K220" i="63"/>
  <c r="I220" i="63"/>
  <c r="F244" i="63"/>
  <c r="C253" i="63"/>
  <c r="B253" i="63"/>
  <c r="F253" i="63"/>
  <c r="J253" i="63"/>
  <c r="E253" i="63"/>
  <c r="G253" i="63"/>
  <c r="K253" i="63"/>
  <c r="N253" i="63"/>
  <c r="H253" i="63"/>
  <c r="L253" i="63"/>
  <c r="M253" i="63"/>
  <c r="O253" i="63"/>
  <c r="P253" i="63"/>
  <c r="S253" i="63"/>
  <c r="U253" i="63"/>
  <c r="V253" i="63"/>
  <c r="W253" i="63"/>
  <c r="X253" i="63"/>
  <c r="Y253" i="63"/>
  <c r="I253" i="63"/>
  <c r="Q253" i="63"/>
  <c r="R253" i="63"/>
  <c r="C213" i="63"/>
  <c r="I213" i="63"/>
  <c r="M213" i="63"/>
  <c r="P213" i="63"/>
  <c r="F213" i="63"/>
  <c r="J213" i="63"/>
  <c r="B213" i="63"/>
  <c r="G213" i="63"/>
  <c r="K213" i="63"/>
  <c r="E213" i="63"/>
  <c r="Q213" i="63"/>
  <c r="U213" i="63"/>
  <c r="V213" i="63"/>
  <c r="W213" i="63"/>
  <c r="X213" i="63"/>
  <c r="Y213" i="63"/>
  <c r="Z213" i="63"/>
  <c r="R213" i="63"/>
  <c r="N213" i="63"/>
  <c r="L213" i="63"/>
  <c r="H213" i="63"/>
  <c r="B252" i="63"/>
  <c r="C252" i="63"/>
  <c r="E252" i="63"/>
  <c r="F252" i="63"/>
  <c r="J252" i="63"/>
  <c r="H252" i="63"/>
  <c r="L252" i="63"/>
  <c r="O252" i="63"/>
  <c r="P252" i="63"/>
  <c r="Q252" i="63"/>
  <c r="R252" i="63"/>
  <c r="I252" i="63"/>
  <c r="K252" i="63"/>
  <c r="G252" i="63"/>
  <c r="N252" i="63"/>
  <c r="B228" i="63"/>
  <c r="C228" i="63"/>
  <c r="E228" i="63"/>
  <c r="G228" i="63"/>
  <c r="K228" i="63"/>
  <c r="N228" i="63"/>
  <c r="I228" i="63"/>
  <c r="M228" i="63"/>
  <c r="Q228" i="63"/>
  <c r="R228" i="63"/>
  <c r="S228" i="63"/>
  <c r="F228" i="63"/>
  <c r="J228" i="63"/>
  <c r="L228" i="63"/>
  <c r="P228" i="63"/>
  <c r="B259" i="63"/>
  <c r="C259" i="63"/>
  <c r="E259" i="63"/>
  <c r="F259" i="63"/>
  <c r="G259" i="63"/>
  <c r="H259" i="63"/>
  <c r="I259" i="63"/>
  <c r="J259" i="63"/>
  <c r="K259" i="63"/>
  <c r="L259" i="63"/>
  <c r="M259" i="63"/>
  <c r="N259" i="63"/>
  <c r="O259" i="63"/>
  <c r="P259" i="63"/>
  <c r="R259" i="63"/>
  <c r="Q259" i="63"/>
  <c r="S259" i="63"/>
  <c r="U259" i="63"/>
  <c r="V259" i="63"/>
  <c r="B251" i="63"/>
  <c r="C251" i="63"/>
  <c r="E251" i="63"/>
  <c r="F251" i="63"/>
  <c r="G251" i="63"/>
  <c r="H251" i="63"/>
  <c r="I251" i="63"/>
  <c r="J251" i="63"/>
  <c r="K251" i="63"/>
  <c r="L251" i="63"/>
  <c r="M251" i="63"/>
  <c r="N251" i="63"/>
  <c r="O251" i="63"/>
  <c r="P251" i="63"/>
  <c r="Q251" i="63"/>
  <c r="R251" i="63"/>
  <c r="S251" i="63"/>
  <c r="U251" i="63"/>
  <c r="V251" i="63"/>
  <c r="W251" i="63"/>
  <c r="B243" i="63"/>
  <c r="C243" i="63"/>
  <c r="E243" i="63"/>
  <c r="F243" i="63"/>
  <c r="G243" i="63"/>
  <c r="H243" i="63"/>
  <c r="I243" i="63"/>
  <c r="J243" i="63"/>
  <c r="K243" i="63"/>
  <c r="L243" i="63"/>
  <c r="M243" i="63"/>
  <c r="N243" i="63"/>
  <c r="O243" i="63"/>
  <c r="P243" i="63"/>
  <c r="Q243" i="63"/>
  <c r="R243" i="63"/>
  <c r="S243" i="63"/>
  <c r="U243" i="63"/>
  <c r="V243" i="63"/>
  <c r="W243" i="63"/>
  <c r="B235" i="63"/>
  <c r="C235" i="63"/>
  <c r="E235" i="63"/>
  <c r="F235" i="63"/>
  <c r="G235" i="63"/>
  <c r="H235" i="63"/>
  <c r="I235" i="63"/>
  <c r="J235" i="63"/>
  <c r="K235" i="63"/>
  <c r="L235" i="63"/>
  <c r="M235" i="63"/>
  <c r="N235" i="63"/>
  <c r="O235" i="63"/>
  <c r="P235" i="63"/>
  <c r="S235" i="63"/>
  <c r="R235" i="63"/>
  <c r="Q235" i="63"/>
  <c r="U235" i="63"/>
  <c r="V235" i="63"/>
  <c r="W235" i="63"/>
  <c r="B227" i="63"/>
  <c r="C227" i="63"/>
  <c r="E227" i="63"/>
  <c r="F227" i="63"/>
  <c r="G227" i="63"/>
  <c r="H227" i="63"/>
  <c r="I227" i="63"/>
  <c r="J227" i="63"/>
  <c r="K227" i="63"/>
  <c r="L227" i="63"/>
  <c r="M227" i="63"/>
  <c r="N227" i="63"/>
  <c r="O227" i="63"/>
  <c r="Q227" i="63"/>
  <c r="P227" i="63"/>
  <c r="R227" i="63"/>
  <c r="U227" i="63"/>
  <c r="V227" i="63"/>
  <c r="W227" i="63"/>
  <c r="B219" i="63"/>
  <c r="C219" i="63"/>
  <c r="E219" i="63"/>
  <c r="F219" i="63"/>
  <c r="G219" i="63"/>
  <c r="H219" i="63"/>
  <c r="I219" i="63"/>
  <c r="J219" i="63"/>
  <c r="K219" i="63"/>
  <c r="L219" i="63"/>
  <c r="M219" i="63"/>
  <c r="N219" i="63"/>
  <c r="O219" i="63"/>
  <c r="P219" i="63"/>
  <c r="Q219" i="63"/>
  <c r="S219" i="63"/>
  <c r="U219" i="63"/>
  <c r="V219" i="63"/>
  <c r="W219" i="63"/>
  <c r="B211" i="63"/>
  <c r="C211" i="63"/>
  <c r="E211" i="63"/>
  <c r="F211" i="63"/>
  <c r="G211" i="63"/>
  <c r="H211" i="63"/>
  <c r="I211" i="63"/>
  <c r="J211" i="63"/>
  <c r="K211" i="63"/>
  <c r="L211" i="63"/>
  <c r="M211" i="63"/>
  <c r="N211" i="63"/>
  <c r="O211" i="63"/>
  <c r="P211" i="63"/>
  <c r="Q211" i="63"/>
  <c r="S211" i="63"/>
  <c r="U211" i="63"/>
  <c r="V211" i="63"/>
  <c r="W211" i="63"/>
  <c r="Z259" i="63"/>
  <c r="Z251" i="63"/>
  <c r="Z243" i="63"/>
  <c r="Z235" i="63"/>
  <c r="Z215" i="63"/>
  <c r="Y260" i="63"/>
  <c r="Y247" i="63"/>
  <c r="Y231" i="63"/>
  <c r="Y215" i="63"/>
  <c r="X255" i="63"/>
  <c r="X239" i="63"/>
  <c r="X223" i="63"/>
  <c r="W263" i="63"/>
  <c r="W239" i="63"/>
  <c r="V263" i="63"/>
  <c r="V231" i="63"/>
  <c r="U255" i="63"/>
  <c r="U223" i="63"/>
  <c r="S238" i="63"/>
  <c r="Q254" i="63"/>
  <c r="P255" i="63"/>
  <c r="L260" i="63"/>
  <c r="J260" i="63"/>
  <c r="H255" i="63"/>
  <c r="E237" i="63"/>
  <c r="H237" i="63"/>
  <c r="L237" i="63"/>
  <c r="O237" i="63"/>
  <c r="I237" i="63"/>
  <c r="M237" i="63"/>
  <c r="C237" i="63"/>
  <c r="F237" i="63"/>
  <c r="J237" i="63"/>
  <c r="G237" i="63"/>
  <c r="U237" i="63"/>
  <c r="V237" i="63"/>
  <c r="W237" i="63"/>
  <c r="X237" i="63"/>
  <c r="Y237" i="63"/>
  <c r="P237" i="63"/>
  <c r="S237" i="63"/>
  <c r="B237" i="63"/>
  <c r="K237" i="63"/>
  <c r="N237" i="63"/>
  <c r="Z245" i="63"/>
  <c r="B236" i="63"/>
  <c r="C236" i="63"/>
  <c r="E236" i="63"/>
  <c r="H236" i="63"/>
  <c r="L236" i="63"/>
  <c r="O236" i="63"/>
  <c r="F236" i="63"/>
  <c r="J236" i="63"/>
  <c r="Q236" i="63"/>
  <c r="R236" i="63"/>
  <c r="S236" i="63"/>
  <c r="G236" i="63"/>
  <c r="P236" i="63"/>
  <c r="K236" i="63"/>
  <c r="M236" i="63"/>
  <c r="I236" i="63"/>
  <c r="N236" i="63"/>
  <c r="B250" i="63"/>
  <c r="C250" i="63"/>
  <c r="E250" i="63"/>
  <c r="F250" i="63"/>
  <c r="G250" i="63"/>
  <c r="H250" i="63"/>
  <c r="I250" i="63"/>
  <c r="J250" i="63"/>
  <c r="K250" i="63"/>
  <c r="L250" i="63"/>
  <c r="M250" i="63"/>
  <c r="N250" i="63"/>
  <c r="O250" i="63"/>
  <c r="S250" i="63"/>
  <c r="U250" i="63"/>
  <c r="V250" i="63"/>
  <c r="W250" i="63"/>
  <c r="X250" i="63"/>
  <c r="Y250" i="63"/>
  <c r="B234" i="63"/>
  <c r="C234" i="63"/>
  <c r="E234" i="63"/>
  <c r="F234" i="63"/>
  <c r="G234" i="63"/>
  <c r="H234" i="63"/>
  <c r="I234" i="63"/>
  <c r="J234" i="63"/>
  <c r="K234" i="63"/>
  <c r="L234" i="63"/>
  <c r="M234" i="63"/>
  <c r="N234" i="63"/>
  <c r="O234" i="63"/>
  <c r="P234" i="63"/>
  <c r="R234" i="63"/>
  <c r="Q234" i="63"/>
  <c r="U234" i="63"/>
  <c r="V234" i="63"/>
  <c r="W234" i="63"/>
  <c r="X234" i="63"/>
  <c r="Y234" i="63"/>
  <c r="B226" i="63"/>
  <c r="C226" i="63"/>
  <c r="E226" i="63"/>
  <c r="F226" i="63"/>
  <c r="G226" i="63"/>
  <c r="H226" i="63"/>
  <c r="I226" i="63"/>
  <c r="J226" i="63"/>
  <c r="K226" i="63"/>
  <c r="L226" i="63"/>
  <c r="M226" i="63"/>
  <c r="N226" i="63"/>
  <c r="O226" i="63"/>
  <c r="P226" i="63"/>
  <c r="Q226" i="63"/>
  <c r="S226" i="63"/>
  <c r="R226" i="63"/>
  <c r="U226" i="63"/>
  <c r="V226" i="63"/>
  <c r="W226" i="63"/>
  <c r="X226" i="63"/>
  <c r="Y226" i="63"/>
  <c r="B218" i="63"/>
  <c r="C218" i="63"/>
  <c r="E218" i="63"/>
  <c r="F218" i="63"/>
  <c r="G218" i="63"/>
  <c r="H218" i="63"/>
  <c r="I218" i="63"/>
  <c r="J218" i="63"/>
  <c r="K218" i="63"/>
  <c r="L218" i="63"/>
  <c r="M218" i="63"/>
  <c r="N218" i="63"/>
  <c r="O218" i="63"/>
  <c r="P218" i="63"/>
  <c r="Q218" i="63"/>
  <c r="S218" i="63"/>
  <c r="U218" i="63"/>
  <c r="V218" i="63"/>
  <c r="W218" i="63"/>
  <c r="X218" i="63"/>
  <c r="Y218" i="63"/>
  <c r="R218" i="63"/>
  <c r="B210" i="63"/>
  <c r="C210" i="63"/>
  <c r="E210" i="63"/>
  <c r="F210" i="63"/>
  <c r="G210" i="63"/>
  <c r="H210" i="63"/>
  <c r="I210" i="63"/>
  <c r="J210" i="63"/>
  <c r="K210" i="63"/>
  <c r="L210" i="63"/>
  <c r="M210" i="63"/>
  <c r="N210" i="63"/>
  <c r="O210" i="63"/>
  <c r="P210" i="63"/>
  <c r="R210" i="63"/>
  <c r="S210" i="63"/>
  <c r="U210" i="63"/>
  <c r="V210" i="63"/>
  <c r="W210" i="63"/>
  <c r="X210" i="63"/>
  <c r="Y210" i="63"/>
  <c r="Z250" i="63"/>
  <c r="Z234" i="63"/>
  <c r="Z214" i="63"/>
  <c r="Y259" i="63"/>
  <c r="Y230" i="63"/>
  <c r="X254" i="63"/>
  <c r="X238" i="63"/>
  <c r="X222" i="63"/>
  <c r="W262" i="63"/>
  <c r="W236" i="63"/>
  <c r="V228" i="63"/>
  <c r="U252" i="63"/>
  <c r="S234" i="63"/>
  <c r="R245" i="63"/>
  <c r="Q250" i="63"/>
  <c r="P250" i="63"/>
  <c r="O228" i="63"/>
  <c r="L248" i="63"/>
  <c r="J248" i="63"/>
  <c r="H245" i="63"/>
  <c r="E245" i="63"/>
  <c r="B260" i="63"/>
  <c r="C260" i="63"/>
  <c r="G260" i="63"/>
  <c r="K260" i="63"/>
  <c r="N260" i="63"/>
  <c r="E260" i="63"/>
  <c r="I260" i="63"/>
  <c r="M260" i="63"/>
  <c r="P260" i="63"/>
  <c r="Q260" i="63"/>
  <c r="R260" i="63"/>
  <c r="F260" i="63"/>
  <c r="H260" i="63"/>
  <c r="O260" i="63"/>
  <c r="B220" i="63"/>
  <c r="C220" i="63"/>
  <c r="E220" i="63"/>
  <c r="F220" i="63"/>
  <c r="J220" i="63"/>
  <c r="H220" i="63"/>
  <c r="L220" i="63"/>
  <c r="O220" i="63"/>
  <c r="Q220" i="63"/>
  <c r="R220" i="63"/>
  <c r="S220" i="63"/>
  <c r="G220" i="63"/>
  <c r="M220" i="63"/>
  <c r="B258" i="63"/>
  <c r="C258" i="63"/>
  <c r="E258" i="63"/>
  <c r="F258" i="63"/>
  <c r="G258" i="63"/>
  <c r="H258" i="63"/>
  <c r="I258" i="63"/>
  <c r="J258" i="63"/>
  <c r="K258" i="63"/>
  <c r="L258" i="63"/>
  <c r="M258" i="63"/>
  <c r="N258" i="63"/>
  <c r="O258" i="63"/>
  <c r="P258" i="63"/>
  <c r="Q258" i="63"/>
  <c r="S258" i="63"/>
  <c r="U258" i="63"/>
  <c r="V258" i="63"/>
  <c r="W258" i="63"/>
  <c r="X258" i="63"/>
  <c r="Y258" i="63"/>
  <c r="B242" i="63"/>
  <c r="C242" i="63"/>
  <c r="E242" i="63"/>
  <c r="F242" i="63"/>
  <c r="G242" i="63"/>
  <c r="H242" i="63"/>
  <c r="I242" i="63"/>
  <c r="J242" i="63"/>
  <c r="K242" i="63"/>
  <c r="L242" i="63"/>
  <c r="M242" i="63"/>
  <c r="N242" i="63"/>
  <c r="O242" i="63"/>
  <c r="P242" i="63"/>
  <c r="R242" i="63"/>
  <c r="S242" i="63"/>
  <c r="U242" i="63"/>
  <c r="V242" i="63"/>
  <c r="W242" i="63"/>
  <c r="X242" i="63"/>
  <c r="Y242" i="63"/>
  <c r="B257" i="63"/>
  <c r="C257" i="63"/>
  <c r="E257" i="63"/>
  <c r="H257" i="63"/>
  <c r="L257" i="63"/>
  <c r="O257" i="63"/>
  <c r="P257" i="63"/>
  <c r="Q257" i="63"/>
  <c r="R257" i="63"/>
  <c r="I257" i="63"/>
  <c r="M257" i="63"/>
  <c r="F257" i="63"/>
  <c r="J257" i="63"/>
  <c r="G257" i="63"/>
  <c r="S257" i="63"/>
  <c r="U257" i="63"/>
  <c r="V257" i="63"/>
  <c r="W257" i="63"/>
  <c r="X257" i="63"/>
  <c r="N257" i="63"/>
  <c r="B249" i="63"/>
  <c r="C249" i="63"/>
  <c r="E249" i="63"/>
  <c r="G249" i="63"/>
  <c r="K249" i="63"/>
  <c r="N249" i="63"/>
  <c r="P249" i="63"/>
  <c r="Q249" i="63"/>
  <c r="R249" i="63"/>
  <c r="H249" i="63"/>
  <c r="L249" i="63"/>
  <c r="O249" i="63"/>
  <c r="I249" i="63"/>
  <c r="M249" i="63"/>
  <c r="F249" i="63"/>
  <c r="J249" i="63"/>
  <c r="S249" i="63"/>
  <c r="U249" i="63"/>
  <c r="V249" i="63"/>
  <c r="W249" i="63"/>
  <c r="X249" i="63"/>
  <c r="B241" i="63"/>
  <c r="C241" i="63"/>
  <c r="E241" i="63"/>
  <c r="F241" i="63"/>
  <c r="J241" i="63"/>
  <c r="Q241" i="63"/>
  <c r="R241" i="63"/>
  <c r="S241" i="63"/>
  <c r="G241" i="63"/>
  <c r="K241" i="63"/>
  <c r="N241" i="63"/>
  <c r="H241" i="63"/>
  <c r="L241" i="63"/>
  <c r="P241" i="63"/>
  <c r="O241" i="63"/>
  <c r="U241" i="63"/>
  <c r="V241" i="63"/>
  <c r="W241" i="63"/>
  <c r="X241" i="63"/>
  <c r="Y241" i="63"/>
  <c r="M241" i="63"/>
  <c r="I241" i="63"/>
  <c r="B233" i="63"/>
  <c r="C233" i="63"/>
  <c r="E233" i="63"/>
  <c r="I233" i="63"/>
  <c r="M233" i="63"/>
  <c r="Q233" i="63"/>
  <c r="R233" i="63"/>
  <c r="S233" i="63"/>
  <c r="F233" i="63"/>
  <c r="J233" i="63"/>
  <c r="P233" i="63"/>
  <c r="G233" i="63"/>
  <c r="K233" i="63"/>
  <c r="L233" i="63"/>
  <c r="H233" i="63"/>
  <c r="N233" i="63"/>
  <c r="U233" i="63"/>
  <c r="V233" i="63"/>
  <c r="W233" i="63"/>
  <c r="X233" i="63"/>
  <c r="Y233" i="63"/>
  <c r="B225" i="63"/>
  <c r="C225" i="63"/>
  <c r="E225" i="63"/>
  <c r="H225" i="63"/>
  <c r="L225" i="63"/>
  <c r="O225" i="63"/>
  <c r="Q225" i="63"/>
  <c r="R225" i="63"/>
  <c r="S225" i="63"/>
  <c r="I225" i="63"/>
  <c r="M225" i="63"/>
  <c r="P225" i="63"/>
  <c r="F225" i="63"/>
  <c r="J225" i="63"/>
  <c r="K225" i="63"/>
  <c r="U225" i="63"/>
  <c r="V225" i="63"/>
  <c r="W225" i="63"/>
  <c r="X225" i="63"/>
  <c r="Y225" i="63"/>
  <c r="G225" i="63"/>
  <c r="B217" i="63"/>
  <c r="C217" i="63"/>
  <c r="E217" i="63"/>
  <c r="G217" i="63"/>
  <c r="K217" i="63"/>
  <c r="N217" i="63"/>
  <c r="Q217" i="63"/>
  <c r="R217" i="63"/>
  <c r="S217" i="63"/>
  <c r="H217" i="63"/>
  <c r="L217" i="63"/>
  <c r="O217" i="63"/>
  <c r="I217" i="63"/>
  <c r="M217" i="63"/>
  <c r="P217" i="63"/>
  <c r="U217" i="63"/>
  <c r="V217" i="63"/>
  <c r="W217" i="63"/>
  <c r="X217" i="63"/>
  <c r="Y217" i="63"/>
  <c r="B209" i="63"/>
  <c r="C209" i="63"/>
  <c r="E209" i="63"/>
  <c r="F209" i="63"/>
  <c r="J209" i="63"/>
  <c r="Q209" i="63"/>
  <c r="R209" i="63"/>
  <c r="S209" i="63"/>
  <c r="G209" i="63"/>
  <c r="K209" i="63"/>
  <c r="N209" i="63"/>
  <c r="H209" i="63"/>
  <c r="L209" i="63"/>
  <c r="O209" i="63"/>
  <c r="M209" i="63"/>
  <c r="U209" i="63"/>
  <c r="V209" i="63"/>
  <c r="W209" i="63"/>
  <c r="X209" i="63"/>
  <c r="Y209" i="63"/>
  <c r="I209" i="63"/>
  <c r="P209" i="63"/>
  <c r="Z257" i="63"/>
  <c r="Z249" i="63"/>
  <c r="Z241" i="63"/>
  <c r="Z233" i="63"/>
  <c r="Z223" i="63"/>
  <c r="Z212" i="63"/>
  <c r="Y257" i="63"/>
  <c r="Y244" i="63"/>
  <c r="Y228" i="63"/>
  <c r="Y212" i="63"/>
  <c r="X252" i="63"/>
  <c r="X236" i="63"/>
  <c r="X220" i="63"/>
  <c r="W260" i="63"/>
  <c r="W231" i="63"/>
  <c r="V255" i="63"/>
  <c r="V223" i="63"/>
  <c r="U247" i="63"/>
  <c r="U215" i="63"/>
  <c r="S263" i="63"/>
  <c r="S227" i="63"/>
  <c r="R237" i="63"/>
  <c r="Q242" i="63"/>
  <c r="O213" i="63"/>
  <c r="J229" i="63"/>
  <c r="H228" i="63"/>
  <c r="B245" i="63"/>
  <c r="I245" i="63"/>
  <c r="M245" i="63"/>
  <c r="F245" i="63"/>
  <c r="J245" i="63"/>
  <c r="C245" i="63"/>
  <c r="G245" i="63"/>
  <c r="K245" i="63"/>
  <c r="N245" i="63"/>
  <c r="S245" i="63"/>
  <c r="U245" i="63"/>
  <c r="V245" i="63"/>
  <c r="W245" i="63"/>
  <c r="X245" i="63"/>
  <c r="Y245" i="63"/>
  <c r="P245" i="63"/>
  <c r="Q245" i="63"/>
  <c r="L245" i="63"/>
  <c r="O245" i="63"/>
  <c r="Z261" i="63"/>
  <c r="Z237" i="63"/>
  <c r="B256" i="63"/>
  <c r="C256" i="63"/>
  <c r="E256" i="63"/>
  <c r="H256" i="63"/>
  <c r="L256" i="63"/>
  <c r="O256" i="63"/>
  <c r="P256" i="63"/>
  <c r="Q256" i="63"/>
  <c r="R256" i="63"/>
  <c r="F256" i="63"/>
  <c r="J256" i="63"/>
  <c r="G256" i="63"/>
  <c r="K256" i="63"/>
  <c r="M256" i="63"/>
  <c r="S256" i="63"/>
  <c r="U256" i="63"/>
  <c r="V256" i="63"/>
  <c r="W256" i="63"/>
  <c r="X256" i="63"/>
  <c r="Y256" i="63"/>
  <c r="N256" i="63"/>
  <c r="B232" i="63"/>
  <c r="C232" i="63"/>
  <c r="E232" i="63"/>
  <c r="I232" i="63"/>
  <c r="M232" i="63"/>
  <c r="Q232" i="63"/>
  <c r="R232" i="63"/>
  <c r="G232" i="63"/>
  <c r="K232" i="63"/>
  <c r="N232" i="63"/>
  <c r="O232" i="63"/>
  <c r="H232" i="63"/>
  <c r="J232" i="63"/>
  <c r="U232" i="63"/>
  <c r="V232" i="63"/>
  <c r="W232" i="63"/>
  <c r="X232" i="63"/>
  <c r="Y232" i="63"/>
  <c r="Z232" i="63"/>
  <c r="F232" i="63"/>
  <c r="S232" i="63"/>
  <c r="B224" i="63"/>
  <c r="C224" i="63"/>
  <c r="E224" i="63"/>
  <c r="H224" i="63"/>
  <c r="L224" i="63"/>
  <c r="O224" i="63"/>
  <c r="Q224" i="63"/>
  <c r="R224" i="63"/>
  <c r="P224" i="63"/>
  <c r="F224" i="63"/>
  <c r="J224" i="63"/>
  <c r="G224" i="63"/>
  <c r="K224" i="63"/>
  <c r="M224" i="63"/>
  <c r="S224" i="63"/>
  <c r="I224" i="63"/>
  <c r="N224" i="63"/>
  <c r="U224" i="63"/>
  <c r="V224" i="63"/>
  <c r="W224" i="63"/>
  <c r="X224" i="63"/>
  <c r="Y224" i="63"/>
  <c r="Z224" i="63"/>
  <c r="Z256" i="63"/>
  <c r="Z231" i="63"/>
  <c r="Z222" i="63"/>
  <c r="Z211" i="63"/>
  <c r="Y243" i="63"/>
  <c r="Y227" i="63"/>
  <c r="Y211" i="63"/>
  <c r="X251" i="63"/>
  <c r="X235" i="63"/>
  <c r="X219" i="63"/>
  <c r="W259" i="63"/>
  <c r="W228" i="63"/>
  <c r="V252" i="63"/>
  <c r="V220" i="63"/>
  <c r="U244" i="63"/>
  <c r="U212" i="63"/>
  <c r="S260" i="63"/>
  <c r="S223" i="63"/>
  <c r="Q237" i="63"/>
  <c r="P232" i="63"/>
  <c r="N262" i="63"/>
  <c r="J217" i="63"/>
  <c r="P221" i="63"/>
  <c r="F221" i="63"/>
  <c r="J221" i="63"/>
  <c r="G221" i="63"/>
  <c r="K221" i="63"/>
  <c r="N221" i="63"/>
  <c r="B221" i="63"/>
  <c r="H221" i="63"/>
  <c r="L221" i="63"/>
  <c r="I221" i="63"/>
  <c r="R221" i="63"/>
  <c r="U221" i="63"/>
  <c r="V221" i="63"/>
  <c r="W221" i="63"/>
  <c r="X221" i="63"/>
  <c r="Y221" i="63"/>
  <c r="Z221" i="63"/>
  <c r="O221" i="63"/>
  <c r="C221" i="63"/>
  <c r="Q221" i="63"/>
  <c r="S221" i="63"/>
  <c r="E221" i="63"/>
  <c r="Z253" i="63"/>
  <c r="B240" i="63"/>
  <c r="C240" i="63"/>
  <c r="E240" i="63"/>
  <c r="F240" i="63"/>
  <c r="J240" i="63"/>
  <c r="Q240" i="63"/>
  <c r="R240" i="63"/>
  <c r="P240" i="63"/>
  <c r="H240" i="63"/>
  <c r="L240" i="63"/>
  <c r="O240" i="63"/>
  <c r="G240" i="63"/>
  <c r="U240" i="63"/>
  <c r="V240" i="63"/>
  <c r="W240" i="63"/>
  <c r="X240" i="63"/>
  <c r="Y240" i="63"/>
  <c r="M240" i="63"/>
  <c r="S240" i="63"/>
  <c r="I240" i="63"/>
  <c r="K240" i="63"/>
  <c r="B216" i="63"/>
  <c r="C216" i="63"/>
  <c r="E216" i="63"/>
  <c r="G216" i="63"/>
  <c r="K216" i="63"/>
  <c r="N216" i="63"/>
  <c r="Q216" i="63"/>
  <c r="R216" i="63"/>
  <c r="I216" i="63"/>
  <c r="M216" i="63"/>
  <c r="P216" i="63"/>
  <c r="F216" i="63"/>
  <c r="O216" i="63"/>
  <c r="U216" i="63"/>
  <c r="V216" i="63"/>
  <c r="W216" i="63"/>
  <c r="X216" i="63"/>
  <c r="Y216" i="63"/>
  <c r="Z216" i="63"/>
  <c r="J216" i="63"/>
  <c r="L216" i="63"/>
  <c r="B255" i="63"/>
  <c r="C255" i="63"/>
  <c r="E255" i="63"/>
  <c r="I255" i="63"/>
  <c r="M255" i="63"/>
  <c r="F255" i="63"/>
  <c r="J255" i="63"/>
  <c r="G255" i="63"/>
  <c r="K255" i="63"/>
  <c r="L255" i="63"/>
  <c r="Q255" i="63"/>
  <c r="N255" i="63"/>
  <c r="R255" i="63"/>
  <c r="B231" i="63"/>
  <c r="C231" i="63"/>
  <c r="E231" i="63"/>
  <c r="F231" i="63"/>
  <c r="J231" i="63"/>
  <c r="P231" i="63"/>
  <c r="G231" i="63"/>
  <c r="K231" i="63"/>
  <c r="N231" i="63"/>
  <c r="H231" i="63"/>
  <c r="L231" i="63"/>
  <c r="O231" i="63"/>
  <c r="I231" i="63"/>
  <c r="Q231" i="63"/>
  <c r="S231" i="63"/>
  <c r="Z263" i="63"/>
  <c r="Z255" i="63"/>
  <c r="Z247" i="63"/>
  <c r="Z239" i="63"/>
  <c r="Z220" i="63"/>
  <c r="Z210" i="63"/>
  <c r="Y239" i="63"/>
  <c r="Y223" i="63"/>
  <c r="X263" i="63"/>
  <c r="X247" i="63"/>
  <c r="X231" i="63"/>
  <c r="X215" i="63"/>
  <c r="W255" i="63"/>
  <c r="W223" i="63"/>
  <c r="V247" i="63"/>
  <c r="S255" i="63"/>
  <c r="S216" i="63"/>
  <c r="P220" i="63"/>
  <c r="N247" i="63"/>
  <c r="K257" i="63"/>
  <c r="I256" i="63"/>
  <c r="C261" i="63"/>
  <c r="B261" i="63"/>
  <c r="G261" i="63"/>
  <c r="K261" i="63"/>
  <c r="N261" i="63"/>
  <c r="H261" i="63"/>
  <c r="L261" i="63"/>
  <c r="O261" i="63"/>
  <c r="E261" i="63"/>
  <c r="I261" i="63"/>
  <c r="M261" i="63"/>
  <c r="S261" i="63"/>
  <c r="U261" i="63"/>
  <c r="V261" i="63"/>
  <c r="W261" i="63"/>
  <c r="X261" i="63"/>
  <c r="Y261" i="63"/>
  <c r="R261" i="63"/>
  <c r="J261" i="63"/>
  <c r="P261" i="63"/>
  <c r="Q261" i="63"/>
  <c r="E229" i="63"/>
  <c r="G229" i="63"/>
  <c r="K229" i="63"/>
  <c r="N229" i="63"/>
  <c r="C229" i="63"/>
  <c r="H229" i="63"/>
  <c r="L229" i="63"/>
  <c r="O229" i="63"/>
  <c r="I229" i="63"/>
  <c r="M229" i="63"/>
  <c r="B229" i="63"/>
  <c r="U229" i="63"/>
  <c r="V229" i="63"/>
  <c r="W229" i="63"/>
  <c r="X229" i="63"/>
  <c r="Y229" i="63"/>
  <c r="S229" i="63"/>
  <c r="F229" i="63"/>
  <c r="R229" i="63"/>
  <c r="P229" i="63"/>
  <c r="B248" i="63"/>
  <c r="C248" i="63"/>
  <c r="E248" i="63"/>
  <c r="G248" i="63"/>
  <c r="K248" i="63"/>
  <c r="N248" i="63"/>
  <c r="P248" i="63"/>
  <c r="Q248" i="63"/>
  <c r="R248" i="63"/>
  <c r="I248" i="63"/>
  <c r="M248" i="63"/>
  <c r="F248" i="63"/>
  <c r="H248" i="63"/>
  <c r="S248" i="63"/>
  <c r="U248" i="63"/>
  <c r="V248" i="63"/>
  <c r="W248" i="63"/>
  <c r="X248" i="63"/>
  <c r="Y248" i="63"/>
  <c r="B208" i="63"/>
  <c r="C208" i="63"/>
  <c r="E208" i="63"/>
  <c r="F208" i="63"/>
  <c r="J208" i="63"/>
  <c r="Q208" i="63"/>
  <c r="R208" i="63"/>
  <c r="H208" i="63"/>
  <c r="L208" i="63"/>
  <c r="O208" i="63"/>
  <c r="G208" i="63"/>
  <c r="M208" i="63"/>
  <c r="N208" i="63"/>
  <c r="U208" i="63"/>
  <c r="V208" i="63"/>
  <c r="W208" i="63"/>
  <c r="X208" i="63"/>
  <c r="Y208" i="63"/>
  <c r="Z208" i="63"/>
  <c r="I208" i="63"/>
  <c r="K208" i="63"/>
  <c r="S208" i="63"/>
  <c r="P208" i="63"/>
  <c r="B263" i="63"/>
  <c r="C263" i="63"/>
  <c r="F263" i="63"/>
  <c r="J263" i="63"/>
  <c r="G263" i="63"/>
  <c r="K263" i="63"/>
  <c r="N263" i="63"/>
  <c r="H263" i="63"/>
  <c r="L263" i="63"/>
  <c r="E263" i="63"/>
  <c r="Q263" i="63"/>
  <c r="M263" i="63"/>
  <c r="R263" i="63"/>
  <c r="I263" i="63"/>
  <c r="O263" i="63"/>
  <c r="P263" i="63"/>
  <c r="B247" i="63"/>
  <c r="C247" i="63"/>
  <c r="E247" i="63"/>
  <c r="H247" i="63"/>
  <c r="L247" i="63"/>
  <c r="O247" i="63"/>
  <c r="I247" i="63"/>
  <c r="M247" i="63"/>
  <c r="F247" i="63"/>
  <c r="J247" i="63"/>
  <c r="R247" i="63"/>
  <c r="P247" i="63"/>
  <c r="Q247" i="63"/>
  <c r="B239" i="63"/>
  <c r="C239" i="63"/>
  <c r="E239" i="63"/>
  <c r="P239" i="63"/>
  <c r="G239" i="63"/>
  <c r="K239" i="63"/>
  <c r="N239" i="63"/>
  <c r="H239" i="63"/>
  <c r="L239" i="63"/>
  <c r="O239" i="63"/>
  <c r="I239" i="63"/>
  <c r="M239" i="63"/>
  <c r="Q239" i="63"/>
  <c r="S239" i="63"/>
  <c r="R239" i="63"/>
  <c r="J239" i="63"/>
  <c r="F239" i="63"/>
  <c r="B223" i="63"/>
  <c r="C223" i="63"/>
  <c r="E223" i="63"/>
  <c r="I223" i="63"/>
  <c r="M223" i="63"/>
  <c r="F223" i="63"/>
  <c r="J223" i="63"/>
  <c r="G223" i="63"/>
  <c r="K223" i="63"/>
  <c r="L223" i="63"/>
  <c r="N223" i="63"/>
  <c r="H223" i="63"/>
  <c r="P223" i="63"/>
  <c r="O223" i="63"/>
  <c r="B215" i="63"/>
  <c r="C215" i="63"/>
  <c r="E215" i="63"/>
  <c r="H215" i="63"/>
  <c r="L215" i="63"/>
  <c r="O215" i="63"/>
  <c r="I215" i="63"/>
  <c r="M215" i="63"/>
  <c r="P215" i="63"/>
  <c r="F215" i="63"/>
  <c r="J215" i="63"/>
  <c r="S215" i="63"/>
  <c r="G215" i="63"/>
  <c r="R215" i="63"/>
  <c r="K215" i="63"/>
  <c r="N215" i="63"/>
  <c r="B262" i="63"/>
  <c r="C262" i="63"/>
  <c r="F262" i="63"/>
  <c r="J262" i="63"/>
  <c r="H262" i="63"/>
  <c r="L262" i="63"/>
  <c r="O262" i="63"/>
  <c r="E262" i="63"/>
  <c r="S262" i="63"/>
  <c r="U262" i="63"/>
  <c r="V262" i="63"/>
  <c r="I262" i="63"/>
  <c r="K262" i="63"/>
  <c r="G262" i="63"/>
  <c r="P262" i="63"/>
  <c r="B254" i="63"/>
  <c r="C254" i="63"/>
  <c r="E254" i="63"/>
  <c r="I254" i="63"/>
  <c r="M254" i="63"/>
  <c r="G254" i="63"/>
  <c r="K254" i="63"/>
  <c r="N254" i="63"/>
  <c r="L254" i="63"/>
  <c r="F254" i="63"/>
  <c r="H254" i="63"/>
  <c r="J254" i="63"/>
  <c r="O254" i="63"/>
  <c r="P254" i="63"/>
  <c r="S254" i="63"/>
  <c r="U254" i="63"/>
  <c r="V254" i="63"/>
  <c r="W254" i="63"/>
  <c r="R254" i="63"/>
  <c r="B246" i="63"/>
  <c r="C246" i="63"/>
  <c r="E246" i="63"/>
  <c r="H246" i="63"/>
  <c r="L246" i="63"/>
  <c r="O246" i="63"/>
  <c r="F246" i="63"/>
  <c r="J246" i="63"/>
  <c r="G246" i="63"/>
  <c r="R246" i="63"/>
  <c r="N246" i="63"/>
  <c r="S246" i="63"/>
  <c r="U246" i="63"/>
  <c r="V246" i="63"/>
  <c r="W246" i="63"/>
  <c r="P246" i="63"/>
  <c r="Q246" i="63"/>
  <c r="K246" i="63"/>
  <c r="M246" i="63"/>
  <c r="B238" i="63"/>
  <c r="C238" i="63"/>
  <c r="E238" i="63"/>
  <c r="G238" i="63"/>
  <c r="K238" i="63"/>
  <c r="N238" i="63"/>
  <c r="I238" i="63"/>
  <c r="M238" i="63"/>
  <c r="F238" i="63"/>
  <c r="Q238" i="63"/>
  <c r="U238" i="63"/>
  <c r="V238" i="63"/>
  <c r="W238" i="63"/>
  <c r="O238" i="63"/>
  <c r="R238" i="63"/>
  <c r="J238" i="63"/>
  <c r="L238" i="63"/>
  <c r="H238" i="63"/>
  <c r="B230" i="63"/>
  <c r="C230" i="63"/>
  <c r="E230" i="63"/>
  <c r="F230" i="63"/>
  <c r="J230" i="63"/>
  <c r="P230" i="63"/>
  <c r="H230" i="63"/>
  <c r="L230" i="63"/>
  <c r="O230" i="63"/>
  <c r="M230" i="63"/>
  <c r="U230" i="63"/>
  <c r="V230" i="63"/>
  <c r="W230" i="63"/>
  <c r="N230" i="63"/>
  <c r="Q230" i="63"/>
  <c r="S230" i="63"/>
  <c r="R230" i="63"/>
  <c r="B222" i="63"/>
  <c r="C222" i="63"/>
  <c r="E222" i="63"/>
  <c r="I222" i="63"/>
  <c r="M222" i="63"/>
  <c r="P222" i="63"/>
  <c r="G222" i="63"/>
  <c r="K222" i="63"/>
  <c r="N222" i="63"/>
  <c r="H222" i="63"/>
  <c r="J222" i="63"/>
  <c r="R222" i="63"/>
  <c r="U222" i="63"/>
  <c r="V222" i="63"/>
  <c r="W222" i="63"/>
  <c r="F222" i="63"/>
  <c r="O222" i="63"/>
  <c r="Q222" i="63"/>
  <c r="S222" i="63"/>
  <c r="B214" i="63"/>
  <c r="C214" i="63"/>
  <c r="E214" i="63"/>
  <c r="H214" i="63"/>
  <c r="L214" i="63"/>
  <c r="O214" i="63"/>
  <c r="F214" i="63"/>
  <c r="J214" i="63"/>
  <c r="G214" i="63"/>
  <c r="S214" i="63"/>
  <c r="Q214" i="63"/>
  <c r="U214" i="63"/>
  <c r="V214" i="63"/>
  <c r="W214" i="63"/>
  <c r="R214" i="63"/>
  <c r="K214" i="63"/>
  <c r="M214" i="63"/>
  <c r="N214" i="63"/>
  <c r="I214" i="63"/>
  <c r="Z262" i="63"/>
  <c r="Z254" i="63"/>
  <c r="Z246" i="63"/>
  <c r="Z238" i="63"/>
  <c r="Z229" i="63"/>
  <c r="Z219" i="63"/>
  <c r="Z209" i="63"/>
  <c r="Y252" i="63"/>
  <c r="Y238" i="63"/>
  <c r="Y222" i="63"/>
  <c r="X262" i="63"/>
  <c r="X246" i="63"/>
  <c r="X230" i="63"/>
  <c r="X214" i="63"/>
  <c r="W252" i="63"/>
  <c r="W220" i="63"/>
  <c r="V244" i="63"/>
  <c r="V212" i="63"/>
  <c r="U236" i="63"/>
  <c r="S252" i="63"/>
  <c r="S213" i="63"/>
  <c r="R219" i="63"/>
  <c r="Q223" i="63"/>
  <c r="P214" i="63"/>
  <c r="N240" i="63"/>
  <c r="M252" i="63"/>
  <c r="K247" i="63"/>
  <c r="I246" i="63"/>
  <c r="G230" i="63"/>
  <c r="I298" i="63"/>
  <c r="P298" i="63"/>
  <c r="F298" i="63"/>
  <c r="B298" i="63"/>
  <c r="K298" i="63"/>
  <c r="R298" i="63"/>
  <c r="H298" i="63"/>
  <c r="O298" i="63"/>
  <c r="E298" i="63"/>
  <c r="M298" i="63"/>
  <c r="J298" i="63"/>
  <c r="Q298" i="63"/>
  <c r="G298" i="63"/>
  <c r="N298" i="63"/>
  <c r="C298" i="63"/>
  <c r="U298" i="63"/>
  <c r="S298" i="63"/>
  <c r="Z298" i="63"/>
  <c r="W298" i="63"/>
  <c r="Y298" i="63"/>
  <c r="L298" i="63"/>
  <c r="V298" i="63"/>
  <c r="I290" i="63"/>
  <c r="P290" i="63"/>
  <c r="F290" i="63"/>
  <c r="B290" i="63"/>
  <c r="K290" i="63"/>
  <c r="R290" i="63"/>
  <c r="H290" i="63"/>
  <c r="O290" i="63"/>
  <c r="E290" i="63"/>
  <c r="M290" i="63"/>
  <c r="J290" i="63"/>
  <c r="Q290" i="63"/>
  <c r="G290" i="63"/>
  <c r="N290" i="63"/>
  <c r="U290" i="63"/>
  <c r="Z290" i="63"/>
  <c r="W290" i="63"/>
  <c r="L290" i="63"/>
  <c r="Y290" i="63"/>
  <c r="V290" i="63"/>
  <c r="S290" i="63"/>
  <c r="I282" i="63"/>
  <c r="P282" i="63"/>
  <c r="F282" i="63"/>
  <c r="B282" i="63"/>
  <c r="K282" i="63"/>
  <c r="R282" i="63"/>
  <c r="H282" i="63"/>
  <c r="O282" i="63"/>
  <c r="E282" i="63"/>
  <c r="M282" i="63"/>
  <c r="J282" i="63"/>
  <c r="Q282" i="63"/>
  <c r="G282" i="63"/>
  <c r="N282" i="63"/>
  <c r="U282" i="63"/>
  <c r="Z282" i="63"/>
  <c r="W282" i="63"/>
  <c r="L282" i="63"/>
  <c r="S282" i="63"/>
  <c r="Y282" i="63"/>
  <c r="V282" i="63"/>
  <c r="C282" i="63"/>
  <c r="I274" i="63"/>
  <c r="P274" i="63"/>
  <c r="F274" i="63"/>
  <c r="B274" i="63"/>
  <c r="K274" i="63"/>
  <c r="R274" i="63"/>
  <c r="H274" i="63"/>
  <c r="O274" i="63"/>
  <c r="E274" i="63"/>
  <c r="M274" i="63"/>
  <c r="J274" i="63"/>
  <c r="Q274" i="63"/>
  <c r="G274" i="63"/>
  <c r="N274" i="63"/>
  <c r="S274" i="63"/>
  <c r="U274" i="63"/>
  <c r="Z274" i="63"/>
  <c r="L274" i="63"/>
  <c r="W274" i="63"/>
  <c r="Y274" i="63"/>
  <c r="C274" i="63"/>
  <c r="V274" i="63"/>
  <c r="I266" i="63"/>
  <c r="P266" i="63"/>
  <c r="F266" i="63"/>
  <c r="B266" i="63"/>
  <c r="K266" i="63"/>
  <c r="R266" i="63"/>
  <c r="H266" i="63"/>
  <c r="O266" i="63"/>
  <c r="E266" i="63"/>
  <c r="M266" i="63"/>
  <c r="J266" i="63"/>
  <c r="Q266" i="63"/>
  <c r="G266" i="63"/>
  <c r="N266" i="63"/>
  <c r="U266" i="63"/>
  <c r="L266" i="63"/>
  <c r="Z266" i="63"/>
  <c r="W266" i="63"/>
  <c r="C266" i="63"/>
  <c r="Y266" i="63"/>
  <c r="S266" i="63"/>
  <c r="V266" i="63"/>
  <c r="X266" i="63"/>
  <c r="X298" i="63"/>
  <c r="X290" i="63"/>
  <c r="X282" i="63"/>
  <c r="C290" i="63"/>
  <c r="F297" i="63"/>
  <c r="B297" i="63"/>
  <c r="K297" i="63"/>
  <c r="H297" i="63"/>
  <c r="O297" i="63"/>
  <c r="E297" i="63"/>
  <c r="M297" i="63"/>
  <c r="J297" i="63"/>
  <c r="Q297" i="63"/>
  <c r="G297" i="63"/>
  <c r="N297" i="63"/>
  <c r="C297" i="63"/>
  <c r="L297" i="63"/>
  <c r="F289" i="63"/>
  <c r="B289" i="63"/>
  <c r="K289" i="63"/>
  <c r="H289" i="63"/>
  <c r="O289" i="63"/>
  <c r="E289" i="63"/>
  <c r="M289" i="63"/>
  <c r="J289" i="63"/>
  <c r="Q289" i="63"/>
  <c r="G289" i="63"/>
  <c r="N289" i="63"/>
  <c r="C289" i="63"/>
  <c r="L289" i="63"/>
  <c r="F281" i="63"/>
  <c r="B281" i="63"/>
  <c r="K281" i="63"/>
  <c r="H281" i="63"/>
  <c r="O281" i="63"/>
  <c r="E281" i="63"/>
  <c r="M281" i="63"/>
  <c r="J281" i="63"/>
  <c r="Q281" i="63"/>
  <c r="G281" i="63"/>
  <c r="N281" i="63"/>
  <c r="C281" i="63"/>
  <c r="L281" i="63"/>
  <c r="F273" i="63"/>
  <c r="B273" i="63"/>
  <c r="K273" i="63"/>
  <c r="H273" i="63"/>
  <c r="O273" i="63"/>
  <c r="E273" i="63"/>
  <c r="M273" i="63"/>
  <c r="J273" i="63"/>
  <c r="Q273" i="63"/>
  <c r="G273" i="63"/>
  <c r="N273" i="63"/>
  <c r="C273" i="63"/>
  <c r="L273" i="63"/>
  <c r="F265" i="63"/>
  <c r="B265" i="63"/>
  <c r="K265" i="63"/>
  <c r="R265" i="63"/>
  <c r="H265" i="63"/>
  <c r="O265" i="63"/>
  <c r="E265" i="63"/>
  <c r="M265" i="63"/>
  <c r="J265" i="63"/>
  <c r="Q265" i="63"/>
  <c r="G265" i="63"/>
  <c r="N265" i="63"/>
  <c r="C265" i="63"/>
  <c r="L265" i="63"/>
  <c r="Z295" i="63"/>
  <c r="Z287" i="63"/>
  <c r="Z279" i="63"/>
  <c r="Z271" i="63"/>
  <c r="Y300" i="63"/>
  <c r="Y292" i="63"/>
  <c r="Y284" i="63"/>
  <c r="Y276" i="63"/>
  <c r="Y268" i="63"/>
  <c r="X297" i="63"/>
  <c r="X289" i="63"/>
  <c r="X281" i="63"/>
  <c r="X273" i="63"/>
  <c r="X265" i="63"/>
  <c r="W294" i="63"/>
  <c r="W286" i="63"/>
  <c r="W278" i="63"/>
  <c r="W270" i="63"/>
  <c r="V299" i="63"/>
  <c r="V291" i="63"/>
  <c r="V283" i="63"/>
  <c r="V275" i="63"/>
  <c r="V267" i="63"/>
  <c r="U296" i="63"/>
  <c r="U272" i="63"/>
  <c r="S268" i="63"/>
  <c r="R286" i="63"/>
  <c r="Q276" i="63"/>
  <c r="O286" i="63"/>
  <c r="M269" i="63"/>
  <c r="K279" i="63"/>
  <c r="I289" i="63"/>
  <c r="G299" i="63"/>
  <c r="B296" i="63"/>
  <c r="K296" i="63"/>
  <c r="R296" i="63"/>
  <c r="H296" i="63"/>
  <c r="O296" i="63"/>
  <c r="E296" i="63"/>
  <c r="M296" i="63"/>
  <c r="J296" i="63"/>
  <c r="Q296" i="63"/>
  <c r="G296" i="63"/>
  <c r="N296" i="63"/>
  <c r="C296" i="63"/>
  <c r="L296" i="63"/>
  <c r="S296" i="63"/>
  <c r="I296" i="63"/>
  <c r="P296" i="63"/>
  <c r="B288" i="63"/>
  <c r="K288" i="63"/>
  <c r="R288" i="63"/>
  <c r="H288" i="63"/>
  <c r="O288" i="63"/>
  <c r="E288" i="63"/>
  <c r="M288" i="63"/>
  <c r="J288" i="63"/>
  <c r="Q288" i="63"/>
  <c r="G288" i="63"/>
  <c r="N288" i="63"/>
  <c r="C288" i="63"/>
  <c r="L288" i="63"/>
  <c r="S288" i="63"/>
  <c r="I288" i="63"/>
  <c r="P288" i="63"/>
  <c r="B280" i="63"/>
  <c r="K280" i="63"/>
  <c r="R280" i="63"/>
  <c r="H280" i="63"/>
  <c r="O280" i="63"/>
  <c r="E280" i="63"/>
  <c r="M280" i="63"/>
  <c r="J280" i="63"/>
  <c r="Q280" i="63"/>
  <c r="G280" i="63"/>
  <c r="N280" i="63"/>
  <c r="C280" i="63"/>
  <c r="L280" i="63"/>
  <c r="S280" i="63"/>
  <c r="I280" i="63"/>
  <c r="P280" i="63"/>
  <c r="B272" i="63"/>
  <c r="K272" i="63"/>
  <c r="R272" i="63"/>
  <c r="H272" i="63"/>
  <c r="O272" i="63"/>
  <c r="E272" i="63"/>
  <c r="M272" i="63"/>
  <c r="J272" i="63"/>
  <c r="Q272" i="63"/>
  <c r="G272" i="63"/>
  <c r="N272" i="63"/>
  <c r="C272" i="63"/>
  <c r="L272" i="63"/>
  <c r="S272" i="63"/>
  <c r="I272" i="63"/>
  <c r="P272" i="63"/>
  <c r="B264" i="63"/>
  <c r="K264" i="63"/>
  <c r="R264" i="63"/>
  <c r="H264" i="63"/>
  <c r="O264" i="63"/>
  <c r="E264" i="63"/>
  <c r="M264" i="63"/>
  <c r="J264" i="63"/>
  <c r="Q264" i="63"/>
  <c r="G264" i="63"/>
  <c r="N264" i="63"/>
  <c r="C264" i="63"/>
  <c r="L264" i="63"/>
  <c r="S264" i="63"/>
  <c r="I264" i="63"/>
  <c r="P264" i="63"/>
  <c r="Z294" i="63"/>
  <c r="Z286" i="63"/>
  <c r="Z278" i="63"/>
  <c r="Z270" i="63"/>
  <c r="Y299" i="63"/>
  <c r="Y291" i="63"/>
  <c r="Y283" i="63"/>
  <c r="Y275" i="63"/>
  <c r="Y267" i="63"/>
  <c r="X296" i="63"/>
  <c r="X288" i="63"/>
  <c r="X280" i="63"/>
  <c r="X272" i="63"/>
  <c r="X264" i="63"/>
  <c r="W293" i="63"/>
  <c r="W285" i="63"/>
  <c r="W277" i="63"/>
  <c r="W269" i="63"/>
  <c r="U271" i="63"/>
  <c r="S289" i="63"/>
  <c r="R281" i="63"/>
  <c r="Q268" i="63"/>
  <c r="O278" i="63"/>
  <c r="I281" i="63"/>
  <c r="G291" i="63"/>
  <c r="F264" i="63"/>
  <c r="H295" i="63"/>
  <c r="O295" i="63"/>
  <c r="E295" i="63"/>
  <c r="M295" i="63"/>
  <c r="J295" i="63"/>
  <c r="Q295" i="63"/>
  <c r="G295" i="63"/>
  <c r="N295" i="63"/>
  <c r="C295" i="63"/>
  <c r="L295" i="63"/>
  <c r="S295" i="63"/>
  <c r="I295" i="63"/>
  <c r="P295" i="63"/>
  <c r="F295" i="63"/>
  <c r="H287" i="63"/>
  <c r="O287" i="63"/>
  <c r="E287" i="63"/>
  <c r="M287" i="63"/>
  <c r="J287" i="63"/>
  <c r="Q287" i="63"/>
  <c r="G287" i="63"/>
  <c r="N287" i="63"/>
  <c r="C287" i="63"/>
  <c r="L287" i="63"/>
  <c r="S287" i="63"/>
  <c r="I287" i="63"/>
  <c r="P287" i="63"/>
  <c r="F287" i="63"/>
  <c r="H279" i="63"/>
  <c r="O279" i="63"/>
  <c r="E279" i="63"/>
  <c r="M279" i="63"/>
  <c r="J279" i="63"/>
  <c r="Q279" i="63"/>
  <c r="G279" i="63"/>
  <c r="N279" i="63"/>
  <c r="C279" i="63"/>
  <c r="L279" i="63"/>
  <c r="S279" i="63"/>
  <c r="I279" i="63"/>
  <c r="P279" i="63"/>
  <c r="F279" i="63"/>
  <c r="H271" i="63"/>
  <c r="O271" i="63"/>
  <c r="E271" i="63"/>
  <c r="M271" i="63"/>
  <c r="J271" i="63"/>
  <c r="Q271" i="63"/>
  <c r="G271" i="63"/>
  <c r="N271" i="63"/>
  <c r="C271" i="63"/>
  <c r="L271" i="63"/>
  <c r="S271" i="63"/>
  <c r="I271" i="63"/>
  <c r="P271" i="63"/>
  <c r="F271" i="63"/>
  <c r="Z293" i="63"/>
  <c r="Z285" i="63"/>
  <c r="Z277" i="63"/>
  <c r="Z269" i="63"/>
  <c r="X295" i="63"/>
  <c r="X287" i="63"/>
  <c r="X279" i="63"/>
  <c r="X271" i="63"/>
  <c r="W300" i="63"/>
  <c r="W292" i="63"/>
  <c r="W284" i="63"/>
  <c r="W276" i="63"/>
  <c r="W268" i="63"/>
  <c r="V297" i="63"/>
  <c r="V289" i="63"/>
  <c r="V281" i="63"/>
  <c r="V273" i="63"/>
  <c r="V265" i="63"/>
  <c r="U270" i="63"/>
  <c r="S284" i="63"/>
  <c r="S265" i="63"/>
  <c r="R279" i="63"/>
  <c r="P297" i="63"/>
  <c r="J300" i="63"/>
  <c r="I273" i="63"/>
  <c r="G283" i="63"/>
  <c r="E293" i="63"/>
  <c r="E294" i="63"/>
  <c r="M294" i="63"/>
  <c r="J294" i="63"/>
  <c r="Q294" i="63"/>
  <c r="G294" i="63"/>
  <c r="N294" i="63"/>
  <c r="C294" i="63"/>
  <c r="L294" i="63"/>
  <c r="S294" i="63"/>
  <c r="I294" i="63"/>
  <c r="P294" i="63"/>
  <c r="F294" i="63"/>
  <c r="B294" i="63"/>
  <c r="K294" i="63"/>
  <c r="E286" i="63"/>
  <c r="M286" i="63"/>
  <c r="J286" i="63"/>
  <c r="Q286" i="63"/>
  <c r="G286" i="63"/>
  <c r="N286" i="63"/>
  <c r="C286" i="63"/>
  <c r="L286" i="63"/>
  <c r="S286" i="63"/>
  <c r="I286" i="63"/>
  <c r="P286" i="63"/>
  <c r="F286" i="63"/>
  <c r="B286" i="63"/>
  <c r="K286" i="63"/>
  <c r="E278" i="63"/>
  <c r="M278" i="63"/>
  <c r="J278" i="63"/>
  <c r="Q278" i="63"/>
  <c r="G278" i="63"/>
  <c r="N278" i="63"/>
  <c r="C278" i="63"/>
  <c r="L278" i="63"/>
  <c r="S278" i="63"/>
  <c r="I278" i="63"/>
  <c r="P278" i="63"/>
  <c r="F278" i="63"/>
  <c r="B278" i="63"/>
  <c r="K278" i="63"/>
  <c r="R278" i="63"/>
  <c r="E270" i="63"/>
  <c r="M270" i="63"/>
  <c r="J270" i="63"/>
  <c r="Q270" i="63"/>
  <c r="G270" i="63"/>
  <c r="N270" i="63"/>
  <c r="C270" i="63"/>
  <c r="L270" i="63"/>
  <c r="S270" i="63"/>
  <c r="I270" i="63"/>
  <c r="P270" i="63"/>
  <c r="F270" i="63"/>
  <c r="B270" i="63"/>
  <c r="K270" i="63"/>
  <c r="R270" i="63"/>
  <c r="Z300" i="63"/>
  <c r="Z292" i="63"/>
  <c r="Z284" i="63"/>
  <c r="Z276" i="63"/>
  <c r="Z268" i="63"/>
  <c r="Y297" i="63"/>
  <c r="Y289" i="63"/>
  <c r="Y281" i="63"/>
  <c r="Y273" i="63"/>
  <c r="Y265" i="63"/>
  <c r="X294" i="63"/>
  <c r="X286" i="63"/>
  <c r="X278" i="63"/>
  <c r="X270" i="63"/>
  <c r="W299" i="63"/>
  <c r="W291" i="63"/>
  <c r="W283" i="63"/>
  <c r="W275" i="63"/>
  <c r="W267" i="63"/>
  <c r="V296" i="63"/>
  <c r="V288" i="63"/>
  <c r="V280" i="63"/>
  <c r="V272" i="63"/>
  <c r="V264" i="63"/>
  <c r="U285" i="63"/>
  <c r="R297" i="63"/>
  <c r="R273" i="63"/>
  <c r="P289" i="63"/>
  <c r="N299" i="63"/>
  <c r="J292" i="63"/>
  <c r="I265" i="63"/>
  <c r="G275" i="63"/>
  <c r="B295" i="63"/>
  <c r="J293" i="63"/>
  <c r="Q293" i="63"/>
  <c r="G293" i="63"/>
  <c r="N293" i="63"/>
  <c r="C293" i="63"/>
  <c r="L293" i="63"/>
  <c r="S293" i="63"/>
  <c r="I293" i="63"/>
  <c r="P293" i="63"/>
  <c r="F293" i="63"/>
  <c r="B293" i="63"/>
  <c r="K293" i="63"/>
  <c r="R293" i="63"/>
  <c r="H293" i="63"/>
  <c r="O293" i="63"/>
  <c r="J285" i="63"/>
  <c r="Q285" i="63"/>
  <c r="G285" i="63"/>
  <c r="N285" i="63"/>
  <c r="C285" i="63"/>
  <c r="L285" i="63"/>
  <c r="S285" i="63"/>
  <c r="I285" i="63"/>
  <c r="P285" i="63"/>
  <c r="F285" i="63"/>
  <c r="B285" i="63"/>
  <c r="K285" i="63"/>
  <c r="R285" i="63"/>
  <c r="H285" i="63"/>
  <c r="O285" i="63"/>
  <c r="J277" i="63"/>
  <c r="Q277" i="63"/>
  <c r="G277" i="63"/>
  <c r="N277" i="63"/>
  <c r="C277" i="63"/>
  <c r="L277" i="63"/>
  <c r="S277" i="63"/>
  <c r="I277" i="63"/>
  <c r="P277" i="63"/>
  <c r="F277" i="63"/>
  <c r="B277" i="63"/>
  <c r="K277" i="63"/>
  <c r="R277" i="63"/>
  <c r="H277" i="63"/>
  <c r="O277" i="63"/>
  <c r="J269" i="63"/>
  <c r="Q269" i="63"/>
  <c r="G269" i="63"/>
  <c r="N269" i="63"/>
  <c r="C269" i="63"/>
  <c r="L269" i="63"/>
  <c r="S269" i="63"/>
  <c r="I269" i="63"/>
  <c r="P269" i="63"/>
  <c r="F269" i="63"/>
  <c r="B269" i="63"/>
  <c r="K269" i="63"/>
  <c r="R269" i="63"/>
  <c r="H269" i="63"/>
  <c r="O269" i="63"/>
  <c r="Z299" i="63"/>
  <c r="Z291" i="63"/>
  <c r="Z283" i="63"/>
  <c r="Z275" i="63"/>
  <c r="Z267" i="63"/>
  <c r="Y296" i="63"/>
  <c r="Y288" i="63"/>
  <c r="Y280" i="63"/>
  <c r="Y272" i="63"/>
  <c r="Y264" i="63"/>
  <c r="X293" i="63"/>
  <c r="X285" i="63"/>
  <c r="X277" i="63"/>
  <c r="X269" i="63"/>
  <c r="V295" i="63"/>
  <c r="V287" i="63"/>
  <c r="V279" i="63"/>
  <c r="V271" i="63"/>
  <c r="U300" i="63"/>
  <c r="U284" i="63"/>
  <c r="S281" i="63"/>
  <c r="R295" i="63"/>
  <c r="R271" i="63"/>
  <c r="P281" i="63"/>
  <c r="N291" i="63"/>
  <c r="H294" i="63"/>
  <c r="G267" i="63"/>
  <c r="E277" i="63"/>
  <c r="B287" i="63"/>
  <c r="G300" i="63"/>
  <c r="N300" i="63"/>
  <c r="C300" i="63"/>
  <c r="L300" i="63"/>
  <c r="I300" i="63"/>
  <c r="P300" i="63"/>
  <c r="F300" i="63"/>
  <c r="B300" i="63"/>
  <c r="K300" i="63"/>
  <c r="R300" i="63"/>
  <c r="H300" i="63"/>
  <c r="O300" i="63"/>
  <c r="E300" i="63"/>
  <c r="M300" i="63"/>
  <c r="G292" i="63"/>
  <c r="N292" i="63"/>
  <c r="C292" i="63"/>
  <c r="L292" i="63"/>
  <c r="I292" i="63"/>
  <c r="P292" i="63"/>
  <c r="F292" i="63"/>
  <c r="B292" i="63"/>
  <c r="K292" i="63"/>
  <c r="R292" i="63"/>
  <c r="H292" i="63"/>
  <c r="O292" i="63"/>
  <c r="E292" i="63"/>
  <c r="M292" i="63"/>
  <c r="G284" i="63"/>
  <c r="N284" i="63"/>
  <c r="C284" i="63"/>
  <c r="L284" i="63"/>
  <c r="I284" i="63"/>
  <c r="P284" i="63"/>
  <c r="F284" i="63"/>
  <c r="B284" i="63"/>
  <c r="K284" i="63"/>
  <c r="R284" i="63"/>
  <c r="H284" i="63"/>
  <c r="O284" i="63"/>
  <c r="E284" i="63"/>
  <c r="M284" i="63"/>
  <c r="G276" i="63"/>
  <c r="N276" i="63"/>
  <c r="C276" i="63"/>
  <c r="L276" i="63"/>
  <c r="I276" i="63"/>
  <c r="P276" i="63"/>
  <c r="F276" i="63"/>
  <c r="B276" i="63"/>
  <c r="K276" i="63"/>
  <c r="R276" i="63"/>
  <c r="H276" i="63"/>
  <c r="O276" i="63"/>
  <c r="E276" i="63"/>
  <c r="M276" i="63"/>
  <c r="G268" i="63"/>
  <c r="N268" i="63"/>
  <c r="C268" i="63"/>
  <c r="L268" i="63"/>
  <c r="I268" i="63"/>
  <c r="P268" i="63"/>
  <c r="F268" i="63"/>
  <c r="B268" i="63"/>
  <c r="K268" i="63"/>
  <c r="R268" i="63"/>
  <c r="H268" i="63"/>
  <c r="O268" i="63"/>
  <c r="E268" i="63"/>
  <c r="M268" i="63"/>
  <c r="Y295" i="63"/>
  <c r="Y287" i="63"/>
  <c r="Y279" i="63"/>
  <c r="Y271" i="63"/>
  <c r="X300" i="63"/>
  <c r="X292" i="63"/>
  <c r="X284" i="63"/>
  <c r="X276" i="63"/>
  <c r="X268" i="63"/>
  <c r="W297" i="63"/>
  <c r="W289" i="63"/>
  <c r="W281" i="63"/>
  <c r="W273" i="63"/>
  <c r="W265" i="63"/>
  <c r="V294" i="63"/>
  <c r="V286" i="63"/>
  <c r="V278" i="63"/>
  <c r="V270" i="63"/>
  <c r="U283" i="63"/>
  <c r="S276" i="63"/>
  <c r="R294" i="63"/>
  <c r="Q300" i="63"/>
  <c r="P273" i="63"/>
  <c r="M293" i="63"/>
  <c r="J276" i="63"/>
  <c r="H286" i="63"/>
  <c r="F296" i="63"/>
  <c r="E269" i="63"/>
  <c r="B279" i="63"/>
  <c r="C299" i="63"/>
  <c r="L299" i="63"/>
  <c r="S299" i="63"/>
  <c r="I299" i="63"/>
  <c r="P299" i="63"/>
  <c r="F299" i="63"/>
  <c r="B299" i="63"/>
  <c r="K299" i="63"/>
  <c r="R299" i="63"/>
  <c r="H299" i="63"/>
  <c r="O299" i="63"/>
  <c r="E299" i="63"/>
  <c r="M299" i="63"/>
  <c r="J299" i="63"/>
  <c r="Q299" i="63"/>
  <c r="C291" i="63"/>
  <c r="L291" i="63"/>
  <c r="S291" i="63"/>
  <c r="I291" i="63"/>
  <c r="P291" i="63"/>
  <c r="F291" i="63"/>
  <c r="B291" i="63"/>
  <c r="K291" i="63"/>
  <c r="R291" i="63"/>
  <c r="H291" i="63"/>
  <c r="O291" i="63"/>
  <c r="E291" i="63"/>
  <c r="M291" i="63"/>
  <c r="J291" i="63"/>
  <c r="Q291" i="63"/>
  <c r="C283" i="63"/>
  <c r="L283" i="63"/>
  <c r="S283" i="63"/>
  <c r="I283" i="63"/>
  <c r="P283" i="63"/>
  <c r="F283" i="63"/>
  <c r="B283" i="63"/>
  <c r="K283" i="63"/>
  <c r="R283" i="63"/>
  <c r="H283" i="63"/>
  <c r="O283" i="63"/>
  <c r="E283" i="63"/>
  <c r="M283" i="63"/>
  <c r="J283" i="63"/>
  <c r="Q283" i="63"/>
  <c r="C275" i="63"/>
  <c r="L275" i="63"/>
  <c r="S275" i="63"/>
  <c r="I275" i="63"/>
  <c r="P275" i="63"/>
  <c r="F275" i="63"/>
  <c r="B275" i="63"/>
  <c r="K275" i="63"/>
  <c r="R275" i="63"/>
  <c r="H275" i="63"/>
  <c r="O275" i="63"/>
  <c r="E275" i="63"/>
  <c r="M275" i="63"/>
  <c r="J275" i="63"/>
  <c r="Q275" i="63"/>
  <c r="C267" i="63"/>
  <c r="L267" i="63"/>
  <c r="S267" i="63"/>
  <c r="I267" i="63"/>
  <c r="P267" i="63"/>
  <c r="F267" i="63"/>
  <c r="B267" i="63"/>
  <c r="K267" i="63"/>
  <c r="R267" i="63"/>
  <c r="H267" i="63"/>
  <c r="O267" i="63"/>
  <c r="E267" i="63"/>
  <c r="M267" i="63"/>
  <c r="J267" i="63"/>
  <c r="Q267" i="63"/>
  <c r="Z297" i="63"/>
  <c r="Z289" i="63"/>
  <c r="Z281" i="63"/>
  <c r="Z273" i="63"/>
  <c r="Z265" i="63"/>
  <c r="Y294" i="63"/>
  <c r="Y286" i="63"/>
  <c r="Y278" i="63"/>
  <c r="Y270" i="63"/>
  <c r="X299" i="63"/>
  <c r="X291" i="63"/>
  <c r="X283" i="63"/>
  <c r="X275" i="63"/>
  <c r="X267" i="63"/>
  <c r="W296" i="63"/>
  <c r="W288" i="63"/>
  <c r="W280" i="63"/>
  <c r="W272" i="63"/>
  <c r="W264" i="63"/>
  <c r="V293" i="63"/>
  <c r="V285" i="63"/>
  <c r="V277" i="63"/>
  <c r="V269" i="63"/>
  <c r="S297" i="63"/>
  <c r="R289" i="63"/>
  <c r="Q292" i="63"/>
  <c r="P265" i="63"/>
  <c r="N275" i="63"/>
  <c r="M285" i="63"/>
  <c r="K295" i="63"/>
  <c r="J268" i="63"/>
  <c r="H278" i="63"/>
  <c r="F288" i="63"/>
  <c r="B271" i="63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5" i="61"/>
  <c r="D266" i="67" l="1"/>
  <c r="D269" i="67"/>
  <c r="D230" i="67"/>
  <c r="D272" i="67"/>
  <c r="D226" i="67"/>
  <c r="D242" i="67"/>
  <c r="D240" i="67"/>
  <c r="D250" i="67"/>
  <c r="D274" i="67"/>
  <c r="D244" i="67"/>
  <c r="D238" i="67"/>
  <c r="D249" i="67"/>
  <c r="D267" i="67"/>
  <c r="D222" i="67"/>
  <c r="D224" i="67"/>
  <c r="D254" i="67"/>
  <c r="D232" i="67"/>
  <c r="D219" i="67"/>
  <c r="D260" i="67"/>
  <c r="D276" i="67"/>
  <c r="D217" i="67"/>
  <c r="D216" i="67"/>
  <c r="D279" i="67"/>
  <c r="D282" i="67"/>
  <c r="D283" i="67"/>
  <c r="D284" i="67"/>
  <c r="D277" i="67"/>
  <c r="D285" i="67"/>
  <c r="D215" i="67"/>
  <c r="D223" i="67"/>
  <c r="D231" i="67"/>
  <c r="D239" i="67"/>
  <c r="D257" i="67"/>
  <c r="D265" i="67"/>
  <c r="D273" i="67"/>
  <c r="D259" i="67"/>
  <c r="D209" i="67"/>
  <c r="D225" i="67"/>
  <c r="D233" i="67"/>
  <c r="D241" i="67"/>
  <c r="D243" i="67"/>
  <c r="D251" i="67"/>
  <c r="D275" i="67"/>
  <c r="D278" i="67"/>
  <c r="D286" i="67"/>
  <c r="D248" i="67"/>
  <c r="D252" i="67"/>
  <c r="D218" i="67"/>
  <c r="D212" i="67"/>
  <c r="D220" i="67"/>
  <c r="D228" i="67"/>
  <c r="D236" i="67"/>
  <c r="D246" i="67"/>
  <c r="D262" i="67"/>
  <c r="D270" i="67"/>
  <c r="D211" i="67"/>
  <c r="D227" i="67"/>
  <c r="D245" i="67"/>
  <c r="D261" i="67"/>
  <c r="D256" i="67"/>
  <c r="D210" i="67"/>
  <c r="D258" i="67"/>
  <c r="D208" i="67"/>
  <c r="D213" i="67"/>
  <c r="D221" i="67"/>
  <c r="D229" i="67"/>
  <c r="D237" i="67"/>
  <c r="D247" i="67"/>
  <c r="D255" i="67"/>
  <c r="D263" i="67"/>
  <c r="D271" i="67"/>
  <c r="D268" i="67"/>
  <c r="D235" i="67"/>
  <c r="D253" i="67"/>
  <c r="D234" i="67"/>
  <c r="D264" i="67"/>
  <c r="D214" i="67"/>
  <c r="D250" i="63"/>
  <c r="D251" i="63"/>
  <c r="D252" i="63"/>
  <c r="D281" i="67"/>
  <c r="D280" i="67"/>
  <c r="D216" i="63"/>
  <c r="D253" i="63"/>
  <c r="D208" i="63"/>
  <c r="D254" i="63"/>
  <c r="D249" i="63"/>
  <c r="D248" i="63"/>
  <c r="D279" i="63"/>
  <c r="D214" i="63"/>
  <c r="D230" i="63"/>
  <c r="D238" i="63"/>
  <c r="D246" i="63"/>
  <c r="D262" i="63"/>
  <c r="D215" i="63"/>
  <c r="D223" i="63"/>
  <c r="D263" i="63"/>
  <c r="D255" i="63"/>
  <c r="D221" i="63"/>
  <c r="D256" i="63"/>
  <c r="D241" i="63"/>
  <c r="D242" i="63"/>
  <c r="D227" i="63"/>
  <c r="D239" i="63"/>
  <c r="D247" i="63"/>
  <c r="D229" i="63"/>
  <c r="D231" i="63"/>
  <c r="D300" i="63"/>
  <c r="D240" i="63"/>
  <c r="D232" i="63"/>
  <c r="D209" i="63"/>
  <c r="D257" i="63"/>
  <c r="D220" i="63"/>
  <c r="D217" i="63"/>
  <c r="D225" i="63"/>
  <c r="D233" i="63"/>
  <c r="D258" i="63"/>
  <c r="D260" i="63"/>
  <c r="D245" i="63"/>
  <c r="D210" i="63"/>
  <c r="D218" i="63"/>
  <c r="D226" i="63"/>
  <c r="D234" i="63"/>
  <c r="D236" i="63"/>
  <c r="D237" i="63"/>
  <c r="D211" i="63"/>
  <c r="D219" i="63"/>
  <c r="D235" i="63"/>
  <c r="D243" i="63"/>
  <c r="D259" i="63"/>
  <c r="D228" i="63"/>
  <c r="D213" i="63"/>
  <c r="D212" i="63"/>
  <c r="D224" i="63"/>
  <c r="D222" i="63"/>
  <c r="D261" i="63"/>
  <c r="D288" i="5"/>
  <c r="D244" i="63"/>
  <c r="D276" i="5"/>
  <c r="D222" i="5"/>
  <c r="D286" i="5"/>
  <c r="D247" i="5"/>
  <c r="D240" i="5"/>
  <c r="D280" i="5"/>
  <c r="D209" i="5"/>
  <c r="D217" i="5"/>
  <c r="D225" i="5"/>
  <c r="D233" i="5"/>
  <c r="D249" i="5"/>
  <c r="D257" i="5"/>
  <c r="D289" i="5"/>
  <c r="D290" i="5"/>
  <c r="D251" i="5"/>
  <c r="D230" i="5"/>
  <c r="D218" i="5"/>
  <c r="D242" i="5"/>
  <c r="D244" i="5"/>
  <c r="D214" i="5"/>
  <c r="D278" i="5"/>
  <c r="D239" i="5"/>
  <c r="D248" i="5"/>
  <c r="D272" i="5"/>
  <c r="D282" i="5"/>
  <c r="D243" i="5"/>
  <c r="D234" i="5"/>
  <c r="D269" i="5"/>
  <c r="D228" i="5"/>
  <c r="D270" i="5"/>
  <c r="D231" i="5"/>
  <c r="D295" i="5"/>
  <c r="D256" i="5"/>
  <c r="D264" i="5"/>
  <c r="D300" i="5"/>
  <c r="D281" i="5"/>
  <c r="D266" i="5"/>
  <c r="D274" i="5"/>
  <c r="D227" i="5"/>
  <c r="D235" i="5"/>
  <c r="D299" i="5"/>
  <c r="D232" i="5"/>
  <c r="D210" i="5"/>
  <c r="D298" i="5"/>
  <c r="D245" i="5"/>
  <c r="D253" i="5"/>
  <c r="D212" i="5"/>
  <c r="D262" i="5"/>
  <c r="D223" i="5"/>
  <c r="D287" i="5"/>
  <c r="D268" i="5"/>
  <c r="D284" i="5"/>
  <c r="D211" i="5"/>
  <c r="D219" i="5"/>
  <c r="D283" i="5"/>
  <c r="D291" i="5"/>
  <c r="D226" i="5"/>
  <c r="D277" i="5"/>
  <c r="D293" i="5"/>
  <c r="D254" i="5"/>
  <c r="D208" i="5"/>
  <c r="D252" i="5"/>
  <c r="D273" i="5"/>
  <c r="D258" i="5"/>
  <c r="D275" i="5"/>
  <c r="D221" i="5"/>
  <c r="D292" i="5"/>
  <c r="D294" i="5"/>
  <c r="D213" i="5"/>
  <c r="D285" i="5"/>
  <c r="D246" i="5"/>
  <c r="D215" i="5"/>
  <c r="D279" i="5"/>
  <c r="D216" i="5"/>
  <c r="D236" i="5"/>
  <c r="D267" i="5"/>
  <c r="D229" i="5"/>
  <c r="D238" i="5"/>
  <c r="D263" i="5"/>
  <c r="D271" i="5"/>
  <c r="D224" i="5"/>
  <c r="D296" i="5"/>
  <c r="D220" i="5"/>
  <c r="D265" i="5"/>
  <c r="D297" i="5"/>
  <c r="D250" i="5"/>
  <c r="D259" i="5"/>
  <c r="D292" i="63"/>
  <c r="D286" i="63"/>
  <c r="D271" i="63"/>
  <c r="D290" i="63"/>
  <c r="D284" i="63"/>
  <c r="D270" i="63"/>
  <c r="D278" i="63"/>
  <c r="D289" i="63"/>
  <c r="D274" i="63"/>
  <c r="D294" i="63"/>
  <c r="D267" i="63"/>
  <c r="D275" i="63"/>
  <c r="D283" i="63"/>
  <c r="D291" i="63"/>
  <c r="D299" i="63"/>
  <c r="D276" i="63"/>
  <c r="D268" i="63"/>
  <c r="D281" i="63"/>
  <c r="D297" i="63"/>
  <c r="D298" i="63"/>
  <c r="D295" i="63"/>
  <c r="D273" i="63"/>
  <c r="D266" i="63"/>
  <c r="D282" i="63"/>
  <c r="D269" i="63"/>
  <c r="D277" i="63"/>
  <c r="D285" i="63"/>
  <c r="D293" i="63"/>
  <c r="D287" i="63"/>
  <c r="D264" i="63"/>
  <c r="D272" i="63"/>
  <c r="D280" i="63"/>
  <c r="D288" i="63"/>
  <c r="D296" i="63"/>
  <c r="D265" i="63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80" i="1"/>
  <c r="H181" i="1"/>
  <c r="H182" i="1"/>
  <c r="H183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2" i="1"/>
  <c r="H203" i="1"/>
  <c r="H204" i="1"/>
  <c r="H205" i="1"/>
  <c r="H206" i="1"/>
  <c r="H207" i="1"/>
  <c r="C4" i="73" l="1"/>
  <c r="C5" i="73"/>
  <c r="H193" i="1" s="1"/>
  <c r="C6" i="73"/>
  <c r="C7" i="73"/>
  <c r="H148" i="1" s="1"/>
  <c r="C8" i="73"/>
  <c r="H179" i="1" s="1"/>
  <c r="C9" i="73"/>
  <c r="C10" i="73"/>
  <c r="H201" i="1" s="1"/>
  <c r="C11" i="73"/>
  <c r="C12" i="73"/>
  <c r="C3" i="73"/>
  <c r="H2" i="1" s="1"/>
  <c r="H184" i="1" l="1"/>
  <c r="H303" i="1"/>
  <c r="H337" i="1"/>
  <c r="H257" i="1"/>
  <c r="H214" i="1"/>
  <c r="D255" i="5"/>
  <c r="E36" i="61" l="1"/>
  <c r="P36" i="61"/>
  <c r="P36" i="57"/>
  <c r="E36" i="57"/>
  <c r="P36" i="56"/>
  <c r="E36" i="56"/>
  <c r="P36" i="55"/>
  <c r="E36" i="55"/>
  <c r="P36" i="54"/>
  <c r="E36" i="54"/>
  <c r="P36" i="53"/>
  <c r="E36" i="53"/>
  <c r="P36" i="52"/>
  <c r="E36" i="52"/>
  <c r="P36" i="51"/>
  <c r="E36" i="51"/>
  <c r="P36" i="50"/>
  <c r="E36" i="50"/>
  <c r="P36" i="49"/>
  <c r="E36" i="49"/>
  <c r="P36" i="48"/>
  <c r="E36" i="48"/>
  <c r="P36" i="46"/>
  <c r="E36" i="46"/>
  <c r="P36" i="45"/>
  <c r="E36" i="45"/>
  <c r="P36" i="43"/>
  <c r="E40" i="43"/>
  <c r="F2" i="43" s="1"/>
  <c r="P36" i="42"/>
  <c r="E36" i="42"/>
  <c r="P36" i="41"/>
  <c r="E36" i="41"/>
  <c r="P36" i="40"/>
  <c r="E36" i="40"/>
  <c r="P36" i="62"/>
  <c r="E36" i="62"/>
  <c r="P36" i="39"/>
  <c r="E37" i="39"/>
  <c r="P36" i="38"/>
  <c r="E36" i="38"/>
  <c r="P36" i="37"/>
  <c r="E36" i="37"/>
  <c r="P36" i="36"/>
  <c r="E36" i="36"/>
  <c r="N36" i="63"/>
  <c r="M36" i="63"/>
  <c r="D36" i="63"/>
  <c r="B36" i="63"/>
  <c r="D241" i="5" l="1"/>
  <c r="P36" i="63" l="1"/>
  <c r="J36" i="63"/>
  <c r="F36" i="63"/>
  <c r="Q36" i="63" l="1"/>
  <c r="G36" i="63"/>
  <c r="U6" i="57" l="1"/>
  <c r="U7" i="57"/>
  <c r="U8" i="57"/>
  <c r="U9" i="57"/>
  <c r="U10" i="57"/>
  <c r="U11" i="57"/>
  <c r="U12" i="57"/>
  <c r="U13" i="57"/>
  <c r="U14" i="57"/>
  <c r="U15" i="57"/>
  <c r="U16" i="57"/>
  <c r="U17" i="57"/>
  <c r="U18" i="57"/>
  <c r="U19" i="57"/>
  <c r="U20" i="57"/>
  <c r="U21" i="57"/>
  <c r="U22" i="57"/>
  <c r="U23" i="57"/>
  <c r="U24" i="57"/>
  <c r="U25" i="57"/>
  <c r="U26" i="57"/>
  <c r="U27" i="57"/>
  <c r="U28" i="57"/>
  <c r="U29" i="57"/>
  <c r="U30" i="57"/>
  <c r="U31" i="57"/>
  <c r="U32" i="57"/>
  <c r="U33" i="57"/>
  <c r="U34" i="57"/>
  <c r="U35" i="57"/>
  <c r="U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5" i="57"/>
  <c r="U6" i="56"/>
  <c r="U7" i="56"/>
  <c r="U8" i="56"/>
  <c r="U9" i="56"/>
  <c r="U10" i="56"/>
  <c r="U11" i="56"/>
  <c r="U12" i="56"/>
  <c r="U13" i="56"/>
  <c r="U14" i="56"/>
  <c r="U15" i="56"/>
  <c r="U16" i="56"/>
  <c r="U17" i="56"/>
  <c r="U18" i="56"/>
  <c r="U19" i="56"/>
  <c r="U20" i="56"/>
  <c r="U21" i="56"/>
  <c r="U22" i="56"/>
  <c r="U23" i="56"/>
  <c r="U24" i="56"/>
  <c r="U25" i="56"/>
  <c r="U26" i="56"/>
  <c r="U27" i="56"/>
  <c r="U28" i="56"/>
  <c r="U29" i="56"/>
  <c r="U30" i="56"/>
  <c r="U31" i="56"/>
  <c r="U32" i="56"/>
  <c r="U33" i="56"/>
  <c r="U34" i="56"/>
  <c r="U35" i="56"/>
  <c r="U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6" i="56"/>
  <c r="J27" i="56"/>
  <c r="J28" i="56"/>
  <c r="J29" i="56"/>
  <c r="J30" i="56"/>
  <c r="J31" i="56"/>
  <c r="J32" i="56"/>
  <c r="J33" i="56"/>
  <c r="J34" i="56"/>
  <c r="J35" i="56"/>
  <c r="J5" i="56"/>
  <c r="U6" i="55"/>
  <c r="U7" i="55"/>
  <c r="U8" i="55"/>
  <c r="U9" i="55"/>
  <c r="U10" i="55"/>
  <c r="U11" i="55"/>
  <c r="U12" i="55"/>
  <c r="U13" i="55"/>
  <c r="U14" i="55"/>
  <c r="U15" i="55"/>
  <c r="U16" i="55"/>
  <c r="U17" i="55"/>
  <c r="U18" i="55"/>
  <c r="U19" i="55"/>
  <c r="U20" i="55"/>
  <c r="U21" i="55"/>
  <c r="U22" i="55"/>
  <c r="U23" i="55"/>
  <c r="U24" i="55"/>
  <c r="U25" i="55"/>
  <c r="U26" i="55"/>
  <c r="U27" i="55"/>
  <c r="U28" i="55"/>
  <c r="U29" i="55"/>
  <c r="U30" i="55"/>
  <c r="U31" i="55"/>
  <c r="U32" i="55"/>
  <c r="U33" i="55"/>
  <c r="U34" i="55"/>
  <c r="U35" i="55"/>
  <c r="U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J35" i="55"/>
  <c r="J5" i="55"/>
  <c r="U6" i="54"/>
  <c r="U7" i="54"/>
  <c r="U8" i="54"/>
  <c r="U9" i="54"/>
  <c r="U10" i="54"/>
  <c r="U11" i="54"/>
  <c r="U12" i="54"/>
  <c r="U13" i="54"/>
  <c r="U14" i="54"/>
  <c r="U15" i="54"/>
  <c r="U16" i="54"/>
  <c r="U17" i="54"/>
  <c r="U18" i="54"/>
  <c r="U19" i="54"/>
  <c r="U20" i="54"/>
  <c r="U21" i="54"/>
  <c r="U22" i="54"/>
  <c r="U23" i="54"/>
  <c r="U24" i="54"/>
  <c r="U25" i="54"/>
  <c r="U26" i="54"/>
  <c r="U27" i="54"/>
  <c r="U28" i="54"/>
  <c r="U29" i="54"/>
  <c r="U30" i="54"/>
  <c r="U31" i="54"/>
  <c r="U32" i="54"/>
  <c r="U33" i="54"/>
  <c r="U34" i="54"/>
  <c r="U35" i="54"/>
  <c r="U5" i="54"/>
  <c r="J6" i="54"/>
  <c r="J7" i="54"/>
  <c r="J8" i="54"/>
  <c r="J9" i="54"/>
  <c r="J10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5" i="54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5" i="53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5" i="52"/>
  <c r="U6" i="50"/>
  <c r="U7" i="50"/>
  <c r="U8" i="50"/>
  <c r="U9" i="50"/>
  <c r="U10" i="50"/>
  <c r="U11" i="50"/>
  <c r="U12" i="50"/>
  <c r="U13" i="50"/>
  <c r="U14" i="50"/>
  <c r="U15" i="50"/>
  <c r="U16" i="50"/>
  <c r="U17" i="50"/>
  <c r="U18" i="50"/>
  <c r="U19" i="50"/>
  <c r="U20" i="50"/>
  <c r="U21" i="50"/>
  <c r="U22" i="50"/>
  <c r="U23" i="50"/>
  <c r="U24" i="50"/>
  <c r="U25" i="50"/>
  <c r="U26" i="50"/>
  <c r="U27" i="50"/>
  <c r="U28" i="50"/>
  <c r="U29" i="50"/>
  <c r="U30" i="50"/>
  <c r="U31" i="50"/>
  <c r="U32" i="50"/>
  <c r="U33" i="50"/>
  <c r="U34" i="50"/>
  <c r="U35" i="50"/>
  <c r="U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21" i="50"/>
  <c r="J22" i="50"/>
  <c r="J23" i="50"/>
  <c r="J24" i="50"/>
  <c r="J25" i="50"/>
  <c r="J26" i="50"/>
  <c r="J27" i="50"/>
  <c r="J28" i="50"/>
  <c r="J29" i="50"/>
  <c r="J30" i="50"/>
  <c r="J31" i="50"/>
  <c r="J32" i="50"/>
  <c r="J33" i="50"/>
  <c r="J34" i="50"/>
  <c r="J35" i="50"/>
  <c r="J5" i="50"/>
  <c r="U6" i="49"/>
  <c r="U7" i="49"/>
  <c r="U8" i="49"/>
  <c r="U9" i="49"/>
  <c r="U10" i="49"/>
  <c r="U11" i="49"/>
  <c r="U12" i="49"/>
  <c r="U13" i="49"/>
  <c r="U14" i="49"/>
  <c r="U15" i="49"/>
  <c r="U16" i="49"/>
  <c r="U17" i="49"/>
  <c r="Q237" i="5" s="1"/>
  <c r="D237" i="5" s="1"/>
  <c r="U18" i="49"/>
  <c r="U19" i="49"/>
  <c r="U20" i="49"/>
  <c r="U21" i="49"/>
  <c r="U22" i="49"/>
  <c r="U23" i="49"/>
  <c r="U24" i="49"/>
  <c r="U25" i="49"/>
  <c r="U26" i="49"/>
  <c r="U27" i="49"/>
  <c r="U28" i="49"/>
  <c r="U29" i="49"/>
  <c r="U30" i="49"/>
  <c r="U31" i="49"/>
  <c r="U32" i="49"/>
  <c r="U33" i="49"/>
  <c r="U34" i="49"/>
  <c r="U35" i="49"/>
  <c r="U5" i="49"/>
  <c r="Q261" i="5"/>
  <c r="U6" i="48"/>
  <c r="U7" i="48"/>
  <c r="U8" i="48"/>
  <c r="U9" i="48"/>
  <c r="U10" i="48"/>
  <c r="U11" i="48"/>
  <c r="U12" i="48"/>
  <c r="U13" i="48"/>
  <c r="U14" i="48"/>
  <c r="U15" i="48"/>
  <c r="U16" i="48"/>
  <c r="U17" i="48"/>
  <c r="U18" i="48"/>
  <c r="U19" i="48"/>
  <c r="U20" i="48"/>
  <c r="U21" i="48"/>
  <c r="U22" i="48"/>
  <c r="U23" i="48"/>
  <c r="U24" i="48"/>
  <c r="U25" i="48"/>
  <c r="U26" i="48"/>
  <c r="U27" i="48"/>
  <c r="U28" i="48"/>
  <c r="U29" i="48"/>
  <c r="U30" i="48"/>
  <c r="U31" i="48"/>
  <c r="U32" i="48"/>
  <c r="U33" i="48"/>
  <c r="U34" i="48"/>
  <c r="U35" i="48"/>
  <c r="U5" i="48"/>
  <c r="J6" i="48"/>
  <c r="J7" i="48"/>
  <c r="J8" i="48"/>
  <c r="J9" i="48"/>
  <c r="J10" i="48"/>
  <c r="J11" i="48"/>
  <c r="J12" i="48"/>
  <c r="J13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5" i="48"/>
  <c r="U6" i="46"/>
  <c r="U7" i="46"/>
  <c r="U8" i="46"/>
  <c r="U9" i="46"/>
  <c r="U10" i="46"/>
  <c r="U11" i="46"/>
  <c r="U12" i="46"/>
  <c r="U13" i="46"/>
  <c r="U14" i="46"/>
  <c r="U15" i="46"/>
  <c r="U16" i="46"/>
  <c r="U17" i="46"/>
  <c r="U18" i="46"/>
  <c r="U19" i="46"/>
  <c r="U20" i="46"/>
  <c r="U21" i="46"/>
  <c r="U22" i="46"/>
  <c r="U23" i="46"/>
  <c r="U24" i="46"/>
  <c r="U25" i="46"/>
  <c r="U26" i="46"/>
  <c r="U27" i="46"/>
  <c r="U28" i="46"/>
  <c r="U29" i="46"/>
  <c r="U30" i="46"/>
  <c r="U31" i="46"/>
  <c r="U32" i="46"/>
  <c r="U33" i="46"/>
  <c r="U34" i="46"/>
  <c r="U35" i="46"/>
  <c r="U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J25" i="46"/>
  <c r="J26" i="46"/>
  <c r="J27" i="46"/>
  <c r="J28" i="46"/>
  <c r="J29" i="46"/>
  <c r="J30" i="46"/>
  <c r="J31" i="46"/>
  <c r="J32" i="46"/>
  <c r="J33" i="46"/>
  <c r="J34" i="46"/>
  <c r="J35" i="46"/>
  <c r="J5" i="46"/>
  <c r="U6" i="45"/>
  <c r="U7" i="45"/>
  <c r="U8" i="45"/>
  <c r="U9" i="45"/>
  <c r="U10" i="45"/>
  <c r="U11" i="45"/>
  <c r="U12" i="45"/>
  <c r="U13" i="45"/>
  <c r="U14" i="45"/>
  <c r="U15" i="45"/>
  <c r="U16" i="45"/>
  <c r="U17" i="45"/>
  <c r="U18" i="45"/>
  <c r="U19" i="45"/>
  <c r="U20" i="45"/>
  <c r="U21" i="45"/>
  <c r="U22" i="45"/>
  <c r="U23" i="45"/>
  <c r="U24" i="45"/>
  <c r="U25" i="45"/>
  <c r="U26" i="45"/>
  <c r="U27" i="45"/>
  <c r="U28" i="45"/>
  <c r="U29" i="45"/>
  <c r="U30" i="45"/>
  <c r="U31" i="45"/>
  <c r="U32" i="45"/>
  <c r="U33" i="45"/>
  <c r="U34" i="45"/>
  <c r="U35" i="45"/>
  <c r="U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5" i="45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5" i="42"/>
  <c r="U6" i="41"/>
  <c r="U7" i="41"/>
  <c r="U8" i="41"/>
  <c r="U9" i="41"/>
  <c r="U10" i="41"/>
  <c r="U11" i="41"/>
  <c r="U12" i="41"/>
  <c r="U13" i="41"/>
  <c r="U14" i="41"/>
  <c r="U15" i="41"/>
  <c r="U16" i="41"/>
  <c r="U17" i="41"/>
  <c r="U18" i="41"/>
  <c r="U19" i="41"/>
  <c r="U20" i="41"/>
  <c r="U21" i="41"/>
  <c r="U22" i="41"/>
  <c r="U23" i="41"/>
  <c r="U24" i="41"/>
  <c r="U25" i="41"/>
  <c r="U26" i="41"/>
  <c r="U27" i="41"/>
  <c r="U28" i="41"/>
  <c r="U29" i="41"/>
  <c r="U30" i="41"/>
  <c r="U31" i="41"/>
  <c r="U32" i="41"/>
  <c r="U33" i="41"/>
  <c r="U34" i="41"/>
  <c r="U35" i="41"/>
  <c r="U5" i="41"/>
  <c r="J6" i="41"/>
  <c r="J7" i="41"/>
  <c r="J8" i="41"/>
  <c r="J9" i="41"/>
  <c r="J10" i="41"/>
  <c r="J11" i="41"/>
  <c r="J12" i="41"/>
  <c r="J13" i="41"/>
  <c r="J14" i="41"/>
  <c r="J15" i="41"/>
  <c r="J16" i="41"/>
  <c r="J17" i="41"/>
  <c r="J18" i="41"/>
  <c r="J19" i="41"/>
  <c r="J20" i="41"/>
  <c r="J21" i="41"/>
  <c r="J22" i="41"/>
  <c r="J23" i="41"/>
  <c r="J24" i="41"/>
  <c r="J25" i="41"/>
  <c r="J26" i="41"/>
  <c r="J27" i="41"/>
  <c r="J28" i="41"/>
  <c r="J29" i="41"/>
  <c r="J30" i="41"/>
  <c r="J31" i="41"/>
  <c r="J32" i="41"/>
  <c r="J33" i="41"/>
  <c r="J34" i="41"/>
  <c r="J35" i="41"/>
  <c r="J5" i="41"/>
  <c r="U6" i="40"/>
  <c r="U7" i="40"/>
  <c r="U8" i="40"/>
  <c r="U9" i="40"/>
  <c r="U10" i="40"/>
  <c r="U11" i="40"/>
  <c r="U12" i="40"/>
  <c r="U13" i="40"/>
  <c r="U14" i="40"/>
  <c r="U15" i="40"/>
  <c r="U16" i="40"/>
  <c r="U17" i="40"/>
  <c r="U18" i="40"/>
  <c r="U19" i="40"/>
  <c r="U20" i="40"/>
  <c r="U21" i="40"/>
  <c r="U22" i="40"/>
  <c r="U23" i="40"/>
  <c r="U24" i="40"/>
  <c r="U25" i="40"/>
  <c r="U26" i="40"/>
  <c r="U27" i="40"/>
  <c r="U28" i="40"/>
  <c r="U29" i="40"/>
  <c r="U30" i="40"/>
  <c r="U31" i="40"/>
  <c r="U32" i="40"/>
  <c r="U33" i="40"/>
  <c r="U34" i="40"/>
  <c r="U35" i="40"/>
  <c r="U5" i="40"/>
  <c r="J6" i="40"/>
  <c r="J7" i="40"/>
  <c r="J8" i="40"/>
  <c r="J9" i="40"/>
  <c r="J10" i="40"/>
  <c r="J11" i="40"/>
  <c r="J12" i="40"/>
  <c r="J13" i="40"/>
  <c r="J14" i="40"/>
  <c r="J15" i="40"/>
  <c r="J16" i="40"/>
  <c r="J17" i="40"/>
  <c r="J18" i="40"/>
  <c r="J19" i="40"/>
  <c r="J20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5" i="40"/>
  <c r="U6" i="62"/>
  <c r="U7" i="62"/>
  <c r="U8" i="62"/>
  <c r="U9" i="62"/>
  <c r="U10" i="62"/>
  <c r="U11" i="62"/>
  <c r="U12" i="62"/>
  <c r="U13" i="62"/>
  <c r="U14" i="62"/>
  <c r="U15" i="62"/>
  <c r="U16" i="62"/>
  <c r="U17" i="62"/>
  <c r="U18" i="62"/>
  <c r="U19" i="62"/>
  <c r="U20" i="62"/>
  <c r="U21" i="62"/>
  <c r="U22" i="62"/>
  <c r="U23" i="62"/>
  <c r="U24" i="62"/>
  <c r="U25" i="62"/>
  <c r="U26" i="62"/>
  <c r="U27" i="62"/>
  <c r="U28" i="62"/>
  <c r="U29" i="62"/>
  <c r="U30" i="62"/>
  <c r="U31" i="62"/>
  <c r="U32" i="62"/>
  <c r="U33" i="62"/>
  <c r="U34" i="62"/>
  <c r="U35" i="62"/>
  <c r="U5" i="62"/>
  <c r="J6" i="62"/>
  <c r="J7" i="62"/>
  <c r="J8" i="62"/>
  <c r="J9" i="62"/>
  <c r="J10" i="62"/>
  <c r="J260" i="5" s="1"/>
  <c r="D260" i="5" s="1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6" i="62"/>
  <c r="J27" i="62"/>
  <c r="J28" i="62"/>
  <c r="J29" i="62"/>
  <c r="J30" i="62"/>
  <c r="J31" i="62"/>
  <c r="J32" i="62"/>
  <c r="J33" i="62"/>
  <c r="J34" i="62"/>
  <c r="J35" i="62"/>
  <c r="J5" i="62"/>
  <c r="U6" i="39"/>
  <c r="U7" i="39"/>
  <c r="U8" i="39"/>
  <c r="U9" i="39"/>
  <c r="U10" i="39"/>
  <c r="U11" i="39"/>
  <c r="U12" i="39"/>
  <c r="U13" i="39"/>
  <c r="U14" i="39"/>
  <c r="U15" i="39"/>
  <c r="U16" i="39"/>
  <c r="U17" i="39"/>
  <c r="U18" i="39"/>
  <c r="U19" i="39"/>
  <c r="U20" i="39"/>
  <c r="U21" i="39"/>
  <c r="U22" i="39"/>
  <c r="U23" i="39"/>
  <c r="U24" i="39"/>
  <c r="U25" i="39"/>
  <c r="U26" i="39"/>
  <c r="U27" i="39"/>
  <c r="U28" i="39"/>
  <c r="U29" i="39"/>
  <c r="U30" i="39"/>
  <c r="U31" i="39"/>
  <c r="U32" i="39"/>
  <c r="U33" i="39"/>
  <c r="U34" i="39"/>
  <c r="U35" i="39"/>
  <c r="U5" i="39"/>
  <c r="J5" i="39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5" i="38"/>
  <c r="H261" i="5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5" i="37"/>
  <c r="J6" i="36"/>
  <c r="J7" i="36"/>
  <c r="J8" i="36"/>
  <c r="J9" i="36"/>
  <c r="J10" i="36"/>
  <c r="J11" i="36"/>
  <c r="J12" i="36"/>
  <c r="J13" i="36"/>
  <c r="J14" i="36"/>
  <c r="J15" i="36"/>
  <c r="J16" i="36"/>
  <c r="J17" i="36"/>
  <c r="J18" i="36"/>
  <c r="J19" i="36"/>
  <c r="J20" i="36"/>
  <c r="J21" i="36"/>
  <c r="J22" i="36"/>
  <c r="J23" i="36"/>
  <c r="J24" i="36"/>
  <c r="J25" i="36"/>
  <c r="J26" i="36"/>
  <c r="J27" i="36"/>
  <c r="J28" i="36"/>
  <c r="J29" i="36"/>
  <c r="J30" i="36"/>
  <c r="J31" i="36"/>
  <c r="J32" i="36"/>
  <c r="J33" i="36"/>
  <c r="J34" i="36"/>
  <c r="J3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5" i="36"/>
  <c r="J5" i="36"/>
  <c r="D261" i="5" l="1"/>
  <c r="J36" i="54"/>
  <c r="U36" i="51"/>
  <c r="J36" i="53"/>
  <c r="J36" i="52"/>
  <c r="U36" i="55"/>
  <c r="J36" i="51"/>
  <c r="J36" i="55"/>
  <c r="U36" i="50"/>
  <c r="U36" i="54"/>
  <c r="J36" i="50"/>
  <c r="U36" i="49"/>
  <c r="U36" i="53"/>
  <c r="U36" i="52"/>
  <c r="X36" i="35"/>
  <c r="J36" i="49"/>
  <c r="A205" i="5"/>
  <c r="AB205" i="5" s="1"/>
  <c r="A206" i="5"/>
  <c r="AB206" i="5" s="1"/>
  <c r="A207" i="5"/>
  <c r="AB207" i="5" s="1"/>
  <c r="A205" i="67"/>
  <c r="A206" i="67"/>
  <c r="A207" i="67"/>
  <c r="A205" i="63"/>
  <c r="A206" i="63"/>
  <c r="A207" i="63"/>
  <c r="A204" i="67"/>
  <c r="A203" i="67"/>
  <c r="A202" i="67"/>
  <c r="AB202" i="67" s="1"/>
  <c r="A201" i="67"/>
  <c r="A200" i="67"/>
  <c r="A199" i="67"/>
  <c r="A198" i="67"/>
  <c r="A197" i="67"/>
  <c r="A196" i="67"/>
  <c r="A195" i="67"/>
  <c r="A194" i="67"/>
  <c r="A193" i="67"/>
  <c r="A192" i="67"/>
  <c r="A191" i="67"/>
  <c r="A190" i="67"/>
  <c r="A189" i="67"/>
  <c r="A188" i="67"/>
  <c r="A187" i="67"/>
  <c r="AB187" i="67" s="1"/>
  <c r="A186" i="67"/>
  <c r="AB186" i="67" s="1"/>
  <c r="A185" i="67"/>
  <c r="A184" i="67"/>
  <c r="AB184" i="67" s="1"/>
  <c r="A183" i="67"/>
  <c r="A182" i="67"/>
  <c r="A181" i="67"/>
  <c r="AB181" i="67" s="1"/>
  <c r="A180" i="67"/>
  <c r="A179" i="67"/>
  <c r="AB179" i="67" s="1"/>
  <c r="A178" i="67"/>
  <c r="AB178" i="67" s="1"/>
  <c r="A177" i="67"/>
  <c r="A176" i="67"/>
  <c r="A175" i="67"/>
  <c r="AB175" i="67" s="1"/>
  <c r="A174" i="67"/>
  <c r="AB174" i="67" s="1"/>
  <c r="A173" i="67"/>
  <c r="A172" i="67"/>
  <c r="AB172" i="67" s="1"/>
  <c r="A171" i="67"/>
  <c r="A170" i="67"/>
  <c r="AB170" i="67" s="1"/>
  <c r="A169" i="67"/>
  <c r="AB169" i="67" s="1"/>
  <c r="A168" i="67"/>
  <c r="A167" i="67"/>
  <c r="A166" i="67"/>
  <c r="AB166" i="67" s="1"/>
  <c r="A165" i="67"/>
  <c r="A164" i="67"/>
  <c r="AB164" i="67" s="1"/>
  <c r="A163" i="67"/>
  <c r="AB163" i="67" s="1"/>
  <c r="A162" i="67"/>
  <c r="AB162" i="67" s="1"/>
  <c r="A161" i="67"/>
  <c r="AB161" i="67" s="1"/>
  <c r="A160" i="67"/>
  <c r="AB160" i="67" s="1"/>
  <c r="A159" i="67"/>
  <c r="A158" i="67"/>
  <c r="AB158" i="67" s="1"/>
  <c r="A157" i="67"/>
  <c r="AB157" i="67" s="1"/>
  <c r="A156" i="67"/>
  <c r="AB156" i="67" s="1"/>
  <c r="A155" i="67"/>
  <c r="A154" i="67"/>
  <c r="A153" i="67"/>
  <c r="A152" i="67"/>
  <c r="AB152" i="67" s="1"/>
  <c r="A151" i="67"/>
  <c r="AB151" i="67" s="1"/>
  <c r="A150" i="67"/>
  <c r="AB150" i="67" s="1"/>
  <c r="A149" i="67"/>
  <c r="AB149" i="67" s="1"/>
  <c r="A148" i="67"/>
  <c r="AB148" i="67" s="1"/>
  <c r="A147" i="67"/>
  <c r="AB147" i="67" s="1"/>
  <c r="A146" i="67"/>
  <c r="A145" i="67"/>
  <c r="AB145" i="67" s="1"/>
  <c r="A144" i="67"/>
  <c r="AB144" i="67" s="1"/>
  <c r="A143" i="67"/>
  <c r="A142" i="67"/>
  <c r="A141" i="67"/>
  <c r="AB141" i="67" s="1"/>
  <c r="A140" i="67"/>
  <c r="AB140" i="67" s="1"/>
  <c r="A139" i="67"/>
  <c r="AB139" i="67" s="1"/>
  <c r="A138" i="67"/>
  <c r="AB138" i="67" s="1"/>
  <c r="A137" i="67"/>
  <c r="AB137" i="67" s="1"/>
  <c r="A136" i="67"/>
  <c r="AB136" i="67" s="1"/>
  <c r="A135" i="67"/>
  <c r="AB135" i="67" s="1"/>
  <c r="A134" i="67"/>
  <c r="AB134" i="67" s="1"/>
  <c r="A133" i="67"/>
  <c r="AB133" i="67" s="1"/>
  <c r="A132" i="67"/>
  <c r="AB132" i="67" s="1"/>
  <c r="A131" i="67"/>
  <c r="AB131" i="67" s="1"/>
  <c r="A130" i="67"/>
  <c r="AB130" i="67" s="1"/>
  <c r="A129" i="67"/>
  <c r="AB129" i="67" s="1"/>
  <c r="A128" i="67"/>
  <c r="AB128" i="67" s="1"/>
  <c r="A127" i="67"/>
  <c r="AB127" i="67" s="1"/>
  <c r="A126" i="67"/>
  <c r="AB126" i="67" s="1"/>
  <c r="A125" i="67"/>
  <c r="AB125" i="67" s="1"/>
  <c r="A124" i="67"/>
  <c r="AB124" i="67" s="1"/>
  <c r="A123" i="67"/>
  <c r="AB123" i="67" s="1"/>
  <c r="A122" i="67"/>
  <c r="A121" i="67"/>
  <c r="AB121" i="67" s="1"/>
  <c r="A120" i="67"/>
  <c r="AB120" i="67" s="1"/>
  <c r="A119" i="67"/>
  <c r="AB119" i="67" s="1"/>
  <c r="A118" i="67"/>
  <c r="AB118" i="67" s="1"/>
  <c r="A117" i="67"/>
  <c r="AB117" i="67" s="1"/>
  <c r="A116" i="67"/>
  <c r="AB116" i="67" s="1"/>
  <c r="A115" i="67"/>
  <c r="AB115" i="67" s="1"/>
  <c r="A114" i="67"/>
  <c r="AB114" i="67" s="1"/>
  <c r="A113" i="67"/>
  <c r="AB113" i="67" s="1"/>
  <c r="A112" i="67"/>
  <c r="AB112" i="67" s="1"/>
  <c r="A111" i="67"/>
  <c r="AB111" i="67" s="1"/>
  <c r="A110" i="67"/>
  <c r="A109" i="67"/>
  <c r="AB109" i="67" s="1"/>
  <c r="A108" i="67"/>
  <c r="A107" i="67"/>
  <c r="AB107" i="67" s="1"/>
  <c r="A106" i="67"/>
  <c r="AB106" i="67" s="1"/>
  <c r="A105" i="67"/>
  <c r="AB105" i="67" s="1"/>
  <c r="A104" i="67"/>
  <c r="AB104" i="67" s="1"/>
  <c r="A103" i="67"/>
  <c r="AB103" i="67" s="1"/>
  <c r="A102" i="67"/>
  <c r="AB102" i="67" s="1"/>
  <c r="A101" i="67"/>
  <c r="AB101" i="67" s="1"/>
  <c r="A100" i="67"/>
  <c r="AB100" i="67" s="1"/>
  <c r="A99" i="67"/>
  <c r="AB99" i="67" s="1"/>
  <c r="A98" i="67"/>
  <c r="AB98" i="67" s="1"/>
  <c r="A97" i="67"/>
  <c r="AB97" i="67" s="1"/>
  <c r="A96" i="67"/>
  <c r="AB96" i="67" s="1"/>
  <c r="A95" i="67"/>
  <c r="AB95" i="67" s="1"/>
  <c r="A94" i="67"/>
  <c r="AB94" i="67" s="1"/>
  <c r="A93" i="67"/>
  <c r="AB93" i="67" s="1"/>
  <c r="A92" i="67"/>
  <c r="AB92" i="67" s="1"/>
  <c r="A91" i="67"/>
  <c r="AB91" i="67" s="1"/>
  <c r="A90" i="67"/>
  <c r="AB90" i="67" s="1"/>
  <c r="A89" i="67"/>
  <c r="AB89" i="67" s="1"/>
  <c r="A88" i="67"/>
  <c r="AB88" i="67" s="1"/>
  <c r="A87" i="67"/>
  <c r="AB87" i="67" s="1"/>
  <c r="A86" i="67"/>
  <c r="AB86" i="67" s="1"/>
  <c r="A85" i="67"/>
  <c r="AB85" i="67" s="1"/>
  <c r="A84" i="67"/>
  <c r="A83" i="67"/>
  <c r="AB83" i="67" s="1"/>
  <c r="A82" i="67"/>
  <c r="AB82" i="67" s="1"/>
  <c r="A81" i="67"/>
  <c r="AB81" i="67" s="1"/>
  <c r="A80" i="67"/>
  <c r="A79" i="67"/>
  <c r="AB79" i="67" s="1"/>
  <c r="A78" i="67"/>
  <c r="AB78" i="67" s="1"/>
  <c r="A77" i="67"/>
  <c r="AB77" i="67" s="1"/>
  <c r="A76" i="67"/>
  <c r="AB76" i="67" s="1"/>
  <c r="A75" i="67"/>
  <c r="AB75" i="67" s="1"/>
  <c r="A74" i="67"/>
  <c r="AB74" i="67" s="1"/>
  <c r="A73" i="67"/>
  <c r="AB73" i="67" s="1"/>
  <c r="A72" i="67"/>
  <c r="AB72" i="67" s="1"/>
  <c r="A71" i="67"/>
  <c r="AB71" i="67" s="1"/>
  <c r="A70" i="67"/>
  <c r="AB70" i="67" s="1"/>
  <c r="A69" i="67"/>
  <c r="AB69" i="67" s="1"/>
  <c r="A68" i="67"/>
  <c r="AB68" i="67" s="1"/>
  <c r="A67" i="67"/>
  <c r="AB67" i="67" s="1"/>
  <c r="A66" i="67"/>
  <c r="A65" i="67"/>
  <c r="AB65" i="67" s="1"/>
  <c r="A64" i="67"/>
  <c r="AB64" i="67" s="1"/>
  <c r="A63" i="67"/>
  <c r="AB63" i="67" s="1"/>
  <c r="A62" i="67"/>
  <c r="AB62" i="67" s="1"/>
  <c r="A61" i="67"/>
  <c r="A60" i="67"/>
  <c r="AB60" i="67" s="1"/>
  <c r="A59" i="67"/>
  <c r="AB59" i="67" s="1"/>
  <c r="A58" i="67"/>
  <c r="AB58" i="67" s="1"/>
  <c r="A57" i="67"/>
  <c r="AB57" i="67" s="1"/>
  <c r="A56" i="67"/>
  <c r="AB56" i="67" s="1"/>
  <c r="A55" i="67"/>
  <c r="A54" i="67"/>
  <c r="AB54" i="67" s="1"/>
  <c r="A53" i="67"/>
  <c r="AB53" i="67" s="1"/>
  <c r="A52" i="67"/>
  <c r="AB52" i="67" s="1"/>
  <c r="A51" i="67"/>
  <c r="AB51" i="67" s="1"/>
  <c r="A50" i="67"/>
  <c r="AB50" i="67" s="1"/>
  <c r="A49" i="67"/>
  <c r="AB49" i="67" s="1"/>
  <c r="A48" i="67"/>
  <c r="AB48" i="67" s="1"/>
  <c r="A47" i="67"/>
  <c r="AB47" i="67" s="1"/>
  <c r="A46" i="67"/>
  <c r="AB46" i="67" s="1"/>
  <c r="A45" i="67"/>
  <c r="AB45" i="67" s="1"/>
  <c r="A44" i="67"/>
  <c r="AB44" i="67" s="1"/>
  <c r="A43" i="67"/>
  <c r="A42" i="67"/>
  <c r="AB42" i="67" s="1"/>
  <c r="A41" i="67"/>
  <c r="AB41" i="67" s="1"/>
  <c r="A40" i="67"/>
  <c r="AB40" i="67" s="1"/>
  <c r="A39" i="67"/>
  <c r="AB39" i="67" s="1"/>
  <c r="A38" i="67"/>
  <c r="AB38" i="67" s="1"/>
  <c r="A37" i="67"/>
  <c r="AB37" i="67" s="1"/>
  <c r="A36" i="67"/>
  <c r="AB36" i="67" s="1"/>
  <c r="A35" i="67"/>
  <c r="AB35" i="67" s="1"/>
  <c r="A34" i="67"/>
  <c r="AB34" i="67" s="1"/>
  <c r="A33" i="67"/>
  <c r="AB33" i="67" s="1"/>
  <c r="A32" i="67"/>
  <c r="A31" i="67"/>
  <c r="AB31" i="67" s="1"/>
  <c r="A30" i="67"/>
  <c r="AB30" i="67" s="1"/>
  <c r="A29" i="67"/>
  <c r="A28" i="67"/>
  <c r="AB28" i="67" s="1"/>
  <c r="A27" i="67"/>
  <c r="A26" i="67"/>
  <c r="AB26" i="67" s="1"/>
  <c r="A25" i="67"/>
  <c r="AB25" i="67" s="1"/>
  <c r="A24" i="67"/>
  <c r="AB24" i="67" s="1"/>
  <c r="A23" i="67"/>
  <c r="AB23" i="67" s="1"/>
  <c r="A22" i="67"/>
  <c r="AB22" i="67" s="1"/>
  <c r="A21" i="67"/>
  <c r="AB21" i="67" s="1"/>
  <c r="A20" i="67"/>
  <c r="AB20" i="67" s="1"/>
  <c r="A19" i="67"/>
  <c r="AB19" i="67" s="1"/>
  <c r="A18" i="67"/>
  <c r="AB18" i="67" s="1"/>
  <c r="A17" i="67"/>
  <c r="A16" i="67"/>
  <c r="AB16" i="67" s="1"/>
  <c r="A15" i="67"/>
  <c r="AB15" i="67" s="1"/>
  <c r="A14" i="67"/>
  <c r="AB14" i="67" s="1"/>
  <c r="A13" i="67"/>
  <c r="AB13" i="67" s="1"/>
  <c r="A12" i="67"/>
  <c r="A11" i="67"/>
  <c r="AB11" i="67" s="1"/>
  <c r="A10" i="67"/>
  <c r="AB10" i="67" s="1"/>
  <c r="A9" i="67"/>
  <c r="AB9" i="67" s="1"/>
  <c r="A8" i="67"/>
  <c r="AB8" i="67" s="1"/>
  <c r="A7" i="67"/>
  <c r="A6" i="67"/>
  <c r="AB6" i="67" s="1"/>
  <c r="A5" i="67"/>
  <c r="AB5" i="67" s="1"/>
  <c r="A4" i="67"/>
  <c r="A3" i="67"/>
  <c r="AB3" i="67" s="1"/>
  <c r="A2" i="67"/>
  <c r="AA205" i="63" l="1"/>
  <c r="T205" i="63"/>
  <c r="AA206" i="63"/>
  <c r="T206" i="63"/>
  <c r="T207" i="63"/>
  <c r="AA207" i="63"/>
  <c r="F247" i="1"/>
  <c r="F249" i="1"/>
  <c r="F251" i="1"/>
  <c r="F248" i="1"/>
  <c r="F250" i="1"/>
  <c r="F252" i="1"/>
  <c r="F253" i="1"/>
  <c r="F255" i="1"/>
  <c r="F254" i="1"/>
  <c r="F256" i="1"/>
  <c r="F243" i="1"/>
  <c r="F245" i="1"/>
  <c r="F244" i="1"/>
  <c r="F246" i="1"/>
  <c r="F225" i="1"/>
  <c r="F233" i="1"/>
  <c r="F226" i="1"/>
  <c r="F227" i="1"/>
  <c r="F228" i="1"/>
  <c r="F232" i="1"/>
  <c r="F229" i="1"/>
  <c r="F224" i="1"/>
  <c r="F230" i="1"/>
  <c r="F223" i="1"/>
  <c r="F231" i="1"/>
  <c r="F236" i="1"/>
  <c r="F237" i="1"/>
  <c r="F241" i="1"/>
  <c r="F238" i="1"/>
  <c r="F239" i="1"/>
  <c r="F240" i="1"/>
  <c r="F234" i="1"/>
  <c r="F242" i="1"/>
  <c r="F235" i="1"/>
  <c r="AB2" i="67"/>
  <c r="B110" i="67"/>
  <c r="AB110" i="67"/>
  <c r="T142" i="67"/>
  <c r="AB142" i="67"/>
  <c r="M182" i="67"/>
  <c r="AB182" i="67"/>
  <c r="V190" i="67"/>
  <c r="AB190" i="67"/>
  <c r="N198" i="67"/>
  <c r="AB198" i="67"/>
  <c r="C7" i="67"/>
  <c r="AB7" i="67"/>
  <c r="B55" i="67"/>
  <c r="AB55" i="67"/>
  <c r="B143" i="67"/>
  <c r="AB143" i="67"/>
  <c r="G159" i="67"/>
  <c r="AB159" i="67"/>
  <c r="AA167" i="67"/>
  <c r="AB167" i="67"/>
  <c r="AB183" i="67"/>
  <c r="U191" i="67"/>
  <c r="AB191" i="67"/>
  <c r="F199" i="67"/>
  <c r="AB199" i="67"/>
  <c r="C32" i="67"/>
  <c r="AB32" i="67"/>
  <c r="C80" i="67"/>
  <c r="AB80" i="67"/>
  <c r="AB168" i="67"/>
  <c r="E176" i="67"/>
  <c r="AB176" i="67"/>
  <c r="M192" i="67"/>
  <c r="AB192" i="67"/>
  <c r="Z200" i="67"/>
  <c r="AB200" i="67"/>
  <c r="I207" i="67"/>
  <c r="AB207" i="67"/>
  <c r="C17" i="67"/>
  <c r="AB17" i="67"/>
  <c r="R153" i="67"/>
  <c r="AB153" i="67"/>
  <c r="AB177" i="67"/>
  <c r="P185" i="67"/>
  <c r="AB185" i="67"/>
  <c r="P193" i="67"/>
  <c r="AB193" i="67"/>
  <c r="P201" i="67"/>
  <c r="AB201" i="67"/>
  <c r="I206" i="67"/>
  <c r="AB206" i="67"/>
  <c r="C66" i="67"/>
  <c r="AB66" i="67"/>
  <c r="I122" i="67"/>
  <c r="AB122" i="67"/>
  <c r="L146" i="67"/>
  <c r="AB146" i="67"/>
  <c r="S154" i="67"/>
  <c r="AB154" i="67"/>
  <c r="H194" i="67"/>
  <c r="AB194" i="67"/>
  <c r="I205" i="67"/>
  <c r="AB205" i="67"/>
  <c r="C27" i="67"/>
  <c r="AB27" i="67"/>
  <c r="B43" i="67"/>
  <c r="AB43" i="67"/>
  <c r="X155" i="67"/>
  <c r="AB155" i="67"/>
  <c r="N171" i="67"/>
  <c r="AB171" i="67"/>
  <c r="G195" i="67"/>
  <c r="AB195" i="67"/>
  <c r="W203" i="67"/>
  <c r="AB203" i="67"/>
  <c r="C4" i="67"/>
  <c r="AB4" i="67"/>
  <c r="C12" i="67"/>
  <c r="AB12" i="67"/>
  <c r="C84" i="67"/>
  <c r="AB84" i="67"/>
  <c r="B108" i="67"/>
  <c r="AB108" i="67"/>
  <c r="F180" i="67"/>
  <c r="AB180" i="67"/>
  <c r="P188" i="67"/>
  <c r="AB188" i="67"/>
  <c r="AB196" i="67"/>
  <c r="N204" i="67"/>
  <c r="AB204" i="67"/>
  <c r="C29" i="67"/>
  <c r="AB29" i="67"/>
  <c r="C61" i="67"/>
  <c r="AB61" i="67"/>
  <c r="T165" i="67"/>
  <c r="AB165" i="67"/>
  <c r="O173" i="67"/>
  <c r="AB173" i="67"/>
  <c r="U189" i="67"/>
  <c r="AB189" i="67"/>
  <c r="AA197" i="67"/>
  <c r="AB197" i="67"/>
  <c r="H205" i="63"/>
  <c r="AB205" i="63"/>
  <c r="G206" i="63"/>
  <c r="AB206" i="63"/>
  <c r="M207" i="63"/>
  <c r="AB207" i="63"/>
  <c r="T2" i="67"/>
  <c r="F339" i="1"/>
  <c r="F335" i="1"/>
  <c r="F338" i="1"/>
  <c r="F336" i="1"/>
  <c r="F340" i="1"/>
  <c r="F346" i="1"/>
  <c r="F345" i="1"/>
  <c r="F342" i="1"/>
  <c r="F343" i="1"/>
  <c r="F344" i="1"/>
  <c r="F351" i="1"/>
  <c r="F350" i="1"/>
  <c r="F349" i="1"/>
  <c r="F348" i="1"/>
  <c r="F347" i="1"/>
  <c r="F328" i="1"/>
  <c r="F333" i="1"/>
  <c r="F310" i="1"/>
  <c r="F301" i="1"/>
  <c r="F219" i="1"/>
  <c r="F267" i="1"/>
  <c r="F293" i="1"/>
  <c r="F264" i="1"/>
  <c r="F265" i="1"/>
  <c r="F261" i="1"/>
  <c r="F314" i="1"/>
  <c r="F215" i="1"/>
  <c r="F284" i="1"/>
  <c r="F324" i="1"/>
  <c r="F279" i="1"/>
  <c r="F281" i="1"/>
  <c r="F262" i="1"/>
  <c r="F287" i="1"/>
  <c r="F283" i="1"/>
  <c r="F304" i="1"/>
  <c r="F260" i="1"/>
  <c r="F331" i="1"/>
  <c r="F334" i="1"/>
  <c r="F316" i="1"/>
  <c r="F258" i="1"/>
  <c r="F323" i="1"/>
  <c r="F311" i="1"/>
  <c r="F222" i="1"/>
  <c r="F312" i="1"/>
  <c r="F306" i="1"/>
  <c r="F274" i="1"/>
  <c r="F305" i="1"/>
  <c r="F294" i="1"/>
  <c r="F285" i="1"/>
  <c r="F266" i="1"/>
  <c r="F259" i="1"/>
  <c r="F221" i="1"/>
  <c r="F322" i="1"/>
  <c r="F307" i="1"/>
  <c r="F290" i="1"/>
  <c r="F212" i="1"/>
  <c r="F275" i="1"/>
  <c r="F320" i="1"/>
  <c r="F270" i="1"/>
  <c r="F220" i="1"/>
  <c r="F318" i="1"/>
  <c r="F329" i="1"/>
  <c r="F325" i="1"/>
  <c r="F300" i="1"/>
  <c r="F271" i="1"/>
  <c r="F272" i="1"/>
  <c r="F273" i="1"/>
  <c r="F277" i="1"/>
  <c r="F317" i="1"/>
  <c r="F288" i="1"/>
  <c r="F282" i="1"/>
  <c r="F308" i="1"/>
  <c r="F309" i="1"/>
  <c r="F330" i="1"/>
  <c r="F216" i="1"/>
  <c r="F291" i="1"/>
  <c r="F295" i="1"/>
  <c r="F315" i="1"/>
  <c r="F289" i="1"/>
  <c r="F286" i="1"/>
  <c r="F269" i="1"/>
  <c r="F302" i="1"/>
  <c r="F326" i="1"/>
  <c r="F319" i="1"/>
  <c r="F280" i="1"/>
  <c r="F299" i="1"/>
  <c r="F268" i="1"/>
  <c r="F313" i="1"/>
  <c r="F276" i="1"/>
  <c r="F332" i="1"/>
  <c r="F296" i="1"/>
  <c r="F263" i="1"/>
  <c r="F292" i="1"/>
  <c r="F213" i="1"/>
  <c r="F298" i="1"/>
  <c r="F321" i="1"/>
  <c r="F218" i="1"/>
  <c r="F297" i="1"/>
  <c r="F278" i="1"/>
  <c r="F327" i="1"/>
  <c r="F217" i="1"/>
  <c r="U150" i="67"/>
  <c r="Z205" i="5"/>
  <c r="E205" i="5"/>
  <c r="I207" i="5"/>
  <c r="E207" i="5"/>
  <c r="I206" i="5"/>
  <c r="E206" i="5"/>
  <c r="B32" i="67"/>
  <c r="X207" i="63"/>
  <c r="Q176" i="67"/>
  <c r="N206" i="67"/>
  <c r="B206" i="63"/>
  <c r="M206" i="67"/>
  <c r="J206" i="67"/>
  <c r="K199" i="67"/>
  <c r="Z206" i="63"/>
  <c r="Y207" i="67"/>
  <c r="W189" i="67"/>
  <c r="Y206" i="67"/>
  <c r="N188" i="67"/>
  <c r="R207" i="63"/>
  <c r="V206" i="67"/>
  <c r="S199" i="67"/>
  <c r="Q165" i="67"/>
  <c r="S207" i="63"/>
  <c r="N206" i="63"/>
  <c r="C207" i="63"/>
  <c r="Q206" i="67"/>
  <c r="E206" i="67"/>
  <c r="R199" i="67"/>
  <c r="X188" i="67"/>
  <c r="E165" i="67"/>
  <c r="Z207" i="63"/>
  <c r="S206" i="63"/>
  <c r="C206" i="63"/>
  <c r="Z206" i="67"/>
  <c r="O206" i="67"/>
  <c r="C206" i="67"/>
  <c r="W194" i="67"/>
  <c r="G188" i="67"/>
  <c r="R206" i="63"/>
  <c r="L206" i="63"/>
  <c r="R194" i="67"/>
  <c r="X206" i="63"/>
  <c r="P207" i="63"/>
  <c r="I207" i="63"/>
  <c r="W206" i="67"/>
  <c r="L206" i="67"/>
  <c r="X171" i="67"/>
  <c r="W206" i="63"/>
  <c r="P206" i="63"/>
  <c r="I206" i="63"/>
  <c r="T189" i="67"/>
  <c r="V206" i="63"/>
  <c r="O207" i="63"/>
  <c r="H206" i="63"/>
  <c r="AA206" i="67"/>
  <c r="T206" i="67"/>
  <c r="H206" i="67"/>
  <c r="W206" i="5"/>
  <c r="O189" i="67"/>
  <c r="U206" i="63"/>
  <c r="O206" i="63"/>
  <c r="F206" i="63"/>
  <c r="S206" i="67"/>
  <c r="G206" i="67"/>
  <c r="F188" i="67"/>
  <c r="K176" i="67"/>
  <c r="Z205" i="63"/>
  <c r="V205" i="63"/>
  <c r="C205" i="63"/>
  <c r="X207" i="67"/>
  <c r="B17" i="67"/>
  <c r="C110" i="67"/>
  <c r="C171" i="67"/>
  <c r="B192" i="67"/>
  <c r="C199" i="67"/>
  <c r="AA200" i="67"/>
  <c r="L199" i="67"/>
  <c r="Q193" i="67"/>
  <c r="E189" i="67"/>
  <c r="F183" i="67"/>
  <c r="J176" i="67"/>
  <c r="W159" i="67"/>
  <c r="Y205" i="63"/>
  <c r="U207" i="63"/>
  <c r="R205" i="63"/>
  <c r="N205" i="63"/>
  <c r="K206" i="63"/>
  <c r="B207" i="63"/>
  <c r="AA205" i="67"/>
  <c r="W207" i="67"/>
  <c r="R206" i="67"/>
  <c r="M207" i="67"/>
  <c r="H207" i="67"/>
  <c r="B206" i="67"/>
  <c r="V159" i="67"/>
  <c r="Q205" i="63"/>
  <c r="K205" i="63"/>
  <c r="G205" i="63"/>
  <c r="Q207" i="67"/>
  <c r="M200" i="67"/>
  <c r="S198" i="67"/>
  <c r="L193" i="67"/>
  <c r="V188" i="67"/>
  <c r="AA176" i="67"/>
  <c r="W171" i="67"/>
  <c r="U205" i="63"/>
  <c r="J205" i="63"/>
  <c r="F207" i="63"/>
  <c r="B205" i="63"/>
  <c r="V207" i="67"/>
  <c r="L207" i="67"/>
  <c r="G207" i="67"/>
  <c r="B61" i="67"/>
  <c r="B180" i="67"/>
  <c r="K200" i="67"/>
  <c r="U188" i="67"/>
  <c r="T176" i="67"/>
  <c r="I171" i="67"/>
  <c r="AA154" i="67"/>
  <c r="X205" i="63"/>
  <c r="P207" i="67"/>
  <c r="B173" i="67"/>
  <c r="B168" i="67"/>
  <c r="U199" i="67"/>
  <c r="R176" i="67"/>
  <c r="T154" i="67"/>
  <c r="W207" i="63"/>
  <c r="P205" i="63"/>
  <c r="L207" i="63"/>
  <c r="F205" i="63"/>
  <c r="Z205" i="67"/>
  <c r="T207" i="67"/>
  <c r="O207" i="67"/>
  <c r="K206" i="67"/>
  <c r="E207" i="67"/>
  <c r="AA207" i="5"/>
  <c r="S205" i="63"/>
  <c r="I205" i="63"/>
  <c r="J207" i="67"/>
  <c r="M176" i="67"/>
  <c r="L205" i="63"/>
  <c r="H207" i="63"/>
  <c r="AA207" i="67"/>
  <c r="S207" i="67"/>
  <c r="N207" i="67"/>
  <c r="C207" i="67"/>
  <c r="I194" i="67"/>
  <c r="K207" i="63"/>
  <c r="R148" i="67"/>
  <c r="F184" i="67"/>
  <c r="T184" i="67"/>
  <c r="Y184" i="67"/>
  <c r="E184" i="67"/>
  <c r="Z184" i="67"/>
  <c r="C54" i="67"/>
  <c r="O151" i="67"/>
  <c r="O162" i="67"/>
  <c r="M162" i="67"/>
  <c r="N162" i="67"/>
  <c r="H197" i="67"/>
  <c r="F196" i="67"/>
  <c r="C42" i="67"/>
  <c r="C130" i="67"/>
  <c r="V157" i="67"/>
  <c r="X157" i="67"/>
  <c r="N163" i="67"/>
  <c r="E169" i="67"/>
  <c r="W174" i="67"/>
  <c r="I181" i="67"/>
  <c r="O181" i="67"/>
  <c r="T181" i="67"/>
  <c r="J187" i="67"/>
  <c r="C106" i="67"/>
  <c r="B118" i="67"/>
  <c r="B66" i="67"/>
  <c r="C118" i="67"/>
  <c r="U132" i="67"/>
  <c r="AA140" i="67"/>
  <c r="B153" i="67"/>
  <c r="I189" i="67"/>
  <c r="F189" i="67"/>
  <c r="AA189" i="67"/>
  <c r="H189" i="67"/>
  <c r="M189" i="67"/>
  <c r="Q195" i="67"/>
  <c r="H195" i="67"/>
  <c r="Y195" i="67"/>
  <c r="J195" i="67"/>
  <c r="R200" i="67"/>
  <c r="E200" i="67"/>
  <c r="X201" i="67"/>
  <c r="J200" i="67"/>
  <c r="X196" i="67"/>
  <c r="X194" i="67"/>
  <c r="T192" i="67"/>
  <c r="Q184" i="67"/>
  <c r="U181" i="67"/>
  <c r="I180" i="67"/>
  <c r="Y173" i="67"/>
  <c r="S162" i="67"/>
  <c r="X150" i="67"/>
  <c r="S201" i="67"/>
  <c r="N196" i="67"/>
  <c r="R192" i="67"/>
  <c r="Y185" i="67"/>
  <c r="M184" i="67"/>
  <c r="M181" i="67"/>
  <c r="G180" i="67"/>
  <c r="S173" i="67"/>
  <c r="X160" i="67"/>
  <c r="C45" i="67"/>
  <c r="B57" i="67"/>
  <c r="B127" i="67"/>
  <c r="P155" i="67"/>
  <c r="B160" i="67"/>
  <c r="L167" i="67"/>
  <c r="G167" i="67"/>
  <c r="J167" i="67"/>
  <c r="M167" i="67"/>
  <c r="G172" i="67"/>
  <c r="Z172" i="67"/>
  <c r="AA172" i="67"/>
  <c r="R178" i="67"/>
  <c r="Z178" i="67"/>
  <c r="C184" i="67"/>
  <c r="K191" i="67"/>
  <c r="Z191" i="67"/>
  <c r="I197" i="67"/>
  <c r="T197" i="67"/>
  <c r="O197" i="67"/>
  <c r="L202" i="67"/>
  <c r="X202" i="67"/>
  <c r="I202" i="67"/>
  <c r="H202" i="67"/>
  <c r="Z202" i="67"/>
  <c r="W202" i="67"/>
  <c r="Q201" i="67"/>
  <c r="W197" i="67"/>
  <c r="Q192" i="67"/>
  <c r="K184" i="67"/>
  <c r="H181" i="67"/>
  <c r="P173" i="67"/>
  <c r="Y167" i="67"/>
  <c r="U160" i="67"/>
  <c r="S155" i="67"/>
  <c r="M146" i="67"/>
  <c r="J196" i="67"/>
  <c r="P196" i="67"/>
  <c r="U196" i="67"/>
  <c r="V196" i="67"/>
  <c r="C11" i="67"/>
  <c r="B22" i="67"/>
  <c r="C58" i="67"/>
  <c r="S128" i="67"/>
  <c r="C128" i="67"/>
  <c r="B128" i="67"/>
  <c r="P150" i="67"/>
  <c r="B155" i="67"/>
  <c r="C167" i="67"/>
  <c r="B172" i="67"/>
  <c r="N179" i="67"/>
  <c r="V179" i="67"/>
  <c r="W179" i="67"/>
  <c r="E185" i="67"/>
  <c r="Q185" i="67"/>
  <c r="S185" i="67"/>
  <c r="X185" i="67"/>
  <c r="B191" i="67"/>
  <c r="B197" i="67"/>
  <c r="O203" i="67"/>
  <c r="V203" i="67"/>
  <c r="R202" i="67"/>
  <c r="U197" i="67"/>
  <c r="I196" i="67"/>
  <c r="L185" i="67"/>
  <c r="J184" i="67"/>
  <c r="F181" i="67"/>
  <c r="X178" i="67"/>
  <c r="U169" i="67"/>
  <c r="W167" i="67"/>
  <c r="G160" i="67"/>
  <c r="E201" i="67"/>
  <c r="I201" i="67"/>
  <c r="L201" i="67"/>
  <c r="J201" i="67"/>
  <c r="C16" i="67"/>
  <c r="B40" i="67"/>
  <c r="B53" i="67"/>
  <c r="B63" i="67"/>
  <c r="C88" i="67"/>
  <c r="C103" i="67"/>
  <c r="B6" i="67"/>
  <c r="B29" i="67"/>
  <c r="C40" i="67"/>
  <c r="C53" i="67"/>
  <c r="C63" i="67"/>
  <c r="B69" i="67"/>
  <c r="C77" i="67"/>
  <c r="B83" i="67"/>
  <c r="C104" i="67"/>
  <c r="K136" i="67"/>
  <c r="B150" i="67"/>
  <c r="C155" i="67"/>
  <c r="B161" i="67"/>
  <c r="I168" i="67"/>
  <c r="R168" i="67"/>
  <c r="Z168" i="67"/>
  <c r="G173" i="67"/>
  <c r="J180" i="67"/>
  <c r="P180" i="67"/>
  <c r="U180" i="67"/>
  <c r="V180" i="67"/>
  <c r="B185" i="67"/>
  <c r="F192" i="67"/>
  <c r="Y192" i="67"/>
  <c r="AA192" i="67"/>
  <c r="E192" i="67"/>
  <c r="Z192" i="67"/>
  <c r="C192" i="67"/>
  <c r="J192" i="67"/>
  <c r="C197" i="67"/>
  <c r="P202" i="67"/>
  <c r="M197" i="67"/>
  <c r="G196" i="67"/>
  <c r="K192" i="67"/>
  <c r="J185" i="67"/>
  <c r="E181" i="67"/>
  <c r="H178" i="67"/>
  <c r="Q172" i="67"/>
  <c r="Q169" i="67"/>
  <c r="N190" i="67"/>
  <c r="G190" i="67"/>
  <c r="E190" i="67"/>
  <c r="B16" i="67"/>
  <c r="O202" i="67"/>
  <c r="I185" i="67"/>
  <c r="X180" i="67"/>
  <c r="N172" i="67"/>
  <c r="P169" i="67"/>
  <c r="U153" i="67"/>
  <c r="W132" i="67"/>
  <c r="Y177" i="67"/>
  <c r="U204" i="67"/>
  <c r="K202" i="67"/>
  <c r="S191" i="67"/>
  <c r="AA184" i="67"/>
  <c r="AA181" i="67"/>
  <c r="N180" i="67"/>
  <c r="J177" i="67"/>
  <c r="M172" i="67"/>
  <c r="H169" i="67"/>
  <c r="F197" i="67"/>
  <c r="C100" i="67"/>
  <c r="B124" i="67"/>
  <c r="Q146" i="67"/>
  <c r="T146" i="67"/>
  <c r="AA153" i="67"/>
  <c r="C153" i="67"/>
  <c r="L194" i="67"/>
  <c r="K194" i="67"/>
  <c r="O194" i="67"/>
  <c r="P194" i="67"/>
  <c r="P204" i="67"/>
  <c r="Y201" i="67"/>
  <c r="E197" i="67"/>
  <c r="Z194" i="67"/>
  <c r="AA190" i="67"/>
  <c r="O187" i="67"/>
  <c r="R184" i="67"/>
  <c r="W181" i="67"/>
  <c r="I177" i="67"/>
  <c r="E172" i="67"/>
  <c r="N168" i="67"/>
  <c r="G157" i="67"/>
  <c r="S152" i="67"/>
  <c r="Y205" i="67"/>
  <c r="Q205" i="67"/>
  <c r="J205" i="67"/>
  <c r="Z206" i="5"/>
  <c r="W207" i="5"/>
  <c r="U205" i="5"/>
  <c r="R206" i="5"/>
  <c r="O207" i="5"/>
  <c r="K206" i="5"/>
  <c r="H207" i="5"/>
  <c r="F205" i="5"/>
  <c r="N205" i="67"/>
  <c r="T207" i="5"/>
  <c r="R205" i="5"/>
  <c r="O206" i="5"/>
  <c r="M207" i="5"/>
  <c r="K205" i="5"/>
  <c r="H206" i="5"/>
  <c r="C207" i="5"/>
  <c r="E207" i="63"/>
  <c r="G205" i="67"/>
  <c r="Y2" i="67"/>
  <c r="B134" i="67"/>
  <c r="P149" i="67"/>
  <c r="E159" i="67"/>
  <c r="E164" i="67"/>
  <c r="V170" i="67"/>
  <c r="J175" i="67"/>
  <c r="G182" i="67"/>
  <c r="J188" i="67"/>
  <c r="M198" i="67"/>
  <c r="Q2" i="67"/>
  <c r="Z176" i="67"/>
  <c r="Q149" i="67"/>
  <c r="Y207" i="63"/>
  <c r="W205" i="63"/>
  <c r="Q207" i="63"/>
  <c r="O205" i="63"/>
  <c r="M206" i="63"/>
  <c r="J207" i="63"/>
  <c r="E206" i="63"/>
  <c r="X206" i="67"/>
  <c r="U207" i="67"/>
  <c r="S205" i="67"/>
  <c r="P206" i="67"/>
  <c r="L205" i="67"/>
  <c r="F207" i="67"/>
  <c r="C205" i="67"/>
  <c r="AA206" i="5"/>
  <c r="Y207" i="5"/>
  <c r="W205" i="5"/>
  <c r="T206" i="5"/>
  <c r="Q207" i="5"/>
  <c r="O205" i="5"/>
  <c r="M206" i="5"/>
  <c r="J207" i="5"/>
  <c r="H205" i="5"/>
  <c r="C206" i="5"/>
  <c r="V205" i="67"/>
  <c r="C71" i="67"/>
  <c r="B149" i="67"/>
  <c r="Y154" i="67"/>
  <c r="C159" i="67"/>
  <c r="F176" i="67"/>
  <c r="Z183" i="67"/>
  <c r="B188" i="67"/>
  <c r="J193" i="67"/>
  <c r="G199" i="67"/>
  <c r="S2" i="67"/>
  <c r="Z199" i="67"/>
  <c r="T198" i="67"/>
  <c r="I188" i="67"/>
  <c r="K183" i="67"/>
  <c r="Y176" i="67"/>
  <c r="R175" i="67"/>
  <c r="K171" i="67"/>
  <c r="Y206" i="63"/>
  <c r="V207" i="63"/>
  <c r="Q206" i="63"/>
  <c r="N207" i="63"/>
  <c r="M205" i="63"/>
  <c r="J206" i="63"/>
  <c r="G207" i="63"/>
  <c r="E205" i="63"/>
  <c r="Z207" i="67"/>
  <c r="X205" i="67"/>
  <c r="U206" i="67"/>
  <c r="R207" i="67"/>
  <c r="P205" i="67"/>
  <c r="K207" i="67"/>
  <c r="F206" i="67"/>
  <c r="B207" i="67"/>
  <c r="AA205" i="5"/>
  <c r="Y206" i="5"/>
  <c r="V207" i="5"/>
  <c r="T205" i="5"/>
  <c r="Q206" i="5"/>
  <c r="N207" i="5"/>
  <c r="M205" i="5"/>
  <c r="J206" i="5"/>
  <c r="G207" i="5"/>
  <c r="C205" i="5"/>
  <c r="U205" i="67"/>
  <c r="F205" i="67"/>
  <c r="Y205" i="5"/>
  <c r="V206" i="5"/>
  <c r="S207" i="5"/>
  <c r="Q205" i="5"/>
  <c r="N206" i="5"/>
  <c r="L207" i="5"/>
  <c r="J205" i="5"/>
  <c r="G206" i="5"/>
  <c r="B207" i="5"/>
  <c r="R205" i="67"/>
  <c r="K205" i="67"/>
  <c r="B205" i="67"/>
  <c r="X207" i="5"/>
  <c r="V205" i="5"/>
  <c r="S206" i="5"/>
  <c r="P207" i="5"/>
  <c r="N205" i="5"/>
  <c r="L206" i="5"/>
  <c r="G205" i="5"/>
  <c r="B206" i="5"/>
  <c r="W205" i="67"/>
  <c r="O205" i="67"/>
  <c r="H205" i="67"/>
  <c r="X206" i="5"/>
  <c r="U207" i="5"/>
  <c r="S205" i="5"/>
  <c r="P206" i="5"/>
  <c r="L205" i="5"/>
  <c r="F207" i="5"/>
  <c r="B205" i="5"/>
  <c r="T205" i="67"/>
  <c r="M205" i="67"/>
  <c r="E205" i="67"/>
  <c r="Z207" i="5"/>
  <c r="X205" i="5"/>
  <c r="U206" i="5"/>
  <c r="R207" i="5"/>
  <c r="P205" i="5"/>
  <c r="K207" i="5"/>
  <c r="I205" i="5"/>
  <c r="F206" i="5"/>
  <c r="F34" i="67"/>
  <c r="U34" i="67"/>
  <c r="G34" i="67"/>
  <c r="N34" i="67"/>
  <c r="V34" i="67"/>
  <c r="H34" i="67"/>
  <c r="O34" i="67"/>
  <c r="W34" i="67"/>
  <c r="K34" i="67"/>
  <c r="R34" i="67"/>
  <c r="Z34" i="67"/>
  <c r="L34" i="67"/>
  <c r="S34" i="67"/>
  <c r="E34" i="67"/>
  <c r="Y34" i="67"/>
  <c r="I34" i="67"/>
  <c r="AA34" i="67"/>
  <c r="J34" i="67"/>
  <c r="M34" i="67"/>
  <c r="P34" i="67"/>
  <c r="Q34" i="67"/>
  <c r="X34" i="67"/>
  <c r="T34" i="67"/>
  <c r="G48" i="67"/>
  <c r="N48" i="67"/>
  <c r="V48" i="67"/>
  <c r="I48" i="67"/>
  <c r="P48" i="67"/>
  <c r="X48" i="67"/>
  <c r="J48" i="67"/>
  <c r="Q48" i="67"/>
  <c r="Y48" i="67"/>
  <c r="K48" i="67"/>
  <c r="R48" i="67"/>
  <c r="Z48" i="67"/>
  <c r="L48" i="67"/>
  <c r="S48" i="67"/>
  <c r="H48" i="67"/>
  <c r="M48" i="67"/>
  <c r="O48" i="67"/>
  <c r="U48" i="67"/>
  <c r="E48" i="67"/>
  <c r="W48" i="67"/>
  <c r="F48" i="67"/>
  <c r="T48" i="67"/>
  <c r="AA48" i="67"/>
  <c r="C48" i="67"/>
  <c r="K138" i="67"/>
  <c r="R138" i="67"/>
  <c r="Z138" i="67"/>
  <c r="L138" i="67"/>
  <c r="S138" i="67"/>
  <c r="H138" i="67"/>
  <c r="Q138" i="67"/>
  <c r="I138" i="67"/>
  <c r="T138" i="67"/>
  <c r="M138" i="67"/>
  <c r="V138" i="67"/>
  <c r="F138" i="67"/>
  <c r="O138" i="67"/>
  <c r="Y138" i="67"/>
  <c r="G138" i="67"/>
  <c r="AA138" i="67"/>
  <c r="P138" i="67"/>
  <c r="U138" i="67"/>
  <c r="E138" i="67"/>
  <c r="J138" i="67"/>
  <c r="N138" i="67"/>
  <c r="W138" i="67"/>
  <c r="X138" i="67"/>
  <c r="H170" i="67"/>
  <c r="H133" i="67"/>
  <c r="O133" i="67"/>
  <c r="W133" i="67"/>
  <c r="I133" i="67"/>
  <c r="P133" i="67"/>
  <c r="X133" i="67"/>
  <c r="E133" i="67"/>
  <c r="N133" i="67"/>
  <c r="Z133" i="67"/>
  <c r="F133" i="67"/>
  <c r="Q133" i="67"/>
  <c r="J133" i="67"/>
  <c r="S133" i="67"/>
  <c r="M133" i="67"/>
  <c r="V133" i="67"/>
  <c r="Y133" i="67"/>
  <c r="K133" i="67"/>
  <c r="L133" i="67"/>
  <c r="R133" i="67"/>
  <c r="G133" i="67"/>
  <c r="T133" i="67"/>
  <c r="U133" i="67"/>
  <c r="AA133" i="67"/>
  <c r="J139" i="67"/>
  <c r="Q139" i="67"/>
  <c r="Y139" i="67"/>
  <c r="K139" i="67"/>
  <c r="R139" i="67"/>
  <c r="Z139" i="67"/>
  <c r="E139" i="67"/>
  <c r="N139" i="67"/>
  <c r="X139" i="67"/>
  <c r="F139" i="67"/>
  <c r="O139" i="67"/>
  <c r="H139" i="67"/>
  <c r="S139" i="67"/>
  <c r="M139" i="67"/>
  <c r="V139" i="67"/>
  <c r="W139" i="67"/>
  <c r="I139" i="67"/>
  <c r="P139" i="67"/>
  <c r="T139" i="67"/>
  <c r="U139" i="67"/>
  <c r="AA139" i="67"/>
  <c r="G139" i="67"/>
  <c r="B139" i="67"/>
  <c r="I145" i="67"/>
  <c r="P145" i="67"/>
  <c r="X145" i="67"/>
  <c r="J145" i="67"/>
  <c r="Q145" i="67"/>
  <c r="Y145" i="67"/>
  <c r="L145" i="67"/>
  <c r="S145" i="67"/>
  <c r="G145" i="67"/>
  <c r="N145" i="67"/>
  <c r="V145" i="67"/>
  <c r="H145" i="67"/>
  <c r="W145" i="67"/>
  <c r="M145" i="67"/>
  <c r="AA145" i="67"/>
  <c r="O145" i="67"/>
  <c r="R145" i="67"/>
  <c r="T145" i="67"/>
  <c r="U145" i="67"/>
  <c r="Z145" i="67"/>
  <c r="K145" i="67"/>
  <c r="E166" i="67"/>
  <c r="M166" i="67"/>
  <c r="G166" i="67"/>
  <c r="N166" i="67"/>
  <c r="V166" i="67"/>
  <c r="J166" i="67"/>
  <c r="Q166" i="67"/>
  <c r="Y166" i="67"/>
  <c r="H166" i="67"/>
  <c r="S166" i="67"/>
  <c r="K166" i="67"/>
  <c r="U166" i="67"/>
  <c r="X166" i="67"/>
  <c r="W166" i="67"/>
  <c r="F166" i="67"/>
  <c r="Z166" i="67"/>
  <c r="I166" i="67"/>
  <c r="L166" i="67"/>
  <c r="AA166" i="67"/>
  <c r="R166" i="67"/>
  <c r="L175" i="67"/>
  <c r="L174" i="67"/>
  <c r="G170" i="67"/>
  <c r="T166" i="67"/>
  <c r="W164" i="67"/>
  <c r="AA151" i="67"/>
  <c r="G25" i="67"/>
  <c r="N25" i="67"/>
  <c r="V25" i="67"/>
  <c r="I25" i="67"/>
  <c r="P25" i="67"/>
  <c r="X25" i="67"/>
  <c r="L25" i="67"/>
  <c r="S25" i="67"/>
  <c r="H25" i="67"/>
  <c r="T25" i="67"/>
  <c r="J25" i="67"/>
  <c r="U25" i="67"/>
  <c r="K25" i="67"/>
  <c r="W25" i="67"/>
  <c r="O25" i="67"/>
  <c r="AA25" i="67"/>
  <c r="E25" i="67"/>
  <c r="Q25" i="67"/>
  <c r="R25" i="67"/>
  <c r="Y25" i="67"/>
  <c r="Z25" i="67"/>
  <c r="F25" i="67"/>
  <c r="M25" i="67"/>
  <c r="L65" i="67"/>
  <c r="S65" i="67"/>
  <c r="E65" i="67"/>
  <c r="M65" i="67"/>
  <c r="T65" i="67"/>
  <c r="AA65" i="67"/>
  <c r="F65" i="67"/>
  <c r="U65" i="67"/>
  <c r="G65" i="67"/>
  <c r="N65" i="67"/>
  <c r="V65" i="67"/>
  <c r="I65" i="67"/>
  <c r="P65" i="67"/>
  <c r="X65" i="67"/>
  <c r="J65" i="67"/>
  <c r="Q65" i="67"/>
  <c r="Y65" i="67"/>
  <c r="R65" i="67"/>
  <c r="W65" i="67"/>
  <c r="Z65" i="67"/>
  <c r="H65" i="67"/>
  <c r="K65" i="67"/>
  <c r="O65" i="67"/>
  <c r="K75" i="67"/>
  <c r="R75" i="67"/>
  <c r="Z75" i="67"/>
  <c r="L75" i="67"/>
  <c r="S75" i="67"/>
  <c r="E75" i="67"/>
  <c r="M75" i="67"/>
  <c r="T75" i="67"/>
  <c r="AA75" i="67"/>
  <c r="G75" i="67"/>
  <c r="N75" i="67"/>
  <c r="V75" i="67"/>
  <c r="O75" i="67"/>
  <c r="P75" i="67"/>
  <c r="Q75" i="67"/>
  <c r="F75" i="67"/>
  <c r="U75" i="67"/>
  <c r="H75" i="67"/>
  <c r="W75" i="67"/>
  <c r="I75" i="67"/>
  <c r="J75" i="67"/>
  <c r="X75" i="67"/>
  <c r="Y75" i="67"/>
  <c r="B75" i="67"/>
  <c r="J85" i="67"/>
  <c r="Q85" i="67"/>
  <c r="Y85" i="67"/>
  <c r="K85" i="67"/>
  <c r="R85" i="67"/>
  <c r="Z85" i="67"/>
  <c r="L85" i="67"/>
  <c r="S85" i="67"/>
  <c r="E85" i="67"/>
  <c r="M85" i="67"/>
  <c r="T85" i="67"/>
  <c r="AA85" i="67"/>
  <c r="F85" i="67"/>
  <c r="U85" i="67"/>
  <c r="G85" i="67"/>
  <c r="N85" i="67"/>
  <c r="V85" i="67"/>
  <c r="H85" i="67"/>
  <c r="I85" i="67"/>
  <c r="O85" i="67"/>
  <c r="P85" i="67"/>
  <c r="X85" i="67"/>
  <c r="W85" i="67"/>
  <c r="C85" i="67"/>
  <c r="K113" i="67"/>
  <c r="R113" i="67"/>
  <c r="Z113" i="67"/>
  <c r="L113" i="67"/>
  <c r="S113" i="67"/>
  <c r="E113" i="67"/>
  <c r="M113" i="67"/>
  <c r="T113" i="67"/>
  <c r="AA113" i="67"/>
  <c r="F113" i="67"/>
  <c r="U113" i="67"/>
  <c r="I113" i="67"/>
  <c r="P113" i="67"/>
  <c r="X113" i="67"/>
  <c r="O113" i="67"/>
  <c r="Q113" i="67"/>
  <c r="V113" i="67"/>
  <c r="W113" i="67"/>
  <c r="G113" i="67"/>
  <c r="Y113" i="67"/>
  <c r="H113" i="67"/>
  <c r="J113" i="67"/>
  <c r="N113" i="67"/>
  <c r="F127" i="67"/>
  <c r="U127" i="67"/>
  <c r="G127" i="67"/>
  <c r="N127" i="67"/>
  <c r="V127" i="67"/>
  <c r="H127" i="67"/>
  <c r="O127" i="67"/>
  <c r="W127" i="67"/>
  <c r="Q127" i="67"/>
  <c r="AA127" i="67"/>
  <c r="E127" i="67"/>
  <c r="R127" i="67"/>
  <c r="I127" i="67"/>
  <c r="S127" i="67"/>
  <c r="J127" i="67"/>
  <c r="T127" i="67"/>
  <c r="L127" i="67"/>
  <c r="Y127" i="67"/>
  <c r="M127" i="67"/>
  <c r="Z127" i="67"/>
  <c r="K127" i="67"/>
  <c r="X127" i="67"/>
  <c r="C127" i="67"/>
  <c r="P127" i="67"/>
  <c r="L137" i="67"/>
  <c r="S137" i="67"/>
  <c r="E137" i="67"/>
  <c r="M137" i="67"/>
  <c r="T137" i="67"/>
  <c r="AA137" i="67"/>
  <c r="K137" i="67"/>
  <c r="V137" i="67"/>
  <c r="W137" i="67"/>
  <c r="F137" i="67"/>
  <c r="O137" i="67"/>
  <c r="Y137" i="67"/>
  <c r="I137" i="67"/>
  <c r="R137" i="67"/>
  <c r="J137" i="67"/>
  <c r="P137" i="67"/>
  <c r="Q137" i="67"/>
  <c r="U137" i="67"/>
  <c r="X137" i="67"/>
  <c r="Z137" i="67"/>
  <c r="G137" i="67"/>
  <c r="H137" i="67"/>
  <c r="B34" i="67"/>
  <c r="F49" i="67"/>
  <c r="U49" i="67"/>
  <c r="H49" i="67"/>
  <c r="O49" i="67"/>
  <c r="W49" i="67"/>
  <c r="I49" i="67"/>
  <c r="P49" i="67"/>
  <c r="X49" i="67"/>
  <c r="J49" i="67"/>
  <c r="Q49" i="67"/>
  <c r="Y49" i="67"/>
  <c r="K49" i="67"/>
  <c r="R49" i="67"/>
  <c r="Z49" i="67"/>
  <c r="E49" i="67"/>
  <c r="G49" i="67"/>
  <c r="AA49" i="67"/>
  <c r="L49" i="67"/>
  <c r="M49" i="67"/>
  <c r="S49" i="67"/>
  <c r="T49" i="67"/>
  <c r="N49" i="67"/>
  <c r="V49" i="67"/>
  <c r="L186" i="67"/>
  <c r="S186" i="67"/>
  <c r="E186" i="67"/>
  <c r="M186" i="67"/>
  <c r="T186" i="67"/>
  <c r="AA186" i="67"/>
  <c r="F186" i="67"/>
  <c r="U186" i="67"/>
  <c r="G186" i="67"/>
  <c r="N186" i="67"/>
  <c r="V186" i="67"/>
  <c r="J186" i="67"/>
  <c r="Q186" i="67"/>
  <c r="Y186" i="67"/>
  <c r="I23" i="67"/>
  <c r="P23" i="67"/>
  <c r="X23" i="67"/>
  <c r="K23" i="67"/>
  <c r="R23" i="67"/>
  <c r="Z23" i="67"/>
  <c r="F23" i="67"/>
  <c r="U23" i="67"/>
  <c r="G23" i="67"/>
  <c r="S23" i="67"/>
  <c r="H23" i="67"/>
  <c r="T23" i="67"/>
  <c r="J23" i="67"/>
  <c r="V23" i="67"/>
  <c r="N23" i="67"/>
  <c r="O23" i="67"/>
  <c r="AA23" i="67"/>
  <c r="E23" i="67"/>
  <c r="L23" i="67"/>
  <c r="M23" i="67"/>
  <c r="Q23" i="67"/>
  <c r="W23" i="67"/>
  <c r="Y23" i="67"/>
  <c r="B58" i="67"/>
  <c r="L182" i="67"/>
  <c r="E19" i="67"/>
  <c r="M19" i="67"/>
  <c r="T19" i="67"/>
  <c r="AA19" i="67"/>
  <c r="F19" i="67"/>
  <c r="G19" i="67"/>
  <c r="N19" i="67"/>
  <c r="V19" i="67"/>
  <c r="I19" i="67"/>
  <c r="P19" i="67"/>
  <c r="X19" i="67"/>
  <c r="J19" i="67"/>
  <c r="Q19" i="67"/>
  <c r="Y19" i="67"/>
  <c r="O19" i="67"/>
  <c r="R19" i="67"/>
  <c r="S19" i="67"/>
  <c r="K19" i="67"/>
  <c r="Z19" i="67"/>
  <c r="L19" i="67"/>
  <c r="U19" i="67"/>
  <c r="W19" i="67"/>
  <c r="H19" i="67"/>
  <c r="B45" i="67"/>
  <c r="E50" i="67"/>
  <c r="M50" i="67"/>
  <c r="T50" i="67"/>
  <c r="AA50" i="67"/>
  <c r="G50" i="67"/>
  <c r="N50" i="67"/>
  <c r="V50" i="67"/>
  <c r="H50" i="67"/>
  <c r="O50" i="67"/>
  <c r="W50" i="67"/>
  <c r="I50" i="67"/>
  <c r="P50" i="67"/>
  <c r="X50" i="67"/>
  <c r="J50" i="67"/>
  <c r="Q50" i="67"/>
  <c r="Y50" i="67"/>
  <c r="U50" i="67"/>
  <c r="Z50" i="67"/>
  <c r="F50" i="67"/>
  <c r="K50" i="67"/>
  <c r="R50" i="67"/>
  <c r="L50" i="67"/>
  <c r="S50" i="67"/>
  <c r="B50" i="67"/>
  <c r="B77" i="67"/>
  <c r="H87" i="67"/>
  <c r="O87" i="67"/>
  <c r="W87" i="67"/>
  <c r="I87" i="67"/>
  <c r="P87" i="67"/>
  <c r="X87" i="67"/>
  <c r="J87" i="67"/>
  <c r="Q87" i="67"/>
  <c r="Y87" i="67"/>
  <c r="K87" i="67"/>
  <c r="R87" i="67"/>
  <c r="Z87" i="67"/>
  <c r="L87" i="67"/>
  <c r="S87" i="67"/>
  <c r="E87" i="67"/>
  <c r="M87" i="67"/>
  <c r="T87" i="67"/>
  <c r="AA87" i="67"/>
  <c r="U87" i="67"/>
  <c r="V87" i="67"/>
  <c r="G87" i="67"/>
  <c r="F87" i="67"/>
  <c r="N87" i="67"/>
  <c r="C87" i="67"/>
  <c r="I94" i="67"/>
  <c r="P94" i="67"/>
  <c r="X94" i="67"/>
  <c r="J94" i="67"/>
  <c r="Q94" i="67"/>
  <c r="Y94" i="67"/>
  <c r="E94" i="67"/>
  <c r="F94" i="67"/>
  <c r="U94" i="67"/>
  <c r="M94" i="67"/>
  <c r="Z94" i="67"/>
  <c r="N94" i="67"/>
  <c r="O94" i="67"/>
  <c r="AA94" i="67"/>
  <c r="R94" i="67"/>
  <c r="H94" i="67"/>
  <c r="T94" i="67"/>
  <c r="K94" i="67"/>
  <c r="V94" i="67"/>
  <c r="S94" i="67"/>
  <c r="W94" i="67"/>
  <c r="G94" i="67"/>
  <c r="L94" i="67"/>
  <c r="K105" i="67"/>
  <c r="R105" i="67"/>
  <c r="Z105" i="67"/>
  <c r="L105" i="67"/>
  <c r="S105" i="67"/>
  <c r="E105" i="67"/>
  <c r="M105" i="67"/>
  <c r="T105" i="67"/>
  <c r="AA105" i="67"/>
  <c r="F105" i="67"/>
  <c r="U105" i="67"/>
  <c r="H105" i="67"/>
  <c r="O105" i="67"/>
  <c r="W105" i="67"/>
  <c r="I105" i="67"/>
  <c r="P105" i="67"/>
  <c r="X105" i="67"/>
  <c r="V105" i="67"/>
  <c r="Y105" i="67"/>
  <c r="G105" i="67"/>
  <c r="J105" i="67"/>
  <c r="N105" i="67"/>
  <c r="Q105" i="67"/>
  <c r="C105" i="67"/>
  <c r="B105" i="67"/>
  <c r="J204" i="67"/>
  <c r="Q204" i="67"/>
  <c r="Y204" i="67"/>
  <c r="K204" i="67"/>
  <c r="R204" i="67"/>
  <c r="Z204" i="67"/>
  <c r="L204" i="67"/>
  <c r="S204" i="67"/>
  <c r="E204" i="67"/>
  <c r="M204" i="67"/>
  <c r="T204" i="67"/>
  <c r="AA204" i="67"/>
  <c r="H204" i="67"/>
  <c r="O204" i="67"/>
  <c r="W204" i="67"/>
  <c r="W195" i="67"/>
  <c r="R191" i="67"/>
  <c r="T190" i="67"/>
  <c r="O186" i="67"/>
  <c r="AA182" i="67"/>
  <c r="Q179" i="67"/>
  <c r="W178" i="67"/>
  <c r="E174" i="67"/>
  <c r="P166" i="67"/>
  <c r="K164" i="67"/>
  <c r="T151" i="67"/>
  <c r="Y148" i="67"/>
  <c r="L139" i="67"/>
  <c r="H69" i="67"/>
  <c r="O69" i="67"/>
  <c r="W69" i="67"/>
  <c r="I69" i="67"/>
  <c r="P69" i="67"/>
  <c r="X69" i="67"/>
  <c r="J69" i="67"/>
  <c r="Q69" i="67"/>
  <c r="Y69" i="67"/>
  <c r="K69" i="67"/>
  <c r="R69" i="67"/>
  <c r="Z69" i="67"/>
  <c r="E69" i="67"/>
  <c r="M69" i="67"/>
  <c r="T69" i="67"/>
  <c r="AA69" i="67"/>
  <c r="L69" i="67"/>
  <c r="N69" i="67"/>
  <c r="S69" i="67"/>
  <c r="U69" i="67"/>
  <c r="V69" i="67"/>
  <c r="F69" i="67"/>
  <c r="G69" i="67"/>
  <c r="C69" i="67"/>
  <c r="K5" i="67"/>
  <c r="R5" i="67"/>
  <c r="Z5" i="67"/>
  <c r="L5" i="67"/>
  <c r="S5" i="67"/>
  <c r="E5" i="67"/>
  <c r="M5" i="67"/>
  <c r="T5" i="67"/>
  <c r="AA5" i="67"/>
  <c r="G5" i="67"/>
  <c r="N5" i="67"/>
  <c r="V5" i="67"/>
  <c r="H5" i="67"/>
  <c r="O5" i="67"/>
  <c r="W5" i="67"/>
  <c r="F5" i="67"/>
  <c r="Y5" i="67"/>
  <c r="I5" i="67"/>
  <c r="J5" i="67"/>
  <c r="Q5" i="67"/>
  <c r="U5" i="67"/>
  <c r="X5" i="67"/>
  <c r="P5" i="67"/>
  <c r="H8" i="67"/>
  <c r="O8" i="67"/>
  <c r="W8" i="67"/>
  <c r="I8" i="67"/>
  <c r="P8" i="67"/>
  <c r="X8" i="67"/>
  <c r="J8" i="67"/>
  <c r="Q8" i="67"/>
  <c r="Y8" i="67"/>
  <c r="L8" i="67"/>
  <c r="S8" i="67"/>
  <c r="E8" i="67"/>
  <c r="M8" i="67"/>
  <c r="T8" i="67"/>
  <c r="AA8" i="67"/>
  <c r="N8" i="67"/>
  <c r="R8" i="67"/>
  <c r="U8" i="67"/>
  <c r="G8" i="67"/>
  <c r="K8" i="67"/>
  <c r="F8" i="67"/>
  <c r="V8" i="67"/>
  <c r="Z8" i="67"/>
  <c r="K13" i="67"/>
  <c r="R13" i="67"/>
  <c r="Z13" i="67"/>
  <c r="L13" i="67"/>
  <c r="S13" i="67"/>
  <c r="E13" i="67"/>
  <c r="M13" i="67"/>
  <c r="T13" i="67"/>
  <c r="AA13" i="67"/>
  <c r="G13" i="67"/>
  <c r="N13" i="67"/>
  <c r="V13" i="67"/>
  <c r="H13" i="67"/>
  <c r="O13" i="67"/>
  <c r="W13" i="67"/>
  <c r="Q13" i="67"/>
  <c r="U13" i="67"/>
  <c r="X13" i="67"/>
  <c r="J13" i="67"/>
  <c r="F13" i="67"/>
  <c r="I13" i="67"/>
  <c r="P13" i="67"/>
  <c r="Y13" i="67"/>
  <c r="F26" i="67"/>
  <c r="U26" i="67"/>
  <c r="H26" i="67"/>
  <c r="O26" i="67"/>
  <c r="W26" i="67"/>
  <c r="K26" i="67"/>
  <c r="R26" i="67"/>
  <c r="Z26" i="67"/>
  <c r="I26" i="67"/>
  <c r="T26" i="67"/>
  <c r="J26" i="67"/>
  <c r="V26" i="67"/>
  <c r="L26" i="67"/>
  <c r="X26" i="67"/>
  <c r="P26" i="67"/>
  <c r="AA26" i="67"/>
  <c r="E26" i="67"/>
  <c r="Q26" i="67"/>
  <c r="Y26" i="67"/>
  <c r="G26" i="67"/>
  <c r="M26" i="67"/>
  <c r="S26" i="67"/>
  <c r="N26" i="67"/>
  <c r="E58" i="67"/>
  <c r="M58" i="67"/>
  <c r="T58" i="67"/>
  <c r="AA58" i="67"/>
  <c r="G58" i="67"/>
  <c r="N58" i="67"/>
  <c r="V58" i="67"/>
  <c r="I58" i="67"/>
  <c r="P58" i="67"/>
  <c r="X58" i="67"/>
  <c r="J58" i="67"/>
  <c r="Q58" i="67"/>
  <c r="Y58" i="67"/>
  <c r="O58" i="67"/>
  <c r="R58" i="67"/>
  <c r="S58" i="67"/>
  <c r="F58" i="67"/>
  <c r="U58" i="67"/>
  <c r="K58" i="67"/>
  <c r="Z58" i="67"/>
  <c r="L58" i="67"/>
  <c r="H58" i="67"/>
  <c r="W58" i="67"/>
  <c r="B65" i="67"/>
  <c r="B85" i="67"/>
  <c r="K92" i="67"/>
  <c r="R92" i="67"/>
  <c r="Z92" i="67"/>
  <c r="L92" i="67"/>
  <c r="S92" i="67"/>
  <c r="E92" i="67"/>
  <c r="M92" i="67"/>
  <c r="T92" i="67"/>
  <c r="AA92" i="67"/>
  <c r="G92" i="67"/>
  <c r="N92" i="67"/>
  <c r="V92" i="67"/>
  <c r="H92" i="67"/>
  <c r="O92" i="67"/>
  <c r="W92" i="67"/>
  <c r="F92" i="67"/>
  <c r="Y92" i="67"/>
  <c r="I92" i="67"/>
  <c r="J92" i="67"/>
  <c r="Q92" i="67"/>
  <c r="U92" i="67"/>
  <c r="P92" i="67"/>
  <c r="X92" i="67"/>
  <c r="I99" i="67"/>
  <c r="P99" i="67"/>
  <c r="X99" i="67"/>
  <c r="J99" i="67"/>
  <c r="Q99" i="67"/>
  <c r="Y99" i="67"/>
  <c r="K99" i="67"/>
  <c r="R99" i="67"/>
  <c r="Z99" i="67"/>
  <c r="L99" i="67"/>
  <c r="S99" i="67"/>
  <c r="F99" i="67"/>
  <c r="U99" i="67"/>
  <c r="G99" i="67"/>
  <c r="N99" i="67"/>
  <c r="V99" i="67"/>
  <c r="M99" i="67"/>
  <c r="O99" i="67"/>
  <c r="T99" i="67"/>
  <c r="W99" i="67"/>
  <c r="AA99" i="67"/>
  <c r="E99" i="67"/>
  <c r="H99" i="67"/>
  <c r="G109" i="67"/>
  <c r="N109" i="67"/>
  <c r="V109" i="67"/>
  <c r="H109" i="67"/>
  <c r="O109" i="67"/>
  <c r="W109" i="67"/>
  <c r="I109" i="67"/>
  <c r="P109" i="67"/>
  <c r="X109" i="67"/>
  <c r="J109" i="67"/>
  <c r="Q109" i="67"/>
  <c r="Y109" i="67"/>
  <c r="E109" i="67"/>
  <c r="M109" i="67"/>
  <c r="T109" i="67"/>
  <c r="AA109" i="67"/>
  <c r="K109" i="67"/>
  <c r="L109" i="67"/>
  <c r="R109" i="67"/>
  <c r="S109" i="67"/>
  <c r="U109" i="67"/>
  <c r="Z109" i="67"/>
  <c r="F109" i="67"/>
  <c r="B109" i="67"/>
  <c r="B113" i="67"/>
  <c r="J123" i="67"/>
  <c r="Q123" i="67"/>
  <c r="Y123" i="67"/>
  <c r="K123" i="67"/>
  <c r="R123" i="67"/>
  <c r="Z123" i="67"/>
  <c r="L123" i="67"/>
  <c r="S123" i="67"/>
  <c r="G123" i="67"/>
  <c r="N123" i="67"/>
  <c r="V123" i="67"/>
  <c r="P123" i="67"/>
  <c r="E123" i="67"/>
  <c r="T123" i="67"/>
  <c r="F123" i="67"/>
  <c r="U123" i="67"/>
  <c r="H123" i="67"/>
  <c r="W123" i="67"/>
  <c r="M123" i="67"/>
  <c r="AA123" i="67"/>
  <c r="I123" i="67"/>
  <c r="O123" i="67"/>
  <c r="X123" i="67"/>
  <c r="C123" i="67"/>
  <c r="C170" i="67"/>
  <c r="E175" i="67"/>
  <c r="M175" i="67"/>
  <c r="I175" i="67"/>
  <c r="P175" i="67"/>
  <c r="V175" i="67"/>
  <c r="N175" i="67"/>
  <c r="W175" i="67"/>
  <c r="F175" i="67"/>
  <c r="O175" i="67"/>
  <c r="X175" i="67"/>
  <c r="G175" i="67"/>
  <c r="Q175" i="67"/>
  <c r="Y175" i="67"/>
  <c r="K175" i="67"/>
  <c r="T175" i="67"/>
  <c r="AA175" i="67"/>
  <c r="H182" i="67"/>
  <c r="O182" i="67"/>
  <c r="W182" i="67"/>
  <c r="I182" i="67"/>
  <c r="P182" i="67"/>
  <c r="X182" i="67"/>
  <c r="J182" i="67"/>
  <c r="Q182" i="67"/>
  <c r="Y182" i="67"/>
  <c r="K182" i="67"/>
  <c r="R182" i="67"/>
  <c r="Z182" i="67"/>
  <c r="F182" i="67"/>
  <c r="U182" i="67"/>
  <c r="B182" i="67"/>
  <c r="K187" i="67"/>
  <c r="R187" i="67"/>
  <c r="Z187" i="67"/>
  <c r="L187" i="67"/>
  <c r="S187" i="67"/>
  <c r="E187" i="67"/>
  <c r="M187" i="67"/>
  <c r="T187" i="67"/>
  <c r="AA187" i="67"/>
  <c r="F187" i="67"/>
  <c r="U187" i="67"/>
  <c r="C187" i="67"/>
  <c r="I187" i="67"/>
  <c r="P187" i="67"/>
  <c r="X187" i="67"/>
  <c r="K203" i="67"/>
  <c r="R203" i="67"/>
  <c r="Z203" i="67"/>
  <c r="L203" i="67"/>
  <c r="S203" i="67"/>
  <c r="E203" i="67"/>
  <c r="M203" i="67"/>
  <c r="T203" i="67"/>
  <c r="AA203" i="67"/>
  <c r="F203" i="67"/>
  <c r="U203" i="67"/>
  <c r="I203" i="67"/>
  <c r="P203" i="67"/>
  <c r="X203" i="67"/>
  <c r="C203" i="67"/>
  <c r="G183" i="67"/>
  <c r="N183" i="67"/>
  <c r="V183" i="67"/>
  <c r="H183" i="67"/>
  <c r="O183" i="67"/>
  <c r="W183" i="67"/>
  <c r="I183" i="67"/>
  <c r="P183" i="67"/>
  <c r="X183" i="67"/>
  <c r="J183" i="67"/>
  <c r="Q183" i="67"/>
  <c r="Y183" i="67"/>
  <c r="E183" i="67"/>
  <c r="M183" i="67"/>
  <c r="T183" i="67"/>
  <c r="AA183" i="67"/>
  <c r="X2" i="67"/>
  <c r="P2" i="67"/>
  <c r="I2" i="67"/>
  <c r="W2" i="67"/>
  <c r="O2" i="67"/>
  <c r="H2" i="67"/>
  <c r="V2" i="67"/>
  <c r="N2" i="67"/>
  <c r="G2" i="67"/>
  <c r="U2" i="67"/>
  <c r="F2" i="67"/>
  <c r="Z2" i="67"/>
  <c r="R2" i="67"/>
  <c r="K2" i="67"/>
  <c r="E11" i="67"/>
  <c r="M11" i="67"/>
  <c r="T11" i="67"/>
  <c r="AA11" i="67"/>
  <c r="F11" i="67"/>
  <c r="U11" i="67"/>
  <c r="G11" i="67"/>
  <c r="N11" i="67"/>
  <c r="V11" i="67"/>
  <c r="I11" i="67"/>
  <c r="P11" i="67"/>
  <c r="X11" i="67"/>
  <c r="J11" i="67"/>
  <c r="Q11" i="67"/>
  <c r="Y11" i="67"/>
  <c r="Z11" i="67"/>
  <c r="H11" i="67"/>
  <c r="K11" i="67"/>
  <c r="R11" i="67"/>
  <c r="S11" i="67"/>
  <c r="L11" i="67"/>
  <c r="O11" i="67"/>
  <c r="W11" i="67"/>
  <c r="H16" i="67"/>
  <c r="O16" i="67"/>
  <c r="W16" i="67"/>
  <c r="I16" i="67"/>
  <c r="P16" i="67"/>
  <c r="X16" i="67"/>
  <c r="J16" i="67"/>
  <c r="Q16" i="67"/>
  <c r="Y16" i="67"/>
  <c r="L16" i="67"/>
  <c r="S16" i="67"/>
  <c r="E16" i="67"/>
  <c r="M16" i="67"/>
  <c r="T16" i="67"/>
  <c r="AA16" i="67"/>
  <c r="G16" i="67"/>
  <c r="K16" i="67"/>
  <c r="U16" i="67"/>
  <c r="V16" i="67"/>
  <c r="F16" i="67"/>
  <c r="N16" i="67"/>
  <c r="R16" i="67"/>
  <c r="Z16" i="67"/>
  <c r="L20" i="67"/>
  <c r="S20" i="67"/>
  <c r="F20" i="67"/>
  <c r="U20" i="67"/>
  <c r="H20" i="67"/>
  <c r="O20" i="67"/>
  <c r="W20" i="67"/>
  <c r="I20" i="67"/>
  <c r="P20" i="67"/>
  <c r="X20" i="67"/>
  <c r="G20" i="67"/>
  <c r="V20" i="67"/>
  <c r="J20" i="67"/>
  <c r="Y20" i="67"/>
  <c r="K20" i="67"/>
  <c r="Z20" i="67"/>
  <c r="Q20" i="67"/>
  <c r="R20" i="67"/>
  <c r="E20" i="67"/>
  <c r="M20" i="67"/>
  <c r="N20" i="67"/>
  <c r="AA20" i="67"/>
  <c r="T20" i="67"/>
  <c r="C23" i="67"/>
  <c r="E27" i="67"/>
  <c r="M27" i="67"/>
  <c r="T27" i="67"/>
  <c r="AA27" i="67"/>
  <c r="G27" i="67"/>
  <c r="N27" i="67"/>
  <c r="V27" i="67"/>
  <c r="J27" i="67"/>
  <c r="Q27" i="67"/>
  <c r="Y27" i="67"/>
  <c r="I27" i="67"/>
  <c r="U27" i="67"/>
  <c r="K27" i="67"/>
  <c r="W27" i="67"/>
  <c r="L27" i="67"/>
  <c r="X27" i="67"/>
  <c r="P27" i="67"/>
  <c r="F27" i="67"/>
  <c r="R27" i="67"/>
  <c r="H27" i="67"/>
  <c r="O27" i="67"/>
  <c r="S27" i="67"/>
  <c r="Z27" i="67"/>
  <c r="H32" i="67"/>
  <c r="O32" i="67"/>
  <c r="W32" i="67"/>
  <c r="I32" i="67"/>
  <c r="P32" i="67"/>
  <c r="X32" i="67"/>
  <c r="J32" i="67"/>
  <c r="Q32" i="67"/>
  <c r="Y32" i="67"/>
  <c r="E32" i="67"/>
  <c r="M32" i="67"/>
  <c r="T32" i="67"/>
  <c r="AA32" i="67"/>
  <c r="F32" i="67"/>
  <c r="U32" i="67"/>
  <c r="L32" i="67"/>
  <c r="N32" i="67"/>
  <c r="R32" i="67"/>
  <c r="S32" i="67"/>
  <c r="V32" i="67"/>
  <c r="Z32" i="67"/>
  <c r="K32" i="67"/>
  <c r="G32" i="67"/>
  <c r="L36" i="67"/>
  <c r="S36" i="67"/>
  <c r="E36" i="67"/>
  <c r="M36" i="67"/>
  <c r="T36" i="67"/>
  <c r="AA36" i="67"/>
  <c r="F36" i="67"/>
  <c r="U36" i="67"/>
  <c r="I36" i="67"/>
  <c r="P36" i="67"/>
  <c r="X36" i="67"/>
  <c r="J36" i="67"/>
  <c r="Q36" i="67"/>
  <c r="Y36" i="67"/>
  <c r="R36" i="67"/>
  <c r="V36" i="67"/>
  <c r="W36" i="67"/>
  <c r="G36" i="67"/>
  <c r="Z36" i="67"/>
  <c r="H36" i="67"/>
  <c r="K36" i="67"/>
  <c r="N36" i="67"/>
  <c r="O36" i="67"/>
  <c r="G41" i="67"/>
  <c r="N41" i="67"/>
  <c r="V41" i="67"/>
  <c r="H41" i="67"/>
  <c r="O41" i="67"/>
  <c r="W41" i="67"/>
  <c r="I41" i="67"/>
  <c r="P41" i="67"/>
  <c r="X41" i="67"/>
  <c r="L41" i="67"/>
  <c r="S41" i="67"/>
  <c r="E41" i="67"/>
  <c r="M41" i="67"/>
  <c r="T41" i="67"/>
  <c r="AA41" i="67"/>
  <c r="U41" i="67"/>
  <c r="F41" i="67"/>
  <c r="Z41" i="67"/>
  <c r="J41" i="67"/>
  <c r="K41" i="67"/>
  <c r="R41" i="67"/>
  <c r="Y41" i="67"/>
  <c r="Q41" i="67"/>
  <c r="C50" i="67"/>
  <c r="H55" i="67"/>
  <c r="O55" i="67"/>
  <c r="W55" i="67"/>
  <c r="J55" i="67"/>
  <c r="Q55" i="67"/>
  <c r="Y55" i="67"/>
  <c r="L55" i="67"/>
  <c r="S55" i="67"/>
  <c r="E55" i="67"/>
  <c r="M55" i="67"/>
  <c r="T55" i="67"/>
  <c r="AA55" i="67"/>
  <c r="K55" i="67"/>
  <c r="Z55" i="67"/>
  <c r="N55" i="67"/>
  <c r="P55" i="67"/>
  <c r="F55" i="67"/>
  <c r="U55" i="67"/>
  <c r="G55" i="67"/>
  <c r="V55" i="67"/>
  <c r="I55" i="67"/>
  <c r="R55" i="67"/>
  <c r="X55" i="67"/>
  <c r="C55" i="67"/>
  <c r="F63" i="67"/>
  <c r="U63" i="67"/>
  <c r="G63" i="67"/>
  <c r="N63" i="67"/>
  <c r="V63" i="67"/>
  <c r="H63" i="67"/>
  <c r="O63" i="67"/>
  <c r="W63" i="67"/>
  <c r="I63" i="67"/>
  <c r="P63" i="67"/>
  <c r="X63" i="67"/>
  <c r="K63" i="67"/>
  <c r="R63" i="67"/>
  <c r="Z63" i="67"/>
  <c r="L63" i="67"/>
  <c r="S63" i="67"/>
  <c r="E63" i="67"/>
  <c r="J63" i="67"/>
  <c r="M63" i="67"/>
  <c r="Q63" i="67"/>
  <c r="T63" i="67"/>
  <c r="Y63" i="67"/>
  <c r="AA63" i="67"/>
  <c r="L83" i="67"/>
  <c r="S83" i="67"/>
  <c r="E83" i="67"/>
  <c r="M83" i="67"/>
  <c r="T83" i="67"/>
  <c r="AA83" i="67"/>
  <c r="F83" i="67"/>
  <c r="U83" i="67"/>
  <c r="G83" i="67"/>
  <c r="N83" i="67"/>
  <c r="V83" i="67"/>
  <c r="H83" i="67"/>
  <c r="O83" i="67"/>
  <c r="W83" i="67"/>
  <c r="I83" i="67"/>
  <c r="P83" i="67"/>
  <c r="X83" i="67"/>
  <c r="Y83" i="67"/>
  <c r="Z83" i="67"/>
  <c r="K83" i="67"/>
  <c r="Q83" i="67"/>
  <c r="J83" i="67"/>
  <c r="R83" i="67"/>
  <c r="B94" i="67"/>
  <c r="J106" i="67"/>
  <c r="Q106" i="67"/>
  <c r="Y106" i="67"/>
  <c r="K106" i="67"/>
  <c r="R106" i="67"/>
  <c r="Z106" i="67"/>
  <c r="L106" i="67"/>
  <c r="S106" i="67"/>
  <c r="E106" i="67"/>
  <c r="M106" i="67"/>
  <c r="T106" i="67"/>
  <c r="AA106" i="67"/>
  <c r="H106" i="67"/>
  <c r="O106" i="67"/>
  <c r="W106" i="67"/>
  <c r="U106" i="67"/>
  <c r="V106" i="67"/>
  <c r="F106" i="67"/>
  <c r="X106" i="67"/>
  <c r="G106" i="67"/>
  <c r="I106" i="67"/>
  <c r="N106" i="67"/>
  <c r="P106" i="67"/>
  <c r="I115" i="67"/>
  <c r="P115" i="67"/>
  <c r="X115" i="67"/>
  <c r="J115" i="67"/>
  <c r="Q115" i="67"/>
  <c r="Y115" i="67"/>
  <c r="K115" i="67"/>
  <c r="R115" i="67"/>
  <c r="Z115" i="67"/>
  <c r="L115" i="67"/>
  <c r="S115" i="67"/>
  <c r="G115" i="67"/>
  <c r="N115" i="67"/>
  <c r="V115" i="67"/>
  <c r="H115" i="67"/>
  <c r="M115" i="67"/>
  <c r="O115" i="67"/>
  <c r="T115" i="67"/>
  <c r="U115" i="67"/>
  <c r="E115" i="67"/>
  <c r="W115" i="67"/>
  <c r="F115" i="67"/>
  <c r="AA115" i="67"/>
  <c r="L120" i="67"/>
  <c r="E120" i="67"/>
  <c r="M120" i="67"/>
  <c r="T120" i="67"/>
  <c r="AA120" i="67"/>
  <c r="F120" i="67"/>
  <c r="U120" i="67"/>
  <c r="G120" i="67"/>
  <c r="N120" i="67"/>
  <c r="V120" i="67"/>
  <c r="J120" i="67"/>
  <c r="Q120" i="67"/>
  <c r="Y120" i="67"/>
  <c r="K120" i="67"/>
  <c r="O120" i="67"/>
  <c r="P120" i="67"/>
  <c r="R120" i="67"/>
  <c r="W120" i="67"/>
  <c r="H120" i="67"/>
  <c r="X120" i="67"/>
  <c r="S120" i="67"/>
  <c r="Z120" i="67"/>
  <c r="C120" i="67"/>
  <c r="B120" i="67"/>
  <c r="I120" i="67"/>
  <c r="I140" i="67"/>
  <c r="P140" i="67"/>
  <c r="X140" i="67"/>
  <c r="J140" i="67"/>
  <c r="Q140" i="67"/>
  <c r="Y140" i="67"/>
  <c r="L140" i="67"/>
  <c r="U140" i="67"/>
  <c r="M140" i="67"/>
  <c r="V140" i="67"/>
  <c r="E140" i="67"/>
  <c r="N140" i="67"/>
  <c r="Z140" i="67"/>
  <c r="H140" i="67"/>
  <c r="S140" i="67"/>
  <c r="T140" i="67"/>
  <c r="F140" i="67"/>
  <c r="K140" i="67"/>
  <c r="G140" i="67"/>
  <c r="O140" i="67"/>
  <c r="R140" i="67"/>
  <c r="W140" i="67"/>
  <c r="G147" i="67"/>
  <c r="N147" i="67"/>
  <c r="V147" i="67"/>
  <c r="H147" i="67"/>
  <c r="O147" i="67"/>
  <c r="W147" i="67"/>
  <c r="J147" i="67"/>
  <c r="Q147" i="67"/>
  <c r="Y147" i="67"/>
  <c r="E147" i="67"/>
  <c r="M147" i="67"/>
  <c r="T147" i="67"/>
  <c r="AA147" i="67"/>
  <c r="F147" i="67"/>
  <c r="U147" i="67"/>
  <c r="K147" i="67"/>
  <c r="Z147" i="67"/>
  <c r="I147" i="67"/>
  <c r="L147" i="67"/>
  <c r="S147" i="67"/>
  <c r="J152" i="67"/>
  <c r="Q152" i="67"/>
  <c r="Y152" i="67"/>
  <c r="K152" i="67"/>
  <c r="R152" i="67"/>
  <c r="Z152" i="67"/>
  <c r="E152" i="67"/>
  <c r="M152" i="67"/>
  <c r="T152" i="67"/>
  <c r="AA152" i="67"/>
  <c r="H152" i="67"/>
  <c r="O152" i="67"/>
  <c r="W152" i="67"/>
  <c r="I152" i="67"/>
  <c r="X152" i="67"/>
  <c r="P152" i="67"/>
  <c r="F152" i="67"/>
  <c r="G152" i="67"/>
  <c r="L152" i="67"/>
  <c r="N152" i="67"/>
  <c r="V152" i="67"/>
  <c r="F156" i="67"/>
  <c r="U156" i="67"/>
  <c r="G156" i="67"/>
  <c r="N156" i="67"/>
  <c r="V156" i="67"/>
  <c r="I156" i="67"/>
  <c r="P156" i="67"/>
  <c r="X156" i="67"/>
  <c r="L156" i="67"/>
  <c r="S156" i="67"/>
  <c r="E156" i="67"/>
  <c r="T156" i="67"/>
  <c r="J156" i="67"/>
  <c r="Y156" i="67"/>
  <c r="M156" i="67"/>
  <c r="AA156" i="67"/>
  <c r="H156" i="67"/>
  <c r="K156" i="67"/>
  <c r="O156" i="67"/>
  <c r="Q156" i="67"/>
  <c r="Z156" i="67"/>
  <c r="J161" i="67"/>
  <c r="Q161" i="67"/>
  <c r="Y161" i="67"/>
  <c r="L161" i="67"/>
  <c r="S161" i="67"/>
  <c r="G161" i="67"/>
  <c r="N161" i="67"/>
  <c r="V161" i="67"/>
  <c r="E161" i="67"/>
  <c r="P161" i="67"/>
  <c r="H161" i="67"/>
  <c r="T161" i="67"/>
  <c r="K161" i="67"/>
  <c r="W161" i="67"/>
  <c r="F161" i="67"/>
  <c r="Z161" i="67"/>
  <c r="I161" i="67"/>
  <c r="AA161" i="67"/>
  <c r="M161" i="67"/>
  <c r="U161" i="67"/>
  <c r="E177" i="67"/>
  <c r="M177" i="67"/>
  <c r="T177" i="67"/>
  <c r="AA177" i="67"/>
  <c r="F177" i="67"/>
  <c r="U177" i="67"/>
  <c r="G177" i="67"/>
  <c r="N177" i="67"/>
  <c r="V177" i="67"/>
  <c r="H177" i="67"/>
  <c r="O177" i="67"/>
  <c r="W177" i="67"/>
  <c r="K177" i="67"/>
  <c r="R177" i="67"/>
  <c r="Z177" i="67"/>
  <c r="C177" i="67"/>
  <c r="B183" i="67"/>
  <c r="E193" i="67"/>
  <c r="M193" i="67"/>
  <c r="T193" i="67"/>
  <c r="AA193" i="67"/>
  <c r="F193" i="67"/>
  <c r="U193" i="67"/>
  <c r="G193" i="67"/>
  <c r="N193" i="67"/>
  <c r="V193" i="67"/>
  <c r="H193" i="67"/>
  <c r="O193" i="67"/>
  <c r="W193" i="67"/>
  <c r="K193" i="67"/>
  <c r="R193" i="67"/>
  <c r="Z193" i="67"/>
  <c r="H198" i="67"/>
  <c r="O198" i="67"/>
  <c r="W198" i="67"/>
  <c r="I198" i="67"/>
  <c r="P198" i="67"/>
  <c r="X198" i="67"/>
  <c r="J198" i="67"/>
  <c r="Q198" i="67"/>
  <c r="Y198" i="67"/>
  <c r="K198" i="67"/>
  <c r="R198" i="67"/>
  <c r="Z198" i="67"/>
  <c r="F198" i="67"/>
  <c r="U198" i="67"/>
  <c r="E2" i="67"/>
  <c r="I204" i="67"/>
  <c r="N203" i="67"/>
  <c r="Y200" i="67"/>
  <c r="L198" i="67"/>
  <c r="V195" i="67"/>
  <c r="I193" i="67"/>
  <c r="S190" i="67"/>
  <c r="H187" i="67"/>
  <c r="K186" i="67"/>
  <c r="U183" i="67"/>
  <c r="E182" i="67"/>
  <c r="O179" i="67"/>
  <c r="X177" i="67"/>
  <c r="H175" i="67"/>
  <c r="O166" i="67"/>
  <c r="X161" i="67"/>
  <c r="W156" i="67"/>
  <c r="N137" i="67"/>
  <c r="C65" i="67"/>
  <c r="Q203" i="67"/>
  <c r="J6" i="67"/>
  <c r="Q6" i="67"/>
  <c r="Y6" i="67"/>
  <c r="K6" i="67"/>
  <c r="R6" i="67"/>
  <c r="Z6" i="67"/>
  <c r="L6" i="67"/>
  <c r="S6" i="67"/>
  <c r="F6" i="67"/>
  <c r="U6" i="67"/>
  <c r="G6" i="67"/>
  <c r="N6" i="67"/>
  <c r="V6" i="67"/>
  <c r="W6" i="67"/>
  <c r="E6" i="67"/>
  <c r="X6" i="67"/>
  <c r="H6" i="67"/>
  <c r="AA6" i="67"/>
  <c r="O6" i="67"/>
  <c r="P6" i="67"/>
  <c r="I6" i="67"/>
  <c r="M6" i="67"/>
  <c r="T6" i="67"/>
  <c r="F10" i="67"/>
  <c r="U10" i="67"/>
  <c r="G10" i="67"/>
  <c r="N10" i="67"/>
  <c r="V10" i="67"/>
  <c r="H10" i="67"/>
  <c r="O10" i="67"/>
  <c r="W10" i="67"/>
  <c r="J10" i="67"/>
  <c r="Q10" i="67"/>
  <c r="Y10" i="67"/>
  <c r="K10" i="67"/>
  <c r="R10" i="67"/>
  <c r="Z10" i="67"/>
  <c r="I10" i="67"/>
  <c r="AA10" i="67"/>
  <c r="L10" i="67"/>
  <c r="M10" i="67"/>
  <c r="T10" i="67"/>
  <c r="X10" i="67"/>
  <c r="P10" i="67"/>
  <c r="S10" i="67"/>
  <c r="E10" i="67"/>
  <c r="I15" i="67"/>
  <c r="P15" i="67"/>
  <c r="X15" i="67"/>
  <c r="J15" i="67"/>
  <c r="Q15" i="67"/>
  <c r="Y15" i="67"/>
  <c r="K15" i="67"/>
  <c r="R15" i="67"/>
  <c r="Z15" i="67"/>
  <c r="E15" i="67"/>
  <c r="M15" i="67"/>
  <c r="T15" i="67"/>
  <c r="AA15" i="67"/>
  <c r="F15" i="67"/>
  <c r="U15" i="67"/>
  <c r="L15" i="67"/>
  <c r="N15" i="67"/>
  <c r="O15" i="67"/>
  <c r="W15" i="67"/>
  <c r="G15" i="67"/>
  <c r="H15" i="67"/>
  <c r="S15" i="67"/>
  <c r="V15" i="67"/>
  <c r="B23" i="67"/>
  <c r="C26" i="67"/>
  <c r="I31" i="67"/>
  <c r="P31" i="67"/>
  <c r="X31" i="67"/>
  <c r="J31" i="67"/>
  <c r="Q31" i="67"/>
  <c r="Y31" i="67"/>
  <c r="K31" i="67"/>
  <c r="R31" i="67"/>
  <c r="Z31" i="67"/>
  <c r="F31" i="67"/>
  <c r="U31" i="67"/>
  <c r="G31" i="67"/>
  <c r="N31" i="67"/>
  <c r="V31" i="67"/>
  <c r="O31" i="67"/>
  <c r="S31" i="67"/>
  <c r="T31" i="67"/>
  <c r="W31" i="67"/>
  <c r="E31" i="67"/>
  <c r="H31" i="67"/>
  <c r="AA31" i="67"/>
  <c r="M31" i="67"/>
  <c r="L31" i="67"/>
  <c r="E35" i="67"/>
  <c r="M35" i="67"/>
  <c r="T35" i="67"/>
  <c r="AA35" i="67"/>
  <c r="F35" i="67"/>
  <c r="U35" i="67"/>
  <c r="G35" i="67"/>
  <c r="N35" i="67"/>
  <c r="V35" i="67"/>
  <c r="J35" i="67"/>
  <c r="Q35" i="67"/>
  <c r="Y35" i="67"/>
  <c r="K35" i="67"/>
  <c r="R35" i="67"/>
  <c r="Z35" i="67"/>
  <c r="W35" i="67"/>
  <c r="X35" i="67"/>
  <c r="H35" i="67"/>
  <c r="I35" i="67"/>
  <c r="L35" i="67"/>
  <c r="O35" i="67"/>
  <c r="S35" i="67"/>
  <c r="P35" i="67"/>
  <c r="I62" i="67"/>
  <c r="P62" i="67"/>
  <c r="E62" i="67"/>
  <c r="V62" i="67"/>
  <c r="F62" i="67"/>
  <c r="N62" i="67"/>
  <c r="W62" i="67"/>
  <c r="G62" i="67"/>
  <c r="O62" i="67"/>
  <c r="X62" i="67"/>
  <c r="H62" i="67"/>
  <c r="Q62" i="67"/>
  <c r="Y62" i="67"/>
  <c r="K62" i="67"/>
  <c r="S62" i="67"/>
  <c r="L62" i="67"/>
  <c r="T62" i="67"/>
  <c r="AA62" i="67"/>
  <c r="J62" i="67"/>
  <c r="M62" i="67"/>
  <c r="R62" i="67"/>
  <c r="U62" i="67"/>
  <c r="Z62" i="67"/>
  <c r="C62" i="67"/>
  <c r="F71" i="67"/>
  <c r="U71" i="67"/>
  <c r="G71" i="67"/>
  <c r="N71" i="67"/>
  <c r="V71" i="67"/>
  <c r="H71" i="67"/>
  <c r="O71" i="67"/>
  <c r="W71" i="67"/>
  <c r="I71" i="67"/>
  <c r="P71" i="67"/>
  <c r="X71" i="67"/>
  <c r="K71" i="67"/>
  <c r="R71" i="67"/>
  <c r="Z71" i="67"/>
  <c r="E71" i="67"/>
  <c r="J71" i="67"/>
  <c r="AA71" i="67"/>
  <c r="L71" i="67"/>
  <c r="M71" i="67"/>
  <c r="Q71" i="67"/>
  <c r="S71" i="67"/>
  <c r="T71" i="67"/>
  <c r="Y71" i="67"/>
  <c r="E82" i="67"/>
  <c r="M82" i="67"/>
  <c r="T82" i="67"/>
  <c r="AA82" i="67"/>
  <c r="F82" i="67"/>
  <c r="U82" i="67"/>
  <c r="G82" i="67"/>
  <c r="N82" i="67"/>
  <c r="V82" i="67"/>
  <c r="H82" i="67"/>
  <c r="O82" i="67"/>
  <c r="W82" i="67"/>
  <c r="I82" i="67"/>
  <c r="P82" i="67"/>
  <c r="X82" i="67"/>
  <c r="J82" i="67"/>
  <c r="Q82" i="67"/>
  <c r="Y82" i="67"/>
  <c r="R82" i="67"/>
  <c r="S82" i="67"/>
  <c r="Z82" i="67"/>
  <c r="K82" i="67"/>
  <c r="L82" i="67"/>
  <c r="C82" i="67"/>
  <c r="H100" i="67"/>
  <c r="O100" i="67"/>
  <c r="W100" i="67"/>
  <c r="I100" i="67"/>
  <c r="P100" i="67"/>
  <c r="X100" i="67"/>
  <c r="J100" i="67"/>
  <c r="Q100" i="67"/>
  <c r="Y100" i="67"/>
  <c r="K100" i="67"/>
  <c r="R100" i="67"/>
  <c r="Z100" i="67"/>
  <c r="E100" i="67"/>
  <c r="M100" i="67"/>
  <c r="T100" i="67"/>
  <c r="AA100" i="67"/>
  <c r="F100" i="67"/>
  <c r="U100" i="67"/>
  <c r="S100" i="67"/>
  <c r="V100" i="67"/>
  <c r="G100" i="67"/>
  <c r="L100" i="67"/>
  <c r="N100" i="67"/>
  <c r="B100" i="67"/>
  <c r="G134" i="67"/>
  <c r="N134" i="67"/>
  <c r="V134" i="67"/>
  <c r="H134" i="67"/>
  <c r="O134" i="67"/>
  <c r="W134" i="67"/>
  <c r="L134" i="67"/>
  <c r="U134" i="67"/>
  <c r="M134" i="67"/>
  <c r="X134" i="67"/>
  <c r="E134" i="67"/>
  <c r="P134" i="67"/>
  <c r="Z134" i="67"/>
  <c r="J134" i="67"/>
  <c r="S134" i="67"/>
  <c r="T134" i="67"/>
  <c r="F134" i="67"/>
  <c r="I134" i="67"/>
  <c r="AA134" i="67"/>
  <c r="K134" i="67"/>
  <c r="Q134" i="67"/>
  <c r="R134" i="67"/>
  <c r="Y134" i="67"/>
  <c r="C134" i="67"/>
  <c r="C139" i="67"/>
  <c r="E3" i="67"/>
  <c r="M3" i="67"/>
  <c r="T3" i="67"/>
  <c r="AA3" i="67"/>
  <c r="F3" i="67"/>
  <c r="U3" i="67"/>
  <c r="G3" i="67"/>
  <c r="N3" i="67"/>
  <c r="V3" i="67"/>
  <c r="H3" i="67"/>
  <c r="I3" i="67"/>
  <c r="P3" i="67"/>
  <c r="X3" i="67"/>
  <c r="J3" i="67"/>
  <c r="Q3" i="67"/>
  <c r="Y3" i="67"/>
  <c r="K3" i="67"/>
  <c r="L3" i="67"/>
  <c r="O3" i="67"/>
  <c r="R3" i="67"/>
  <c r="Z3" i="67"/>
  <c r="S3" i="67"/>
  <c r="W3" i="67"/>
  <c r="K21" i="67"/>
  <c r="R21" i="67"/>
  <c r="Z21" i="67"/>
  <c r="E21" i="67"/>
  <c r="M21" i="67"/>
  <c r="T21" i="67"/>
  <c r="AA21" i="67"/>
  <c r="G21" i="67"/>
  <c r="N21" i="67"/>
  <c r="V21" i="67"/>
  <c r="H21" i="67"/>
  <c r="O21" i="67"/>
  <c r="W21" i="67"/>
  <c r="P21" i="67"/>
  <c r="Q21" i="67"/>
  <c r="I21" i="67"/>
  <c r="X21" i="67"/>
  <c r="J21" i="67"/>
  <c r="Y21" i="67"/>
  <c r="F21" i="67"/>
  <c r="L21" i="67"/>
  <c r="S21" i="67"/>
  <c r="U21" i="67"/>
  <c r="H24" i="67"/>
  <c r="O24" i="67"/>
  <c r="W24" i="67"/>
  <c r="J24" i="67"/>
  <c r="Q24" i="67"/>
  <c r="Y24" i="67"/>
  <c r="E24" i="67"/>
  <c r="M24" i="67"/>
  <c r="T24" i="67"/>
  <c r="AA24" i="67"/>
  <c r="G24" i="67"/>
  <c r="S24" i="67"/>
  <c r="I24" i="67"/>
  <c r="U24" i="67"/>
  <c r="K24" i="67"/>
  <c r="V24" i="67"/>
  <c r="N24" i="67"/>
  <c r="P24" i="67"/>
  <c r="F24" i="67"/>
  <c r="L24" i="67"/>
  <c r="R24" i="67"/>
  <c r="X24" i="67"/>
  <c r="Z24" i="67"/>
  <c r="K37" i="67"/>
  <c r="R37" i="67"/>
  <c r="Z37" i="67"/>
  <c r="L37" i="67"/>
  <c r="S37" i="67"/>
  <c r="E37" i="67"/>
  <c r="M37" i="67"/>
  <c r="T37" i="67"/>
  <c r="AA37" i="67"/>
  <c r="H37" i="67"/>
  <c r="O37" i="67"/>
  <c r="W37" i="67"/>
  <c r="I37" i="67"/>
  <c r="P37" i="67"/>
  <c r="X37" i="67"/>
  <c r="N37" i="67"/>
  <c r="Q37" i="67"/>
  <c r="U37" i="67"/>
  <c r="V37" i="67"/>
  <c r="F37" i="67"/>
  <c r="Y37" i="67"/>
  <c r="G37" i="67"/>
  <c r="J37" i="67"/>
  <c r="C37" i="67"/>
  <c r="L51" i="67"/>
  <c r="S51" i="67"/>
  <c r="F51" i="67"/>
  <c r="U51" i="67"/>
  <c r="H51" i="67"/>
  <c r="O51" i="67"/>
  <c r="W51" i="67"/>
  <c r="I51" i="67"/>
  <c r="P51" i="67"/>
  <c r="X51" i="67"/>
  <c r="N51" i="67"/>
  <c r="Q51" i="67"/>
  <c r="R51" i="67"/>
  <c r="E51" i="67"/>
  <c r="T51" i="67"/>
  <c r="J51" i="67"/>
  <c r="Y51" i="67"/>
  <c r="K51" i="67"/>
  <c r="Z51" i="67"/>
  <c r="M51" i="67"/>
  <c r="V51" i="67"/>
  <c r="AA51" i="67"/>
  <c r="G51" i="67"/>
  <c r="K60" i="67"/>
  <c r="R60" i="67"/>
  <c r="Z60" i="67"/>
  <c r="E60" i="67"/>
  <c r="M60" i="67"/>
  <c r="T60" i="67"/>
  <c r="AA60" i="67"/>
  <c r="G60" i="67"/>
  <c r="N60" i="67"/>
  <c r="V60" i="67"/>
  <c r="H60" i="67"/>
  <c r="O60" i="67"/>
  <c r="W60" i="67"/>
  <c r="P60" i="67"/>
  <c r="Q60" i="67"/>
  <c r="S60" i="67"/>
  <c r="I60" i="67"/>
  <c r="X60" i="67"/>
  <c r="J60" i="67"/>
  <c r="Y60" i="67"/>
  <c r="F60" i="67"/>
  <c r="L60" i="67"/>
  <c r="U60" i="67"/>
  <c r="E72" i="67"/>
  <c r="M72" i="67"/>
  <c r="T72" i="67"/>
  <c r="F72" i="67"/>
  <c r="U72" i="67"/>
  <c r="G72" i="67"/>
  <c r="N72" i="67"/>
  <c r="V72" i="67"/>
  <c r="H72" i="67"/>
  <c r="O72" i="67"/>
  <c r="W72" i="67"/>
  <c r="J72" i="67"/>
  <c r="Q72" i="67"/>
  <c r="Y72" i="67"/>
  <c r="X72" i="67"/>
  <c r="Z72" i="67"/>
  <c r="I72" i="67"/>
  <c r="K72" i="67"/>
  <c r="AA72" i="67"/>
  <c r="L72" i="67"/>
  <c r="P72" i="67"/>
  <c r="R72" i="67"/>
  <c r="S72" i="67"/>
  <c r="H95" i="67"/>
  <c r="O95" i="67"/>
  <c r="W95" i="67"/>
  <c r="I95" i="67"/>
  <c r="P95" i="67"/>
  <c r="X95" i="67"/>
  <c r="E95" i="67"/>
  <c r="M95" i="67"/>
  <c r="T95" i="67"/>
  <c r="AA95" i="67"/>
  <c r="Z95" i="67"/>
  <c r="N95" i="67"/>
  <c r="Q95" i="67"/>
  <c r="F95" i="67"/>
  <c r="R95" i="67"/>
  <c r="J95" i="67"/>
  <c r="U95" i="67"/>
  <c r="K95" i="67"/>
  <c r="V95" i="67"/>
  <c r="G95" i="67"/>
  <c r="L95" i="67"/>
  <c r="S95" i="67"/>
  <c r="Y95" i="67"/>
  <c r="B95" i="67"/>
  <c r="G101" i="67"/>
  <c r="N101" i="67"/>
  <c r="V101" i="67"/>
  <c r="H101" i="67"/>
  <c r="O101" i="67"/>
  <c r="W101" i="67"/>
  <c r="I101" i="67"/>
  <c r="P101" i="67"/>
  <c r="X101" i="67"/>
  <c r="J101" i="67"/>
  <c r="Q101" i="67"/>
  <c r="Y101" i="67"/>
  <c r="L101" i="67"/>
  <c r="S101" i="67"/>
  <c r="E101" i="67"/>
  <c r="M101" i="67"/>
  <c r="T101" i="67"/>
  <c r="AA101" i="67"/>
  <c r="Z101" i="67"/>
  <c r="F101" i="67"/>
  <c r="K101" i="67"/>
  <c r="R101" i="67"/>
  <c r="U101" i="67"/>
  <c r="C101" i="67"/>
  <c r="B101" i="67"/>
  <c r="E111" i="67"/>
  <c r="M111" i="67"/>
  <c r="T111" i="67"/>
  <c r="AA111" i="67"/>
  <c r="F111" i="67"/>
  <c r="U111" i="67"/>
  <c r="G111" i="67"/>
  <c r="N111" i="67"/>
  <c r="V111" i="67"/>
  <c r="H111" i="67"/>
  <c r="O111" i="67"/>
  <c r="W111" i="67"/>
  <c r="K111" i="67"/>
  <c r="R111" i="67"/>
  <c r="Z111" i="67"/>
  <c r="X111" i="67"/>
  <c r="Y111" i="67"/>
  <c r="I111" i="67"/>
  <c r="J111" i="67"/>
  <c r="L111" i="67"/>
  <c r="P111" i="67"/>
  <c r="Q111" i="67"/>
  <c r="S111" i="67"/>
  <c r="B111" i="67"/>
  <c r="H116" i="67"/>
  <c r="O116" i="67"/>
  <c r="W116" i="67"/>
  <c r="I116" i="67"/>
  <c r="P116" i="67"/>
  <c r="X116" i="67"/>
  <c r="J116" i="67"/>
  <c r="Q116" i="67"/>
  <c r="Y116" i="67"/>
  <c r="K116" i="67"/>
  <c r="R116" i="67"/>
  <c r="Z116" i="67"/>
  <c r="F116" i="67"/>
  <c r="U116" i="67"/>
  <c r="E116" i="67"/>
  <c r="G116" i="67"/>
  <c r="AA116" i="67"/>
  <c r="L116" i="67"/>
  <c r="M116" i="67"/>
  <c r="S116" i="67"/>
  <c r="T116" i="67"/>
  <c r="N116" i="67"/>
  <c r="V116" i="67"/>
  <c r="L121" i="67"/>
  <c r="S121" i="67"/>
  <c r="E121" i="67"/>
  <c r="M121" i="67"/>
  <c r="T121" i="67"/>
  <c r="AA121" i="67"/>
  <c r="F121" i="67"/>
  <c r="U121" i="67"/>
  <c r="I121" i="67"/>
  <c r="P121" i="67"/>
  <c r="X121" i="67"/>
  <c r="R121" i="67"/>
  <c r="G121" i="67"/>
  <c r="V121" i="67"/>
  <c r="H121" i="67"/>
  <c r="W121" i="67"/>
  <c r="J121" i="67"/>
  <c r="Y121" i="67"/>
  <c r="N121" i="67"/>
  <c r="O121" i="67"/>
  <c r="K121" i="67"/>
  <c r="Q121" i="67"/>
  <c r="Z121" i="67"/>
  <c r="H125" i="67"/>
  <c r="O125" i="67"/>
  <c r="W125" i="67"/>
  <c r="I125" i="67"/>
  <c r="P125" i="67"/>
  <c r="X125" i="67"/>
  <c r="J125" i="67"/>
  <c r="Q125" i="67"/>
  <c r="Y125" i="67"/>
  <c r="E125" i="67"/>
  <c r="M125" i="67"/>
  <c r="N125" i="67"/>
  <c r="AA125" i="67"/>
  <c r="R125" i="67"/>
  <c r="S125" i="67"/>
  <c r="F125" i="67"/>
  <c r="T125" i="67"/>
  <c r="K125" i="67"/>
  <c r="V125" i="67"/>
  <c r="L125" i="67"/>
  <c r="Z125" i="67"/>
  <c r="G125" i="67"/>
  <c r="U125" i="67"/>
  <c r="L129" i="67"/>
  <c r="S129" i="67"/>
  <c r="E129" i="67"/>
  <c r="M129" i="67"/>
  <c r="T129" i="67"/>
  <c r="AA129" i="67"/>
  <c r="F129" i="67"/>
  <c r="U129" i="67"/>
  <c r="G129" i="67"/>
  <c r="Q129" i="67"/>
  <c r="H129" i="67"/>
  <c r="R129" i="67"/>
  <c r="J129" i="67"/>
  <c r="W129" i="67"/>
  <c r="N129" i="67"/>
  <c r="Y129" i="67"/>
  <c r="O129" i="67"/>
  <c r="Z129" i="67"/>
  <c r="K129" i="67"/>
  <c r="P129" i="67"/>
  <c r="V129" i="67"/>
  <c r="X129" i="67"/>
  <c r="F135" i="67"/>
  <c r="U135" i="67"/>
  <c r="G135" i="67"/>
  <c r="N135" i="67"/>
  <c r="V135" i="67"/>
  <c r="I135" i="67"/>
  <c r="R135" i="67"/>
  <c r="AA135" i="67"/>
  <c r="J135" i="67"/>
  <c r="S135" i="67"/>
  <c r="L135" i="67"/>
  <c r="W135" i="67"/>
  <c r="E135" i="67"/>
  <c r="P135" i="67"/>
  <c r="Z135" i="67"/>
  <c r="Q135" i="67"/>
  <c r="X135" i="67"/>
  <c r="Y135" i="67"/>
  <c r="H135" i="67"/>
  <c r="K135" i="67"/>
  <c r="O135" i="67"/>
  <c r="T135" i="67"/>
  <c r="C135" i="67"/>
  <c r="F148" i="67"/>
  <c r="U148" i="67"/>
  <c r="G148" i="67"/>
  <c r="N148" i="67"/>
  <c r="V148" i="67"/>
  <c r="I148" i="67"/>
  <c r="P148" i="67"/>
  <c r="X148" i="67"/>
  <c r="L148" i="67"/>
  <c r="S148" i="67"/>
  <c r="M148" i="67"/>
  <c r="AA148" i="67"/>
  <c r="Q148" i="67"/>
  <c r="E148" i="67"/>
  <c r="T148" i="67"/>
  <c r="Z148" i="67"/>
  <c r="H148" i="67"/>
  <c r="J148" i="67"/>
  <c r="K148" i="67"/>
  <c r="W148" i="67"/>
  <c r="C148" i="67"/>
  <c r="L178" i="67"/>
  <c r="S178" i="67"/>
  <c r="E178" i="67"/>
  <c r="M178" i="67"/>
  <c r="T178" i="67"/>
  <c r="AA178" i="67"/>
  <c r="F178" i="67"/>
  <c r="U178" i="67"/>
  <c r="G178" i="67"/>
  <c r="N178" i="67"/>
  <c r="V178" i="67"/>
  <c r="J178" i="67"/>
  <c r="Q178" i="67"/>
  <c r="Y178" i="67"/>
  <c r="J2" i="67"/>
  <c r="AA2" i="67"/>
  <c r="G204" i="67"/>
  <c r="J203" i="67"/>
  <c r="T200" i="67"/>
  <c r="AA198" i="67"/>
  <c r="G198" i="67"/>
  <c r="Y193" i="67"/>
  <c r="L191" i="67"/>
  <c r="Y187" i="67"/>
  <c r="G187" i="67"/>
  <c r="I186" i="67"/>
  <c r="S183" i="67"/>
  <c r="V182" i="67"/>
  <c r="P178" i="67"/>
  <c r="S177" i="67"/>
  <c r="Z174" i="67"/>
  <c r="X170" i="67"/>
  <c r="R161" i="67"/>
  <c r="R156" i="67"/>
  <c r="O148" i="67"/>
  <c r="F145" i="67"/>
  <c r="M135" i="67"/>
  <c r="G164" i="67"/>
  <c r="N164" i="67"/>
  <c r="V164" i="67"/>
  <c r="I164" i="67"/>
  <c r="P164" i="67"/>
  <c r="X164" i="67"/>
  <c r="L164" i="67"/>
  <c r="S164" i="67"/>
  <c r="F164" i="67"/>
  <c r="R164" i="67"/>
  <c r="J164" i="67"/>
  <c r="U164" i="67"/>
  <c r="M164" i="67"/>
  <c r="Y164" i="67"/>
  <c r="O164" i="67"/>
  <c r="Q164" i="67"/>
  <c r="T164" i="67"/>
  <c r="H164" i="67"/>
  <c r="AA164" i="67"/>
  <c r="R186" i="67"/>
  <c r="Z164" i="67"/>
  <c r="G9" i="67"/>
  <c r="N9" i="67"/>
  <c r="V9" i="67"/>
  <c r="H9" i="67"/>
  <c r="O9" i="67"/>
  <c r="W9" i="67"/>
  <c r="I9" i="67"/>
  <c r="P9" i="67"/>
  <c r="X9" i="67"/>
  <c r="K9" i="67"/>
  <c r="R9" i="67"/>
  <c r="Z9" i="67"/>
  <c r="L9" i="67"/>
  <c r="S9" i="67"/>
  <c r="M9" i="67"/>
  <c r="Q9" i="67"/>
  <c r="E9" i="67"/>
  <c r="Y9" i="67"/>
  <c r="F9" i="67"/>
  <c r="AA9" i="67"/>
  <c r="J9" i="67"/>
  <c r="T9" i="67"/>
  <c r="U9" i="67"/>
  <c r="F18" i="67"/>
  <c r="U18" i="67"/>
  <c r="G18" i="67"/>
  <c r="N18" i="67"/>
  <c r="V18" i="67"/>
  <c r="H18" i="67"/>
  <c r="O18" i="67"/>
  <c r="W18" i="67"/>
  <c r="J18" i="67"/>
  <c r="Q18" i="67"/>
  <c r="Y18" i="67"/>
  <c r="K18" i="67"/>
  <c r="R18" i="67"/>
  <c r="Z18" i="67"/>
  <c r="T18" i="67"/>
  <c r="X18" i="67"/>
  <c r="E18" i="67"/>
  <c r="M18" i="67"/>
  <c r="P18" i="67"/>
  <c r="I18" i="67"/>
  <c r="L18" i="67"/>
  <c r="S18" i="67"/>
  <c r="AA18" i="67"/>
  <c r="C34" i="67"/>
  <c r="J77" i="67"/>
  <c r="Q77" i="67"/>
  <c r="Y77" i="67"/>
  <c r="K77" i="67"/>
  <c r="R77" i="67"/>
  <c r="E77" i="67"/>
  <c r="M77" i="67"/>
  <c r="T77" i="67"/>
  <c r="AA77" i="67"/>
  <c r="F77" i="67"/>
  <c r="P77" i="67"/>
  <c r="G77" i="67"/>
  <c r="S77" i="67"/>
  <c r="H77" i="67"/>
  <c r="U77" i="67"/>
  <c r="I77" i="67"/>
  <c r="V77" i="67"/>
  <c r="L77" i="67"/>
  <c r="W77" i="67"/>
  <c r="X77" i="67"/>
  <c r="N77" i="67"/>
  <c r="O77" i="67"/>
  <c r="Z77" i="67"/>
  <c r="F81" i="67"/>
  <c r="U81" i="67"/>
  <c r="G81" i="67"/>
  <c r="N81" i="67"/>
  <c r="V81" i="67"/>
  <c r="H81" i="67"/>
  <c r="O81" i="67"/>
  <c r="W81" i="67"/>
  <c r="I81" i="67"/>
  <c r="P81" i="67"/>
  <c r="X81" i="67"/>
  <c r="J81" i="67"/>
  <c r="Q81" i="67"/>
  <c r="Y81" i="67"/>
  <c r="K81" i="67"/>
  <c r="R81" i="67"/>
  <c r="Z81" i="67"/>
  <c r="L81" i="67"/>
  <c r="M81" i="67"/>
  <c r="S81" i="67"/>
  <c r="T81" i="67"/>
  <c r="AA81" i="67"/>
  <c r="E81" i="67"/>
  <c r="I86" i="67"/>
  <c r="P86" i="67"/>
  <c r="X86" i="67"/>
  <c r="J86" i="67"/>
  <c r="Q86" i="67"/>
  <c r="Y86" i="67"/>
  <c r="K86" i="67"/>
  <c r="R86" i="67"/>
  <c r="Z86" i="67"/>
  <c r="L86" i="67"/>
  <c r="S86" i="67"/>
  <c r="E86" i="67"/>
  <c r="M86" i="67"/>
  <c r="T86" i="67"/>
  <c r="AA86" i="67"/>
  <c r="F86" i="67"/>
  <c r="U86" i="67"/>
  <c r="N86" i="67"/>
  <c r="O86" i="67"/>
  <c r="V86" i="67"/>
  <c r="W86" i="67"/>
  <c r="G86" i="67"/>
  <c r="H86" i="67"/>
  <c r="J93" i="67"/>
  <c r="Q93" i="67"/>
  <c r="Y93" i="67"/>
  <c r="K93" i="67"/>
  <c r="R93" i="67"/>
  <c r="Z93" i="67"/>
  <c r="L93" i="67"/>
  <c r="S93" i="67"/>
  <c r="F93" i="67"/>
  <c r="U93" i="67"/>
  <c r="G93" i="67"/>
  <c r="N93" i="67"/>
  <c r="V93" i="67"/>
  <c r="W93" i="67"/>
  <c r="E93" i="67"/>
  <c r="X93" i="67"/>
  <c r="H93" i="67"/>
  <c r="I93" i="67"/>
  <c r="AA93" i="67"/>
  <c r="O93" i="67"/>
  <c r="P93" i="67"/>
  <c r="M93" i="67"/>
  <c r="T93" i="67"/>
  <c r="C93" i="67"/>
  <c r="B93" i="67"/>
  <c r="B99" i="67"/>
  <c r="C113" i="67"/>
  <c r="B123" i="67"/>
  <c r="N187" i="67"/>
  <c r="P186" i="67"/>
  <c r="C166" i="67"/>
  <c r="C6" i="67"/>
  <c r="L4" i="67"/>
  <c r="S4" i="67"/>
  <c r="E4" i="67"/>
  <c r="M4" i="67"/>
  <c r="T4" i="67"/>
  <c r="AA4" i="67"/>
  <c r="F4" i="67"/>
  <c r="U4" i="67"/>
  <c r="H4" i="67"/>
  <c r="O4" i="67"/>
  <c r="W4" i="67"/>
  <c r="I4" i="67"/>
  <c r="P4" i="67"/>
  <c r="X4" i="67"/>
  <c r="J4" i="67"/>
  <c r="K4" i="67"/>
  <c r="N4" i="67"/>
  <c r="V4" i="67"/>
  <c r="Y4" i="67"/>
  <c r="G4" i="67"/>
  <c r="Q4" i="67"/>
  <c r="R4" i="67"/>
  <c r="Z4" i="67"/>
  <c r="B21" i="67"/>
  <c r="B24" i="67"/>
  <c r="L28" i="67"/>
  <c r="S28" i="67"/>
  <c r="F28" i="67"/>
  <c r="U28" i="67"/>
  <c r="I28" i="67"/>
  <c r="P28" i="67"/>
  <c r="X28" i="67"/>
  <c r="J28" i="67"/>
  <c r="V28" i="67"/>
  <c r="K28" i="67"/>
  <c r="W28" i="67"/>
  <c r="M28" i="67"/>
  <c r="Y28" i="67"/>
  <c r="E28" i="67"/>
  <c r="Q28" i="67"/>
  <c r="G28" i="67"/>
  <c r="R28" i="67"/>
  <c r="H28" i="67"/>
  <c r="N28" i="67"/>
  <c r="O28" i="67"/>
  <c r="T28" i="67"/>
  <c r="Z28" i="67"/>
  <c r="AA28" i="67"/>
  <c r="J38" i="67"/>
  <c r="Q38" i="67"/>
  <c r="Y38" i="67"/>
  <c r="K38" i="67"/>
  <c r="R38" i="67"/>
  <c r="Z38" i="67"/>
  <c r="L38" i="67"/>
  <c r="S38" i="67"/>
  <c r="G38" i="67"/>
  <c r="N38" i="67"/>
  <c r="V38" i="67"/>
  <c r="H38" i="67"/>
  <c r="O38" i="67"/>
  <c r="W38" i="67"/>
  <c r="M38" i="67"/>
  <c r="P38" i="67"/>
  <c r="T38" i="67"/>
  <c r="U38" i="67"/>
  <c r="E38" i="67"/>
  <c r="X38" i="67"/>
  <c r="I38" i="67"/>
  <c r="AA38" i="67"/>
  <c r="F38" i="67"/>
  <c r="H47" i="67"/>
  <c r="O47" i="67"/>
  <c r="W47" i="67"/>
  <c r="J47" i="67"/>
  <c r="Q47" i="67"/>
  <c r="Y47" i="67"/>
  <c r="K47" i="67"/>
  <c r="R47" i="67"/>
  <c r="Z47" i="67"/>
  <c r="L47" i="67"/>
  <c r="S47" i="67"/>
  <c r="E47" i="67"/>
  <c r="M47" i="67"/>
  <c r="T47" i="67"/>
  <c r="AA47" i="67"/>
  <c r="N47" i="67"/>
  <c r="P47" i="67"/>
  <c r="U47" i="67"/>
  <c r="F47" i="67"/>
  <c r="X47" i="67"/>
  <c r="G47" i="67"/>
  <c r="I47" i="67"/>
  <c r="V47" i="67"/>
  <c r="K52" i="67"/>
  <c r="R52" i="67"/>
  <c r="Z52" i="67"/>
  <c r="E52" i="67"/>
  <c r="M52" i="67"/>
  <c r="T52" i="67"/>
  <c r="AA52" i="67"/>
  <c r="G52" i="67"/>
  <c r="N52" i="67"/>
  <c r="V52" i="67"/>
  <c r="H52" i="67"/>
  <c r="O52" i="67"/>
  <c r="W52" i="67"/>
  <c r="F52" i="67"/>
  <c r="U52" i="67"/>
  <c r="I52" i="67"/>
  <c r="X52" i="67"/>
  <c r="J52" i="67"/>
  <c r="Y52" i="67"/>
  <c r="L52" i="67"/>
  <c r="P52" i="67"/>
  <c r="Q52" i="67"/>
  <c r="S52" i="67"/>
  <c r="B52" i="67"/>
  <c r="G56" i="67"/>
  <c r="N56" i="67"/>
  <c r="V56" i="67"/>
  <c r="I56" i="67"/>
  <c r="P56" i="67"/>
  <c r="X56" i="67"/>
  <c r="K56" i="67"/>
  <c r="R56" i="67"/>
  <c r="Z56" i="67"/>
  <c r="L56" i="67"/>
  <c r="S56" i="67"/>
  <c r="Q56" i="67"/>
  <c r="E56" i="67"/>
  <c r="T56" i="67"/>
  <c r="F56" i="67"/>
  <c r="U56" i="67"/>
  <c r="H56" i="67"/>
  <c r="W56" i="67"/>
  <c r="M56" i="67"/>
  <c r="AA56" i="67"/>
  <c r="O56" i="67"/>
  <c r="Y56" i="67"/>
  <c r="J56" i="67"/>
  <c r="B60" i="67"/>
  <c r="J67" i="67"/>
  <c r="Q67" i="67"/>
  <c r="Y67" i="67"/>
  <c r="K67" i="67"/>
  <c r="R67" i="67"/>
  <c r="Z67" i="67"/>
  <c r="L67" i="67"/>
  <c r="S67" i="67"/>
  <c r="E67" i="67"/>
  <c r="M67" i="67"/>
  <c r="T67" i="67"/>
  <c r="AA67" i="67"/>
  <c r="G67" i="67"/>
  <c r="N67" i="67"/>
  <c r="V67" i="67"/>
  <c r="H67" i="67"/>
  <c r="O67" i="67"/>
  <c r="W67" i="67"/>
  <c r="F67" i="67"/>
  <c r="I67" i="67"/>
  <c r="P67" i="67"/>
  <c r="U67" i="67"/>
  <c r="X67" i="67"/>
  <c r="H79" i="67"/>
  <c r="O79" i="67"/>
  <c r="W79" i="67"/>
  <c r="I79" i="67"/>
  <c r="P79" i="67"/>
  <c r="X79" i="67"/>
  <c r="J79" i="67"/>
  <c r="Q79" i="67"/>
  <c r="Y79" i="67"/>
  <c r="K79" i="67"/>
  <c r="R79" i="67"/>
  <c r="Z79" i="67"/>
  <c r="L79" i="67"/>
  <c r="S79" i="67"/>
  <c r="E79" i="67"/>
  <c r="M79" i="67"/>
  <c r="T79" i="67"/>
  <c r="AA79" i="67"/>
  <c r="F79" i="67"/>
  <c r="G79" i="67"/>
  <c r="N79" i="67"/>
  <c r="U79" i="67"/>
  <c r="V79" i="67"/>
  <c r="C79" i="67"/>
  <c r="F89" i="67"/>
  <c r="U89" i="67"/>
  <c r="G89" i="67"/>
  <c r="N89" i="67"/>
  <c r="V89" i="67"/>
  <c r="H89" i="67"/>
  <c r="O89" i="67"/>
  <c r="W89" i="67"/>
  <c r="J89" i="67"/>
  <c r="Q89" i="67"/>
  <c r="Y89" i="67"/>
  <c r="K89" i="67"/>
  <c r="R89" i="67"/>
  <c r="Z89" i="67"/>
  <c r="P89" i="67"/>
  <c r="S89" i="67"/>
  <c r="T89" i="67"/>
  <c r="X89" i="67"/>
  <c r="I89" i="67"/>
  <c r="AA89" i="67"/>
  <c r="L89" i="67"/>
  <c r="E89" i="67"/>
  <c r="M89" i="67"/>
  <c r="G96" i="67"/>
  <c r="N96" i="67"/>
  <c r="H96" i="67"/>
  <c r="O96" i="67"/>
  <c r="W96" i="67"/>
  <c r="L96" i="67"/>
  <c r="S96" i="67"/>
  <c r="Y96" i="67"/>
  <c r="P96" i="67"/>
  <c r="Z96" i="67"/>
  <c r="E96" i="67"/>
  <c r="Q96" i="67"/>
  <c r="AA96" i="67"/>
  <c r="F96" i="67"/>
  <c r="R96" i="67"/>
  <c r="J96" i="67"/>
  <c r="U96" i="67"/>
  <c r="K96" i="67"/>
  <c r="V96" i="67"/>
  <c r="T96" i="67"/>
  <c r="X96" i="67"/>
  <c r="I96" i="67"/>
  <c r="M96" i="67"/>
  <c r="F102" i="67"/>
  <c r="U102" i="67"/>
  <c r="G102" i="67"/>
  <c r="N102" i="67"/>
  <c r="V102" i="67"/>
  <c r="H102" i="67"/>
  <c r="O102" i="67"/>
  <c r="W102" i="67"/>
  <c r="I102" i="67"/>
  <c r="P102" i="67"/>
  <c r="X102" i="67"/>
  <c r="K102" i="67"/>
  <c r="R102" i="67"/>
  <c r="Z102" i="67"/>
  <c r="L102" i="67"/>
  <c r="S102" i="67"/>
  <c r="E102" i="67"/>
  <c r="J102" i="67"/>
  <c r="M102" i="67"/>
  <c r="Q102" i="67"/>
  <c r="T102" i="67"/>
  <c r="Y102" i="67"/>
  <c r="AA102" i="67"/>
  <c r="I107" i="67"/>
  <c r="P107" i="67"/>
  <c r="X107" i="67"/>
  <c r="J107" i="67"/>
  <c r="Q107" i="67"/>
  <c r="Y107" i="67"/>
  <c r="K107" i="67"/>
  <c r="R107" i="67"/>
  <c r="Z107" i="67"/>
  <c r="L107" i="67"/>
  <c r="S107" i="67"/>
  <c r="G107" i="67"/>
  <c r="N107" i="67"/>
  <c r="V107" i="67"/>
  <c r="O107" i="67"/>
  <c r="T107" i="67"/>
  <c r="U107" i="67"/>
  <c r="E107" i="67"/>
  <c r="W107" i="67"/>
  <c r="F107" i="67"/>
  <c r="AA107" i="67"/>
  <c r="H107" i="67"/>
  <c r="M107" i="67"/>
  <c r="C111" i="67"/>
  <c r="B121" i="67"/>
  <c r="B125" i="67"/>
  <c r="B135" i="67"/>
  <c r="G142" i="67"/>
  <c r="N142" i="67"/>
  <c r="V142" i="67"/>
  <c r="H142" i="67"/>
  <c r="O142" i="67"/>
  <c r="W142" i="67"/>
  <c r="Y142" i="67"/>
  <c r="E142" i="67"/>
  <c r="P142" i="67"/>
  <c r="Z142" i="67"/>
  <c r="I142" i="67"/>
  <c r="R142" i="67"/>
  <c r="AA142" i="67"/>
  <c r="L142" i="67"/>
  <c r="U142" i="67"/>
  <c r="M142" i="67"/>
  <c r="S142" i="67"/>
  <c r="X142" i="67"/>
  <c r="F142" i="67"/>
  <c r="J142" i="67"/>
  <c r="K142" i="67"/>
  <c r="Q142" i="67"/>
  <c r="B148" i="67"/>
  <c r="L158" i="67"/>
  <c r="S158" i="67"/>
  <c r="E158" i="67"/>
  <c r="M158" i="67"/>
  <c r="T158" i="67"/>
  <c r="AA158" i="67"/>
  <c r="G158" i="67"/>
  <c r="N158" i="67"/>
  <c r="V158" i="67"/>
  <c r="J158" i="67"/>
  <c r="Q158" i="67"/>
  <c r="Y158" i="67"/>
  <c r="R158" i="67"/>
  <c r="H158" i="67"/>
  <c r="W158" i="67"/>
  <c r="K158" i="67"/>
  <c r="Z158" i="67"/>
  <c r="I158" i="67"/>
  <c r="O158" i="67"/>
  <c r="P158" i="67"/>
  <c r="K179" i="67"/>
  <c r="R179" i="67"/>
  <c r="Z179" i="67"/>
  <c r="L179" i="67"/>
  <c r="S179" i="67"/>
  <c r="E179" i="67"/>
  <c r="M179" i="67"/>
  <c r="T179" i="67"/>
  <c r="AA179" i="67"/>
  <c r="F179" i="67"/>
  <c r="U179" i="67"/>
  <c r="C179" i="67"/>
  <c r="I179" i="67"/>
  <c r="P179" i="67"/>
  <c r="X179" i="67"/>
  <c r="H190" i="67"/>
  <c r="O190" i="67"/>
  <c r="W190" i="67"/>
  <c r="I190" i="67"/>
  <c r="P190" i="67"/>
  <c r="X190" i="67"/>
  <c r="J190" i="67"/>
  <c r="Q190" i="67"/>
  <c r="Y190" i="67"/>
  <c r="K190" i="67"/>
  <c r="R190" i="67"/>
  <c r="Z190" i="67"/>
  <c r="F190" i="67"/>
  <c r="U190" i="67"/>
  <c r="B190" i="67"/>
  <c r="K195" i="67"/>
  <c r="R195" i="67"/>
  <c r="Z195" i="67"/>
  <c r="L195" i="67"/>
  <c r="S195" i="67"/>
  <c r="E195" i="67"/>
  <c r="M195" i="67"/>
  <c r="T195" i="67"/>
  <c r="AA195" i="67"/>
  <c r="F195" i="67"/>
  <c r="U195" i="67"/>
  <c r="I195" i="67"/>
  <c r="P195" i="67"/>
  <c r="X195" i="67"/>
  <c r="L2" i="67"/>
  <c r="X204" i="67"/>
  <c r="F204" i="67"/>
  <c r="H203" i="67"/>
  <c r="E198" i="67"/>
  <c r="O195" i="67"/>
  <c r="X193" i="67"/>
  <c r="M190" i="67"/>
  <c r="W187" i="67"/>
  <c r="Z186" i="67"/>
  <c r="H186" i="67"/>
  <c r="R183" i="67"/>
  <c r="T182" i="67"/>
  <c r="J179" i="67"/>
  <c r="O178" i="67"/>
  <c r="Q177" i="67"/>
  <c r="Z175" i="67"/>
  <c r="O161" i="67"/>
  <c r="X158" i="67"/>
  <c r="X147" i="67"/>
  <c r="E145" i="67"/>
  <c r="J22" i="67"/>
  <c r="Q22" i="67"/>
  <c r="Y22" i="67"/>
  <c r="L22" i="67"/>
  <c r="S22" i="67"/>
  <c r="F22" i="67"/>
  <c r="G22" i="67"/>
  <c r="N22" i="67"/>
  <c r="V22" i="67"/>
  <c r="E22" i="67"/>
  <c r="R22" i="67"/>
  <c r="H22" i="67"/>
  <c r="T22" i="67"/>
  <c r="I22" i="67"/>
  <c r="U22" i="67"/>
  <c r="Z22" i="67"/>
  <c r="O22" i="67"/>
  <c r="AA22" i="67"/>
  <c r="W22" i="67"/>
  <c r="X22" i="67"/>
  <c r="K22" i="67"/>
  <c r="P22" i="67"/>
  <c r="M22" i="67"/>
  <c r="I39" i="67"/>
  <c r="P39" i="67"/>
  <c r="X39" i="67"/>
  <c r="J39" i="67"/>
  <c r="Q39" i="67"/>
  <c r="Y39" i="67"/>
  <c r="K39" i="67"/>
  <c r="R39" i="67"/>
  <c r="Z39" i="67"/>
  <c r="F39" i="67"/>
  <c r="U39" i="67"/>
  <c r="G39" i="67"/>
  <c r="N39" i="67"/>
  <c r="V39" i="67"/>
  <c r="H39" i="67"/>
  <c r="AA39" i="67"/>
  <c r="L39" i="67"/>
  <c r="M39" i="67"/>
  <c r="O39" i="67"/>
  <c r="S39" i="67"/>
  <c r="T39" i="67"/>
  <c r="E39" i="67"/>
  <c r="W39" i="67"/>
  <c r="J131" i="67"/>
  <c r="Q131" i="67"/>
  <c r="Y131" i="67"/>
  <c r="K131" i="67"/>
  <c r="R131" i="67"/>
  <c r="Z131" i="67"/>
  <c r="L131" i="67"/>
  <c r="S131" i="67"/>
  <c r="G131" i="67"/>
  <c r="T131" i="67"/>
  <c r="H131" i="67"/>
  <c r="U131" i="67"/>
  <c r="M131" i="67"/>
  <c r="W131" i="67"/>
  <c r="N131" i="67"/>
  <c r="AA131" i="67"/>
  <c r="E131" i="67"/>
  <c r="O131" i="67"/>
  <c r="V131" i="67"/>
  <c r="F131" i="67"/>
  <c r="I131" i="67"/>
  <c r="P131" i="67"/>
  <c r="X131" i="67"/>
  <c r="J144" i="67"/>
  <c r="Q144" i="67"/>
  <c r="Y144" i="67"/>
  <c r="K144" i="67"/>
  <c r="R144" i="67"/>
  <c r="Z144" i="67"/>
  <c r="E144" i="67"/>
  <c r="M144" i="67"/>
  <c r="T144" i="67"/>
  <c r="AA144" i="67"/>
  <c r="H144" i="67"/>
  <c r="O144" i="67"/>
  <c r="W144" i="67"/>
  <c r="P144" i="67"/>
  <c r="F144" i="67"/>
  <c r="U144" i="67"/>
  <c r="I144" i="67"/>
  <c r="X144" i="67"/>
  <c r="L144" i="67"/>
  <c r="N144" i="67"/>
  <c r="S144" i="67"/>
  <c r="V144" i="67"/>
  <c r="K170" i="67"/>
  <c r="R170" i="67"/>
  <c r="Z170" i="67"/>
  <c r="F170" i="67"/>
  <c r="U170" i="67"/>
  <c r="E170" i="67"/>
  <c r="O170" i="67"/>
  <c r="Y170" i="67"/>
  <c r="J170" i="67"/>
  <c r="T170" i="67"/>
  <c r="M170" i="67"/>
  <c r="N170" i="67"/>
  <c r="AA170" i="67"/>
  <c r="P170" i="67"/>
  <c r="Q170" i="67"/>
  <c r="I170" i="67"/>
  <c r="W170" i="67"/>
  <c r="F174" i="67"/>
  <c r="U174" i="67"/>
  <c r="J174" i="67"/>
  <c r="Q174" i="67"/>
  <c r="Y174" i="67"/>
  <c r="G174" i="67"/>
  <c r="P174" i="67"/>
  <c r="H174" i="67"/>
  <c r="R174" i="67"/>
  <c r="AA174" i="67"/>
  <c r="I174" i="67"/>
  <c r="S174" i="67"/>
  <c r="C174" i="67"/>
  <c r="K174" i="67"/>
  <c r="T174" i="67"/>
  <c r="B174" i="67"/>
  <c r="N174" i="67"/>
  <c r="X174" i="67"/>
  <c r="M174" i="67"/>
  <c r="B5" i="67"/>
  <c r="J14" i="67"/>
  <c r="Q14" i="67"/>
  <c r="Y14" i="67"/>
  <c r="K14" i="67"/>
  <c r="R14" i="67"/>
  <c r="Z14" i="67"/>
  <c r="L14" i="67"/>
  <c r="S14" i="67"/>
  <c r="F14" i="67"/>
  <c r="U14" i="67"/>
  <c r="G14" i="67"/>
  <c r="N14" i="67"/>
  <c r="V14" i="67"/>
  <c r="O14" i="67"/>
  <c r="P14" i="67"/>
  <c r="T14" i="67"/>
  <c r="H14" i="67"/>
  <c r="AA14" i="67"/>
  <c r="I14" i="67"/>
  <c r="X14" i="67"/>
  <c r="E14" i="67"/>
  <c r="W14" i="67"/>
  <c r="M14" i="67"/>
  <c r="B26" i="67"/>
  <c r="G30" i="67"/>
  <c r="J30" i="67"/>
  <c r="Q30" i="67"/>
  <c r="Y30" i="67"/>
  <c r="K30" i="67"/>
  <c r="R30" i="67"/>
  <c r="Z30" i="67"/>
  <c r="L30" i="67"/>
  <c r="S30" i="67"/>
  <c r="F30" i="67"/>
  <c r="N30" i="67"/>
  <c r="V30" i="67"/>
  <c r="H30" i="67"/>
  <c r="O30" i="67"/>
  <c r="W30" i="67"/>
  <c r="T30" i="67"/>
  <c r="U30" i="67"/>
  <c r="X30" i="67"/>
  <c r="E30" i="67"/>
  <c r="AA30" i="67"/>
  <c r="I30" i="67"/>
  <c r="M30" i="67"/>
  <c r="P30" i="67"/>
  <c r="J45" i="67"/>
  <c r="Q45" i="67"/>
  <c r="Y45" i="67"/>
  <c r="L45" i="67"/>
  <c r="S45" i="67"/>
  <c r="E45" i="67"/>
  <c r="M45" i="67"/>
  <c r="T45" i="67"/>
  <c r="AA45" i="67"/>
  <c r="F45" i="67"/>
  <c r="U45" i="67"/>
  <c r="G45" i="67"/>
  <c r="N45" i="67"/>
  <c r="V45" i="67"/>
  <c r="R45" i="67"/>
  <c r="W45" i="67"/>
  <c r="X45" i="67"/>
  <c r="H45" i="67"/>
  <c r="Z45" i="67"/>
  <c r="K45" i="67"/>
  <c r="O45" i="67"/>
  <c r="I45" i="67"/>
  <c r="P45" i="67"/>
  <c r="C49" i="67"/>
  <c r="E119" i="67"/>
  <c r="M119" i="67"/>
  <c r="T119" i="67"/>
  <c r="AA119" i="67"/>
  <c r="F119" i="67"/>
  <c r="U119" i="67"/>
  <c r="G119" i="67"/>
  <c r="N119" i="67"/>
  <c r="V119" i="67"/>
  <c r="H119" i="67"/>
  <c r="O119" i="67"/>
  <c r="W119" i="67"/>
  <c r="K119" i="67"/>
  <c r="R119" i="67"/>
  <c r="Z119" i="67"/>
  <c r="P119" i="67"/>
  <c r="Q119" i="67"/>
  <c r="S119" i="67"/>
  <c r="X119" i="67"/>
  <c r="I119" i="67"/>
  <c r="J119" i="67"/>
  <c r="Y119" i="67"/>
  <c r="L119" i="67"/>
  <c r="B119" i="67"/>
  <c r="C119" i="67"/>
  <c r="K151" i="67"/>
  <c r="R151" i="67"/>
  <c r="Z151" i="67"/>
  <c r="L151" i="67"/>
  <c r="S151" i="67"/>
  <c r="F151" i="67"/>
  <c r="U151" i="67"/>
  <c r="I151" i="67"/>
  <c r="P151" i="67"/>
  <c r="X151" i="67"/>
  <c r="Q151" i="67"/>
  <c r="G151" i="67"/>
  <c r="V151" i="67"/>
  <c r="J151" i="67"/>
  <c r="Y151" i="67"/>
  <c r="E151" i="67"/>
  <c r="H151" i="67"/>
  <c r="M151" i="67"/>
  <c r="N151" i="67"/>
  <c r="W151" i="67"/>
  <c r="I7" i="67"/>
  <c r="P7" i="67"/>
  <c r="X7" i="67"/>
  <c r="J7" i="67"/>
  <c r="Q7" i="67"/>
  <c r="Y7" i="67"/>
  <c r="K7" i="67"/>
  <c r="R7" i="67"/>
  <c r="Z7" i="67"/>
  <c r="E7" i="67"/>
  <c r="M7" i="67"/>
  <c r="T7" i="67"/>
  <c r="AA7" i="67"/>
  <c r="F7" i="67"/>
  <c r="U7" i="67"/>
  <c r="S7" i="67"/>
  <c r="V7" i="67"/>
  <c r="W7" i="67"/>
  <c r="L7" i="67"/>
  <c r="N7" i="67"/>
  <c r="G7" i="67"/>
  <c r="H7" i="67"/>
  <c r="O7" i="67"/>
  <c r="L12" i="67"/>
  <c r="S12" i="67"/>
  <c r="E12" i="67"/>
  <c r="M12" i="67"/>
  <c r="T12" i="67"/>
  <c r="AA12" i="67"/>
  <c r="F12" i="67"/>
  <c r="U12" i="67"/>
  <c r="H12" i="67"/>
  <c r="O12" i="67"/>
  <c r="W12" i="67"/>
  <c r="I12" i="67"/>
  <c r="P12" i="67"/>
  <c r="X12" i="67"/>
  <c r="V12" i="67"/>
  <c r="Y12" i="67"/>
  <c r="G12" i="67"/>
  <c r="Z12" i="67"/>
  <c r="N12" i="67"/>
  <c r="Q12" i="67"/>
  <c r="R12" i="67"/>
  <c r="K12" i="67"/>
  <c r="J12" i="67"/>
  <c r="B4" i="67"/>
  <c r="B7" i="67"/>
  <c r="B12" i="67"/>
  <c r="G17" i="67"/>
  <c r="N17" i="67"/>
  <c r="V17" i="67"/>
  <c r="H17" i="67"/>
  <c r="O17" i="67"/>
  <c r="W17" i="67"/>
  <c r="I17" i="67"/>
  <c r="P17" i="67"/>
  <c r="X17" i="67"/>
  <c r="K17" i="67"/>
  <c r="R17" i="67"/>
  <c r="Z17" i="67"/>
  <c r="L17" i="67"/>
  <c r="S17" i="67"/>
  <c r="E17" i="67"/>
  <c r="Y17" i="67"/>
  <c r="F17" i="67"/>
  <c r="AA17" i="67"/>
  <c r="J17" i="67"/>
  <c r="Q17" i="67"/>
  <c r="T17" i="67"/>
  <c r="M17" i="67"/>
  <c r="U17" i="67"/>
  <c r="C21" i="67"/>
  <c r="C24" i="67"/>
  <c r="K29" i="67"/>
  <c r="R29" i="67"/>
  <c r="Z29" i="67"/>
  <c r="E29" i="67"/>
  <c r="M29" i="67"/>
  <c r="T29" i="67"/>
  <c r="AA29" i="67"/>
  <c r="H29" i="67"/>
  <c r="O29" i="67"/>
  <c r="W29" i="67"/>
  <c r="J29" i="67"/>
  <c r="V29" i="67"/>
  <c r="L29" i="67"/>
  <c r="X29" i="67"/>
  <c r="Y29" i="67"/>
  <c r="F29" i="67"/>
  <c r="Q29" i="67"/>
  <c r="G29" i="67"/>
  <c r="S29" i="67"/>
  <c r="P29" i="67"/>
  <c r="U29" i="67"/>
  <c r="I29" i="67"/>
  <c r="N29" i="67"/>
  <c r="G33" i="67"/>
  <c r="N33" i="67"/>
  <c r="V33" i="67"/>
  <c r="H33" i="67"/>
  <c r="O33" i="67"/>
  <c r="W33" i="67"/>
  <c r="I33" i="67"/>
  <c r="P33" i="67"/>
  <c r="X33" i="67"/>
  <c r="L33" i="67"/>
  <c r="S33" i="67"/>
  <c r="E33" i="67"/>
  <c r="M33" i="67"/>
  <c r="T33" i="67"/>
  <c r="AA33" i="67"/>
  <c r="J33" i="67"/>
  <c r="K33" i="67"/>
  <c r="Q33" i="67"/>
  <c r="R33" i="67"/>
  <c r="U33" i="67"/>
  <c r="F33" i="67"/>
  <c r="Y33" i="67"/>
  <c r="Z33" i="67"/>
  <c r="B38" i="67"/>
  <c r="E43" i="67"/>
  <c r="M43" i="67"/>
  <c r="T43" i="67"/>
  <c r="AA43" i="67"/>
  <c r="F43" i="67"/>
  <c r="U43" i="67"/>
  <c r="G43" i="67"/>
  <c r="N43" i="67"/>
  <c r="V43" i="67"/>
  <c r="J43" i="67"/>
  <c r="Q43" i="67"/>
  <c r="Y43" i="67"/>
  <c r="K43" i="67"/>
  <c r="R43" i="67"/>
  <c r="Z43" i="67"/>
  <c r="O43" i="67"/>
  <c r="S43" i="67"/>
  <c r="W43" i="67"/>
  <c r="X43" i="67"/>
  <c r="H43" i="67"/>
  <c r="I43" i="67"/>
  <c r="L43" i="67"/>
  <c r="P43" i="67"/>
  <c r="B47" i="67"/>
  <c r="J53" i="67"/>
  <c r="Q53" i="67"/>
  <c r="Y53" i="67"/>
  <c r="L53" i="67"/>
  <c r="S53" i="67"/>
  <c r="F53" i="67"/>
  <c r="U53" i="67"/>
  <c r="G53" i="67"/>
  <c r="N53" i="67"/>
  <c r="V53" i="67"/>
  <c r="M53" i="67"/>
  <c r="AA53" i="67"/>
  <c r="O53" i="67"/>
  <c r="P53" i="67"/>
  <c r="R53" i="67"/>
  <c r="H53" i="67"/>
  <c r="W53" i="67"/>
  <c r="I53" i="67"/>
  <c r="X53" i="67"/>
  <c r="Z53" i="67"/>
  <c r="E53" i="67"/>
  <c r="K53" i="67"/>
  <c r="T53" i="67"/>
  <c r="F57" i="67"/>
  <c r="U57" i="67"/>
  <c r="H57" i="67"/>
  <c r="O57" i="67"/>
  <c r="W57" i="67"/>
  <c r="J57" i="67"/>
  <c r="Q57" i="67"/>
  <c r="Y57" i="67"/>
  <c r="K57" i="67"/>
  <c r="R57" i="67"/>
  <c r="Z57" i="67"/>
  <c r="I57" i="67"/>
  <c r="X57" i="67"/>
  <c r="L57" i="67"/>
  <c r="M57" i="67"/>
  <c r="AA57" i="67"/>
  <c r="N57" i="67"/>
  <c r="S57" i="67"/>
  <c r="E57" i="67"/>
  <c r="T57" i="67"/>
  <c r="G57" i="67"/>
  <c r="P57" i="67"/>
  <c r="V57" i="67"/>
  <c r="C57" i="67"/>
  <c r="C60" i="67"/>
  <c r="L74" i="67"/>
  <c r="S74" i="67"/>
  <c r="E74" i="67"/>
  <c r="M74" i="67"/>
  <c r="T74" i="67"/>
  <c r="AA74" i="67"/>
  <c r="F74" i="67"/>
  <c r="U74" i="67"/>
  <c r="H74" i="67"/>
  <c r="O74" i="67"/>
  <c r="W74" i="67"/>
  <c r="G74" i="67"/>
  <c r="V74" i="67"/>
  <c r="I74" i="67"/>
  <c r="X74" i="67"/>
  <c r="J74" i="67"/>
  <c r="Y74" i="67"/>
  <c r="K74" i="67"/>
  <c r="Z74" i="67"/>
  <c r="N74" i="67"/>
  <c r="P74" i="67"/>
  <c r="Q74" i="67"/>
  <c r="R74" i="67"/>
  <c r="B79" i="67"/>
  <c r="E90" i="67"/>
  <c r="M90" i="67"/>
  <c r="T90" i="67"/>
  <c r="AA90" i="67"/>
  <c r="F90" i="67"/>
  <c r="U90" i="67"/>
  <c r="G90" i="67"/>
  <c r="N90" i="67"/>
  <c r="V90" i="67"/>
  <c r="I90" i="67"/>
  <c r="P90" i="67"/>
  <c r="X90" i="67"/>
  <c r="J90" i="67"/>
  <c r="Q90" i="67"/>
  <c r="Y90" i="67"/>
  <c r="L90" i="67"/>
  <c r="O90" i="67"/>
  <c r="R90" i="67"/>
  <c r="S90" i="67"/>
  <c r="Z90" i="67"/>
  <c r="H90" i="67"/>
  <c r="K90" i="67"/>
  <c r="W90" i="67"/>
  <c r="G97" i="67"/>
  <c r="K97" i="67"/>
  <c r="R97" i="67"/>
  <c r="Z97" i="67"/>
  <c r="L97" i="67"/>
  <c r="S97" i="67"/>
  <c r="M97" i="67"/>
  <c r="T97" i="67"/>
  <c r="AA97" i="67"/>
  <c r="E97" i="67"/>
  <c r="U97" i="67"/>
  <c r="H97" i="67"/>
  <c r="O97" i="67"/>
  <c r="W97" i="67"/>
  <c r="I97" i="67"/>
  <c r="P97" i="67"/>
  <c r="X97" i="67"/>
  <c r="F97" i="67"/>
  <c r="J97" i="67"/>
  <c r="N97" i="67"/>
  <c r="Q97" i="67"/>
  <c r="V97" i="67"/>
  <c r="Y97" i="67"/>
  <c r="E103" i="67"/>
  <c r="M103" i="67"/>
  <c r="T103" i="67"/>
  <c r="AA103" i="67"/>
  <c r="F103" i="67"/>
  <c r="U103" i="67"/>
  <c r="G103" i="67"/>
  <c r="N103" i="67"/>
  <c r="V103" i="67"/>
  <c r="H103" i="67"/>
  <c r="O103" i="67"/>
  <c r="W103" i="67"/>
  <c r="J103" i="67"/>
  <c r="Q103" i="67"/>
  <c r="Y103" i="67"/>
  <c r="K103" i="67"/>
  <c r="R103" i="67"/>
  <c r="Z103" i="67"/>
  <c r="I103" i="67"/>
  <c r="L103" i="67"/>
  <c r="P103" i="67"/>
  <c r="S103" i="67"/>
  <c r="X103" i="67"/>
  <c r="L112" i="67"/>
  <c r="S112" i="67"/>
  <c r="E112" i="67"/>
  <c r="M112" i="67"/>
  <c r="T112" i="67"/>
  <c r="AA112" i="67"/>
  <c r="F112" i="67"/>
  <c r="U112" i="67"/>
  <c r="G112" i="67"/>
  <c r="N112" i="67"/>
  <c r="V112" i="67"/>
  <c r="J112" i="67"/>
  <c r="Q112" i="67"/>
  <c r="Y112" i="67"/>
  <c r="R112" i="67"/>
  <c r="W112" i="67"/>
  <c r="X112" i="67"/>
  <c r="H112" i="67"/>
  <c r="Z112" i="67"/>
  <c r="I112" i="67"/>
  <c r="K112" i="67"/>
  <c r="O112" i="67"/>
  <c r="P112" i="67"/>
  <c r="C112" i="67"/>
  <c r="B112" i="67"/>
  <c r="C121" i="67"/>
  <c r="F143" i="67"/>
  <c r="G143" i="67"/>
  <c r="K143" i="67"/>
  <c r="R143" i="67"/>
  <c r="Z143" i="67"/>
  <c r="L143" i="67"/>
  <c r="S143" i="67"/>
  <c r="U143" i="67"/>
  <c r="I143" i="67"/>
  <c r="P143" i="67"/>
  <c r="X143" i="67"/>
  <c r="J143" i="67"/>
  <c r="Y143" i="67"/>
  <c r="N143" i="67"/>
  <c r="Q143" i="67"/>
  <c r="T143" i="67"/>
  <c r="E143" i="67"/>
  <c r="H143" i="67"/>
  <c r="M143" i="67"/>
  <c r="O143" i="67"/>
  <c r="W143" i="67"/>
  <c r="AA143" i="67"/>
  <c r="C143" i="67"/>
  <c r="E149" i="67"/>
  <c r="M149" i="67"/>
  <c r="T149" i="67"/>
  <c r="AA149" i="67"/>
  <c r="F149" i="67"/>
  <c r="U149" i="67"/>
  <c r="H149" i="67"/>
  <c r="O149" i="67"/>
  <c r="W149" i="67"/>
  <c r="K149" i="67"/>
  <c r="R149" i="67"/>
  <c r="Z149" i="67"/>
  <c r="S149" i="67"/>
  <c r="I149" i="67"/>
  <c r="X149" i="67"/>
  <c r="L149" i="67"/>
  <c r="G149" i="67"/>
  <c r="J149" i="67"/>
  <c r="N149" i="67"/>
  <c r="C149" i="67"/>
  <c r="V149" i="67"/>
  <c r="C158" i="67"/>
  <c r="H163" i="67"/>
  <c r="O163" i="67"/>
  <c r="W163" i="67"/>
  <c r="J163" i="67"/>
  <c r="Q163" i="67"/>
  <c r="Y163" i="67"/>
  <c r="E163" i="67"/>
  <c r="M163" i="67"/>
  <c r="T163" i="67"/>
  <c r="AA163" i="67"/>
  <c r="F163" i="67"/>
  <c r="R163" i="67"/>
  <c r="I163" i="67"/>
  <c r="U163" i="67"/>
  <c r="L163" i="67"/>
  <c r="X163" i="67"/>
  <c r="P163" i="67"/>
  <c r="B163" i="67"/>
  <c r="S163" i="67"/>
  <c r="V163" i="67"/>
  <c r="Z163" i="67"/>
  <c r="G191" i="67"/>
  <c r="N191" i="67"/>
  <c r="V191" i="67"/>
  <c r="H191" i="67"/>
  <c r="O191" i="67"/>
  <c r="W191" i="67"/>
  <c r="I191" i="67"/>
  <c r="P191" i="67"/>
  <c r="X191" i="67"/>
  <c r="J191" i="67"/>
  <c r="Q191" i="67"/>
  <c r="Y191" i="67"/>
  <c r="C191" i="67"/>
  <c r="E191" i="67"/>
  <c r="M191" i="67"/>
  <c r="T191" i="67"/>
  <c r="AA191" i="67"/>
  <c r="C195" i="67"/>
  <c r="F200" i="67"/>
  <c r="U200" i="67"/>
  <c r="G200" i="67"/>
  <c r="N200" i="67"/>
  <c r="V200" i="67"/>
  <c r="H200" i="67"/>
  <c r="O200" i="67"/>
  <c r="W200" i="67"/>
  <c r="C200" i="67"/>
  <c r="I200" i="67"/>
  <c r="P200" i="67"/>
  <c r="X200" i="67"/>
  <c r="B200" i="67"/>
  <c r="L200" i="67"/>
  <c r="S200" i="67"/>
  <c r="M2" i="67"/>
  <c r="V204" i="67"/>
  <c r="Y203" i="67"/>
  <c r="G203" i="67"/>
  <c r="Q200" i="67"/>
  <c r="V198" i="67"/>
  <c r="N195" i="67"/>
  <c r="S193" i="67"/>
  <c r="F191" i="67"/>
  <c r="L190" i="67"/>
  <c r="V187" i="67"/>
  <c r="X186" i="67"/>
  <c r="S182" i="67"/>
  <c r="H179" i="67"/>
  <c r="K178" i="67"/>
  <c r="P177" i="67"/>
  <c r="U175" i="67"/>
  <c r="V174" i="67"/>
  <c r="S170" i="67"/>
  <c r="K163" i="67"/>
  <c r="U158" i="67"/>
  <c r="R147" i="67"/>
  <c r="G144" i="67"/>
  <c r="I129" i="67"/>
  <c r="Q187" i="67"/>
  <c r="W186" i="67"/>
  <c r="L183" i="67"/>
  <c r="N182" i="67"/>
  <c r="Y179" i="67"/>
  <c r="G179" i="67"/>
  <c r="I178" i="67"/>
  <c r="L177" i="67"/>
  <c r="S175" i="67"/>
  <c r="O174" i="67"/>
  <c r="L170" i="67"/>
  <c r="G163" i="67"/>
  <c r="F158" i="67"/>
  <c r="U152" i="67"/>
  <c r="Y149" i="67"/>
  <c r="P147" i="67"/>
  <c r="V143" i="67"/>
  <c r="F42" i="67"/>
  <c r="U42" i="67"/>
  <c r="G42" i="67"/>
  <c r="N42" i="67"/>
  <c r="V42" i="67"/>
  <c r="H42" i="67"/>
  <c r="O42" i="67"/>
  <c r="W42" i="67"/>
  <c r="K42" i="67"/>
  <c r="R42" i="67"/>
  <c r="Z42" i="67"/>
  <c r="L42" i="67"/>
  <c r="S42" i="67"/>
  <c r="Q42" i="67"/>
  <c r="X42" i="67"/>
  <c r="E42" i="67"/>
  <c r="Y42" i="67"/>
  <c r="I42" i="67"/>
  <c r="AA42" i="67"/>
  <c r="J42" i="67"/>
  <c r="M42" i="67"/>
  <c r="P42" i="67"/>
  <c r="T42" i="67"/>
  <c r="I46" i="67"/>
  <c r="P46" i="67"/>
  <c r="X46" i="67"/>
  <c r="K46" i="67"/>
  <c r="R46" i="67"/>
  <c r="Z46" i="67"/>
  <c r="L46" i="67"/>
  <c r="S46" i="67"/>
  <c r="E46" i="67"/>
  <c r="M46" i="67"/>
  <c r="T46" i="67"/>
  <c r="AA46" i="67"/>
  <c r="F46" i="67"/>
  <c r="U46" i="67"/>
  <c r="O46" i="67"/>
  <c r="Q46" i="67"/>
  <c r="V46" i="67"/>
  <c r="W46" i="67"/>
  <c r="H46" i="67"/>
  <c r="J46" i="67"/>
  <c r="G46" i="67"/>
  <c r="N46" i="67"/>
  <c r="Y46" i="67"/>
  <c r="I54" i="67"/>
  <c r="P54" i="67"/>
  <c r="X54" i="67"/>
  <c r="K54" i="67"/>
  <c r="R54" i="67"/>
  <c r="Z54" i="67"/>
  <c r="E54" i="67"/>
  <c r="M54" i="67"/>
  <c r="T54" i="67"/>
  <c r="AA54" i="67"/>
  <c r="F54" i="67"/>
  <c r="U54" i="67"/>
  <c r="S54" i="67"/>
  <c r="G54" i="67"/>
  <c r="V54" i="67"/>
  <c r="H54" i="67"/>
  <c r="W54" i="67"/>
  <c r="J54" i="67"/>
  <c r="Y54" i="67"/>
  <c r="N54" i="67"/>
  <c r="O54" i="67"/>
  <c r="L54" i="67"/>
  <c r="Q54" i="67"/>
  <c r="J61" i="67"/>
  <c r="Q61" i="67"/>
  <c r="Y61" i="67"/>
  <c r="F61" i="67"/>
  <c r="U61" i="67"/>
  <c r="G61" i="67"/>
  <c r="N61" i="67"/>
  <c r="V61" i="67"/>
  <c r="E61" i="67"/>
  <c r="R61" i="67"/>
  <c r="H61" i="67"/>
  <c r="S61" i="67"/>
  <c r="I61" i="67"/>
  <c r="T61" i="67"/>
  <c r="K61" i="67"/>
  <c r="W61" i="67"/>
  <c r="M61" i="67"/>
  <c r="Z61" i="67"/>
  <c r="O61" i="67"/>
  <c r="P61" i="67"/>
  <c r="X61" i="67"/>
  <c r="AA61" i="67"/>
  <c r="L61" i="67"/>
  <c r="E64" i="67"/>
  <c r="M64" i="67"/>
  <c r="T64" i="67"/>
  <c r="AA64" i="67"/>
  <c r="F64" i="67"/>
  <c r="U64" i="67"/>
  <c r="G64" i="67"/>
  <c r="N64" i="67"/>
  <c r="V64" i="67"/>
  <c r="H64" i="67"/>
  <c r="O64" i="67"/>
  <c r="W64" i="67"/>
  <c r="J64" i="67"/>
  <c r="Q64" i="67"/>
  <c r="Y64" i="67"/>
  <c r="K64" i="67"/>
  <c r="R64" i="67"/>
  <c r="Z64" i="67"/>
  <c r="L64" i="67"/>
  <c r="P64" i="67"/>
  <c r="S64" i="67"/>
  <c r="X64" i="67"/>
  <c r="I64" i="67"/>
  <c r="I68" i="67"/>
  <c r="P68" i="67"/>
  <c r="X68" i="67"/>
  <c r="J68" i="67"/>
  <c r="Q68" i="67"/>
  <c r="Y68" i="67"/>
  <c r="K68" i="67"/>
  <c r="R68" i="67"/>
  <c r="Z68" i="67"/>
  <c r="L68" i="67"/>
  <c r="S68" i="67"/>
  <c r="F68" i="67"/>
  <c r="U68" i="67"/>
  <c r="G68" i="67"/>
  <c r="N68" i="67"/>
  <c r="V68" i="67"/>
  <c r="H68" i="67"/>
  <c r="M68" i="67"/>
  <c r="O68" i="67"/>
  <c r="T68" i="67"/>
  <c r="W68" i="67"/>
  <c r="AA68" i="67"/>
  <c r="E68" i="67"/>
  <c r="E73" i="67"/>
  <c r="M73" i="67"/>
  <c r="T73" i="67"/>
  <c r="AA73" i="67"/>
  <c r="F73" i="67"/>
  <c r="U73" i="67"/>
  <c r="G73" i="67"/>
  <c r="N73" i="67"/>
  <c r="V73" i="67"/>
  <c r="I73" i="67"/>
  <c r="P73" i="67"/>
  <c r="X73" i="67"/>
  <c r="O73" i="67"/>
  <c r="Q73" i="67"/>
  <c r="R73" i="67"/>
  <c r="S73" i="67"/>
  <c r="H73" i="67"/>
  <c r="W73" i="67"/>
  <c r="J73" i="67"/>
  <c r="Y73" i="67"/>
  <c r="K73" i="67"/>
  <c r="L73" i="67"/>
  <c r="Z73" i="67"/>
  <c r="I78" i="67"/>
  <c r="P78" i="67"/>
  <c r="L78" i="67"/>
  <c r="S78" i="67"/>
  <c r="E78" i="67"/>
  <c r="N78" i="67"/>
  <c r="X78" i="67"/>
  <c r="F78" i="67"/>
  <c r="O78" i="67"/>
  <c r="Y78" i="67"/>
  <c r="G78" i="67"/>
  <c r="Q78" i="67"/>
  <c r="Z78" i="67"/>
  <c r="H78" i="67"/>
  <c r="R78" i="67"/>
  <c r="J78" i="67"/>
  <c r="T78" i="67"/>
  <c r="AA78" i="67"/>
  <c r="K78" i="67"/>
  <c r="U78" i="67"/>
  <c r="V78" i="67"/>
  <c r="W78" i="67"/>
  <c r="M78" i="67"/>
  <c r="L91" i="67"/>
  <c r="S91" i="67"/>
  <c r="E91" i="67"/>
  <c r="M91" i="67"/>
  <c r="T91" i="67"/>
  <c r="AA91" i="67"/>
  <c r="F91" i="67"/>
  <c r="U91" i="67"/>
  <c r="H91" i="67"/>
  <c r="O91" i="67"/>
  <c r="W91" i="67"/>
  <c r="I91" i="67"/>
  <c r="P91" i="67"/>
  <c r="X91" i="67"/>
  <c r="J91" i="67"/>
  <c r="K91" i="67"/>
  <c r="N91" i="67"/>
  <c r="Q91" i="67"/>
  <c r="V91" i="67"/>
  <c r="Y91" i="67"/>
  <c r="R91" i="67"/>
  <c r="Z91" i="67"/>
  <c r="G91" i="67"/>
  <c r="L104" i="67"/>
  <c r="S104" i="67"/>
  <c r="E104" i="67"/>
  <c r="M104" i="67"/>
  <c r="T104" i="67"/>
  <c r="AA104" i="67"/>
  <c r="F104" i="67"/>
  <c r="U104" i="67"/>
  <c r="G104" i="67"/>
  <c r="N104" i="67"/>
  <c r="V104" i="67"/>
  <c r="I104" i="67"/>
  <c r="P104" i="67"/>
  <c r="X104" i="67"/>
  <c r="J104" i="67"/>
  <c r="Q104" i="67"/>
  <c r="Y104" i="67"/>
  <c r="O104" i="67"/>
  <c r="R104" i="67"/>
  <c r="W104" i="67"/>
  <c r="Z104" i="67"/>
  <c r="H104" i="67"/>
  <c r="K104" i="67"/>
  <c r="H108" i="67"/>
  <c r="O108" i="67"/>
  <c r="W108" i="67"/>
  <c r="I108" i="67"/>
  <c r="P108" i="67"/>
  <c r="X108" i="67"/>
  <c r="J108" i="67"/>
  <c r="Q108" i="67"/>
  <c r="Y108" i="67"/>
  <c r="K108" i="67"/>
  <c r="R108" i="67"/>
  <c r="Z108" i="67"/>
  <c r="F108" i="67"/>
  <c r="U108" i="67"/>
  <c r="M108" i="67"/>
  <c r="N108" i="67"/>
  <c r="S108" i="67"/>
  <c r="T108" i="67"/>
  <c r="V108" i="67"/>
  <c r="E108" i="67"/>
  <c r="G108" i="67"/>
  <c r="AA108" i="67"/>
  <c r="L108" i="67"/>
  <c r="J114" i="67"/>
  <c r="Q114" i="67"/>
  <c r="Y114" i="67"/>
  <c r="K114" i="67"/>
  <c r="R114" i="67"/>
  <c r="Z114" i="67"/>
  <c r="L114" i="67"/>
  <c r="S114" i="67"/>
  <c r="E114" i="67"/>
  <c r="M114" i="67"/>
  <c r="T114" i="67"/>
  <c r="AA114" i="67"/>
  <c r="H114" i="67"/>
  <c r="O114" i="67"/>
  <c r="W114" i="67"/>
  <c r="N114" i="67"/>
  <c r="P114" i="67"/>
  <c r="U114" i="67"/>
  <c r="V114" i="67"/>
  <c r="F114" i="67"/>
  <c r="X114" i="67"/>
  <c r="G114" i="67"/>
  <c r="I114" i="67"/>
  <c r="K122" i="67"/>
  <c r="R122" i="67"/>
  <c r="Z122" i="67"/>
  <c r="L122" i="67"/>
  <c r="S122" i="67"/>
  <c r="E122" i="67"/>
  <c r="M122" i="67"/>
  <c r="T122" i="67"/>
  <c r="AA122" i="67"/>
  <c r="H122" i="67"/>
  <c r="O122" i="67"/>
  <c r="W122" i="67"/>
  <c r="J122" i="67"/>
  <c r="Y122" i="67"/>
  <c r="N122" i="67"/>
  <c r="P122" i="67"/>
  <c r="F122" i="67"/>
  <c r="U122" i="67"/>
  <c r="G122" i="67"/>
  <c r="V122" i="67"/>
  <c r="Q122" i="67"/>
  <c r="G126" i="67"/>
  <c r="N126" i="67"/>
  <c r="V126" i="67"/>
  <c r="H126" i="67"/>
  <c r="O126" i="67"/>
  <c r="W126" i="67"/>
  <c r="I126" i="67"/>
  <c r="P126" i="67"/>
  <c r="X126" i="67"/>
  <c r="Q126" i="67"/>
  <c r="AA126" i="67"/>
  <c r="E126" i="67"/>
  <c r="R126" i="67"/>
  <c r="F126" i="67"/>
  <c r="S126" i="67"/>
  <c r="J126" i="67"/>
  <c r="T126" i="67"/>
  <c r="L126" i="67"/>
  <c r="Y126" i="67"/>
  <c r="M126" i="67"/>
  <c r="Z126" i="67"/>
  <c r="K126" i="67"/>
  <c r="U126" i="67"/>
  <c r="K130" i="67"/>
  <c r="R130" i="67"/>
  <c r="Z130" i="67"/>
  <c r="L130" i="67"/>
  <c r="S130" i="67"/>
  <c r="E130" i="67"/>
  <c r="M130" i="67"/>
  <c r="T130" i="67"/>
  <c r="AA130" i="67"/>
  <c r="G130" i="67"/>
  <c r="Q130" i="67"/>
  <c r="H130" i="67"/>
  <c r="U130" i="67"/>
  <c r="J130" i="67"/>
  <c r="W130" i="67"/>
  <c r="N130" i="67"/>
  <c r="Y130" i="67"/>
  <c r="O130" i="67"/>
  <c r="V130" i="67"/>
  <c r="X130" i="67"/>
  <c r="I153" i="67"/>
  <c r="P153" i="67"/>
  <c r="X153" i="67"/>
  <c r="J153" i="67"/>
  <c r="Q153" i="67"/>
  <c r="Y153" i="67"/>
  <c r="L153" i="67"/>
  <c r="S153" i="67"/>
  <c r="G153" i="67"/>
  <c r="N153" i="67"/>
  <c r="V153" i="67"/>
  <c r="O153" i="67"/>
  <c r="E153" i="67"/>
  <c r="T153" i="67"/>
  <c r="H153" i="67"/>
  <c r="W153" i="67"/>
  <c r="E157" i="67"/>
  <c r="M157" i="67"/>
  <c r="T157" i="67"/>
  <c r="AA157" i="67"/>
  <c r="F157" i="67"/>
  <c r="U157" i="67"/>
  <c r="H157" i="67"/>
  <c r="O157" i="67"/>
  <c r="W157" i="67"/>
  <c r="K157" i="67"/>
  <c r="R157" i="67"/>
  <c r="Z157" i="67"/>
  <c r="L157" i="67"/>
  <c r="P157" i="67"/>
  <c r="S157" i="67"/>
  <c r="C160" i="67"/>
  <c r="F165" i="67"/>
  <c r="U165" i="67"/>
  <c r="H165" i="67"/>
  <c r="O165" i="67"/>
  <c r="W165" i="67"/>
  <c r="K165" i="67"/>
  <c r="R165" i="67"/>
  <c r="Z165" i="67"/>
  <c r="G165" i="67"/>
  <c r="S165" i="67"/>
  <c r="J165" i="67"/>
  <c r="V165" i="67"/>
  <c r="M165" i="67"/>
  <c r="Y165" i="67"/>
  <c r="L169" i="67"/>
  <c r="S169" i="67"/>
  <c r="G169" i="67"/>
  <c r="N169" i="67"/>
  <c r="V169" i="67"/>
  <c r="I169" i="67"/>
  <c r="R169" i="67"/>
  <c r="X169" i="67"/>
  <c r="H173" i="67"/>
  <c r="K173" i="67"/>
  <c r="E173" i="67"/>
  <c r="N173" i="67"/>
  <c r="V173" i="67"/>
  <c r="J173" i="67"/>
  <c r="R173" i="67"/>
  <c r="Z173" i="67"/>
  <c r="C185" i="67"/>
  <c r="Y202" i="67"/>
  <c r="Q202" i="67"/>
  <c r="J202" i="67"/>
  <c r="Z201" i="67"/>
  <c r="R201" i="67"/>
  <c r="K201" i="67"/>
  <c r="AA199" i="67"/>
  <c r="T199" i="67"/>
  <c r="M199" i="67"/>
  <c r="E199" i="67"/>
  <c r="V197" i="67"/>
  <c r="N197" i="67"/>
  <c r="G197" i="67"/>
  <c r="W196" i="67"/>
  <c r="O196" i="67"/>
  <c r="H196" i="67"/>
  <c r="Y194" i="67"/>
  <c r="Q194" i="67"/>
  <c r="J194" i="67"/>
  <c r="S192" i="67"/>
  <c r="L192" i="67"/>
  <c r="V189" i="67"/>
  <c r="N189" i="67"/>
  <c r="G189" i="67"/>
  <c r="W188" i="67"/>
  <c r="O188" i="67"/>
  <c r="H188" i="67"/>
  <c r="Z185" i="67"/>
  <c r="R185" i="67"/>
  <c r="K185" i="67"/>
  <c r="S184" i="67"/>
  <c r="L184" i="67"/>
  <c r="V181" i="67"/>
  <c r="N181" i="67"/>
  <c r="G181" i="67"/>
  <c r="W180" i="67"/>
  <c r="O180" i="67"/>
  <c r="H180" i="67"/>
  <c r="S176" i="67"/>
  <c r="L176" i="67"/>
  <c r="AA173" i="67"/>
  <c r="Q173" i="67"/>
  <c r="F173" i="67"/>
  <c r="O172" i="67"/>
  <c r="Z171" i="67"/>
  <c r="T169" i="67"/>
  <c r="F169" i="67"/>
  <c r="P168" i="67"/>
  <c r="X165" i="67"/>
  <c r="Y160" i="67"/>
  <c r="AA159" i="67"/>
  <c r="Y157" i="67"/>
  <c r="Z155" i="67"/>
  <c r="Z153" i="67"/>
  <c r="W150" i="67"/>
  <c r="X128" i="67"/>
  <c r="Q136" i="67"/>
  <c r="K84" i="67"/>
  <c r="R84" i="67"/>
  <c r="Z84" i="67"/>
  <c r="L84" i="67"/>
  <c r="S84" i="67"/>
  <c r="E84" i="67"/>
  <c r="M84" i="67"/>
  <c r="T84" i="67"/>
  <c r="AA84" i="67"/>
  <c r="F84" i="67"/>
  <c r="U84" i="67"/>
  <c r="G84" i="67"/>
  <c r="N84" i="67"/>
  <c r="V84" i="67"/>
  <c r="H84" i="67"/>
  <c r="O84" i="67"/>
  <c r="W84" i="67"/>
  <c r="I84" i="67"/>
  <c r="J84" i="67"/>
  <c r="Q84" i="67"/>
  <c r="X84" i="67"/>
  <c r="P84" i="67"/>
  <c r="Y84" i="67"/>
  <c r="J98" i="67"/>
  <c r="Q98" i="67"/>
  <c r="Y98" i="67"/>
  <c r="K98" i="67"/>
  <c r="R98" i="67"/>
  <c r="Z98" i="67"/>
  <c r="L98" i="67"/>
  <c r="S98" i="67"/>
  <c r="E98" i="67"/>
  <c r="M98" i="67"/>
  <c r="T98" i="67"/>
  <c r="AA98" i="67"/>
  <c r="G98" i="67"/>
  <c r="N98" i="67"/>
  <c r="V98" i="67"/>
  <c r="H98" i="67"/>
  <c r="O98" i="67"/>
  <c r="W98" i="67"/>
  <c r="F98" i="67"/>
  <c r="I98" i="67"/>
  <c r="P98" i="67"/>
  <c r="U98" i="67"/>
  <c r="X98" i="67"/>
  <c r="G117" i="67"/>
  <c r="N117" i="67"/>
  <c r="V117" i="67"/>
  <c r="H117" i="67"/>
  <c r="O117" i="67"/>
  <c r="W117" i="67"/>
  <c r="I117" i="67"/>
  <c r="P117" i="67"/>
  <c r="X117" i="67"/>
  <c r="J117" i="67"/>
  <c r="Q117" i="67"/>
  <c r="Y117" i="67"/>
  <c r="E117" i="67"/>
  <c r="M117" i="67"/>
  <c r="T117" i="67"/>
  <c r="AA117" i="67"/>
  <c r="U117" i="67"/>
  <c r="Z117" i="67"/>
  <c r="F117" i="67"/>
  <c r="K117" i="67"/>
  <c r="R117" i="67"/>
  <c r="L117" i="67"/>
  <c r="S117" i="67"/>
  <c r="I132" i="67"/>
  <c r="P132" i="67"/>
  <c r="X132" i="67"/>
  <c r="J132" i="67"/>
  <c r="Q132" i="67"/>
  <c r="Y132" i="67"/>
  <c r="K132" i="67"/>
  <c r="G132" i="67"/>
  <c r="S132" i="67"/>
  <c r="H132" i="67"/>
  <c r="T132" i="67"/>
  <c r="M132" i="67"/>
  <c r="V132" i="67"/>
  <c r="N132" i="67"/>
  <c r="Z132" i="67"/>
  <c r="E132" i="67"/>
  <c r="O132" i="67"/>
  <c r="AA132" i="67"/>
  <c r="F132" i="67"/>
  <c r="L132" i="67"/>
  <c r="R132" i="67"/>
  <c r="H141" i="67"/>
  <c r="O141" i="67"/>
  <c r="W141" i="67"/>
  <c r="I141" i="67"/>
  <c r="P141" i="67"/>
  <c r="X141" i="67"/>
  <c r="G141" i="67"/>
  <c r="R141" i="67"/>
  <c r="AA141" i="67"/>
  <c r="J141" i="67"/>
  <c r="S141" i="67"/>
  <c r="L141" i="67"/>
  <c r="U141" i="67"/>
  <c r="E141" i="67"/>
  <c r="N141" i="67"/>
  <c r="Z141" i="67"/>
  <c r="Q141" i="67"/>
  <c r="V141" i="67"/>
  <c r="F141" i="67"/>
  <c r="K141" i="67"/>
  <c r="H146" i="67"/>
  <c r="O146" i="67"/>
  <c r="W146" i="67"/>
  <c r="I146" i="67"/>
  <c r="P146" i="67"/>
  <c r="X146" i="67"/>
  <c r="K146" i="67"/>
  <c r="R146" i="67"/>
  <c r="Z146" i="67"/>
  <c r="F146" i="67"/>
  <c r="U146" i="67"/>
  <c r="N146" i="67"/>
  <c r="S146" i="67"/>
  <c r="G146" i="67"/>
  <c r="V146" i="67"/>
  <c r="J146" i="67"/>
  <c r="Y146" i="67"/>
  <c r="H154" i="67"/>
  <c r="O154" i="67"/>
  <c r="W154" i="67"/>
  <c r="I154" i="67"/>
  <c r="P154" i="67"/>
  <c r="X154" i="67"/>
  <c r="K154" i="67"/>
  <c r="R154" i="67"/>
  <c r="Z154" i="67"/>
  <c r="F154" i="67"/>
  <c r="U154" i="67"/>
  <c r="G154" i="67"/>
  <c r="V154" i="67"/>
  <c r="L154" i="67"/>
  <c r="N154" i="67"/>
  <c r="K159" i="67"/>
  <c r="R159" i="67"/>
  <c r="Z159" i="67"/>
  <c r="L159" i="67"/>
  <c r="S159" i="67"/>
  <c r="F159" i="67"/>
  <c r="U159" i="67"/>
  <c r="I159" i="67"/>
  <c r="P159" i="67"/>
  <c r="X159" i="67"/>
  <c r="J159" i="67"/>
  <c r="Y159" i="67"/>
  <c r="N159" i="67"/>
  <c r="Q159" i="67"/>
  <c r="I162" i="67"/>
  <c r="P162" i="67"/>
  <c r="X162" i="67"/>
  <c r="K162" i="67"/>
  <c r="R162" i="67"/>
  <c r="Z162" i="67"/>
  <c r="F162" i="67"/>
  <c r="U162" i="67"/>
  <c r="E162" i="67"/>
  <c r="Q162" i="67"/>
  <c r="H162" i="67"/>
  <c r="T162" i="67"/>
  <c r="L162" i="67"/>
  <c r="W162" i="67"/>
  <c r="F167" i="67"/>
  <c r="U167" i="67"/>
  <c r="I167" i="67"/>
  <c r="P167" i="67"/>
  <c r="X167" i="67"/>
  <c r="E167" i="67"/>
  <c r="O167" i="67"/>
  <c r="Z167" i="67"/>
  <c r="H167" i="67"/>
  <c r="R167" i="67"/>
  <c r="K167" i="67"/>
  <c r="T167" i="67"/>
  <c r="J171" i="67"/>
  <c r="Q171" i="67"/>
  <c r="Y171" i="67"/>
  <c r="E171" i="67"/>
  <c r="M171" i="67"/>
  <c r="T171" i="67"/>
  <c r="AA171" i="67"/>
  <c r="L171" i="67"/>
  <c r="V171" i="67"/>
  <c r="G171" i="67"/>
  <c r="P171" i="67"/>
  <c r="V202" i="67"/>
  <c r="N202" i="67"/>
  <c r="G202" i="67"/>
  <c r="W201" i="67"/>
  <c r="O201" i="67"/>
  <c r="H201" i="67"/>
  <c r="Y199" i="67"/>
  <c r="Q199" i="67"/>
  <c r="J199" i="67"/>
  <c r="S197" i="67"/>
  <c r="L197" i="67"/>
  <c r="AA196" i="67"/>
  <c r="T196" i="67"/>
  <c r="M196" i="67"/>
  <c r="E196" i="67"/>
  <c r="V194" i="67"/>
  <c r="N194" i="67"/>
  <c r="G194" i="67"/>
  <c r="X192" i="67"/>
  <c r="P192" i="67"/>
  <c r="I192" i="67"/>
  <c r="S189" i="67"/>
  <c r="L189" i="67"/>
  <c r="AA188" i="67"/>
  <c r="T188" i="67"/>
  <c r="M188" i="67"/>
  <c r="E188" i="67"/>
  <c r="W185" i="67"/>
  <c r="O185" i="67"/>
  <c r="H185" i="67"/>
  <c r="X184" i="67"/>
  <c r="P184" i="67"/>
  <c r="I184" i="67"/>
  <c r="S181" i="67"/>
  <c r="L181" i="67"/>
  <c r="AA180" i="67"/>
  <c r="T180" i="67"/>
  <c r="M180" i="67"/>
  <c r="E180" i="67"/>
  <c r="X176" i="67"/>
  <c r="P176" i="67"/>
  <c r="I176" i="67"/>
  <c r="X173" i="67"/>
  <c r="Y172" i="67"/>
  <c r="K172" i="67"/>
  <c r="U171" i="67"/>
  <c r="H171" i="67"/>
  <c r="AA169" i="67"/>
  <c r="O169" i="67"/>
  <c r="Y168" i="67"/>
  <c r="K168" i="67"/>
  <c r="V167" i="67"/>
  <c r="P165" i="67"/>
  <c r="AA162" i="67"/>
  <c r="J162" i="67"/>
  <c r="Q160" i="67"/>
  <c r="T159" i="67"/>
  <c r="Q157" i="67"/>
  <c r="Q154" i="67"/>
  <c r="E146" i="67"/>
  <c r="Y141" i="67"/>
  <c r="H40" i="67"/>
  <c r="O40" i="67"/>
  <c r="W40" i="67"/>
  <c r="I40" i="67"/>
  <c r="P40" i="67"/>
  <c r="X40" i="67"/>
  <c r="J40" i="67"/>
  <c r="Q40" i="67"/>
  <c r="Y40" i="67"/>
  <c r="E40" i="67"/>
  <c r="M40" i="67"/>
  <c r="T40" i="67"/>
  <c r="AA40" i="67"/>
  <c r="F40" i="67"/>
  <c r="U40" i="67"/>
  <c r="Z40" i="67"/>
  <c r="G40" i="67"/>
  <c r="K40" i="67"/>
  <c r="L40" i="67"/>
  <c r="N40" i="67"/>
  <c r="R40" i="67"/>
  <c r="S40" i="67"/>
  <c r="V40" i="67"/>
  <c r="L44" i="67"/>
  <c r="S44" i="67"/>
  <c r="E44" i="67"/>
  <c r="M44" i="67"/>
  <c r="T44" i="67"/>
  <c r="F44" i="67"/>
  <c r="U44" i="67"/>
  <c r="I44" i="67"/>
  <c r="P44" i="67"/>
  <c r="X44" i="67"/>
  <c r="J44" i="67"/>
  <c r="K44" i="67"/>
  <c r="Z44" i="67"/>
  <c r="O44" i="67"/>
  <c r="AA44" i="67"/>
  <c r="Q44" i="67"/>
  <c r="R44" i="67"/>
  <c r="V44" i="67"/>
  <c r="W44" i="67"/>
  <c r="Y44" i="67"/>
  <c r="G44" i="67"/>
  <c r="H44" i="67"/>
  <c r="N44" i="67"/>
  <c r="L59" i="67"/>
  <c r="S59" i="67"/>
  <c r="F59" i="67"/>
  <c r="U59" i="67"/>
  <c r="H59" i="67"/>
  <c r="O59" i="67"/>
  <c r="W59" i="67"/>
  <c r="I59" i="67"/>
  <c r="P59" i="67"/>
  <c r="X59" i="67"/>
  <c r="G59" i="67"/>
  <c r="V59" i="67"/>
  <c r="J59" i="67"/>
  <c r="Y59" i="67"/>
  <c r="K59" i="67"/>
  <c r="Z59" i="67"/>
  <c r="M59" i="67"/>
  <c r="AA59" i="67"/>
  <c r="Q59" i="67"/>
  <c r="R59" i="67"/>
  <c r="E59" i="67"/>
  <c r="N59" i="67"/>
  <c r="T59" i="67"/>
  <c r="K66" i="67"/>
  <c r="R66" i="67"/>
  <c r="Z66" i="67"/>
  <c r="L66" i="67"/>
  <c r="S66" i="67"/>
  <c r="E66" i="67"/>
  <c r="M66" i="67"/>
  <c r="T66" i="67"/>
  <c r="AA66" i="67"/>
  <c r="F66" i="67"/>
  <c r="U66" i="67"/>
  <c r="H66" i="67"/>
  <c r="O66" i="67"/>
  <c r="W66" i="67"/>
  <c r="I66" i="67"/>
  <c r="P66" i="67"/>
  <c r="X66" i="67"/>
  <c r="Y66" i="67"/>
  <c r="G66" i="67"/>
  <c r="J66" i="67"/>
  <c r="N66" i="67"/>
  <c r="Q66" i="67"/>
  <c r="V66" i="67"/>
  <c r="G70" i="67"/>
  <c r="N70" i="67"/>
  <c r="V70" i="67"/>
  <c r="H70" i="67"/>
  <c r="O70" i="67"/>
  <c r="W70" i="67"/>
  <c r="I70" i="67"/>
  <c r="P70" i="67"/>
  <c r="X70" i="67"/>
  <c r="J70" i="67"/>
  <c r="Q70" i="67"/>
  <c r="Y70" i="67"/>
  <c r="L70" i="67"/>
  <c r="S70" i="67"/>
  <c r="F70" i="67"/>
  <c r="K70" i="67"/>
  <c r="M70" i="67"/>
  <c r="R70" i="67"/>
  <c r="T70" i="67"/>
  <c r="U70" i="67"/>
  <c r="E70" i="67"/>
  <c r="Z70" i="67"/>
  <c r="AA70" i="67"/>
  <c r="K76" i="67"/>
  <c r="R76" i="67"/>
  <c r="Z76" i="67"/>
  <c r="L76" i="67"/>
  <c r="S76" i="67"/>
  <c r="F76" i="67"/>
  <c r="U76" i="67"/>
  <c r="E76" i="67"/>
  <c r="P76" i="67"/>
  <c r="G76" i="67"/>
  <c r="Q76" i="67"/>
  <c r="H76" i="67"/>
  <c r="T76" i="67"/>
  <c r="I76" i="67"/>
  <c r="V76" i="67"/>
  <c r="J76" i="67"/>
  <c r="W76" i="67"/>
  <c r="M76" i="67"/>
  <c r="X76" i="67"/>
  <c r="Y76" i="67"/>
  <c r="AA76" i="67"/>
  <c r="N76" i="67"/>
  <c r="O76" i="67"/>
  <c r="G80" i="67"/>
  <c r="N80" i="67"/>
  <c r="V80" i="67"/>
  <c r="H80" i="67"/>
  <c r="O80" i="67"/>
  <c r="W80" i="67"/>
  <c r="I80" i="67"/>
  <c r="P80" i="67"/>
  <c r="X80" i="67"/>
  <c r="J80" i="67"/>
  <c r="Q80" i="67"/>
  <c r="Y80" i="67"/>
  <c r="K80" i="67"/>
  <c r="R80" i="67"/>
  <c r="Z80" i="67"/>
  <c r="L80" i="67"/>
  <c r="S80" i="67"/>
  <c r="E80" i="67"/>
  <c r="F80" i="67"/>
  <c r="M80" i="67"/>
  <c r="T80" i="67"/>
  <c r="U80" i="67"/>
  <c r="AA80" i="67"/>
  <c r="B84" i="67"/>
  <c r="G88" i="67"/>
  <c r="N88" i="67"/>
  <c r="V88" i="67"/>
  <c r="H88" i="67"/>
  <c r="O88" i="67"/>
  <c r="W88" i="67"/>
  <c r="I88" i="67"/>
  <c r="P88" i="67"/>
  <c r="X88" i="67"/>
  <c r="K88" i="67"/>
  <c r="R88" i="67"/>
  <c r="Z88" i="67"/>
  <c r="L88" i="67"/>
  <c r="S88" i="67"/>
  <c r="T88" i="67"/>
  <c r="U88" i="67"/>
  <c r="E88" i="67"/>
  <c r="Y88" i="67"/>
  <c r="F88" i="67"/>
  <c r="AA88" i="67"/>
  <c r="M88" i="67"/>
  <c r="J88" i="67"/>
  <c r="Q88" i="67"/>
  <c r="C98" i="67"/>
  <c r="F110" i="67"/>
  <c r="U110" i="67"/>
  <c r="G110" i="67"/>
  <c r="N110" i="67"/>
  <c r="V110" i="67"/>
  <c r="H110" i="67"/>
  <c r="O110" i="67"/>
  <c r="W110" i="67"/>
  <c r="I110" i="67"/>
  <c r="P110" i="67"/>
  <c r="X110" i="67"/>
  <c r="L110" i="67"/>
  <c r="S110" i="67"/>
  <c r="E110" i="67"/>
  <c r="Z110" i="67"/>
  <c r="J110" i="67"/>
  <c r="AA110" i="67"/>
  <c r="K110" i="67"/>
  <c r="M110" i="67"/>
  <c r="Q110" i="67"/>
  <c r="R110" i="67"/>
  <c r="T110" i="67"/>
  <c r="F118" i="67"/>
  <c r="U118" i="67"/>
  <c r="G118" i="67"/>
  <c r="N118" i="67"/>
  <c r="V118" i="67"/>
  <c r="H118" i="67"/>
  <c r="O118" i="67"/>
  <c r="W118" i="67"/>
  <c r="I118" i="67"/>
  <c r="P118" i="67"/>
  <c r="X118" i="67"/>
  <c r="L118" i="67"/>
  <c r="S118" i="67"/>
  <c r="R118" i="67"/>
  <c r="T118" i="67"/>
  <c r="Y118" i="67"/>
  <c r="E118" i="67"/>
  <c r="Z118" i="67"/>
  <c r="K118" i="67"/>
  <c r="M118" i="67"/>
  <c r="J118" i="67"/>
  <c r="Q118" i="67"/>
  <c r="AA118" i="67"/>
  <c r="I124" i="67"/>
  <c r="P124" i="67"/>
  <c r="X124" i="67"/>
  <c r="J124" i="67"/>
  <c r="Q124" i="67"/>
  <c r="Y124" i="67"/>
  <c r="K124" i="67"/>
  <c r="R124" i="67"/>
  <c r="Z124" i="67"/>
  <c r="F124" i="67"/>
  <c r="U124" i="67"/>
  <c r="H124" i="67"/>
  <c r="W124" i="67"/>
  <c r="L124" i="67"/>
  <c r="M124" i="67"/>
  <c r="AA124" i="67"/>
  <c r="N124" i="67"/>
  <c r="S124" i="67"/>
  <c r="E124" i="67"/>
  <c r="T124" i="67"/>
  <c r="G124" i="67"/>
  <c r="O124" i="67"/>
  <c r="E128" i="67"/>
  <c r="M128" i="67"/>
  <c r="T128" i="67"/>
  <c r="AA128" i="67"/>
  <c r="F128" i="67"/>
  <c r="U128" i="67"/>
  <c r="G128" i="67"/>
  <c r="N128" i="67"/>
  <c r="V128" i="67"/>
  <c r="Q128" i="67"/>
  <c r="H128" i="67"/>
  <c r="R128" i="67"/>
  <c r="I128" i="67"/>
  <c r="J128" i="67"/>
  <c r="W128" i="67"/>
  <c r="L128" i="67"/>
  <c r="Y128" i="67"/>
  <c r="O128" i="67"/>
  <c r="Z128" i="67"/>
  <c r="K128" i="67"/>
  <c r="P128" i="67"/>
  <c r="C132" i="67"/>
  <c r="E136" i="67"/>
  <c r="M136" i="67"/>
  <c r="T136" i="67"/>
  <c r="AA136" i="67"/>
  <c r="F136" i="67"/>
  <c r="U136" i="67"/>
  <c r="O136" i="67"/>
  <c r="Y136" i="67"/>
  <c r="G136" i="67"/>
  <c r="P136" i="67"/>
  <c r="Z136" i="67"/>
  <c r="I136" i="67"/>
  <c r="R136" i="67"/>
  <c r="L136" i="67"/>
  <c r="W136" i="67"/>
  <c r="N136" i="67"/>
  <c r="S136" i="67"/>
  <c r="V136" i="67"/>
  <c r="X136" i="67"/>
  <c r="H136" i="67"/>
  <c r="B141" i="67"/>
  <c r="C146" i="67"/>
  <c r="L150" i="67"/>
  <c r="S150" i="67"/>
  <c r="E150" i="67"/>
  <c r="M150" i="67"/>
  <c r="T150" i="67"/>
  <c r="AA150" i="67"/>
  <c r="G150" i="67"/>
  <c r="N150" i="67"/>
  <c r="V150" i="67"/>
  <c r="J150" i="67"/>
  <c r="Q150" i="67"/>
  <c r="Y150" i="67"/>
  <c r="K150" i="67"/>
  <c r="Z150" i="67"/>
  <c r="O150" i="67"/>
  <c r="R150" i="67"/>
  <c r="G155" i="67"/>
  <c r="N155" i="67"/>
  <c r="V155" i="67"/>
  <c r="H155" i="67"/>
  <c r="O155" i="67"/>
  <c r="W155" i="67"/>
  <c r="J155" i="67"/>
  <c r="Q155" i="67"/>
  <c r="Y155" i="67"/>
  <c r="E155" i="67"/>
  <c r="M155" i="67"/>
  <c r="T155" i="67"/>
  <c r="AA155" i="67"/>
  <c r="R155" i="67"/>
  <c r="F155" i="67"/>
  <c r="U155" i="67"/>
  <c r="B159" i="67"/>
  <c r="C162" i="67"/>
  <c r="B167" i="67"/>
  <c r="B171" i="67"/>
  <c r="B184" i="67"/>
  <c r="U202" i="67"/>
  <c r="F202" i="67"/>
  <c r="V201" i="67"/>
  <c r="N201" i="67"/>
  <c r="G201" i="67"/>
  <c r="X199" i="67"/>
  <c r="P199" i="67"/>
  <c r="I199" i="67"/>
  <c r="Z197" i="67"/>
  <c r="R197" i="67"/>
  <c r="K197" i="67"/>
  <c r="S196" i="67"/>
  <c r="L196" i="67"/>
  <c r="U194" i="67"/>
  <c r="F194" i="67"/>
  <c r="W192" i="67"/>
  <c r="O192" i="67"/>
  <c r="H192" i="67"/>
  <c r="Z189" i="67"/>
  <c r="R189" i="67"/>
  <c r="K189" i="67"/>
  <c r="S188" i="67"/>
  <c r="L188" i="67"/>
  <c r="V185" i="67"/>
  <c r="N185" i="67"/>
  <c r="G185" i="67"/>
  <c r="W184" i="67"/>
  <c r="O184" i="67"/>
  <c r="H184" i="67"/>
  <c r="Z181" i="67"/>
  <c r="R181" i="67"/>
  <c r="K181" i="67"/>
  <c r="S180" i="67"/>
  <c r="L180" i="67"/>
  <c r="W176" i="67"/>
  <c r="O176" i="67"/>
  <c r="H176" i="67"/>
  <c r="W173" i="67"/>
  <c r="M173" i="67"/>
  <c r="V172" i="67"/>
  <c r="J172" i="67"/>
  <c r="S171" i="67"/>
  <c r="F171" i="67"/>
  <c r="Z169" i="67"/>
  <c r="M169" i="67"/>
  <c r="X168" i="67"/>
  <c r="J168" i="67"/>
  <c r="S167" i="67"/>
  <c r="N165" i="67"/>
  <c r="G162" i="67"/>
  <c r="N160" i="67"/>
  <c r="O159" i="67"/>
  <c r="N157" i="67"/>
  <c r="L155" i="67"/>
  <c r="M154" i="67"/>
  <c r="M153" i="67"/>
  <c r="I150" i="67"/>
  <c r="T141" i="67"/>
  <c r="J136" i="67"/>
  <c r="P130" i="67"/>
  <c r="Y110" i="67"/>
  <c r="AA202" i="67"/>
  <c r="T202" i="67"/>
  <c r="M202" i="67"/>
  <c r="E202" i="67"/>
  <c r="U201" i="67"/>
  <c r="F201" i="67"/>
  <c r="W199" i="67"/>
  <c r="O199" i="67"/>
  <c r="H199" i="67"/>
  <c r="Y197" i="67"/>
  <c r="Q197" i="67"/>
  <c r="J197" i="67"/>
  <c r="Z196" i="67"/>
  <c r="R196" i="67"/>
  <c r="K196" i="67"/>
  <c r="AA194" i="67"/>
  <c r="T194" i="67"/>
  <c r="M194" i="67"/>
  <c r="E194" i="67"/>
  <c r="V192" i="67"/>
  <c r="N192" i="67"/>
  <c r="G192" i="67"/>
  <c r="Y189" i="67"/>
  <c r="Q189" i="67"/>
  <c r="J189" i="67"/>
  <c r="Z188" i="67"/>
  <c r="R188" i="67"/>
  <c r="K188" i="67"/>
  <c r="U185" i="67"/>
  <c r="F185" i="67"/>
  <c r="V184" i="67"/>
  <c r="N184" i="67"/>
  <c r="G184" i="67"/>
  <c r="Y181" i="67"/>
  <c r="Q181" i="67"/>
  <c r="J181" i="67"/>
  <c r="Z180" i="67"/>
  <c r="R180" i="67"/>
  <c r="K180" i="67"/>
  <c r="V176" i="67"/>
  <c r="N176" i="67"/>
  <c r="G176" i="67"/>
  <c r="U173" i="67"/>
  <c r="L173" i="67"/>
  <c r="U172" i="67"/>
  <c r="R171" i="67"/>
  <c r="Y169" i="67"/>
  <c r="K169" i="67"/>
  <c r="U168" i="67"/>
  <c r="Q167" i="67"/>
  <c r="L165" i="67"/>
  <c r="Y162" i="67"/>
  <c r="M159" i="67"/>
  <c r="J157" i="67"/>
  <c r="K155" i="67"/>
  <c r="J154" i="67"/>
  <c r="K153" i="67"/>
  <c r="H150" i="67"/>
  <c r="AA146" i="67"/>
  <c r="I130" i="67"/>
  <c r="V124" i="67"/>
  <c r="J160" i="67"/>
  <c r="K160" i="67"/>
  <c r="R160" i="67"/>
  <c r="Z160" i="67"/>
  <c r="E160" i="67"/>
  <c r="M160" i="67"/>
  <c r="T160" i="67"/>
  <c r="AA160" i="67"/>
  <c r="H160" i="67"/>
  <c r="O160" i="67"/>
  <c r="W160" i="67"/>
  <c r="P160" i="67"/>
  <c r="F160" i="67"/>
  <c r="S160" i="67"/>
  <c r="I160" i="67"/>
  <c r="V160" i="67"/>
  <c r="E168" i="67"/>
  <c r="M168" i="67"/>
  <c r="T168" i="67"/>
  <c r="AA168" i="67"/>
  <c r="H168" i="67"/>
  <c r="O168" i="67"/>
  <c r="W168" i="67"/>
  <c r="L168" i="67"/>
  <c r="V168" i="67"/>
  <c r="G168" i="67"/>
  <c r="Q168" i="67"/>
  <c r="I172" i="67"/>
  <c r="P172" i="67"/>
  <c r="X172" i="67"/>
  <c r="L172" i="67"/>
  <c r="S172" i="67"/>
  <c r="H172" i="67"/>
  <c r="R172" i="67"/>
  <c r="W172" i="67"/>
  <c r="S202" i="67"/>
  <c r="AA201" i="67"/>
  <c r="T201" i="67"/>
  <c r="M201" i="67"/>
  <c r="V199" i="67"/>
  <c r="N199" i="67"/>
  <c r="X197" i="67"/>
  <c r="P197" i="67"/>
  <c r="Y196" i="67"/>
  <c r="Q196" i="67"/>
  <c r="S194" i="67"/>
  <c r="U192" i="67"/>
  <c r="X189" i="67"/>
  <c r="P189" i="67"/>
  <c r="Y188" i="67"/>
  <c r="Q188" i="67"/>
  <c r="AA185" i="67"/>
  <c r="T185" i="67"/>
  <c r="M185" i="67"/>
  <c r="U184" i="67"/>
  <c r="X181" i="67"/>
  <c r="P181" i="67"/>
  <c r="Y180" i="67"/>
  <c r="Q180" i="67"/>
  <c r="U176" i="67"/>
  <c r="T173" i="67"/>
  <c r="I173" i="67"/>
  <c r="T172" i="67"/>
  <c r="F172" i="67"/>
  <c r="O171" i="67"/>
  <c r="W169" i="67"/>
  <c r="J169" i="67"/>
  <c r="S168" i="67"/>
  <c r="F168" i="67"/>
  <c r="N167" i="67"/>
  <c r="AA165" i="67"/>
  <c r="I165" i="67"/>
  <c r="V162" i="67"/>
  <c r="L160" i="67"/>
  <c r="H159" i="67"/>
  <c r="I157" i="67"/>
  <c r="I155" i="67"/>
  <c r="E154" i="67"/>
  <c r="F153" i="67"/>
  <c r="F150" i="67"/>
  <c r="M141" i="67"/>
  <c r="F130" i="67"/>
  <c r="X122" i="67"/>
  <c r="C14" i="67"/>
  <c r="C3" i="67"/>
  <c r="C9" i="67"/>
  <c r="B11" i="67"/>
  <c r="C13" i="67"/>
  <c r="B13" i="67"/>
  <c r="C33" i="67"/>
  <c r="B18" i="67"/>
  <c r="B28" i="67"/>
  <c r="C59" i="67"/>
  <c r="B59" i="67"/>
  <c r="C5" i="67"/>
  <c r="C8" i="67"/>
  <c r="C18" i="67"/>
  <c r="C28" i="67"/>
  <c r="C2" i="67"/>
  <c r="B2" i="67"/>
  <c r="B8" i="67"/>
  <c r="B35" i="67"/>
  <c r="C35" i="67"/>
  <c r="C10" i="67"/>
  <c r="B10" i="67"/>
  <c r="B39" i="67"/>
  <c r="B14" i="67"/>
  <c r="C39" i="67"/>
  <c r="B3" i="67"/>
  <c r="B9" i="67"/>
  <c r="B19" i="67"/>
  <c r="C19" i="67"/>
  <c r="C30" i="67"/>
  <c r="B30" i="67"/>
  <c r="B33" i="67"/>
  <c r="B48" i="67"/>
  <c r="B54" i="67"/>
  <c r="B56" i="67"/>
  <c r="C56" i="67"/>
  <c r="C89" i="67"/>
  <c r="B89" i="67"/>
  <c r="B44" i="67"/>
  <c r="C47" i="67"/>
  <c r="C51" i="67"/>
  <c r="C52" i="67"/>
  <c r="B15" i="67"/>
  <c r="B20" i="67"/>
  <c r="B25" i="67"/>
  <c r="B31" i="67"/>
  <c r="B36" i="67"/>
  <c r="B41" i="67"/>
  <c r="C44" i="67"/>
  <c r="B46" i="67"/>
  <c r="B51" i="67"/>
  <c r="C15" i="67"/>
  <c r="C20" i="67"/>
  <c r="C25" i="67"/>
  <c r="C31" i="67"/>
  <c r="C36" i="67"/>
  <c r="B37" i="67"/>
  <c r="C41" i="67"/>
  <c r="B42" i="67"/>
  <c r="C43" i="67"/>
  <c r="C46" i="67"/>
  <c r="B64" i="67"/>
  <c r="C64" i="67"/>
  <c r="C70" i="67"/>
  <c r="B70" i="67"/>
  <c r="C74" i="67"/>
  <c r="B74" i="67"/>
  <c r="C22" i="67"/>
  <c r="B27" i="67"/>
  <c r="C38" i="67"/>
  <c r="B49" i="67"/>
  <c r="C78" i="67"/>
  <c r="C91" i="67"/>
  <c r="B91" i="67"/>
  <c r="C67" i="67"/>
  <c r="B72" i="67"/>
  <c r="C72" i="67"/>
  <c r="B78" i="67"/>
  <c r="B62" i="67"/>
  <c r="B67" i="67"/>
  <c r="C90" i="67"/>
  <c r="B68" i="67"/>
  <c r="B90" i="67"/>
  <c r="C92" i="67"/>
  <c r="B92" i="67"/>
  <c r="C116" i="67"/>
  <c r="B116" i="67"/>
  <c r="C68" i="67"/>
  <c r="C73" i="67"/>
  <c r="B73" i="67"/>
  <c r="C75" i="67"/>
  <c r="C107" i="67"/>
  <c r="B107" i="67"/>
  <c r="B80" i="67"/>
  <c r="C83" i="67"/>
  <c r="C86" i="67"/>
  <c r="B86" i="67"/>
  <c r="B106" i="67"/>
  <c r="B96" i="67"/>
  <c r="C97" i="67"/>
  <c r="B97" i="67"/>
  <c r="C81" i="67"/>
  <c r="B81" i="67"/>
  <c r="C94" i="67"/>
  <c r="C95" i="67"/>
  <c r="C96" i="67"/>
  <c r="C108" i="67"/>
  <c r="C136" i="67"/>
  <c r="B136" i="67"/>
  <c r="C76" i="67"/>
  <c r="B76" i="67"/>
  <c r="C102" i="67"/>
  <c r="B102" i="67"/>
  <c r="C109" i="67"/>
  <c r="C131" i="67"/>
  <c r="B131" i="67"/>
  <c r="C145" i="67"/>
  <c r="B145" i="67"/>
  <c r="C137" i="67"/>
  <c r="B115" i="67"/>
  <c r="C133" i="67"/>
  <c r="B133" i="67"/>
  <c r="B137" i="67"/>
  <c r="C142" i="67"/>
  <c r="B142" i="67"/>
  <c r="B114" i="67"/>
  <c r="C115" i="67"/>
  <c r="B71" i="67"/>
  <c r="B82" i="67"/>
  <c r="B87" i="67"/>
  <c r="B98" i="67"/>
  <c r="B103" i="67"/>
  <c r="C114" i="67"/>
  <c r="B122" i="67"/>
  <c r="C122" i="67"/>
  <c r="C124" i="67"/>
  <c r="B126" i="67"/>
  <c r="B88" i="67"/>
  <c r="C99" i="67"/>
  <c r="B104" i="67"/>
  <c r="C126" i="67"/>
  <c r="B132" i="67"/>
  <c r="C117" i="67"/>
  <c r="B117" i="67"/>
  <c r="B144" i="67"/>
  <c r="C156" i="67"/>
  <c r="C157" i="67"/>
  <c r="B138" i="67"/>
  <c r="C144" i="67"/>
  <c r="B156" i="67"/>
  <c r="B157" i="67"/>
  <c r="C138" i="67"/>
  <c r="C150" i="67"/>
  <c r="C151" i="67"/>
  <c r="B151" i="67"/>
  <c r="C147" i="67"/>
  <c r="B147" i="67"/>
  <c r="C169" i="67"/>
  <c r="B169" i="67"/>
  <c r="B129" i="67"/>
  <c r="B140" i="67"/>
  <c r="C125" i="67"/>
  <c r="C129" i="67"/>
  <c r="B130" i="67"/>
  <c r="C140" i="67"/>
  <c r="C141" i="67"/>
  <c r="B146" i="67"/>
  <c r="B162" i="67"/>
  <c r="B152" i="67"/>
  <c r="C152" i="67"/>
  <c r="B154" i="67"/>
  <c r="C154" i="67"/>
  <c r="C161" i="67"/>
  <c r="B164" i="67"/>
  <c r="C164" i="67"/>
  <c r="C165" i="67"/>
  <c r="B165" i="67"/>
  <c r="C178" i="67"/>
  <c r="B178" i="67"/>
  <c r="B158" i="67"/>
  <c r="C181" i="67"/>
  <c r="B181" i="67"/>
  <c r="C163" i="67"/>
  <c r="B176" i="67"/>
  <c r="C176" i="67"/>
  <c r="C175" i="67"/>
  <c r="B175" i="67"/>
  <c r="B166" i="67"/>
  <c r="C168" i="67"/>
  <c r="C173" i="67"/>
  <c r="B177" i="67"/>
  <c r="C186" i="67"/>
  <c r="B186" i="67"/>
  <c r="C180" i="67"/>
  <c r="C172" i="67"/>
  <c r="B179" i="67"/>
  <c r="B170" i="67"/>
  <c r="C182" i="67"/>
  <c r="C183" i="67"/>
  <c r="B187" i="67"/>
  <c r="C188" i="67"/>
  <c r="C189" i="67"/>
  <c r="B189" i="67"/>
  <c r="B193" i="67"/>
  <c r="C193" i="67"/>
  <c r="B194" i="67"/>
  <c r="B196" i="67"/>
  <c r="C190" i="67"/>
  <c r="C194" i="67"/>
  <c r="C196" i="67"/>
  <c r="B199" i="67"/>
  <c r="C198" i="67"/>
  <c r="B198" i="67"/>
  <c r="C202" i="67"/>
  <c r="B202" i="67"/>
  <c r="B204" i="67"/>
  <c r="B201" i="67"/>
  <c r="C204" i="67"/>
  <c r="C201" i="67"/>
  <c r="B195" i="67"/>
  <c r="B203" i="67"/>
  <c r="V6" i="35"/>
  <c r="V7" i="35"/>
  <c r="V8" i="35"/>
  <c r="V9" i="35"/>
  <c r="V10" i="35"/>
  <c r="V12" i="35"/>
  <c r="V13" i="35"/>
  <c r="V14" i="35"/>
  <c r="V15" i="35"/>
  <c r="V17" i="35"/>
  <c r="V18" i="35"/>
  <c r="V19" i="35"/>
  <c r="V20" i="35"/>
  <c r="V21" i="35"/>
  <c r="V22" i="35"/>
  <c r="V24" i="35"/>
  <c r="V25" i="35"/>
  <c r="V26" i="35"/>
  <c r="V27" i="35"/>
  <c r="V28" i="35"/>
  <c r="V29" i="35"/>
  <c r="V30" i="35"/>
  <c r="V31" i="35"/>
  <c r="V32" i="35"/>
  <c r="V34" i="35"/>
  <c r="V35" i="35"/>
  <c r="V5" i="35"/>
  <c r="I5" i="35"/>
  <c r="I6" i="35"/>
  <c r="I8" i="35"/>
  <c r="I9" i="35"/>
  <c r="I12" i="35"/>
  <c r="I16" i="35"/>
  <c r="I18" i="35"/>
  <c r="I19" i="35"/>
  <c r="I20" i="35"/>
  <c r="I21" i="35"/>
  <c r="I22" i="35"/>
  <c r="I23" i="35"/>
  <c r="I24" i="35"/>
  <c r="I25" i="35"/>
  <c r="I26" i="35"/>
  <c r="I27" i="35"/>
  <c r="I30" i="35"/>
  <c r="I31" i="35"/>
  <c r="I34" i="35"/>
  <c r="I35" i="35"/>
  <c r="O6" i="35"/>
  <c r="O7" i="35"/>
  <c r="O8" i="35"/>
  <c r="O9" i="35"/>
  <c r="O10" i="35"/>
  <c r="O11" i="35"/>
  <c r="V11" i="35" s="1"/>
  <c r="O12" i="35"/>
  <c r="O13" i="35"/>
  <c r="O14" i="35"/>
  <c r="O15" i="35"/>
  <c r="O16" i="35"/>
  <c r="V16" i="35" s="1"/>
  <c r="O17" i="35"/>
  <c r="O18" i="35"/>
  <c r="O19" i="35"/>
  <c r="O20" i="35"/>
  <c r="O21" i="35"/>
  <c r="O22" i="35"/>
  <c r="O23" i="35"/>
  <c r="V23" i="35" s="1"/>
  <c r="O24" i="35"/>
  <c r="O25" i="35"/>
  <c r="O26" i="35"/>
  <c r="O27" i="35"/>
  <c r="O28" i="35"/>
  <c r="O29" i="35"/>
  <c r="O30" i="35"/>
  <c r="O31" i="35"/>
  <c r="O32" i="35"/>
  <c r="O33" i="35"/>
  <c r="V33" i="35" s="1"/>
  <c r="O34" i="35"/>
  <c r="O35" i="35"/>
  <c r="O5" i="35"/>
  <c r="B6" i="35"/>
  <c r="B7" i="35"/>
  <c r="I7" i="35" s="1"/>
  <c r="B8" i="35"/>
  <c r="B9" i="35"/>
  <c r="B10" i="35"/>
  <c r="I10" i="35" s="1"/>
  <c r="B11" i="35"/>
  <c r="I11" i="35" s="1"/>
  <c r="B12" i="35"/>
  <c r="B13" i="35"/>
  <c r="I13" i="35" s="1"/>
  <c r="B14" i="35"/>
  <c r="I14" i="35" s="1"/>
  <c r="B15" i="35"/>
  <c r="I15" i="35" s="1"/>
  <c r="B16" i="35"/>
  <c r="B17" i="35"/>
  <c r="I17" i="35" s="1"/>
  <c r="B18" i="35"/>
  <c r="B19" i="35"/>
  <c r="B20" i="35"/>
  <c r="B21" i="35"/>
  <c r="B22" i="35"/>
  <c r="B23" i="35"/>
  <c r="B24" i="35"/>
  <c r="B25" i="35"/>
  <c r="B26" i="35"/>
  <c r="B27" i="35"/>
  <c r="B28" i="35"/>
  <c r="I28" i="35" s="1"/>
  <c r="B29" i="35"/>
  <c r="I29" i="35" s="1"/>
  <c r="B30" i="35"/>
  <c r="B31" i="35"/>
  <c r="B32" i="35"/>
  <c r="I32" i="35" s="1"/>
  <c r="B33" i="35"/>
  <c r="I33" i="35" s="1"/>
  <c r="B34" i="35"/>
  <c r="B35" i="35"/>
  <c r="B5" i="35"/>
  <c r="A5" i="35"/>
  <c r="S35" i="61"/>
  <c r="Q35" i="61"/>
  <c r="R35" i="61" s="1"/>
  <c r="S34" i="61"/>
  <c r="R34" i="61"/>
  <c r="Q34" i="61"/>
  <c r="S33" i="61"/>
  <c r="Q33" i="61"/>
  <c r="R33" i="61" s="1"/>
  <c r="S32" i="61"/>
  <c r="Q32" i="61"/>
  <c r="R32" i="61" s="1"/>
  <c r="S31" i="61"/>
  <c r="Q31" i="61"/>
  <c r="R31" i="61" s="1"/>
  <c r="S30" i="61"/>
  <c r="Q30" i="61"/>
  <c r="R30" i="61" s="1"/>
  <c r="S29" i="61"/>
  <c r="Q29" i="61"/>
  <c r="R29" i="61" s="1"/>
  <c r="S28" i="61"/>
  <c r="Q28" i="61"/>
  <c r="R28" i="61" s="1"/>
  <c r="S27" i="61"/>
  <c r="Q27" i="61"/>
  <c r="R27" i="61" s="1"/>
  <c r="S26" i="61"/>
  <c r="Q26" i="61"/>
  <c r="R26" i="61" s="1"/>
  <c r="S25" i="61"/>
  <c r="Q25" i="61"/>
  <c r="R25" i="61" s="1"/>
  <c r="S24" i="61"/>
  <c r="Q24" i="61"/>
  <c r="R24" i="61" s="1"/>
  <c r="S23" i="61"/>
  <c r="R23" i="61"/>
  <c r="Q23" i="61"/>
  <c r="S22" i="61"/>
  <c r="Q22" i="61"/>
  <c r="R22" i="61" s="1"/>
  <c r="S21" i="61"/>
  <c r="Q21" i="61"/>
  <c r="R21" i="61" s="1"/>
  <c r="S20" i="61"/>
  <c r="Q20" i="61"/>
  <c r="R20" i="61" s="1"/>
  <c r="S19" i="61"/>
  <c r="Q19" i="61"/>
  <c r="R19" i="61" s="1"/>
  <c r="S18" i="61"/>
  <c r="Q18" i="61"/>
  <c r="R18" i="61" s="1"/>
  <c r="S17" i="61"/>
  <c r="Q17" i="61"/>
  <c r="R17" i="61" s="1"/>
  <c r="S16" i="61"/>
  <c r="Q16" i="61"/>
  <c r="R16" i="61" s="1"/>
  <c r="S15" i="61"/>
  <c r="R15" i="61"/>
  <c r="Q15" i="61"/>
  <c r="S14" i="61"/>
  <c r="Q14" i="61"/>
  <c r="R14" i="61" s="1"/>
  <c r="S13" i="61"/>
  <c r="Q13" i="61"/>
  <c r="R13" i="61" s="1"/>
  <c r="S12" i="61"/>
  <c r="Q12" i="61"/>
  <c r="R12" i="61" s="1"/>
  <c r="S11" i="61"/>
  <c r="Q11" i="61"/>
  <c r="R11" i="61" s="1"/>
  <c r="S10" i="61"/>
  <c r="Q10" i="61"/>
  <c r="R10" i="61" s="1"/>
  <c r="S9" i="61"/>
  <c r="Q9" i="61"/>
  <c r="R9" i="61" s="1"/>
  <c r="S8" i="61"/>
  <c r="Q8" i="61"/>
  <c r="R8" i="61" s="1"/>
  <c r="S7" i="61"/>
  <c r="Q7" i="61"/>
  <c r="R7" i="61" s="1"/>
  <c r="S6" i="61"/>
  <c r="Q6" i="61"/>
  <c r="R6" i="61" s="1"/>
  <c r="S5" i="61"/>
  <c r="Q5" i="61"/>
  <c r="R5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G29" i="61" s="1"/>
  <c r="F28" i="61"/>
  <c r="G28" i="61" s="1"/>
  <c r="F27" i="61"/>
  <c r="G27" i="61" s="1"/>
  <c r="F26" i="61"/>
  <c r="G26" i="61" s="1"/>
  <c r="F25" i="61"/>
  <c r="G25" i="61" s="1"/>
  <c r="F24" i="61"/>
  <c r="G24" i="61" s="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G5" i="61" s="1"/>
  <c r="L5" i="61"/>
  <c r="A5" i="61"/>
  <c r="S35" i="57"/>
  <c r="Q35" i="57"/>
  <c r="R35" i="57" s="1"/>
  <c r="S34" i="57"/>
  <c r="Q34" i="57"/>
  <c r="R34" i="57" s="1"/>
  <c r="S33" i="57"/>
  <c r="Q33" i="57"/>
  <c r="R33" i="57" s="1"/>
  <c r="S32" i="57"/>
  <c r="Q32" i="57"/>
  <c r="R32" i="57" s="1"/>
  <c r="S31" i="57"/>
  <c r="Q31" i="57"/>
  <c r="R31" i="57" s="1"/>
  <c r="S30" i="57"/>
  <c r="Q30" i="57"/>
  <c r="R30" i="57" s="1"/>
  <c r="S29" i="57"/>
  <c r="Q29" i="57"/>
  <c r="R29" i="57" s="1"/>
  <c r="S28" i="57"/>
  <c r="Q28" i="57"/>
  <c r="R28" i="57" s="1"/>
  <c r="S27" i="57"/>
  <c r="Q27" i="57"/>
  <c r="R27" i="57" s="1"/>
  <c r="S26" i="57"/>
  <c r="Q26" i="57"/>
  <c r="R26" i="57" s="1"/>
  <c r="S25" i="57"/>
  <c r="Q25" i="57"/>
  <c r="R25" i="57" s="1"/>
  <c r="S24" i="57"/>
  <c r="Q24" i="57"/>
  <c r="R24" i="57" s="1"/>
  <c r="S23" i="57"/>
  <c r="Q23" i="57"/>
  <c r="R23" i="57" s="1"/>
  <c r="S22" i="57"/>
  <c r="Q22" i="57"/>
  <c r="R22" i="57" s="1"/>
  <c r="S21" i="57"/>
  <c r="Q21" i="57"/>
  <c r="R21" i="57" s="1"/>
  <c r="S20" i="57"/>
  <c r="Q20" i="57"/>
  <c r="R20" i="57" s="1"/>
  <c r="S19" i="57"/>
  <c r="Q19" i="57"/>
  <c r="R19" i="57" s="1"/>
  <c r="S18" i="57"/>
  <c r="Q18" i="57"/>
  <c r="R18" i="57" s="1"/>
  <c r="S17" i="57"/>
  <c r="Q17" i="57"/>
  <c r="R17" i="57" s="1"/>
  <c r="S16" i="57"/>
  <c r="R16" i="57"/>
  <c r="Q16" i="57"/>
  <c r="S15" i="57"/>
  <c r="Q15" i="57"/>
  <c r="R15" i="57" s="1"/>
  <c r="S14" i="57"/>
  <c r="Q14" i="57"/>
  <c r="R14" i="57" s="1"/>
  <c r="S13" i="57"/>
  <c r="Q13" i="57"/>
  <c r="R13" i="57" s="1"/>
  <c r="S12" i="57"/>
  <c r="Q12" i="57"/>
  <c r="R12" i="57" s="1"/>
  <c r="S11" i="57"/>
  <c r="Q11" i="57"/>
  <c r="R11" i="57" s="1"/>
  <c r="S10" i="57"/>
  <c r="Q10" i="57"/>
  <c r="R10" i="57" s="1"/>
  <c r="S9" i="57"/>
  <c r="Q9" i="57"/>
  <c r="R9" i="57" s="1"/>
  <c r="S8" i="57"/>
  <c r="Q8" i="57"/>
  <c r="R8" i="57" s="1"/>
  <c r="S7" i="57"/>
  <c r="Q7" i="57"/>
  <c r="R7" i="57" s="1"/>
  <c r="S6" i="57"/>
  <c r="Q6" i="57"/>
  <c r="R6" i="57" s="1"/>
  <c r="S5" i="57"/>
  <c r="Q5" i="57"/>
  <c r="R5" i="57" s="1"/>
  <c r="H35" i="57"/>
  <c r="F35" i="57"/>
  <c r="G35" i="57" s="1"/>
  <c r="H34" i="57"/>
  <c r="F34" i="57"/>
  <c r="G34" i="57" s="1"/>
  <c r="H33" i="57"/>
  <c r="F33" i="57"/>
  <c r="G33" i="57" s="1"/>
  <c r="H32" i="57"/>
  <c r="F32" i="57"/>
  <c r="G32" i="57" s="1"/>
  <c r="H31" i="57"/>
  <c r="F31" i="57"/>
  <c r="G31" i="57" s="1"/>
  <c r="H30" i="57"/>
  <c r="F30" i="57"/>
  <c r="G30" i="57" s="1"/>
  <c r="H29" i="57"/>
  <c r="F29" i="57"/>
  <c r="G29" i="57" s="1"/>
  <c r="H28" i="57"/>
  <c r="F28" i="57"/>
  <c r="G28" i="57" s="1"/>
  <c r="H27" i="57"/>
  <c r="F27" i="57"/>
  <c r="G27" i="57" s="1"/>
  <c r="H26" i="57"/>
  <c r="F26" i="57"/>
  <c r="G26" i="57" s="1"/>
  <c r="H25" i="57"/>
  <c r="F25" i="57"/>
  <c r="G25" i="57" s="1"/>
  <c r="H24" i="57"/>
  <c r="G24" i="57"/>
  <c r="F24" i="57"/>
  <c r="H23" i="57"/>
  <c r="F23" i="57"/>
  <c r="G23" i="57" s="1"/>
  <c r="H22" i="57"/>
  <c r="F22" i="57"/>
  <c r="G22" i="57" s="1"/>
  <c r="H21" i="57"/>
  <c r="F21" i="57"/>
  <c r="G21" i="57" s="1"/>
  <c r="H20" i="57"/>
  <c r="F20" i="57"/>
  <c r="G20" i="57" s="1"/>
  <c r="H19" i="57"/>
  <c r="F19" i="57"/>
  <c r="G19" i="57" s="1"/>
  <c r="H18" i="57"/>
  <c r="F18" i="57"/>
  <c r="G18" i="57" s="1"/>
  <c r="H17" i="57"/>
  <c r="F17" i="57"/>
  <c r="G17" i="57" s="1"/>
  <c r="H16" i="57"/>
  <c r="F16" i="57"/>
  <c r="G16" i="57" s="1"/>
  <c r="H15" i="57"/>
  <c r="F15" i="57"/>
  <c r="G15" i="57" s="1"/>
  <c r="H14" i="57"/>
  <c r="F14" i="57"/>
  <c r="G14" i="57" s="1"/>
  <c r="H13" i="57"/>
  <c r="F13" i="57"/>
  <c r="G13" i="57" s="1"/>
  <c r="H12" i="57"/>
  <c r="F12" i="57"/>
  <c r="G12" i="57" s="1"/>
  <c r="H11" i="57"/>
  <c r="F11" i="57"/>
  <c r="G11" i="57" s="1"/>
  <c r="H10" i="57"/>
  <c r="F10" i="57"/>
  <c r="G10" i="57" s="1"/>
  <c r="H9" i="57"/>
  <c r="F9" i="57"/>
  <c r="G9" i="57" s="1"/>
  <c r="H8" i="57"/>
  <c r="F8" i="57"/>
  <c r="G8" i="57" s="1"/>
  <c r="H7" i="57"/>
  <c r="F7" i="57"/>
  <c r="G7" i="57" s="1"/>
  <c r="H6" i="57"/>
  <c r="F6" i="57"/>
  <c r="G6" i="57" s="1"/>
  <c r="H5" i="57"/>
  <c r="F5" i="57"/>
  <c r="G5" i="57" s="1"/>
  <c r="A5" i="57"/>
  <c r="L5" i="57"/>
  <c r="H35" i="56"/>
  <c r="F35" i="56"/>
  <c r="G35" i="56" s="1"/>
  <c r="H34" i="56"/>
  <c r="F34" i="56"/>
  <c r="G34" i="56" s="1"/>
  <c r="H33" i="56"/>
  <c r="F33" i="56"/>
  <c r="G33" i="56" s="1"/>
  <c r="H32" i="56"/>
  <c r="F32" i="56"/>
  <c r="G32" i="56" s="1"/>
  <c r="H31" i="56"/>
  <c r="F31" i="56"/>
  <c r="G31" i="56" s="1"/>
  <c r="H30" i="56"/>
  <c r="F30" i="56"/>
  <c r="G30" i="56" s="1"/>
  <c r="H29" i="56"/>
  <c r="F29" i="56"/>
  <c r="G29" i="56" s="1"/>
  <c r="H28" i="56"/>
  <c r="F28" i="56"/>
  <c r="G28" i="56" s="1"/>
  <c r="H27" i="56"/>
  <c r="F27" i="56"/>
  <c r="G27" i="56" s="1"/>
  <c r="H26" i="56"/>
  <c r="F26" i="56"/>
  <c r="G26" i="56" s="1"/>
  <c r="H25" i="56"/>
  <c r="F25" i="56"/>
  <c r="G25" i="56" s="1"/>
  <c r="H24" i="56"/>
  <c r="F24" i="56"/>
  <c r="G24" i="56" s="1"/>
  <c r="H23" i="56"/>
  <c r="F23" i="56"/>
  <c r="G23" i="56" s="1"/>
  <c r="H22" i="56"/>
  <c r="F22" i="56"/>
  <c r="G22" i="56" s="1"/>
  <c r="H21" i="56"/>
  <c r="F21" i="56"/>
  <c r="G21" i="56" s="1"/>
  <c r="H20" i="56"/>
  <c r="F20" i="56"/>
  <c r="G20" i="56" s="1"/>
  <c r="H19" i="56"/>
  <c r="F19" i="56"/>
  <c r="G19" i="56" s="1"/>
  <c r="H18" i="56"/>
  <c r="F18" i="56"/>
  <c r="G18" i="56" s="1"/>
  <c r="H17" i="56"/>
  <c r="F17" i="56"/>
  <c r="G17" i="56" s="1"/>
  <c r="H16" i="56"/>
  <c r="F16" i="56"/>
  <c r="G16" i="56" s="1"/>
  <c r="H15" i="56"/>
  <c r="F15" i="56"/>
  <c r="G15" i="56" s="1"/>
  <c r="H14" i="56"/>
  <c r="F14" i="56"/>
  <c r="G14" i="56" s="1"/>
  <c r="H13" i="56"/>
  <c r="F13" i="56"/>
  <c r="G13" i="56" s="1"/>
  <c r="H12" i="56"/>
  <c r="F12" i="56"/>
  <c r="G12" i="56" s="1"/>
  <c r="H11" i="56"/>
  <c r="F11" i="56"/>
  <c r="G11" i="56" s="1"/>
  <c r="H10" i="56"/>
  <c r="F10" i="56"/>
  <c r="G10" i="56" s="1"/>
  <c r="H9" i="56"/>
  <c r="F9" i="56"/>
  <c r="G9" i="56" s="1"/>
  <c r="H8" i="56"/>
  <c r="F8" i="56"/>
  <c r="G8" i="56" s="1"/>
  <c r="H7" i="56"/>
  <c r="F7" i="56"/>
  <c r="G7" i="56" s="1"/>
  <c r="H6" i="56"/>
  <c r="G6" i="56"/>
  <c r="F6" i="56"/>
  <c r="S35" i="56"/>
  <c r="Q35" i="56"/>
  <c r="R35" i="56" s="1"/>
  <c r="S34" i="56"/>
  <c r="Q34" i="56"/>
  <c r="R34" i="56" s="1"/>
  <c r="S33" i="56"/>
  <c r="Q33" i="56"/>
  <c r="R33" i="56" s="1"/>
  <c r="S32" i="56"/>
  <c r="Q32" i="56"/>
  <c r="R32" i="56" s="1"/>
  <c r="S31" i="56"/>
  <c r="Q31" i="56"/>
  <c r="R31" i="56" s="1"/>
  <c r="S30" i="56"/>
  <c r="Q30" i="56"/>
  <c r="R30" i="56" s="1"/>
  <c r="S29" i="56"/>
  <c r="Q29" i="56"/>
  <c r="R29" i="56" s="1"/>
  <c r="S28" i="56"/>
  <c r="Q28" i="56"/>
  <c r="R28" i="56" s="1"/>
  <c r="S27" i="56"/>
  <c r="Q27" i="56"/>
  <c r="R27" i="56" s="1"/>
  <c r="S26" i="56"/>
  <c r="Q26" i="56"/>
  <c r="R26" i="56" s="1"/>
  <c r="S25" i="56"/>
  <c r="Q25" i="56"/>
  <c r="R25" i="56" s="1"/>
  <c r="S24" i="56"/>
  <c r="Q24" i="56"/>
  <c r="R24" i="56" s="1"/>
  <c r="S23" i="56"/>
  <c r="Q23" i="56"/>
  <c r="R23" i="56" s="1"/>
  <c r="S22" i="56"/>
  <c r="Q22" i="56"/>
  <c r="R22" i="56" s="1"/>
  <c r="S21" i="56"/>
  <c r="Q21" i="56"/>
  <c r="R21" i="56" s="1"/>
  <c r="S20" i="56"/>
  <c r="Q20" i="56"/>
  <c r="R20" i="56" s="1"/>
  <c r="S19" i="56"/>
  <c r="Q19" i="56"/>
  <c r="R19" i="56" s="1"/>
  <c r="S18" i="56"/>
  <c r="Q18" i="56"/>
  <c r="R18" i="56" s="1"/>
  <c r="S17" i="56"/>
  <c r="Q17" i="56"/>
  <c r="R17" i="56" s="1"/>
  <c r="S16" i="56"/>
  <c r="R16" i="56"/>
  <c r="Q16" i="56"/>
  <c r="S15" i="56"/>
  <c r="Q15" i="56"/>
  <c r="R15" i="56" s="1"/>
  <c r="S14" i="56"/>
  <c r="Q14" i="56"/>
  <c r="R14" i="56" s="1"/>
  <c r="S13" i="56"/>
  <c r="Q13" i="56"/>
  <c r="R13" i="56" s="1"/>
  <c r="S12" i="56"/>
  <c r="Q12" i="56"/>
  <c r="R12" i="56" s="1"/>
  <c r="S11" i="56"/>
  <c r="Q11" i="56"/>
  <c r="R11" i="56" s="1"/>
  <c r="S10" i="56"/>
  <c r="Q10" i="56"/>
  <c r="R10" i="56" s="1"/>
  <c r="S9" i="56"/>
  <c r="Q9" i="56"/>
  <c r="R9" i="56" s="1"/>
  <c r="S8" i="56"/>
  <c r="Q8" i="56"/>
  <c r="R8" i="56" s="1"/>
  <c r="S7" i="56"/>
  <c r="Q7" i="56"/>
  <c r="R7" i="56" s="1"/>
  <c r="S6" i="56"/>
  <c r="R6" i="56"/>
  <c r="Q6" i="56"/>
  <c r="S5" i="56"/>
  <c r="Q5" i="56"/>
  <c r="R5" i="56" s="1"/>
  <c r="H5" i="56"/>
  <c r="F5" i="56"/>
  <c r="G5" i="56" s="1"/>
  <c r="L5" i="56"/>
  <c r="A5" i="56"/>
  <c r="S35" i="55"/>
  <c r="Q35" i="55"/>
  <c r="R35" i="55" s="1"/>
  <c r="S34" i="55"/>
  <c r="Q34" i="55"/>
  <c r="R34" i="55" s="1"/>
  <c r="S33" i="55"/>
  <c r="Q33" i="55"/>
  <c r="R33" i="55" s="1"/>
  <c r="S32" i="55"/>
  <c r="Q32" i="55"/>
  <c r="R32" i="55" s="1"/>
  <c r="S31" i="55"/>
  <c r="Q31" i="55"/>
  <c r="R31" i="55" s="1"/>
  <c r="S30" i="55"/>
  <c r="Q30" i="55"/>
  <c r="R30" i="55" s="1"/>
  <c r="S29" i="55"/>
  <c r="Q29" i="55"/>
  <c r="R29" i="55" s="1"/>
  <c r="S28" i="55"/>
  <c r="Q28" i="55"/>
  <c r="R28" i="55" s="1"/>
  <c r="S27" i="55"/>
  <c r="Q27" i="55"/>
  <c r="R27" i="55" s="1"/>
  <c r="S26" i="55"/>
  <c r="Q26" i="55"/>
  <c r="R26" i="55" s="1"/>
  <c r="S25" i="55"/>
  <c r="Q25" i="55"/>
  <c r="R25" i="55" s="1"/>
  <c r="S24" i="55"/>
  <c r="Q24" i="55"/>
  <c r="R24" i="55" s="1"/>
  <c r="S23" i="55"/>
  <c r="Q23" i="55"/>
  <c r="R23" i="55" s="1"/>
  <c r="S22" i="55"/>
  <c r="Q22" i="55"/>
  <c r="R22" i="55" s="1"/>
  <c r="S21" i="55"/>
  <c r="Q21" i="55"/>
  <c r="R21" i="55" s="1"/>
  <c r="S20" i="55"/>
  <c r="Q20" i="55"/>
  <c r="R20" i="55" s="1"/>
  <c r="S19" i="55"/>
  <c r="Q19" i="55"/>
  <c r="R19" i="55" s="1"/>
  <c r="S18" i="55"/>
  <c r="Q18" i="55"/>
  <c r="R18" i="55" s="1"/>
  <c r="S17" i="55"/>
  <c r="Q17" i="55"/>
  <c r="R17" i="55" s="1"/>
  <c r="S16" i="55"/>
  <c r="Q16" i="55"/>
  <c r="R16" i="55" s="1"/>
  <c r="S15" i="55"/>
  <c r="Q15" i="55"/>
  <c r="R15" i="55" s="1"/>
  <c r="S14" i="55"/>
  <c r="Q14" i="55"/>
  <c r="R14" i="55" s="1"/>
  <c r="S13" i="55"/>
  <c r="Q13" i="55"/>
  <c r="R13" i="55" s="1"/>
  <c r="S12" i="55"/>
  <c r="Q12" i="55"/>
  <c r="R12" i="55" s="1"/>
  <c r="S11" i="55"/>
  <c r="Q11" i="55"/>
  <c r="R11" i="55" s="1"/>
  <c r="S10" i="55"/>
  <c r="Q10" i="55"/>
  <c r="R10" i="55" s="1"/>
  <c r="S9" i="55"/>
  <c r="Q9" i="55"/>
  <c r="R9" i="55" s="1"/>
  <c r="S8" i="55"/>
  <c r="Q8" i="55"/>
  <c r="R8" i="55" s="1"/>
  <c r="S7" i="55"/>
  <c r="Q7" i="55"/>
  <c r="R7" i="55" s="1"/>
  <c r="S6" i="55"/>
  <c r="Q6" i="55"/>
  <c r="R6" i="55" s="1"/>
  <c r="S5" i="55"/>
  <c r="Q5" i="55"/>
  <c r="H35" i="55"/>
  <c r="F35" i="55"/>
  <c r="G35" i="55" s="1"/>
  <c r="H34" i="55"/>
  <c r="F34" i="55"/>
  <c r="G34" i="55" s="1"/>
  <c r="H33" i="55"/>
  <c r="F33" i="55"/>
  <c r="G33" i="55" s="1"/>
  <c r="H32" i="55"/>
  <c r="F32" i="55"/>
  <c r="G32" i="55" s="1"/>
  <c r="H31" i="55"/>
  <c r="F31" i="55"/>
  <c r="G31" i="55" s="1"/>
  <c r="H30" i="55"/>
  <c r="F30" i="55"/>
  <c r="G30" i="55" s="1"/>
  <c r="H29" i="55"/>
  <c r="F29" i="55"/>
  <c r="G29" i="55" s="1"/>
  <c r="H28" i="55"/>
  <c r="F28" i="55"/>
  <c r="G28" i="55" s="1"/>
  <c r="H27" i="55"/>
  <c r="F27" i="55"/>
  <c r="G27" i="55" s="1"/>
  <c r="H26" i="55"/>
  <c r="F26" i="55"/>
  <c r="G26" i="55" s="1"/>
  <c r="H25" i="55"/>
  <c r="F25" i="55"/>
  <c r="G25" i="55" s="1"/>
  <c r="H24" i="55"/>
  <c r="F24" i="55"/>
  <c r="G24" i="55" s="1"/>
  <c r="H23" i="55"/>
  <c r="F23" i="55"/>
  <c r="G23" i="55" s="1"/>
  <c r="H22" i="55"/>
  <c r="F22" i="55"/>
  <c r="G22" i="55" s="1"/>
  <c r="H21" i="55"/>
  <c r="F21" i="55"/>
  <c r="G21" i="55" s="1"/>
  <c r="H20" i="55"/>
  <c r="F20" i="55"/>
  <c r="G20" i="55" s="1"/>
  <c r="H19" i="55"/>
  <c r="F19" i="55"/>
  <c r="G19" i="55" s="1"/>
  <c r="H18" i="55"/>
  <c r="F18" i="55"/>
  <c r="G18" i="55" s="1"/>
  <c r="H17" i="55"/>
  <c r="G17" i="55"/>
  <c r="F17" i="55"/>
  <c r="H16" i="55"/>
  <c r="F16" i="55"/>
  <c r="G16" i="55" s="1"/>
  <c r="H15" i="55"/>
  <c r="F15" i="55"/>
  <c r="G15" i="55" s="1"/>
  <c r="H14" i="55"/>
  <c r="F14" i="55"/>
  <c r="G14" i="55" s="1"/>
  <c r="H13" i="55"/>
  <c r="G13" i="55"/>
  <c r="F13" i="55"/>
  <c r="H12" i="55"/>
  <c r="F12" i="55"/>
  <c r="G12" i="55" s="1"/>
  <c r="H11" i="55"/>
  <c r="F11" i="55"/>
  <c r="G11" i="55" s="1"/>
  <c r="H10" i="55"/>
  <c r="F10" i="55"/>
  <c r="G10" i="55" s="1"/>
  <c r="H9" i="55"/>
  <c r="F9" i="55"/>
  <c r="G9" i="55" s="1"/>
  <c r="H8" i="55"/>
  <c r="F8" i="55"/>
  <c r="G8" i="55" s="1"/>
  <c r="H7" i="55"/>
  <c r="F7" i="55"/>
  <c r="G7" i="55" s="1"/>
  <c r="H6" i="55"/>
  <c r="F6" i="55"/>
  <c r="G6" i="55" s="1"/>
  <c r="H5" i="55"/>
  <c r="F5" i="55"/>
  <c r="L5" i="55"/>
  <c r="A5" i="55"/>
  <c r="G5" i="55" l="1"/>
  <c r="G36" i="55" s="1"/>
  <c r="F36" i="55"/>
  <c r="R5" i="55"/>
  <c r="R36" i="55" s="1"/>
  <c r="Q36" i="55"/>
  <c r="D206" i="67"/>
  <c r="D207" i="63"/>
  <c r="D205" i="63"/>
  <c r="D207" i="67"/>
  <c r="D207" i="5"/>
  <c r="D205" i="67"/>
  <c r="D205" i="5"/>
  <c r="D206" i="63"/>
  <c r="D206" i="5"/>
  <c r="D32" i="67"/>
  <c r="D203" i="67"/>
  <c r="D69" i="67"/>
  <c r="D185" i="67"/>
  <c r="D122" i="67"/>
  <c r="D135" i="67"/>
  <c r="D183" i="67"/>
  <c r="D164" i="67"/>
  <c r="D200" i="67"/>
  <c r="D134" i="67"/>
  <c r="D170" i="67"/>
  <c r="D198" i="67"/>
  <c r="D124" i="67"/>
  <c r="D119" i="67"/>
  <c r="D190" i="67"/>
  <c r="D98" i="67"/>
  <c r="D61" i="67"/>
  <c r="D143" i="67"/>
  <c r="D26" i="67"/>
  <c r="D114" i="67"/>
  <c r="D179" i="67"/>
  <c r="D93" i="67"/>
  <c r="D86" i="67"/>
  <c r="D24" i="67"/>
  <c r="D21" i="67"/>
  <c r="F21" i="1" s="1"/>
  <c r="D100" i="67"/>
  <c r="D62" i="67"/>
  <c r="D31" i="67"/>
  <c r="D6" i="67"/>
  <c r="D182" i="67"/>
  <c r="D152" i="67"/>
  <c r="D27" i="67"/>
  <c r="D175" i="67"/>
  <c r="D92" i="67"/>
  <c r="D58" i="67"/>
  <c r="D85" i="67"/>
  <c r="D25" i="67"/>
  <c r="D103" i="67"/>
  <c r="D174" i="67"/>
  <c r="D151" i="67"/>
  <c r="D189" i="67"/>
  <c r="D64" i="67"/>
  <c r="D112" i="67"/>
  <c r="D12" i="67"/>
  <c r="D184" i="67"/>
  <c r="D37" i="67"/>
  <c r="D82" i="67"/>
  <c r="D120" i="67"/>
  <c r="D33" i="67"/>
  <c r="F33" i="1" s="1"/>
  <c r="D7" i="67"/>
  <c r="D192" i="67"/>
  <c r="D201" i="67"/>
  <c r="D146" i="67"/>
  <c r="D17" i="67"/>
  <c r="F17" i="1" s="1"/>
  <c r="D194" i="67"/>
  <c r="D173" i="67"/>
  <c r="D130" i="67"/>
  <c r="D104" i="67"/>
  <c r="D87" i="67"/>
  <c r="D40" i="67"/>
  <c r="D154" i="67"/>
  <c r="D141" i="67"/>
  <c r="D4" i="67"/>
  <c r="D187" i="67"/>
  <c r="D129" i="67"/>
  <c r="D111" i="67"/>
  <c r="D101" i="67"/>
  <c r="D60" i="67"/>
  <c r="D63" i="67"/>
  <c r="D36" i="67"/>
  <c r="D16" i="67"/>
  <c r="F16" i="1" s="1"/>
  <c r="D5" i="67"/>
  <c r="D195" i="67"/>
  <c r="F195" i="1" s="1"/>
  <c r="D45" i="67"/>
  <c r="D38" i="67"/>
  <c r="D15" i="67"/>
  <c r="F15" i="1" s="1"/>
  <c r="D55" i="67"/>
  <c r="D166" i="67"/>
  <c r="D48" i="67"/>
  <c r="D149" i="67"/>
  <c r="D53" i="67"/>
  <c r="D43" i="67"/>
  <c r="F43" i="1" s="1"/>
  <c r="D128" i="67"/>
  <c r="D88" i="67"/>
  <c r="D29" i="67"/>
  <c r="F29" i="1" s="1"/>
  <c r="D2" i="67"/>
  <c r="D18" i="67"/>
  <c r="F18" i="1" s="1"/>
  <c r="D202" i="67"/>
  <c r="F202" i="1" s="1"/>
  <c r="D199" i="67"/>
  <c r="D167" i="67"/>
  <c r="D160" i="67"/>
  <c r="D176" i="67"/>
  <c r="D165" i="67"/>
  <c r="D127" i="67"/>
  <c r="D162" i="67"/>
  <c r="F162" i="1" s="1"/>
  <c r="D169" i="67"/>
  <c r="F169" i="1" s="1"/>
  <c r="D139" i="67"/>
  <c r="D125" i="67"/>
  <c r="D126" i="67"/>
  <c r="D117" i="67"/>
  <c r="D133" i="67"/>
  <c r="D76" i="67"/>
  <c r="D95" i="67"/>
  <c r="D75" i="67"/>
  <c r="D68" i="67"/>
  <c r="D34" i="67"/>
  <c r="F34" i="1" s="1"/>
  <c r="D30" i="67"/>
  <c r="D142" i="67"/>
  <c r="D78" i="67"/>
  <c r="D172" i="67"/>
  <c r="F172" i="1" s="1"/>
  <c r="D186" i="67"/>
  <c r="F186" i="1" s="1"/>
  <c r="D181" i="67"/>
  <c r="D147" i="67"/>
  <c r="D144" i="67"/>
  <c r="F144" i="1" s="1"/>
  <c r="D157" i="67"/>
  <c r="D105" i="67"/>
  <c r="D110" i="67"/>
  <c r="D99" i="67"/>
  <c r="D109" i="67"/>
  <c r="D65" i="67"/>
  <c r="D80" i="67"/>
  <c r="D44" i="67"/>
  <c r="F44" i="1" s="1"/>
  <c r="D52" i="67"/>
  <c r="D54" i="67"/>
  <c r="D19" i="67"/>
  <c r="D59" i="67"/>
  <c r="F59" i="1" s="1"/>
  <c r="D13" i="67"/>
  <c r="D81" i="67"/>
  <c r="D188" i="67"/>
  <c r="F188" i="1" s="1"/>
  <c r="D171" i="67"/>
  <c r="D163" i="67"/>
  <c r="D161" i="67"/>
  <c r="D153" i="67"/>
  <c r="D156" i="67"/>
  <c r="D71" i="67"/>
  <c r="D84" i="67"/>
  <c r="D66" i="67"/>
  <c r="D116" i="67"/>
  <c r="D67" i="67"/>
  <c r="D20" i="67"/>
  <c r="F20" i="1" s="1"/>
  <c r="D11" i="67"/>
  <c r="D10" i="67"/>
  <c r="D14" i="67"/>
  <c r="F14" i="1" s="1"/>
  <c r="D23" i="67"/>
  <c r="D132" i="67"/>
  <c r="D204" i="67"/>
  <c r="D197" i="67"/>
  <c r="D138" i="67"/>
  <c r="D150" i="67"/>
  <c r="D118" i="67"/>
  <c r="F118" i="1" s="1"/>
  <c r="D77" i="67"/>
  <c r="F77" i="1" s="1"/>
  <c r="D121" i="67"/>
  <c r="D137" i="67"/>
  <c r="D131" i="67"/>
  <c r="D94" i="67"/>
  <c r="D83" i="67"/>
  <c r="D136" i="67"/>
  <c r="D108" i="67"/>
  <c r="D106" i="67"/>
  <c r="F106" i="1" s="1"/>
  <c r="D49" i="67"/>
  <c r="D74" i="67"/>
  <c r="D56" i="67"/>
  <c r="D42" i="67"/>
  <c r="D89" i="67"/>
  <c r="D28" i="67"/>
  <c r="F28" i="1" s="1"/>
  <c r="D193" i="67"/>
  <c r="D196" i="67"/>
  <c r="F196" i="1" s="1"/>
  <c r="D180" i="67"/>
  <c r="D155" i="67"/>
  <c r="D123" i="67"/>
  <c r="D113" i="67"/>
  <c r="F113" i="1" s="1"/>
  <c r="D115" i="67"/>
  <c r="D102" i="67"/>
  <c r="F102" i="1" s="1"/>
  <c r="D50" i="67"/>
  <c r="D41" i="67"/>
  <c r="F41" i="1" s="1"/>
  <c r="D70" i="67"/>
  <c r="F70" i="1" s="1"/>
  <c r="D47" i="67"/>
  <c r="D8" i="67"/>
  <c r="F8" i="1" s="1"/>
  <c r="D39" i="67"/>
  <c r="F39" i="1" s="1"/>
  <c r="D35" i="67"/>
  <c r="D177" i="67"/>
  <c r="F177" i="1" s="1"/>
  <c r="D191" i="67"/>
  <c r="D168" i="67"/>
  <c r="F168" i="1" s="1"/>
  <c r="D148" i="67"/>
  <c r="F148" i="1" s="1"/>
  <c r="D140" i="67"/>
  <c r="F140" i="1" s="1"/>
  <c r="D145" i="67"/>
  <c r="F145" i="1" s="1"/>
  <c r="D96" i="67"/>
  <c r="D51" i="67"/>
  <c r="D3" i="67"/>
  <c r="F3" i="1" s="1"/>
  <c r="D159" i="67"/>
  <c r="F159" i="1" s="1"/>
  <c r="D178" i="67"/>
  <c r="F178" i="1" s="1"/>
  <c r="D158" i="67"/>
  <c r="D79" i="67"/>
  <c r="F79" i="1" s="1"/>
  <c r="D97" i="67"/>
  <c r="F97" i="1" s="1"/>
  <c r="D107" i="67"/>
  <c r="D73" i="67"/>
  <c r="D57" i="67"/>
  <c r="D90" i="67"/>
  <c r="F90" i="1" s="1"/>
  <c r="D72" i="67"/>
  <c r="F72" i="1" s="1"/>
  <c r="D91" i="67"/>
  <c r="D46" i="67"/>
  <c r="D22" i="67"/>
  <c r="F22" i="1" s="1"/>
  <c r="D9" i="67"/>
  <c r="S35" i="54"/>
  <c r="Q35" i="54"/>
  <c r="R35" i="54" s="1"/>
  <c r="S34" i="54"/>
  <c r="Q34" i="54"/>
  <c r="R34" i="54" s="1"/>
  <c r="S33" i="54"/>
  <c r="R33" i="54"/>
  <c r="Q33" i="54"/>
  <c r="S32" i="54"/>
  <c r="Q32" i="54"/>
  <c r="R32" i="54" s="1"/>
  <c r="S31" i="54"/>
  <c r="Q31" i="54"/>
  <c r="R31" i="54" s="1"/>
  <c r="S30" i="54"/>
  <c r="Q30" i="54"/>
  <c r="R30" i="54" s="1"/>
  <c r="S29" i="54"/>
  <c r="Q29" i="54"/>
  <c r="R29" i="54" s="1"/>
  <c r="S28" i="54"/>
  <c r="Q28" i="54"/>
  <c r="R28" i="54" s="1"/>
  <c r="S27" i="54"/>
  <c r="Q27" i="54"/>
  <c r="R27" i="54" s="1"/>
  <c r="S26" i="54"/>
  <c r="Q26" i="54"/>
  <c r="R26" i="54" s="1"/>
  <c r="S25" i="54"/>
  <c r="R25" i="54"/>
  <c r="Q25" i="54"/>
  <c r="S24" i="54"/>
  <c r="Q24" i="54"/>
  <c r="R24" i="54" s="1"/>
  <c r="S23" i="54"/>
  <c r="Q23" i="54"/>
  <c r="R23" i="54" s="1"/>
  <c r="S22" i="54"/>
  <c r="Q22" i="54"/>
  <c r="R22" i="54" s="1"/>
  <c r="S21" i="54"/>
  <c r="Q21" i="54"/>
  <c r="R21" i="54" s="1"/>
  <c r="S20" i="54"/>
  <c r="Q20" i="54"/>
  <c r="R20" i="54" s="1"/>
  <c r="S19" i="54"/>
  <c r="Q19" i="54"/>
  <c r="R19" i="54" s="1"/>
  <c r="S18" i="54"/>
  <c r="Q18" i="54"/>
  <c r="R18" i="54" s="1"/>
  <c r="S17" i="54"/>
  <c r="Q17" i="54"/>
  <c r="R17" i="54" s="1"/>
  <c r="S16" i="54"/>
  <c r="Q16" i="54"/>
  <c r="R16" i="54" s="1"/>
  <c r="S15" i="54"/>
  <c r="Q15" i="54"/>
  <c r="R15" i="54" s="1"/>
  <c r="S14" i="54"/>
  <c r="Q14" i="54"/>
  <c r="R14" i="54" s="1"/>
  <c r="S13" i="54"/>
  <c r="Q13" i="54"/>
  <c r="R13" i="54" s="1"/>
  <c r="S12" i="54"/>
  <c r="Q12" i="54"/>
  <c r="R12" i="54" s="1"/>
  <c r="S11" i="54"/>
  <c r="R11" i="54"/>
  <c r="Q11" i="54"/>
  <c r="S10" i="54"/>
  <c r="Q10" i="54"/>
  <c r="R10" i="54" s="1"/>
  <c r="S9" i="54"/>
  <c r="Q9" i="54"/>
  <c r="R9" i="54" s="1"/>
  <c r="S8" i="54"/>
  <c r="Q8" i="54"/>
  <c r="R8" i="54" s="1"/>
  <c r="S7" i="54"/>
  <c r="Q7" i="54"/>
  <c r="R7" i="54" s="1"/>
  <c r="S6" i="54"/>
  <c r="Q6" i="54"/>
  <c r="R6" i="54" s="1"/>
  <c r="S5" i="54"/>
  <c r="Q5" i="54"/>
  <c r="R5" i="54" s="1"/>
  <c r="H35" i="54"/>
  <c r="F35" i="54"/>
  <c r="G35" i="54" s="1"/>
  <c r="H34" i="54"/>
  <c r="F34" i="54"/>
  <c r="G34" i="54" s="1"/>
  <c r="H33" i="54"/>
  <c r="F33" i="54"/>
  <c r="G33" i="54" s="1"/>
  <c r="H32" i="54"/>
  <c r="F32" i="54"/>
  <c r="G32" i="54" s="1"/>
  <c r="H31" i="54"/>
  <c r="F31" i="54"/>
  <c r="G31" i="54" s="1"/>
  <c r="H30" i="54"/>
  <c r="F30" i="54"/>
  <c r="G30" i="54" s="1"/>
  <c r="H29" i="54"/>
  <c r="F29" i="54"/>
  <c r="G29" i="54" s="1"/>
  <c r="H28" i="54"/>
  <c r="F28" i="54"/>
  <c r="G28" i="54" s="1"/>
  <c r="H27" i="54"/>
  <c r="F27" i="54"/>
  <c r="G27" i="54" s="1"/>
  <c r="H26" i="54"/>
  <c r="F26" i="54"/>
  <c r="G26" i="54" s="1"/>
  <c r="H25" i="54"/>
  <c r="F25" i="54"/>
  <c r="G25" i="54" s="1"/>
  <c r="H24" i="54"/>
  <c r="G24" i="54"/>
  <c r="F24" i="54"/>
  <c r="H23" i="54"/>
  <c r="F23" i="54"/>
  <c r="G23" i="54" s="1"/>
  <c r="H22" i="54"/>
  <c r="F22" i="54"/>
  <c r="G22" i="54" s="1"/>
  <c r="H21" i="54"/>
  <c r="F21" i="54"/>
  <c r="G21" i="54" s="1"/>
  <c r="H20" i="54"/>
  <c r="F20" i="54"/>
  <c r="G20" i="54" s="1"/>
  <c r="H19" i="54"/>
  <c r="F19" i="54"/>
  <c r="G19" i="54" s="1"/>
  <c r="H18" i="54"/>
  <c r="F18" i="54"/>
  <c r="G18" i="54" s="1"/>
  <c r="H17" i="54"/>
  <c r="F17" i="54"/>
  <c r="G17" i="54" s="1"/>
  <c r="H16" i="54"/>
  <c r="F16" i="54"/>
  <c r="G16" i="54" s="1"/>
  <c r="H15" i="54"/>
  <c r="F15" i="54"/>
  <c r="G15" i="54" s="1"/>
  <c r="H14" i="54"/>
  <c r="G14" i="54"/>
  <c r="F14" i="54"/>
  <c r="H13" i="54"/>
  <c r="F13" i="54"/>
  <c r="G13" i="54" s="1"/>
  <c r="H12" i="54"/>
  <c r="F12" i="54"/>
  <c r="G12" i="54" s="1"/>
  <c r="H11" i="54"/>
  <c r="F11" i="54"/>
  <c r="G11" i="54" s="1"/>
  <c r="H10" i="54"/>
  <c r="F10" i="54"/>
  <c r="G10" i="54" s="1"/>
  <c r="H9" i="54"/>
  <c r="F9" i="54"/>
  <c r="G9" i="54" s="1"/>
  <c r="H8" i="54"/>
  <c r="F8" i="54"/>
  <c r="G8" i="54" s="1"/>
  <c r="H7" i="54"/>
  <c r="F7" i="54"/>
  <c r="G7" i="54" s="1"/>
  <c r="H6" i="54"/>
  <c r="G6" i="54"/>
  <c r="F6" i="54"/>
  <c r="H5" i="54"/>
  <c r="F5" i="54"/>
  <c r="A5" i="54"/>
  <c r="L5" i="54"/>
  <c r="H35" i="53"/>
  <c r="F35" i="53"/>
  <c r="G35" i="53" s="1"/>
  <c r="H34" i="53"/>
  <c r="F34" i="53"/>
  <c r="G34" i="53" s="1"/>
  <c r="H33" i="53"/>
  <c r="F33" i="53"/>
  <c r="G33" i="53" s="1"/>
  <c r="H32" i="53"/>
  <c r="F32" i="53"/>
  <c r="G32" i="53" s="1"/>
  <c r="H31" i="53"/>
  <c r="F31" i="53"/>
  <c r="G31" i="53" s="1"/>
  <c r="H30" i="53"/>
  <c r="F30" i="53"/>
  <c r="G30" i="53" s="1"/>
  <c r="H29" i="53"/>
  <c r="F29" i="53"/>
  <c r="G29" i="53" s="1"/>
  <c r="H28" i="53"/>
  <c r="F28" i="53"/>
  <c r="G28" i="53" s="1"/>
  <c r="H27" i="53"/>
  <c r="F27" i="53"/>
  <c r="G27" i="53" s="1"/>
  <c r="H26" i="53"/>
  <c r="F26" i="53"/>
  <c r="G26" i="53" s="1"/>
  <c r="H25" i="53"/>
  <c r="F25" i="53"/>
  <c r="G25" i="53" s="1"/>
  <c r="H24" i="53"/>
  <c r="F24" i="53"/>
  <c r="G24" i="53" s="1"/>
  <c r="H23" i="53"/>
  <c r="F23" i="53"/>
  <c r="G23" i="53" s="1"/>
  <c r="H22" i="53"/>
  <c r="F22" i="53"/>
  <c r="G22" i="53" s="1"/>
  <c r="H21" i="53"/>
  <c r="F21" i="53"/>
  <c r="G21" i="53" s="1"/>
  <c r="H20" i="53"/>
  <c r="F20" i="53"/>
  <c r="G20" i="53" s="1"/>
  <c r="H19" i="53"/>
  <c r="F19" i="53"/>
  <c r="G19" i="53" s="1"/>
  <c r="H18" i="53"/>
  <c r="F18" i="53"/>
  <c r="G18" i="53" s="1"/>
  <c r="H17" i="53"/>
  <c r="F17" i="53"/>
  <c r="G17" i="53" s="1"/>
  <c r="H16" i="53"/>
  <c r="F16" i="53"/>
  <c r="G16" i="53" s="1"/>
  <c r="H15" i="53"/>
  <c r="F15" i="53"/>
  <c r="G15" i="53" s="1"/>
  <c r="H14" i="53"/>
  <c r="F14" i="53"/>
  <c r="G14" i="53" s="1"/>
  <c r="H13" i="53"/>
  <c r="G13" i="53"/>
  <c r="F13" i="53"/>
  <c r="H12" i="53"/>
  <c r="F12" i="53"/>
  <c r="G12" i="53" s="1"/>
  <c r="H11" i="53"/>
  <c r="F11" i="53"/>
  <c r="G11" i="53" s="1"/>
  <c r="H10" i="53"/>
  <c r="F10" i="53"/>
  <c r="G10" i="53" s="1"/>
  <c r="H9" i="53"/>
  <c r="F9" i="53"/>
  <c r="G9" i="53" s="1"/>
  <c r="H8" i="53"/>
  <c r="F8" i="53"/>
  <c r="G8" i="53" s="1"/>
  <c r="H7" i="53"/>
  <c r="F7" i="53"/>
  <c r="G7" i="53" s="1"/>
  <c r="H6" i="53"/>
  <c r="F6" i="53"/>
  <c r="G6" i="53" s="1"/>
  <c r="S35" i="53"/>
  <c r="Q35" i="53"/>
  <c r="R35" i="53" s="1"/>
  <c r="S34" i="53"/>
  <c r="Q34" i="53"/>
  <c r="R34" i="53" s="1"/>
  <c r="S33" i="53"/>
  <c r="Q33" i="53"/>
  <c r="R33" i="53" s="1"/>
  <c r="S32" i="53"/>
  <c r="Q32" i="53"/>
  <c r="R32" i="53" s="1"/>
  <c r="S31" i="53"/>
  <c r="R31" i="53"/>
  <c r="Q31" i="53"/>
  <c r="S30" i="53"/>
  <c r="Q30" i="53"/>
  <c r="R30" i="53" s="1"/>
  <c r="S29" i="53"/>
  <c r="Q29" i="53"/>
  <c r="R29" i="53" s="1"/>
  <c r="S28" i="53"/>
  <c r="Q28" i="53"/>
  <c r="R28" i="53" s="1"/>
  <c r="S27" i="53"/>
  <c r="Q27" i="53"/>
  <c r="R27" i="53" s="1"/>
  <c r="S26" i="53"/>
  <c r="Q26" i="53"/>
  <c r="R26" i="53" s="1"/>
  <c r="S25" i="53"/>
  <c r="Q25" i="53"/>
  <c r="R25" i="53" s="1"/>
  <c r="S24" i="53"/>
  <c r="Q24" i="53"/>
  <c r="R24" i="53" s="1"/>
  <c r="S23" i="53"/>
  <c r="Q23" i="53"/>
  <c r="R23" i="53" s="1"/>
  <c r="S22" i="53"/>
  <c r="Q22" i="53"/>
  <c r="R22" i="53" s="1"/>
  <c r="S21" i="53"/>
  <c r="Q21" i="53"/>
  <c r="R21" i="53" s="1"/>
  <c r="S20" i="53"/>
  <c r="Q20" i="53"/>
  <c r="R20" i="53" s="1"/>
  <c r="S19" i="53"/>
  <c r="Q19" i="53"/>
  <c r="R19" i="53" s="1"/>
  <c r="S18" i="53"/>
  <c r="Q18" i="53"/>
  <c r="R18" i="53" s="1"/>
  <c r="S17" i="53"/>
  <c r="Q17" i="53"/>
  <c r="R17" i="53" s="1"/>
  <c r="S16" i="53"/>
  <c r="Q16" i="53"/>
  <c r="R16" i="53" s="1"/>
  <c r="S15" i="53"/>
  <c r="R15" i="53"/>
  <c r="Q15" i="53"/>
  <c r="S14" i="53"/>
  <c r="Q14" i="53"/>
  <c r="R14" i="53" s="1"/>
  <c r="S13" i="53"/>
  <c r="Q13" i="53"/>
  <c r="R13" i="53" s="1"/>
  <c r="S12" i="53"/>
  <c r="Q12" i="53"/>
  <c r="R12" i="53" s="1"/>
  <c r="S11" i="53"/>
  <c r="Q11" i="53"/>
  <c r="R11" i="53" s="1"/>
  <c r="S10" i="53"/>
  <c r="Q10" i="53"/>
  <c r="R10" i="53" s="1"/>
  <c r="S9" i="53"/>
  <c r="Q9" i="53"/>
  <c r="R9" i="53" s="1"/>
  <c r="S8" i="53"/>
  <c r="Q8" i="53"/>
  <c r="R8" i="53" s="1"/>
  <c r="S7" i="53"/>
  <c r="Q7" i="53"/>
  <c r="R7" i="53" s="1"/>
  <c r="S6" i="53"/>
  <c r="Q6" i="53"/>
  <c r="R6" i="53" s="1"/>
  <c r="S5" i="53"/>
  <c r="Q5" i="53"/>
  <c r="H5" i="53"/>
  <c r="F5" i="53"/>
  <c r="A5" i="53"/>
  <c r="L5" i="53"/>
  <c r="S35" i="52"/>
  <c r="Q35" i="52" s="1"/>
  <c r="R35" i="52" s="1"/>
  <c r="S34" i="52"/>
  <c r="Q34" i="52" s="1"/>
  <c r="R34" i="52" s="1"/>
  <c r="S33" i="52"/>
  <c r="Q33" i="52" s="1"/>
  <c r="R33" i="52" s="1"/>
  <c r="S32" i="52"/>
  <c r="Q32" i="52"/>
  <c r="R32" i="52" s="1"/>
  <c r="S31" i="52"/>
  <c r="Q31" i="52"/>
  <c r="R31" i="52" s="1"/>
  <c r="S30" i="52"/>
  <c r="Q30" i="52" s="1"/>
  <c r="R30" i="52" s="1"/>
  <c r="S29" i="52"/>
  <c r="Q29" i="52"/>
  <c r="R29" i="52" s="1"/>
  <c r="S28" i="52"/>
  <c r="Q28" i="52"/>
  <c r="R28" i="52" s="1"/>
  <c r="S27" i="52"/>
  <c r="Q27" i="52" s="1"/>
  <c r="R27" i="52" s="1"/>
  <c r="S26" i="52"/>
  <c r="Q26" i="52"/>
  <c r="R26" i="52" s="1"/>
  <c r="S25" i="52"/>
  <c r="Q25" i="52"/>
  <c r="R25" i="52" s="1"/>
  <c r="S24" i="52"/>
  <c r="Q24" i="52" s="1"/>
  <c r="R24" i="52" s="1"/>
  <c r="S23" i="52"/>
  <c r="Q23" i="52"/>
  <c r="R23" i="52" s="1"/>
  <c r="S22" i="52"/>
  <c r="Q22" i="52" s="1"/>
  <c r="R22" i="52" s="1"/>
  <c r="S21" i="52"/>
  <c r="Q21" i="52" s="1"/>
  <c r="R21" i="52" s="1"/>
  <c r="S20" i="52"/>
  <c r="Q20" i="52" s="1"/>
  <c r="R20" i="52" s="1"/>
  <c r="S19" i="52"/>
  <c r="Q19" i="52" s="1"/>
  <c r="R19" i="52" s="1"/>
  <c r="S18" i="52"/>
  <c r="Q18" i="52" s="1"/>
  <c r="R18" i="52" s="1"/>
  <c r="S17" i="52"/>
  <c r="Q17" i="52" s="1"/>
  <c r="R17" i="52" s="1"/>
  <c r="S16" i="52"/>
  <c r="Q16" i="52"/>
  <c r="R16" i="52" s="1"/>
  <c r="S15" i="52"/>
  <c r="Q15" i="52"/>
  <c r="R15" i="52" s="1"/>
  <c r="S14" i="52"/>
  <c r="Q14" i="52" s="1"/>
  <c r="R14" i="52" s="1"/>
  <c r="S13" i="52"/>
  <c r="Q13" i="52"/>
  <c r="R13" i="52" s="1"/>
  <c r="S12" i="52"/>
  <c r="Q12" i="52"/>
  <c r="R12" i="52" s="1"/>
  <c r="S11" i="52"/>
  <c r="Q11" i="52" s="1"/>
  <c r="R11" i="52" s="1"/>
  <c r="S10" i="52"/>
  <c r="Q10" i="52"/>
  <c r="R10" i="52" s="1"/>
  <c r="S9" i="52"/>
  <c r="Q9" i="52" s="1"/>
  <c r="R9" i="52" s="1"/>
  <c r="S8" i="52"/>
  <c r="Q8" i="52"/>
  <c r="R8" i="52" s="1"/>
  <c r="S7" i="52"/>
  <c r="Q7" i="52"/>
  <c r="R7" i="52" s="1"/>
  <c r="S6" i="52"/>
  <c r="Q6" i="52"/>
  <c r="R6" i="52" s="1"/>
  <c r="S5" i="52"/>
  <c r="Q5" i="52"/>
  <c r="H35" i="52"/>
  <c r="F35" i="52"/>
  <c r="G35" i="52" s="1"/>
  <c r="H34" i="52"/>
  <c r="F34" i="52" s="1"/>
  <c r="G34" i="52" s="1"/>
  <c r="H33" i="52"/>
  <c r="F33" i="52" s="1"/>
  <c r="G33" i="52" s="1"/>
  <c r="H32" i="52"/>
  <c r="F32" i="52"/>
  <c r="G32" i="52" s="1"/>
  <c r="H31" i="52"/>
  <c r="F31" i="52"/>
  <c r="G31" i="52" s="1"/>
  <c r="H30" i="52"/>
  <c r="F30" i="52"/>
  <c r="G30" i="52" s="1"/>
  <c r="H29" i="52"/>
  <c r="F29" i="52" s="1"/>
  <c r="G29" i="52" s="1"/>
  <c r="H28" i="52"/>
  <c r="F28" i="52"/>
  <c r="G28" i="52" s="1"/>
  <c r="H27" i="52"/>
  <c r="F27" i="52" s="1"/>
  <c r="G27" i="52" s="1"/>
  <c r="H26" i="52"/>
  <c r="F26" i="52"/>
  <c r="G26" i="52" s="1"/>
  <c r="H25" i="52"/>
  <c r="F25" i="52" s="1"/>
  <c r="G25" i="52" s="1"/>
  <c r="H24" i="52"/>
  <c r="F24" i="52" s="1"/>
  <c r="G24" i="52" s="1"/>
  <c r="H23" i="52"/>
  <c r="F23" i="52"/>
  <c r="G23" i="52" s="1"/>
  <c r="H22" i="52"/>
  <c r="F22" i="52"/>
  <c r="G22" i="52" s="1"/>
  <c r="H21" i="52"/>
  <c r="F21" i="52"/>
  <c r="G21" i="52" s="1"/>
  <c r="H20" i="52"/>
  <c r="F20" i="52"/>
  <c r="G20" i="52" s="1"/>
  <c r="H19" i="52"/>
  <c r="F19" i="52" s="1"/>
  <c r="G19" i="52" s="1"/>
  <c r="H18" i="52"/>
  <c r="F18" i="52" s="1"/>
  <c r="G18" i="52" s="1"/>
  <c r="H17" i="52"/>
  <c r="F17" i="52"/>
  <c r="G17" i="52" s="1"/>
  <c r="H16" i="52"/>
  <c r="F16" i="52" s="1"/>
  <c r="G16" i="52" s="1"/>
  <c r="H15" i="52"/>
  <c r="F15" i="52" s="1"/>
  <c r="G15" i="52" s="1"/>
  <c r="H14" i="52"/>
  <c r="F14" i="52"/>
  <c r="G14" i="52" s="1"/>
  <c r="H13" i="52"/>
  <c r="F13" i="52"/>
  <c r="G13" i="52" s="1"/>
  <c r="H12" i="52"/>
  <c r="F12" i="52" s="1"/>
  <c r="G12" i="52" s="1"/>
  <c r="H11" i="52"/>
  <c r="F11" i="52"/>
  <c r="G11" i="52" s="1"/>
  <c r="H10" i="52"/>
  <c r="F10" i="52" s="1"/>
  <c r="G10" i="52" s="1"/>
  <c r="H9" i="52"/>
  <c r="F9" i="52"/>
  <c r="G9" i="52" s="1"/>
  <c r="H8" i="52"/>
  <c r="F8" i="52"/>
  <c r="G8" i="52" s="1"/>
  <c r="H7" i="52"/>
  <c r="F7" i="52"/>
  <c r="G7" i="52" s="1"/>
  <c r="H6" i="52"/>
  <c r="F6" i="52"/>
  <c r="G6" i="52" s="1"/>
  <c r="H5" i="52"/>
  <c r="F5" i="52"/>
  <c r="L5" i="52"/>
  <c r="A5" i="52"/>
  <c r="Q35" i="51"/>
  <c r="R35" i="51" s="1"/>
  <c r="Q34" i="51"/>
  <c r="R34" i="51" s="1"/>
  <c r="Q33" i="51"/>
  <c r="R33" i="51" s="1"/>
  <c r="Q32" i="51"/>
  <c r="R32" i="51" s="1"/>
  <c r="Q31" i="51"/>
  <c r="R31" i="51" s="1"/>
  <c r="Q30" i="51"/>
  <c r="R30" i="51" s="1"/>
  <c r="Q29" i="51"/>
  <c r="R29" i="51" s="1"/>
  <c r="Q28" i="51"/>
  <c r="R28" i="51" s="1"/>
  <c r="Q27" i="51"/>
  <c r="R27" i="51" s="1"/>
  <c r="Q26" i="51"/>
  <c r="R26" i="51" s="1"/>
  <c r="Q25" i="51"/>
  <c r="R25" i="51" s="1"/>
  <c r="Q24" i="51"/>
  <c r="R24" i="51" s="1"/>
  <c r="Q23" i="51"/>
  <c r="R23" i="51" s="1"/>
  <c r="Q22" i="51"/>
  <c r="R22" i="51" s="1"/>
  <c r="Q21" i="51"/>
  <c r="R21" i="51" s="1"/>
  <c r="Q20" i="51"/>
  <c r="R20" i="51" s="1"/>
  <c r="Q19" i="51"/>
  <c r="R19" i="51" s="1"/>
  <c r="Q18" i="51"/>
  <c r="R18" i="51" s="1"/>
  <c r="Q17" i="51"/>
  <c r="R17" i="51" s="1"/>
  <c r="Q16" i="51"/>
  <c r="R16" i="51" s="1"/>
  <c r="Q15" i="51"/>
  <c r="R15" i="51" s="1"/>
  <c r="Q14" i="51"/>
  <c r="R14" i="51" s="1"/>
  <c r="Q13" i="51"/>
  <c r="R13" i="51" s="1"/>
  <c r="Q12" i="51"/>
  <c r="R12" i="51" s="1"/>
  <c r="Q11" i="51"/>
  <c r="R11" i="51" s="1"/>
  <c r="Q10" i="51"/>
  <c r="R10" i="51" s="1"/>
  <c r="Q9" i="51"/>
  <c r="R9" i="51" s="1"/>
  <c r="Q8" i="51"/>
  <c r="R8" i="51" s="1"/>
  <c r="Q7" i="51"/>
  <c r="Q6" i="51"/>
  <c r="R6" i="51" s="1"/>
  <c r="Q5" i="51"/>
  <c r="R5" i="51" s="1"/>
  <c r="L5" i="51"/>
  <c r="F5" i="50"/>
  <c r="A5" i="50"/>
  <c r="L5" i="50"/>
  <c r="S35" i="50"/>
  <c r="Q35" i="50" s="1"/>
  <c r="R35" i="50" s="1"/>
  <c r="S34" i="50"/>
  <c r="Q34" i="50" s="1"/>
  <c r="R34" i="50" s="1"/>
  <c r="S33" i="50"/>
  <c r="Q33" i="50" s="1"/>
  <c r="R33" i="50" s="1"/>
  <c r="S32" i="50"/>
  <c r="Q32" i="50" s="1"/>
  <c r="R32" i="50" s="1"/>
  <c r="S31" i="50"/>
  <c r="Q31" i="50" s="1"/>
  <c r="R31" i="50" s="1"/>
  <c r="S30" i="50"/>
  <c r="Q30" i="50" s="1"/>
  <c r="R30" i="50" s="1"/>
  <c r="S29" i="50"/>
  <c r="Q29" i="50" s="1"/>
  <c r="R29" i="50" s="1"/>
  <c r="S28" i="50"/>
  <c r="Q28" i="50" s="1"/>
  <c r="R28" i="50" s="1"/>
  <c r="S27" i="50"/>
  <c r="Q27" i="50" s="1"/>
  <c r="R27" i="50" s="1"/>
  <c r="S26" i="50"/>
  <c r="Q26" i="50" s="1"/>
  <c r="R26" i="50" s="1"/>
  <c r="S25" i="50"/>
  <c r="Q25" i="50" s="1"/>
  <c r="R25" i="50" s="1"/>
  <c r="S24" i="50"/>
  <c r="Q24" i="50"/>
  <c r="R24" i="50" s="1"/>
  <c r="S23" i="50"/>
  <c r="Q23" i="50"/>
  <c r="R23" i="50" s="1"/>
  <c r="S22" i="50"/>
  <c r="Q22" i="50"/>
  <c r="R22" i="50" s="1"/>
  <c r="S21" i="50"/>
  <c r="Q21" i="50"/>
  <c r="R21" i="50" s="1"/>
  <c r="S20" i="50"/>
  <c r="Q20" i="50"/>
  <c r="R20" i="50" s="1"/>
  <c r="S19" i="50"/>
  <c r="Q19" i="50"/>
  <c r="R19" i="50" s="1"/>
  <c r="S18" i="50"/>
  <c r="Q18" i="50"/>
  <c r="R18" i="50" s="1"/>
  <c r="S17" i="50"/>
  <c r="Q17" i="50"/>
  <c r="R17" i="50" s="1"/>
  <c r="S16" i="50"/>
  <c r="Q16" i="50"/>
  <c r="R16" i="50" s="1"/>
  <c r="S15" i="50"/>
  <c r="Q15" i="50"/>
  <c r="R15" i="50" s="1"/>
  <c r="S14" i="50"/>
  <c r="Q14" i="50"/>
  <c r="R14" i="50" s="1"/>
  <c r="S13" i="50"/>
  <c r="Q13" i="50"/>
  <c r="R13" i="50" s="1"/>
  <c r="S12" i="50"/>
  <c r="Q12" i="50"/>
  <c r="R12" i="50" s="1"/>
  <c r="S11" i="50"/>
  <c r="Q11" i="50"/>
  <c r="R11" i="50" s="1"/>
  <c r="S10" i="50"/>
  <c r="Q10" i="50"/>
  <c r="R10" i="50" s="1"/>
  <c r="S9" i="50"/>
  <c r="Q9" i="50"/>
  <c r="R9" i="50" s="1"/>
  <c r="S8" i="50"/>
  <c r="Q8" i="50"/>
  <c r="R8" i="50" s="1"/>
  <c r="S7" i="50"/>
  <c r="Q7" i="50"/>
  <c r="R7" i="50" s="1"/>
  <c r="S6" i="50"/>
  <c r="Q6" i="50"/>
  <c r="R6" i="50" s="1"/>
  <c r="H35" i="50"/>
  <c r="F35" i="50" s="1"/>
  <c r="G35" i="50" s="1"/>
  <c r="H34" i="50"/>
  <c r="F34" i="50" s="1"/>
  <c r="G34" i="50" s="1"/>
  <c r="H33" i="50"/>
  <c r="F33" i="50" s="1"/>
  <c r="G33" i="50" s="1"/>
  <c r="H32" i="50"/>
  <c r="F32" i="50"/>
  <c r="G32" i="50" s="1"/>
  <c r="H31" i="50"/>
  <c r="F31" i="50"/>
  <c r="G31" i="50" s="1"/>
  <c r="H30" i="50"/>
  <c r="F30" i="50"/>
  <c r="G30" i="50" s="1"/>
  <c r="H29" i="50"/>
  <c r="F29" i="50" s="1"/>
  <c r="G29" i="50" s="1"/>
  <c r="H28" i="50"/>
  <c r="F28" i="50"/>
  <c r="G28" i="50" s="1"/>
  <c r="H27" i="50"/>
  <c r="F27" i="50"/>
  <c r="G27" i="50" s="1"/>
  <c r="H26" i="50"/>
  <c r="F26" i="50"/>
  <c r="G26" i="50" s="1"/>
  <c r="H25" i="50"/>
  <c r="F25" i="50" s="1"/>
  <c r="G25" i="50" s="1"/>
  <c r="H24" i="50"/>
  <c r="F24" i="50" s="1"/>
  <c r="G24" i="50" s="1"/>
  <c r="H23" i="50"/>
  <c r="F23" i="50" s="1"/>
  <c r="G23" i="50" s="1"/>
  <c r="H22" i="50"/>
  <c r="F22" i="50"/>
  <c r="G22" i="50" s="1"/>
  <c r="H21" i="50"/>
  <c r="F21" i="50"/>
  <c r="G21" i="50" s="1"/>
  <c r="H20" i="50"/>
  <c r="F20" i="50" s="1"/>
  <c r="G20" i="50" s="1"/>
  <c r="H19" i="50"/>
  <c r="F19" i="50" s="1"/>
  <c r="G19" i="50" s="1"/>
  <c r="H18" i="50"/>
  <c r="F18" i="50"/>
  <c r="G18" i="50" s="1"/>
  <c r="H17" i="50"/>
  <c r="F17" i="50"/>
  <c r="G17" i="50" s="1"/>
  <c r="H16" i="50"/>
  <c r="F16" i="50" s="1"/>
  <c r="G16" i="50" s="1"/>
  <c r="H15" i="50"/>
  <c r="F15" i="50" s="1"/>
  <c r="G15" i="50" s="1"/>
  <c r="H14" i="50"/>
  <c r="F14" i="50"/>
  <c r="G14" i="50" s="1"/>
  <c r="H13" i="50"/>
  <c r="F13" i="50"/>
  <c r="G13" i="50" s="1"/>
  <c r="H12" i="50"/>
  <c r="F12" i="50"/>
  <c r="G12" i="50" s="1"/>
  <c r="H11" i="50"/>
  <c r="F11" i="50"/>
  <c r="G11" i="50" s="1"/>
  <c r="H10" i="50"/>
  <c r="F10" i="50" s="1"/>
  <c r="G10" i="50" s="1"/>
  <c r="H9" i="50"/>
  <c r="F9" i="50"/>
  <c r="G9" i="50" s="1"/>
  <c r="H8" i="50"/>
  <c r="F8" i="50"/>
  <c r="G8" i="50" s="1"/>
  <c r="H7" i="50"/>
  <c r="F7" i="50"/>
  <c r="G7" i="50" s="1"/>
  <c r="H6" i="50"/>
  <c r="F6" i="50"/>
  <c r="G6" i="50" s="1"/>
  <c r="S5" i="50"/>
  <c r="Q5" i="50"/>
  <c r="H5" i="50"/>
  <c r="S35" i="49"/>
  <c r="Q35" i="49" s="1"/>
  <c r="R35" i="49" s="1"/>
  <c r="S34" i="49"/>
  <c r="Q34" i="49" s="1"/>
  <c r="R34" i="49" s="1"/>
  <c r="S33" i="49"/>
  <c r="Q33" i="49" s="1"/>
  <c r="R33" i="49" s="1"/>
  <c r="S32" i="49"/>
  <c r="Q32" i="49" s="1"/>
  <c r="R32" i="49" s="1"/>
  <c r="S31" i="49"/>
  <c r="Q31" i="49"/>
  <c r="R31" i="49" s="1"/>
  <c r="S30" i="49"/>
  <c r="Q30" i="49" s="1"/>
  <c r="R30" i="49" s="1"/>
  <c r="S29" i="49"/>
  <c r="Q29" i="49" s="1"/>
  <c r="R29" i="49" s="1"/>
  <c r="S28" i="49"/>
  <c r="Q28" i="49" s="1"/>
  <c r="R28" i="49" s="1"/>
  <c r="S27" i="49"/>
  <c r="Q27" i="49" s="1"/>
  <c r="R27" i="49" s="1"/>
  <c r="S26" i="49"/>
  <c r="Q26" i="49"/>
  <c r="R26" i="49" s="1"/>
  <c r="S25" i="49"/>
  <c r="Q25" i="49" s="1"/>
  <c r="R25" i="49" s="1"/>
  <c r="S24" i="49"/>
  <c r="Q24" i="49"/>
  <c r="R24" i="49" s="1"/>
  <c r="S23" i="49"/>
  <c r="Q23" i="49"/>
  <c r="R23" i="49" s="1"/>
  <c r="S22" i="49"/>
  <c r="Q22" i="49" s="1"/>
  <c r="R22" i="49" s="1"/>
  <c r="S21" i="49"/>
  <c r="Q21" i="49"/>
  <c r="R21" i="49" s="1"/>
  <c r="S20" i="49"/>
  <c r="Q20" i="49"/>
  <c r="R20" i="49" s="1"/>
  <c r="S19" i="49"/>
  <c r="Q19" i="49" s="1"/>
  <c r="R19" i="49" s="1"/>
  <c r="S18" i="49"/>
  <c r="Q18" i="49"/>
  <c r="R18" i="49" s="1"/>
  <c r="S17" i="49"/>
  <c r="Q17" i="49" s="1"/>
  <c r="S16" i="49"/>
  <c r="Q16" i="49" s="1"/>
  <c r="R16" i="49" s="1"/>
  <c r="S15" i="49"/>
  <c r="Q15" i="49"/>
  <c r="R15" i="49" s="1"/>
  <c r="S14" i="49"/>
  <c r="Q14" i="49" s="1"/>
  <c r="R14" i="49" s="1"/>
  <c r="S13" i="49"/>
  <c r="Q13" i="49" s="1"/>
  <c r="R13" i="49" s="1"/>
  <c r="S12" i="49"/>
  <c r="Q12" i="49"/>
  <c r="R12" i="49" s="1"/>
  <c r="S11" i="49"/>
  <c r="Q11" i="49" s="1"/>
  <c r="R11" i="49" s="1"/>
  <c r="S10" i="49"/>
  <c r="Q10" i="49"/>
  <c r="R10" i="49" s="1"/>
  <c r="S9" i="49"/>
  <c r="Q9" i="49" s="1"/>
  <c r="R9" i="49" s="1"/>
  <c r="S8" i="49"/>
  <c r="Q8" i="49"/>
  <c r="R8" i="49" s="1"/>
  <c r="S7" i="49"/>
  <c r="Q7" i="49"/>
  <c r="R7" i="49" s="1"/>
  <c r="S6" i="49"/>
  <c r="Q6" i="49"/>
  <c r="R6" i="49" s="1"/>
  <c r="H35" i="49"/>
  <c r="F35" i="49"/>
  <c r="G35" i="49" s="1"/>
  <c r="H34" i="49"/>
  <c r="F34" i="49" s="1"/>
  <c r="G34" i="49" s="1"/>
  <c r="H33" i="49"/>
  <c r="F33" i="49" s="1"/>
  <c r="G33" i="49" s="1"/>
  <c r="H32" i="49"/>
  <c r="F32" i="49" s="1"/>
  <c r="G32" i="49" s="1"/>
  <c r="H31" i="49"/>
  <c r="F31" i="49"/>
  <c r="G31" i="49" s="1"/>
  <c r="H30" i="49"/>
  <c r="F30" i="49" s="1"/>
  <c r="G30" i="49" s="1"/>
  <c r="H29" i="49"/>
  <c r="F29" i="49" s="1"/>
  <c r="G29" i="49" s="1"/>
  <c r="H28" i="49"/>
  <c r="F28" i="49" s="1"/>
  <c r="G28" i="49" s="1"/>
  <c r="H27" i="49"/>
  <c r="F27" i="49"/>
  <c r="G27" i="49" s="1"/>
  <c r="H26" i="49"/>
  <c r="F26" i="49" s="1"/>
  <c r="G26" i="49" s="1"/>
  <c r="H25" i="49"/>
  <c r="F25" i="49" s="1"/>
  <c r="G25" i="49" s="1"/>
  <c r="H24" i="49"/>
  <c r="F24" i="49"/>
  <c r="G24" i="49" s="1"/>
  <c r="H23" i="49"/>
  <c r="F23" i="49"/>
  <c r="G23" i="49" s="1"/>
  <c r="H22" i="49"/>
  <c r="F22" i="49" s="1"/>
  <c r="G22" i="49" s="1"/>
  <c r="H21" i="49"/>
  <c r="F21" i="49"/>
  <c r="G21" i="49" s="1"/>
  <c r="H20" i="49"/>
  <c r="F20" i="49" s="1"/>
  <c r="G20" i="49" s="1"/>
  <c r="H19" i="49"/>
  <c r="F19" i="49"/>
  <c r="G19" i="49" s="1"/>
  <c r="H18" i="49"/>
  <c r="F18" i="49" s="1"/>
  <c r="G18" i="49" s="1"/>
  <c r="H17" i="49"/>
  <c r="F17" i="49" s="1"/>
  <c r="G17" i="49" s="1"/>
  <c r="H16" i="49"/>
  <c r="F16" i="49" s="1"/>
  <c r="G16" i="49" s="1"/>
  <c r="H15" i="49"/>
  <c r="F15" i="49"/>
  <c r="G15" i="49" s="1"/>
  <c r="H14" i="49"/>
  <c r="F14" i="49" s="1"/>
  <c r="G14" i="49" s="1"/>
  <c r="H13" i="49"/>
  <c r="F13" i="49"/>
  <c r="G13" i="49" s="1"/>
  <c r="H12" i="49"/>
  <c r="F12" i="49"/>
  <c r="G12" i="49" s="1"/>
  <c r="H11" i="49"/>
  <c r="F11" i="49"/>
  <c r="G11" i="49" s="1"/>
  <c r="H10" i="49"/>
  <c r="F10" i="49"/>
  <c r="G10" i="49" s="1"/>
  <c r="H9" i="49"/>
  <c r="F9" i="49" s="1"/>
  <c r="G9" i="49" s="1"/>
  <c r="H8" i="49"/>
  <c r="F8" i="49"/>
  <c r="G8" i="49" s="1"/>
  <c r="H7" i="49"/>
  <c r="F7" i="49"/>
  <c r="G7" i="49" s="1"/>
  <c r="H6" i="49"/>
  <c r="F6" i="49"/>
  <c r="G6" i="49" s="1"/>
  <c r="S5" i="49"/>
  <c r="Q5" i="49"/>
  <c r="R5" i="49" s="1"/>
  <c r="H5" i="49"/>
  <c r="F5" i="49" s="1"/>
  <c r="A5" i="49"/>
  <c r="L5" i="49"/>
  <c r="H35" i="48"/>
  <c r="F35" i="48"/>
  <c r="G35" i="48" s="1"/>
  <c r="H34" i="48"/>
  <c r="F34" i="48"/>
  <c r="G34" i="48" s="1"/>
  <c r="H33" i="48"/>
  <c r="F33" i="48" s="1"/>
  <c r="G33" i="48" s="1"/>
  <c r="H32" i="48"/>
  <c r="F32" i="48" s="1"/>
  <c r="G32" i="48" s="1"/>
  <c r="H31" i="48"/>
  <c r="F31" i="48"/>
  <c r="G31" i="48" s="1"/>
  <c r="H30" i="48"/>
  <c r="F30" i="48"/>
  <c r="G30" i="48" s="1"/>
  <c r="H29" i="48"/>
  <c r="F29" i="48" s="1"/>
  <c r="G29" i="48" s="1"/>
  <c r="H28" i="48"/>
  <c r="F28" i="48"/>
  <c r="G28" i="48" s="1"/>
  <c r="H27" i="48"/>
  <c r="F27" i="48" s="1"/>
  <c r="G27" i="48" s="1"/>
  <c r="H26" i="48"/>
  <c r="F26" i="48" s="1"/>
  <c r="G26" i="48" s="1"/>
  <c r="H25" i="48"/>
  <c r="F25" i="48" s="1"/>
  <c r="G25" i="48" s="1"/>
  <c r="H24" i="48"/>
  <c r="F24" i="48" s="1"/>
  <c r="G24" i="48" s="1"/>
  <c r="H23" i="48"/>
  <c r="F23" i="48" s="1"/>
  <c r="G23" i="48" s="1"/>
  <c r="H22" i="48"/>
  <c r="F22" i="48"/>
  <c r="G22" i="48" s="1"/>
  <c r="H21" i="48"/>
  <c r="F21" i="48"/>
  <c r="G21" i="48" s="1"/>
  <c r="H20" i="48"/>
  <c r="F20" i="48"/>
  <c r="G20" i="48" s="1"/>
  <c r="H19" i="48"/>
  <c r="F19" i="48"/>
  <c r="G19" i="48" s="1"/>
  <c r="H18" i="48"/>
  <c r="F18" i="48"/>
  <c r="G18" i="48" s="1"/>
  <c r="H17" i="48"/>
  <c r="G17" i="48"/>
  <c r="F17" i="48"/>
  <c r="H16" i="48"/>
  <c r="F16" i="48" s="1"/>
  <c r="G16" i="48" s="1"/>
  <c r="H15" i="48"/>
  <c r="F15" i="48" s="1"/>
  <c r="G15" i="48" s="1"/>
  <c r="H14" i="48"/>
  <c r="F14" i="48" s="1"/>
  <c r="G14" i="48" s="1"/>
  <c r="H13" i="48"/>
  <c r="F13" i="48"/>
  <c r="G13" i="48" s="1"/>
  <c r="H12" i="48"/>
  <c r="F12" i="48" s="1"/>
  <c r="G12" i="48" s="1"/>
  <c r="H11" i="48"/>
  <c r="F11" i="48" s="1"/>
  <c r="G11" i="48" s="1"/>
  <c r="H10" i="48"/>
  <c r="F10" i="48" s="1"/>
  <c r="G10" i="48" s="1"/>
  <c r="H9" i="48"/>
  <c r="F9" i="48"/>
  <c r="G9" i="48" s="1"/>
  <c r="H8" i="48"/>
  <c r="F8" i="48"/>
  <c r="G8" i="48" s="1"/>
  <c r="H7" i="48"/>
  <c r="F7" i="48"/>
  <c r="G7" i="48" s="1"/>
  <c r="H6" i="48"/>
  <c r="F6" i="48"/>
  <c r="G6" i="48" s="1"/>
  <c r="S35" i="48"/>
  <c r="Q35" i="48"/>
  <c r="R35" i="48" s="1"/>
  <c r="S34" i="48"/>
  <c r="Q34" i="48" s="1"/>
  <c r="R34" i="48" s="1"/>
  <c r="S33" i="48"/>
  <c r="Q33" i="48"/>
  <c r="R33" i="48" s="1"/>
  <c r="S32" i="48"/>
  <c r="Q32" i="48"/>
  <c r="R32" i="48" s="1"/>
  <c r="S31" i="48"/>
  <c r="Q31" i="48" s="1"/>
  <c r="R31" i="48" s="1"/>
  <c r="S30" i="48"/>
  <c r="Q30" i="48"/>
  <c r="R30" i="48" s="1"/>
  <c r="S29" i="48"/>
  <c r="Q29" i="48"/>
  <c r="R29" i="48" s="1"/>
  <c r="S28" i="48"/>
  <c r="Q28" i="48"/>
  <c r="R28" i="48" s="1"/>
  <c r="S27" i="48"/>
  <c r="Q27" i="48"/>
  <c r="R27" i="48" s="1"/>
  <c r="S26" i="48"/>
  <c r="Q26" i="48"/>
  <c r="R26" i="48" s="1"/>
  <c r="S25" i="48"/>
  <c r="Q25" i="48"/>
  <c r="R25" i="48" s="1"/>
  <c r="S24" i="48"/>
  <c r="Q24" i="48"/>
  <c r="R24" i="48" s="1"/>
  <c r="S23" i="48"/>
  <c r="Q23" i="48"/>
  <c r="R23" i="48" s="1"/>
  <c r="S22" i="48"/>
  <c r="Q22" i="48"/>
  <c r="R22" i="48" s="1"/>
  <c r="S21" i="48"/>
  <c r="Q21" i="48"/>
  <c r="R21" i="48" s="1"/>
  <c r="S20" i="48"/>
  <c r="Q20" i="48"/>
  <c r="R20" i="48" s="1"/>
  <c r="S19" i="48"/>
  <c r="Q19" i="48" s="1"/>
  <c r="R19" i="48" s="1"/>
  <c r="S18" i="48"/>
  <c r="Q18" i="48"/>
  <c r="R18" i="48" s="1"/>
  <c r="S17" i="48"/>
  <c r="Q17" i="48"/>
  <c r="R17" i="48" s="1"/>
  <c r="S16" i="48"/>
  <c r="Q16" i="48"/>
  <c r="R16" i="48" s="1"/>
  <c r="S15" i="48"/>
  <c r="Q15" i="48"/>
  <c r="R15" i="48" s="1"/>
  <c r="S14" i="48"/>
  <c r="Q14" i="48"/>
  <c r="R14" i="48" s="1"/>
  <c r="S13" i="48"/>
  <c r="Q13" i="48" s="1"/>
  <c r="R13" i="48" s="1"/>
  <c r="S12" i="48"/>
  <c r="Q12" i="48" s="1"/>
  <c r="R12" i="48" s="1"/>
  <c r="S11" i="48"/>
  <c r="Q11" i="48" s="1"/>
  <c r="R11" i="48" s="1"/>
  <c r="S10" i="48"/>
  <c r="Q10" i="48" s="1"/>
  <c r="R10" i="48" s="1"/>
  <c r="S9" i="48"/>
  <c r="Q9" i="48"/>
  <c r="R9" i="48" s="1"/>
  <c r="S8" i="48"/>
  <c r="Q8" i="48"/>
  <c r="R8" i="48" s="1"/>
  <c r="S7" i="48"/>
  <c r="Q7" i="48"/>
  <c r="R7" i="48" s="1"/>
  <c r="S6" i="48"/>
  <c r="Q6" i="48"/>
  <c r="R6" i="48" s="1"/>
  <c r="S5" i="48"/>
  <c r="Q5" i="48"/>
  <c r="R5" i="48" s="1"/>
  <c r="H5" i="48"/>
  <c r="F5" i="48"/>
  <c r="G5" i="48" s="1"/>
  <c r="L5" i="48"/>
  <c r="A5" i="48"/>
  <c r="A6" i="48" s="1"/>
  <c r="A7" i="48" s="1"/>
  <c r="A8" i="48" s="1"/>
  <c r="A9" i="48" s="1"/>
  <c r="A10" i="48" s="1"/>
  <c r="A11" i="48" s="1"/>
  <c r="A12" i="48" s="1"/>
  <c r="A13" i="48" s="1"/>
  <c r="A14" i="48" s="1"/>
  <c r="A15" i="48" s="1"/>
  <c r="A16" i="48" s="1"/>
  <c r="A17" i="48" s="1"/>
  <c r="A18" i="48" s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S35" i="46"/>
  <c r="Q35" i="46" s="1"/>
  <c r="R35" i="46" s="1"/>
  <c r="S34" i="46"/>
  <c r="Q34" i="46" s="1"/>
  <c r="R34" i="46" s="1"/>
  <c r="S33" i="46"/>
  <c r="R33" i="46"/>
  <c r="Q33" i="46"/>
  <c r="S32" i="46"/>
  <c r="Q32" i="46"/>
  <c r="R32" i="46" s="1"/>
  <c r="S31" i="46"/>
  <c r="Q31" i="46" s="1"/>
  <c r="R31" i="46" s="1"/>
  <c r="S30" i="46"/>
  <c r="Q30" i="46" s="1"/>
  <c r="R30" i="46" s="1"/>
  <c r="S29" i="46"/>
  <c r="Q29" i="46"/>
  <c r="R29" i="46" s="1"/>
  <c r="S28" i="46"/>
  <c r="Q28" i="46"/>
  <c r="R28" i="46" s="1"/>
  <c r="S27" i="46"/>
  <c r="Q27" i="46" s="1"/>
  <c r="R27" i="46" s="1"/>
  <c r="S26" i="46"/>
  <c r="Q26" i="46" s="1"/>
  <c r="R26" i="46" s="1"/>
  <c r="S25" i="46"/>
  <c r="Q25" i="46"/>
  <c r="R25" i="46" s="1"/>
  <c r="S24" i="46"/>
  <c r="Q24" i="46"/>
  <c r="R24" i="46" s="1"/>
  <c r="S23" i="46"/>
  <c r="Q23" i="46" s="1"/>
  <c r="R23" i="46" s="1"/>
  <c r="S22" i="46"/>
  <c r="Q22" i="46" s="1"/>
  <c r="R22" i="46" s="1"/>
  <c r="S21" i="46"/>
  <c r="Q21" i="46"/>
  <c r="R21" i="46" s="1"/>
  <c r="S20" i="46"/>
  <c r="Q20" i="46"/>
  <c r="R20" i="46" s="1"/>
  <c r="S19" i="46"/>
  <c r="Q19" i="46" s="1"/>
  <c r="R19" i="46" s="1"/>
  <c r="S18" i="46"/>
  <c r="Q18" i="46" s="1"/>
  <c r="R18" i="46" s="1"/>
  <c r="S17" i="46"/>
  <c r="Q17" i="46"/>
  <c r="R17" i="46" s="1"/>
  <c r="S16" i="46"/>
  <c r="Q16" i="46"/>
  <c r="R16" i="46" s="1"/>
  <c r="S15" i="46"/>
  <c r="Q15" i="46" s="1"/>
  <c r="R15" i="46" s="1"/>
  <c r="S14" i="46"/>
  <c r="Q14" i="46" s="1"/>
  <c r="R14" i="46" s="1"/>
  <c r="S13" i="46"/>
  <c r="Q13" i="46"/>
  <c r="R13" i="46" s="1"/>
  <c r="S12" i="46"/>
  <c r="Q12" i="46"/>
  <c r="R12" i="46" s="1"/>
  <c r="S11" i="46"/>
  <c r="Q11" i="46"/>
  <c r="R11" i="46" s="1"/>
  <c r="S10" i="46"/>
  <c r="Q10" i="46" s="1"/>
  <c r="R10" i="46" s="1"/>
  <c r="S9" i="46"/>
  <c r="Q9" i="46"/>
  <c r="R9" i="46" s="1"/>
  <c r="S8" i="46"/>
  <c r="Q8" i="46"/>
  <c r="R8" i="46" s="1"/>
  <c r="S7" i="46"/>
  <c r="Q7" i="46"/>
  <c r="R7" i="46" s="1"/>
  <c r="S6" i="46"/>
  <c r="Q6" i="46"/>
  <c r="R6" i="46" s="1"/>
  <c r="H35" i="46"/>
  <c r="F35" i="46" s="1"/>
  <c r="G35" i="46" s="1"/>
  <c r="H34" i="46"/>
  <c r="F34" i="46" s="1"/>
  <c r="G34" i="46" s="1"/>
  <c r="H33" i="46"/>
  <c r="F33" i="46" s="1"/>
  <c r="G33" i="46" s="1"/>
  <c r="H32" i="46"/>
  <c r="F32" i="46" s="1"/>
  <c r="G32" i="46" s="1"/>
  <c r="H31" i="46"/>
  <c r="F31" i="46" s="1"/>
  <c r="G31" i="46" s="1"/>
  <c r="H30" i="46"/>
  <c r="F30" i="46" s="1"/>
  <c r="G30" i="46" s="1"/>
  <c r="H29" i="46"/>
  <c r="F29" i="46"/>
  <c r="G29" i="46" s="1"/>
  <c r="H28" i="46"/>
  <c r="F28" i="46" s="1"/>
  <c r="G28" i="46" s="1"/>
  <c r="H27" i="46"/>
  <c r="F27" i="46" s="1"/>
  <c r="G27" i="46" s="1"/>
  <c r="H26" i="46"/>
  <c r="F26" i="46" s="1"/>
  <c r="G26" i="46" s="1"/>
  <c r="H25" i="46"/>
  <c r="F25" i="46" s="1"/>
  <c r="G25" i="46" s="1"/>
  <c r="H24" i="46"/>
  <c r="F24" i="46" s="1"/>
  <c r="G24" i="46" s="1"/>
  <c r="H23" i="46"/>
  <c r="F23" i="46" s="1"/>
  <c r="G23" i="46" s="1"/>
  <c r="H22" i="46"/>
  <c r="F22" i="46" s="1"/>
  <c r="G22" i="46" s="1"/>
  <c r="H21" i="46"/>
  <c r="F21" i="46" s="1"/>
  <c r="G21" i="46" s="1"/>
  <c r="H20" i="46"/>
  <c r="F20" i="46" s="1"/>
  <c r="G20" i="46" s="1"/>
  <c r="H19" i="46"/>
  <c r="F19" i="46" s="1"/>
  <c r="G19" i="46" s="1"/>
  <c r="H18" i="46"/>
  <c r="F18" i="46" s="1"/>
  <c r="G18" i="46" s="1"/>
  <c r="H17" i="46"/>
  <c r="F17" i="46"/>
  <c r="G17" i="46" s="1"/>
  <c r="H16" i="46"/>
  <c r="F16" i="46" s="1"/>
  <c r="G16" i="46" s="1"/>
  <c r="H15" i="46"/>
  <c r="F15" i="46" s="1"/>
  <c r="G15" i="46" s="1"/>
  <c r="H14" i="46"/>
  <c r="F14" i="46" s="1"/>
  <c r="G14" i="46" s="1"/>
  <c r="H13" i="46"/>
  <c r="F13" i="46" s="1"/>
  <c r="G13" i="46" s="1"/>
  <c r="H12" i="46"/>
  <c r="F12" i="46"/>
  <c r="G12" i="46" s="1"/>
  <c r="H11" i="46"/>
  <c r="F11" i="46" s="1"/>
  <c r="G11" i="46" s="1"/>
  <c r="H10" i="46"/>
  <c r="F10" i="46" s="1"/>
  <c r="G10" i="46" s="1"/>
  <c r="H9" i="46"/>
  <c r="F9" i="46" s="1"/>
  <c r="G9" i="46" s="1"/>
  <c r="H8" i="46"/>
  <c r="F8" i="46"/>
  <c r="G8" i="46" s="1"/>
  <c r="H7" i="46"/>
  <c r="F7" i="46"/>
  <c r="G7" i="46" s="1"/>
  <c r="H6" i="46"/>
  <c r="F6" i="46"/>
  <c r="G6" i="46" s="1"/>
  <c r="S5" i="46"/>
  <c r="Q5" i="46"/>
  <c r="R5" i="46" s="1"/>
  <c r="H5" i="46"/>
  <c r="F5" i="46"/>
  <c r="G5" i="46" s="1"/>
  <c r="L5" i="46"/>
  <c r="A5" i="46"/>
  <c r="A6" i="46" s="1"/>
  <c r="A7" i="46" s="1"/>
  <c r="A8" i="46" s="1"/>
  <c r="A9" i="46" s="1"/>
  <c r="A10" i="46" s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S35" i="45"/>
  <c r="R35" i="45"/>
  <c r="Q35" i="45"/>
  <c r="S34" i="45"/>
  <c r="Q34" i="45"/>
  <c r="R34" i="45" s="1"/>
  <c r="S33" i="45"/>
  <c r="Q33" i="45"/>
  <c r="R33" i="45" s="1"/>
  <c r="S32" i="45"/>
  <c r="Q32" i="45"/>
  <c r="R32" i="45" s="1"/>
  <c r="S31" i="45"/>
  <c r="Q31" i="45"/>
  <c r="R31" i="45" s="1"/>
  <c r="S30" i="45"/>
  <c r="Q30" i="45"/>
  <c r="R30" i="45" s="1"/>
  <c r="S29" i="45"/>
  <c r="Q29" i="45"/>
  <c r="R29" i="45" s="1"/>
  <c r="S28" i="45"/>
  <c r="Q28" i="45"/>
  <c r="R28" i="45" s="1"/>
  <c r="S27" i="45"/>
  <c r="Q27" i="45"/>
  <c r="R27" i="45" s="1"/>
  <c r="S26" i="45"/>
  <c r="Q26" i="45"/>
  <c r="R26" i="45" s="1"/>
  <c r="S25" i="45"/>
  <c r="Q25" i="45"/>
  <c r="R25" i="45" s="1"/>
  <c r="S24" i="45"/>
  <c r="Q24" i="45"/>
  <c r="R24" i="45" s="1"/>
  <c r="S23" i="45"/>
  <c r="Q23" i="45"/>
  <c r="R23" i="45" s="1"/>
  <c r="S22" i="45"/>
  <c r="Q22" i="45"/>
  <c r="R22" i="45" s="1"/>
  <c r="S21" i="45"/>
  <c r="Q21" i="45"/>
  <c r="R21" i="45" s="1"/>
  <c r="S20" i="45"/>
  <c r="Q20" i="45"/>
  <c r="R20" i="45" s="1"/>
  <c r="S19" i="45"/>
  <c r="Q19" i="45"/>
  <c r="R19" i="45" s="1"/>
  <c r="S18" i="45"/>
  <c r="Q18" i="45"/>
  <c r="R18" i="45" s="1"/>
  <c r="S17" i="45"/>
  <c r="Q17" i="45"/>
  <c r="R17" i="45" s="1"/>
  <c r="S16" i="45"/>
  <c r="Q16" i="45"/>
  <c r="R16" i="45" s="1"/>
  <c r="S15" i="45"/>
  <c r="Q15" i="45" s="1"/>
  <c r="R15" i="45" s="1"/>
  <c r="S14" i="45"/>
  <c r="Q14" i="45"/>
  <c r="R14" i="45" s="1"/>
  <c r="S13" i="45"/>
  <c r="Q13" i="45" s="1"/>
  <c r="R13" i="45" s="1"/>
  <c r="S12" i="45"/>
  <c r="Q12" i="45" s="1"/>
  <c r="R12" i="45" s="1"/>
  <c r="S11" i="45"/>
  <c r="Q11" i="45" s="1"/>
  <c r="R11" i="45" s="1"/>
  <c r="S10" i="45"/>
  <c r="Q10" i="45"/>
  <c r="R10" i="45" s="1"/>
  <c r="S9" i="45"/>
  <c r="Q9" i="45"/>
  <c r="R9" i="45" s="1"/>
  <c r="S8" i="45"/>
  <c r="Q8" i="45"/>
  <c r="R8" i="45" s="1"/>
  <c r="S7" i="45"/>
  <c r="Q7" i="45"/>
  <c r="R7" i="45" s="1"/>
  <c r="S6" i="45"/>
  <c r="Q6" i="45"/>
  <c r="R6" i="45" s="1"/>
  <c r="S5" i="45"/>
  <c r="Q5" i="45"/>
  <c r="R5" i="45" s="1"/>
  <c r="F35" i="45"/>
  <c r="G35" i="45" s="1"/>
  <c r="F34" i="45"/>
  <c r="G34" i="45" s="1"/>
  <c r="F33" i="45"/>
  <c r="G33" i="45" s="1"/>
  <c r="F32" i="45"/>
  <c r="G32" i="45" s="1"/>
  <c r="F31" i="45"/>
  <c r="G31" i="45" s="1"/>
  <c r="F30" i="45"/>
  <c r="G30" i="45" s="1"/>
  <c r="F29" i="45"/>
  <c r="G29" i="45" s="1"/>
  <c r="F28" i="45"/>
  <c r="G28" i="45" s="1"/>
  <c r="F27" i="45"/>
  <c r="G27" i="45" s="1"/>
  <c r="F26" i="45"/>
  <c r="G26" i="45" s="1"/>
  <c r="F25" i="45"/>
  <c r="G25" i="45" s="1"/>
  <c r="F24" i="45"/>
  <c r="G24" i="45" s="1"/>
  <c r="F23" i="45"/>
  <c r="G23" i="45" s="1"/>
  <c r="F22" i="45"/>
  <c r="G22" i="45" s="1"/>
  <c r="F21" i="45"/>
  <c r="G21" i="45" s="1"/>
  <c r="F20" i="45"/>
  <c r="G20" i="45" s="1"/>
  <c r="F19" i="45"/>
  <c r="G19" i="45" s="1"/>
  <c r="F18" i="45"/>
  <c r="G18" i="45" s="1"/>
  <c r="F17" i="45"/>
  <c r="G17" i="45" s="1"/>
  <c r="F16" i="45"/>
  <c r="G16" i="45" s="1"/>
  <c r="F15" i="45"/>
  <c r="G15" i="45" s="1"/>
  <c r="H14" i="45"/>
  <c r="F14" i="45" s="1"/>
  <c r="G14" i="45" s="1"/>
  <c r="H13" i="45"/>
  <c r="F13" i="45" s="1"/>
  <c r="G13" i="45" s="1"/>
  <c r="H12" i="45"/>
  <c r="F12" i="45" s="1"/>
  <c r="G12" i="45" s="1"/>
  <c r="H11" i="45"/>
  <c r="F11" i="45" s="1"/>
  <c r="G11" i="45" s="1"/>
  <c r="H10" i="45"/>
  <c r="F10" i="45"/>
  <c r="G10" i="45" s="1"/>
  <c r="H9" i="45"/>
  <c r="F9" i="45"/>
  <c r="G9" i="45" s="1"/>
  <c r="H8" i="45"/>
  <c r="F8" i="45"/>
  <c r="G8" i="45" s="1"/>
  <c r="H7" i="45"/>
  <c r="F7" i="45"/>
  <c r="G7" i="45" s="1"/>
  <c r="H6" i="45"/>
  <c r="F6" i="45"/>
  <c r="G6" i="45" s="1"/>
  <c r="H5" i="45"/>
  <c r="F5" i="45"/>
  <c r="G5" i="45" s="1"/>
  <c r="L5" i="45"/>
  <c r="A5" i="45"/>
  <c r="S34" i="43"/>
  <c r="Q34" i="43"/>
  <c r="R34" i="43" s="1"/>
  <c r="S33" i="43"/>
  <c r="Q33" i="43"/>
  <c r="R33" i="43" s="1"/>
  <c r="S32" i="43"/>
  <c r="Q32" i="43"/>
  <c r="R32" i="43" s="1"/>
  <c r="S31" i="43"/>
  <c r="Q31" i="43"/>
  <c r="R31" i="43" s="1"/>
  <c r="S30" i="43"/>
  <c r="Q30" i="43"/>
  <c r="R30" i="43" s="1"/>
  <c r="S29" i="43"/>
  <c r="Q29" i="43" s="1"/>
  <c r="R29" i="43" s="1"/>
  <c r="S28" i="43"/>
  <c r="Q28" i="43"/>
  <c r="R28" i="43" s="1"/>
  <c r="S27" i="43"/>
  <c r="Q27" i="43"/>
  <c r="R27" i="43" s="1"/>
  <c r="S26" i="43"/>
  <c r="Q26" i="43"/>
  <c r="R26" i="43" s="1"/>
  <c r="S25" i="43"/>
  <c r="Q25" i="43"/>
  <c r="R25" i="43" s="1"/>
  <c r="S24" i="43"/>
  <c r="Q24" i="43"/>
  <c r="R24" i="43" s="1"/>
  <c r="S23" i="43"/>
  <c r="Q23" i="43"/>
  <c r="R23" i="43" s="1"/>
  <c r="S22" i="43"/>
  <c r="Q22" i="43"/>
  <c r="R22" i="43" s="1"/>
  <c r="S21" i="43"/>
  <c r="Q21" i="43" s="1"/>
  <c r="R21" i="43" s="1"/>
  <c r="S20" i="43"/>
  <c r="Q20" i="43" s="1"/>
  <c r="R20" i="43" s="1"/>
  <c r="S19" i="43"/>
  <c r="Q19" i="43"/>
  <c r="R19" i="43" s="1"/>
  <c r="S18" i="43"/>
  <c r="S17" i="43"/>
  <c r="Q17" i="43"/>
  <c r="R17" i="43" s="1"/>
  <c r="S16" i="43"/>
  <c r="Q16" i="43" s="1"/>
  <c r="R16" i="43" s="1"/>
  <c r="S15" i="43"/>
  <c r="Q15" i="43" s="1"/>
  <c r="R15" i="43" s="1"/>
  <c r="S14" i="43"/>
  <c r="Q14" i="43" s="1"/>
  <c r="R14" i="43" s="1"/>
  <c r="S13" i="43"/>
  <c r="Q13" i="43" s="1"/>
  <c r="R13" i="43" s="1"/>
  <c r="S12" i="43"/>
  <c r="Q12" i="43" s="1"/>
  <c r="R12" i="43" s="1"/>
  <c r="S11" i="43"/>
  <c r="Q11" i="43" s="1"/>
  <c r="R11" i="43" s="1"/>
  <c r="S10" i="43"/>
  <c r="Q10" i="43"/>
  <c r="R10" i="43" s="1"/>
  <c r="S9" i="43"/>
  <c r="Q9" i="43" s="1"/>
  <c r="R9" i="43" s="1"/>
  <c r="S8" i="43"/>
  <c r="Q8" i="43"/>
  <c r="R8" i="43" s="1"/>
  <c r="S7" i="43"/>
  <c r="Q7" i="43"/>
  <c r="R7" i="43" s="1"/>
  <c r="S6" i="43"/>
  <c r="Q6" i="43"/>
  <c r="R6" i="43" s="1"/>
  <c r="S5" i="43"/>
  <c r="Q5" i="43"/>
  <c r="R5" i="43" s="1"/>
  <c r="F5" i="43"/>
  <c r="G5" i="43" s="1"/>
  <c r="L5" i="43"/>
  <c r="A5" i="43"/>
  <c r="S35" i="42"/>
  <c r="Q35" i="42"/>
  <c r="R35" i="42" s="1"/>
  <c r="S34" i="42"/>
  <c r="Q34" i="42"/>
  <c r="R34" i="42" s="1"/>
  <c r="S33" i="42"/>
  <c r="Q33" i="42"/>
  <c r="R33" i="42" s="1"/>
  <c r="S32" i="42"/>
  <c r="Q32" i="42"/>
  <c r="R32" i="42" s="1"/>
  <c r="S31" i="42"/>
  <c r="Q31" i="42"/>
  <c r="R31" i="42" s="1"/>
  <c r="S30" i="42"/>
  <c r="Q30" i="42"/>
  <c r="R30" i="42" s="1"/>
  <c r="S29" i="42"/>
  <c r="Q29" i="42"/>
  <c r="R29" i="42" s="1"/>
  <c r="S28" i="42"/>
  <c r="Q28" i="42"/>
  <c r="R28" i="42" s="1"/>
  <c r="S27" i="42"/>
  <c r="Q27" i="42"/>
  <c r="R27" i="42" s="1"/>
  <c r="S26" i="42"/>
  <c r="Q26" i="42"/>
  <c r="R26" i="42" s="1"/>
  <c r="S25" i="42"/>
  <c r="Q25" i="42"/>
  <c r="R25" i="42" s="1"/>
  <c r="S24" i="42"/>
  <c r="Q24" i="42"/>
  <c r="R24" i="42" s="1"/>
  <c r="S23" i="42"/>
  <c r="Q23" i="42" s="1"/>
  <c r="R23" i="42" s="1"/>
  <c r="S22" i="42"/>
  <c r="Q22" i="42" s="1"/>
  <c r="R22" i="42" s="1"/>
  <c r="S21" i="42"/>
  <c r="Q21" i="42" s="1"/>
  <c r="R21" i="42" s="1"/>
  <c r="S20" i="42"/>
  <c r="Q20" i="42" s="1"/>
  <c r="R20" i="42" s="1"/>
  <c r="S19" i="42"/>
  <c r="Q19" i="42" s="1"/>
  <c r="R19" i="42" s="1"/>
  <c r="S18" i="42"/>
  <c r="Q18" i="42"/>
  <c r="R18" i="42" s="1"/>
  <c r="S17" i="42"/>
  <c r="Q17" i="42" s="1"/>
  <c r="R17" i="42" s="1"/>
  <c r="S16" i="42"/>
  <c r="Q16" i="42" s="1"/>
  <c r="R16" i="42" s="1"/>
  <c r="S15" i="42"/>
  <c r="Q15" i="42" s="1"/>
  <c r="R15" i="42" s="1"/>
  <c r="S14" i="42"/>
  <c r="Q14" i="42" s="1"/>
  <c r="R14" i="42" s="1"/>
  <c r="S13" i="42"/>
  <c r="Q13" i="42"/>
  <c r="R13" i="42" s="1"/>
  <c r="S12" i="42"/>
  <c r="Q12" i="42"/>
  <c r="R12" i="42" s="1"/>
  <c r="S11" i="42"/>
  <c r="Q11" i="42" s="1"/>
  <c r="R11" i="42" s="1"/>
  <c r="S10" i="42"/>
  <c r="Q10" i="42" s="1"/>
  <c r="R10" i="42" s="1"/>
  <c r="S9" i="42"/>
  <c r="Q9" i="42" s="1"/>
  <c r="R9" i="42" s="1"/>
  <c r="S8" i="42"/>
  <c r="Q8" i="42"/>
  <c r="R8" i="42" s="1"/>
  <c r="S7" i="42"/>
  <c r="Q7" i="42"/>
  <c r="R7" i="42" s="1"/>
  <c r="S6" i="42"/>
  <c r="Q6" i="42"/>
  <c r="R6" i="42" s="1"/>
  <c r="H35" i="42"/>
  <c r="F35" i="42"/>
  <c r="G35" i="42" s="1"/>
  <c r="H34" i="42"/>
  <c r="F34" i="42"/>
  <c r="G34" i="42" s="1"/>
  <c r="H33" i="42"/>
  <c r="G33" i="42"/>
  <c r="F33" i="42"/>
  <c r="H32" i="42"/>
  <c r="F32" i="42"/>
  <c r="G32" i="42" s="1"/>
  <c r="H31" i="42"/>
  <c r="F31" i="42"/>
  <c r="G31" i="42" s="1"/>
  <c r="H30" i="42"/>
  <c r="F30" i="42"/>
  <c r="G30" i="42" s="1"/>
  <c r="H29" i="42"/>
  <c r="F29" i="42"/>
  <c r="G29" i="42" s="1"/>
  <c r="H28" i="42"/>
  <c r="F28" i="42"/>
  <c r="G28" i="42" s="1"/>
  <c r="H27" i="42"/>
  <c r="F27" i="42"/>
  <c r="G27" i="42" s="1"/>
  <c r="H26" i="42"/>
  <c r="F26" i="42"/>
  <c r="G26" i="42" s="1"/>
  <c r="H25" i="42"/>
  <c r="F25" i="42"/>
  <c r="G25" i="42" s="1"/>
  <c r="H24" i="42"/>
  <c r="F24" i="42"/>
  <c r="G24" i="42" s="1"/>
  <c r="H23" i="42"/>
  <c r="F23" i="42" s="1"/>
  <c r="G23" i="42" s="1"/>
  <c r="H22" i="42"/>
  <c r="F22" i="42" s="1"/>
  <c r="G22" i="42" s="1"/>
  <c r="H21" i="42"/>
  <c r="F21" i="42" s="1"/>
  <c r="G21" i="42" s="1"/>
  <c r="H20" i="42"/>
  <c r="F20" i="42"/>
  <c r="G20" i="42" s="1"/>
  <c r="H19" i="42"/>
  <c r="F19" i="42" s="1"/>
  <c r="G19" i="42" s="1"/>
  <c r="H18" i="42"/>
  <c r="F18" i="42" s="1"/>
  <c r="G18" i="42" s="1"/>
  <c r="H17" i="42"/>
  <c r="F17" i="42" s="1"/>
  <c r="G17" i="42" s="1"/>
  <c r="H16" i="42"/>
  <c r="F16" i="42" s="1"/>
  <c r="G16" i="42" s="1"/>
  <c r="H15" i="42"/>
  <c r="F15" i="42" s="1"/>
  <c r="G15" i="42" s="1"/>
  <c r="H14" i="42"/>
  <c r="F14" i="42" s="1"/>
  <c r="G14" i="42" s="1"/>
  <c r="H13" i="42"/>
  <c r="F13" i="42" s="1"/>
  <c r="G13" i="42" s="1"/>
  <c r="H12" i="42"/>
  <c r="F12" i="42" s="1"/>
  <c r="G12" i="42" s="1"/>
  <c r="H11" i="42"/>
  <c r="F11" i="42"/>
  <c r="G11" i="42" s="1"/>
  <c r="H10" i="42"/>
  <c r="F10" i="42" s="1"/>
  <c r="G10" i="42" s="1"/>
  <c r="H9" i="42"/>
  <c r="F9" i="42" s="1"/>
  <c r="G9" i="42" s="1"/>
  <c r="H8" i="42"/>
  <c r="F8" i="42"/>
  <c r="G8" i="42" s="1"/>
  <c r="H7" i="42"/>
  <c r="F7" i="42"/>
  <c r="G7" i="42" s="1"/>
  <c r="H6" i="42"/>
  <c r="F6" i="42"/>
  <c r="G6" i="42" s="1"/>
  <c r="S5" i="42"/>
  <c r="Q5" i="42"/>
  <c r="R5" i="42" s="1"/>
  <c r="H5" i="42"/>
  <c r="F5" i="42"/>
  <c r="L5" i="42"/>
  <c r="A5" i="42"/>
  <c r="Q6" i="41"/>
  <c r="R6" i="41" s="1"/>
  <c r="S6" i="41"/>
  <c r="Q7" i="41"/>
  <c r="R7" i="41" s="1"/>
  <c r="S7" i="41"/>
  <c r="Q8" i="41"/>
  <c r="R8" i="41" s="1"/>
  <c r="S8" i="41"/>
  <c r="S9" i="41"/>
  <c r="Q9" i="41" s="1"/>
  <c r="R9" i="41" s="1"/>
  <c r="S10" i="41"/>
  <c r="Q10" i="41" s="1"/>
  <c r="R10" i="41" s="1"/>
  <c r="Q11" i="41"/>
  <c r="R11" i="41" s="1"/>
  <c r="S11" i="41"/>
  <c r="Q12" i="41"/>
  <c r="R12" i="41" s="1"/>
  <c r="S12" i="41"/>
  <c r="S13" i="41"/>
  <c r="Q13" i="41" s="1"/>
  <c r="R13" i="41" s="1"/>
  <c r="S14" i="41"/>
  <c r="Q14" i="41" s="1"/>
  <c r="R14" i="41" s="1"/>
  <c r="S15" i="41"/>
  <c r="Q15" i="41" s="1"/>
  <c r="R15" i="41" s="1"/>
  <c r="S16" i="41"/>
  <c r="Q16" i="41" s="1"/>
  <c r="R16" i="41" s="1"/>
  <c r="S17" i="41"/>
  <c r="Q17" i="41" s="1"/>
  <c r="R17" i="41" s="1"/>
  <c r="S18" i="41"/>
  <c r="Q18" i="41" s="1"/>
  <c r="R18" i="41" s="1"/>
  <c r="Q19" i="41"/>
  <c r="R19" i="41" s="1"/>
  <c r="S19" i="41"/>
  <c r="Q20" i="41"/>
  <c r="R20" i="41" s="1"/>
  <c r="S20" i="41"/>
  <c r="S21" i="41"/>
  <c r="Q21" i="41" s="1"/>
  <c r="R21" i="41" s="1"/>
  <c r="Q22" i="41"/>
  <c r="R22" i="41" s="1"/>
  <c r="S22" i="41"/>
  <c r="Q23" i="41"/>
  <c r="R23" i="41" s="1"/>
  <c r="S23" i="41"/>
  <c r="Q24" i="41"/>
  <c r="R24" i="41" s="1"/>
  <c r="S24" i="41"/>
  <c r="Q25" i="41"/>
  <c r="R25" i="41" s="1"/>
  <c r="S25" i="41"/>
  <c r="Q26" i="41"/>
  <c r="R26" i="41" s="1"/>
  <c r="S26" i="41"/>
  <c r="Q27" i="41"/>
  <c r="R27" i="41" s="1"/>
  <c r="S27" i="41"/>
  <c r="Q28" i="41"/>
  <c r="R28" i="41" s="1"/>
  <c r="S28" i="41"/>
  <c r="Q29" i="41"/>
  <c r="R29" i="41" s="1"/>
  <c r="S29" i="41"/>
  <c r="Q30" i="41"/>
  <c r="R30" i="41" s="1"/>
  <c r="S30" i="41"/>
  <c r="Q31" i="41"/>
  <c r="R31" i="41" s="1"/>
  <c r="S31" i="41"/>
  <c r="Q32" i="41"/>
  <c r="R32" i="41" s="1"/>
  <c r="S32" i="41"/>
  <c r="Q33" i="41"/>
  <c r="R33" i="41" s="1"/>
  <c r="S33" i="41"/>
  <c r="Q34" i="41"/>
  <c r="R34" i="41" s="1"/>
  <c r="S34" i="41"/>
  <c r="Q35" i="41"/>
  <c r="R35" i="41" s="1"/>
  <c r="S35" i="41"/>
  <c r="S5" i="41"/>
  <c r="Q5" i="41"/>
  <c r="R5" i="41" s="1"/>
  <c r="F6" i="41"/>
  <c r="G6" i="41" s="1"/>
  <c r="H6" i="41"/>
  <c r="F7" i="41"/>
  <c r="G7" i="41" s="1"/>
  <c r="H7" i="41"/>
  <c r="F8" i="41"/>
  <c r="G8" i="41" s="1"/>
  <c r="H8" i="41"/>
  <c r="H9" i="41"/>
  <c r="F9" i="41" s="1"/>
  <c r="G9" i="41" s="1"/>
  <c r="H10" i="41"/>
  <c r="F10" i="41" s="1"/>
  <c r="G10" i="41" s="1"/>
  <c r="F11" i="41"/>
  <c r="G11" i="41" s="1"/>
  <c r="H11" i="41"/>
  <c r="H12" i="41"/>
  <c r="F12" i="41" s="1"/>
  <c r="G12" i="41" s="1"/>
  <c r="H13" i="41"/>
  <c r="F13" i="41" s="1"/>
  <c r="G13" i="41" s="1"/>
  <c r="H14" i="41"/>
  <c r="F14" i="41" s="1"/>
  <c r="G14" i="41" s="1"/>
  <c r="F15" i="41"/>
  <c r="G15" i="41" s="1"/>
  <c r="H15" i="41"/>
  <c r="H16" i="41"/>
  <c r="F16" i="41" s="1"/>
  <c r="G16" i="41" s="1"/>
  <c r="F17" i="41"/>
  <c r="G17" i="41" s="1"/>
  <c r="H17" i="41"/>
  <c r="H18" i="41"/>
  <c r="F18" i="41" s="1"/>
  <c r="G18" i="41" s="1"/>
  <c r="H19" i="41"/>
  <c r="F19" i="41" s="1"/>
  <c r="G19" i="41" s="1"/>
  <c r="H20" i="41"/>
  <c r="F20" i="41" s="1"/>
  <c r="G20" i="41" s="1"/>
  <c r="F21" i="41"/>
  <c r="G21" i="41" s="1"/>
  <c r="H21" i="41"/>
  <c r="F22" i="41"/>
  <c r="G22" i="41" s="1"/>
  <c r="H22" i="41"/>
  <c r="F23" i="41"/>
  <c r="G23" i="41" s="1"/>
  <c r="H23" i="41"/>
  <c r="F24" i="41"/>
  <c r="G24" i="41" s="1"/>
  <c r="H24" i="41"/>
  <c r="F25" i="41"/>
  <c r="G25" i="41" s="1"/>
  <c r="H25" i="41"/>
  <c r="F26" i="41"/>
  <c r="G26" i="41" s="1"/>
  <c r="H26" i="41"/>
  <c r="F27" i="41"/>
  <c r="G27" i="41" s="1"/>
  <c r="H27" i="41"/>
  <c r="F28" i="41"/>
  <c r="G28" i="41" s="1"/>
  <c r="H28" i="41"/>
  <c r="F29" i="41"/>
  <c r="G29" i="41" s="1"/>
  <c r="H29" i="41"/>
  <c r="F30" i="41"/>
  <c r="G30" i="41" s="1"/>
  <c r="H30" i="41"/>
  <c r="F31" i="41"/>
  <c r="G31" i="41" s="1"/>
  <c r="H31" i="41"/>
  <c r="F32" i="41"/>
  <c r="G32" i="41" s="1"/>
  <c r="H32" i="41"/>
  <c r="F33" i="41"/>
  <c r="G33" i="41" s="1"/>
  <c r="H33" i="41"/>
  <c r="F34" i="41"/>
  <c r="G34" i="41" s="1"/>
  <c r="H34" i="41"/>
  <c r="F35" i="41"/>
  <c r="G35" i="41" s="1"/>
  <c r="H35" i="41"/>
  <c r="H5" i="41"/>
  <c r="F5" i="41"/>
  <c r="G5" i="41" s="1"/>
  <c r="L5" i="41"/>
  <c r="A5" i="41"/>
  <c r="H5" i="40"/>
  <c r="S35" i="40"/>
  <c r="Q35" i="40"/>
  <c r="R35" i="40" s="1"/>
  <c r="S34" i="40"/>
  <c r="Q34" i="40"/>
  <c r="R34" i="40" s="1"/>
  <c r="S33" i="40"/>
  <c r="Q33" i="40"/>
  <c r="R33" i="40" s="1"/>
  <c r="S32" i="40"/>
  <c r="Q32" i="40"/>
  <c r="R32" i="40" s="1"/>
  <c r="S31" i="40"/>
  <c r="Q31" i="40"/>
  <c r="R31" i="40" s="1"/>
  <c r="S30" i="40"/>
  <c r="Q30" i="40"/>
  <c r="R30" i="40" s="1"/>
  <c r="S29" i="40"/>
  <c r="R29" i="40"/>
  <c r="Q29" i="40"/>
  <c r="S28" i="40"/>
  <c r="Q28" i="40"/>
  <c r="R28" i="40" s="1"/>
  <c r="S27" i="40"/>
  <c r="Q27" i="40"/>
  <c r="R27" i="40" s="1"/>
  <c r="S26" i="40"/>
  <c r="Q26" i="40"/>
  <c r="R26" i="40" s="1"/>
  <c r="S25" i="40"/>
  <c r="Q25" i="40"/>
  <c r="R25" i="40" s="1"/>
  <c r="S24" i="40"/>
  <c r="Q24" i="40"/>
  <c r="R24" i="40" s="1"/>
  <c r="S23" i="40"/>
  <c r="Q23" i="40"/>
  <c r="R23" i="40" s="1"/>
  <c r="S22" i="40"/>
  <c r="Q22" i="40"/>
  <c r="R22" i="40" s="1"/>
  <c r="S21" i="40"/>
  <c r="Q21" i="40" s="1"/>
  <c r="R21" i="40" s="1"/>
  <c r="S20" i="40"/>
  <c r="Q20" i="40"/>
  <c r="R20" i="40" s="1"/>
  <c r="S19" i="40"/>
  <c r="Q19" i="40"/>
  <c r="R19" i="40" s="1"/>
  <c r="S18" i="40"/>
  <c r="Q18" i="40" s="1"/>
  <c r="R18" i="40" s="1"/>
  <c r="S17" i="40"/>
  <c r="Q17" i="40"/>
  <c r="R17" i="40" s="1"/>
  <c r="S16" i="40"/>
  <c r="Q16" i="40"/>
  <c r="R16" i="40" s="1"/>
  <c r="S15" i="40"/>
  <c r="Q15" i="40" s="1"/>
  <c r="R15" i="40" s="1"/>
  <c r="S14" i="40"/>
  <c r="Q14" i="40" s="1"/>
  <c r="R14" i="40" s="1"/>
  <c r="S13" i="40"/>
  <c r="Q13" i="40" s="1"/>
  <c r="R13" i="40" s="1"/>
  <c r="S12" i="40"/>
  <c r="Q12" i="40"/>
  <c r="R12" i="40" s="1"/>
  <c r="S11" i="40"/>
  <c r="Q11" i="40"/>
  <c r="R11" i="40" s="1"/>
  <c r="S10" i="40"/>
  <c r="Q10" i="40" s="1"/>
  <c r="R10" i="40" s="1"/>
  <c r="S9" i="40"/>
  <c r="Q9" i="40"/>
  <c r="R9" i="40" s="1"/>
  <c r="S8" i="40"/>
  <c r="Q8" i="40"/>
  <c r="R8" i="40" s="1"/>
  <c r="S7" i="40"/>
  <c r="Q7" i="40"/>
  <c r="R7" i="40" s="1"/>
  <c r="S6" i="40"/>
  <c r="Q6" i="40"/>
  <c r="R6" i="40" s="1"/>
  <c r="F6" i="40"/>
  <c r="G6" i="40" s="1"/>
  <c r="H6" i="40"/>
  <c r="F7" i="40"/>
  <c r="G7" i="40" s="1"/>
  <c r="H7" i="40"/>
  <c r="F8" i="40"/>
  <c r="G8" i="40" s="1"/>
  <c r="H8" i="40"/>
  <c r="H9" i="40"/>
  <c r="F9" i="40" s="1"/>
  <c r="G9" i="40" s="1"/>
  <c r="H10" i="40"/>
  <c r="F10" i="40" s="1"/>
  <c r="G10" i="40" s="1"/>
  <c r="F11" i="40"/>
  <c r="G11" i="40" s="1"/>
  <c r="H11" i="40"/>
  <c r="F12" i="40"/>
  <c r="G12" i="40" s="1"/>
  <c r="H12" i="40"/>
  <c r="H13" i="40"/>
  <c r="F13" i="40" s="1"/>
  <c r="G13" i="40" s="1"/>
  <c r="H14" i="40"/>
  <c r="F14" i="40" s="1"/>
  <c r="G14" i="40" s="1"/>
  <c r="H15" i="40"/>
  <c r="F15" i="40" s="1"/>
  <c r="G15" i="40" s="1"/>
  <c r="F16" i="40"/>
  <c r="G16" i="40" s="1"/>
  <c r="H16" i="40"/>
  <c r="F17" i="40"/>
  <c r="G17" i="40" s="1"/>
  <c r="H17" i="40"/>
  <c r="H18" i="40"/>
  <c r="F18" i="40" s="1"/>
  <c r="G18" i="40" s="1"/>
  <c r="F19" i="40"/>
  <c r="G19" i="40" s="1"/>
  <c r="H19" i="40"/>
  <c r="F20" i="40"/>
  <c r="G20" i="40" s="1"/>
  <c r="H20" i="40"/>
  <c r="H21" i="40"/>
  <c r="F21" i="40" s="1"/>
  <c r="G21" i="40" s="1"/>
  <c r="F22" i="40"/>
  <c r="G22" i="40" s="1"/>
  <c r="H22" i="40"/>
  <c r="F23" i="40"/>
  <c r="G23" i="40" s="1"/>
  <c r="H23" i="40"/>
  <c r="F24" i="40"/>
  <c r="G24" i="40" s="1"/>
  <c r="H24" i="40"/>
  <c r="F25" i="40"/>
  <c r="G25" i="40" s="1"/>
  <c r="H25" i="40"/>
  <c r="F26" i="40"/>
  <c r="G26" i="40" s="1"/>
  <c r="H26" i="40"/>
  <c r="F27" i="40"/>
  <c r="G27" i="40" s="1"/>
  <c r="H27" i="40"/>
  <c r="F28" i="40"/>
  <c r="G28" i="40" s="1"/>
  <c r="H28" i="40"/>
  <c r="F29" i="40"/>
  <c r="G29" i="40" s="1"/>
  <c r="H29" i="40"/>
  <c r="F30" i="40"/>
  <c r="G30" i="40" s="1"/>
  <c r="H30" i="40"/>
  <c r="F31" i="40"/>
  <c r="G31" i="40" s="1"/>
  <c r="H31" i="40"/>
  <c r="F32" i="40"/>
  <c r="G32" i="40" s="1"/>
  <c r="H32" i="40"/>
  <c r="F33" i="40"/>
  <c r="G33" i="40" s="1"/>
  <c r="H33" i="40"/>
  <c r="F34" i="40"/>
  <c r="G34" i="40" s="1"/>
  <c r="H34" i="40"/>
  <c r="F35" i="40"/>
  <c r="G35" i="40" s="1"/>
  <c r="H35" i="40"/>
  <c r="S5" i="40"/>
  <c r="Q5" i="40"/>
  <c r="R5" i="40" s="1"/>
  <c r="F5" i="40"/>
  <c r="G5" i="40" s="1"/>
  <c r="L5" i="40"/>
  <c r="A5" i="40"/>
  <c r="Q6" i="62"/>
  <c r="R6" i="62" s="1"/>
  <c r="S6" i="62"/>
  <c r="Q7" i="62"/>
  <c r="R7" i="62" s="1"/>
  <c r="S7" i="62"/>
  <c r="Q8" i="62"/>
  <c r="R8" i="62" s="1"/>
  <c r="S8" i="62"/>
  <c r="S9" i="62"/>
  <c r="Q9" i="62" s="1"/>
  <c r="R9" i="62" s="1"/>
  <c r="Q10" i="62"/>
  <c r="R10" i="62" s="1"/>
  <c r="S10" i="62"/>
  <c r="S11" i="62"/>
  <c r="Q11" i="62" s="1"/>
  <c r="R11" i="62" s="1"/>
  <c r="S12" i="62"/>
  <c r="Q12" i="62" s="1"/>
  <c r="R12" i="62" s="1"/>
  <c r="Q13" i="62"/>
  <c r="R13" i="62" s="1"/>
  <c r="S13" i="62"/>
  <c r="S14" i="62"/>
  <c r="Q14" i="62" s="1"/>
  <c r="R14" i="62" s="1"/>
  <c r="S15" i="62"/>
  <c r="Q15" i="62" s="1"/>
  <c r="R15" i="62" s="1"/>
  <c r="Q16" i="62"/>
  <c r="R16" i="62" s="1"/>
  <c r="S16" i="62"/>
  <c r="S17" i="62"/>
  <c r="Q17" i="62" s="1"/>
  <c r="R17" i="62" s="1"/>
  <c r="Q18" i="62"/>
  <c r="R18" i="62" s="1"/>
  <c r="S18" i="62"/>
  <c r="Q19" i="62"/>
  <c r="R19" i="62" s="1"/>
  <c r="S19" i="62"/>
  <c r="Q20" i="62"/>
  <c r="R20" i="62" s="1"/>
  <c r="S20" i="62"/>
  <c r="S21" i="62"/>
  <c r="Q21" i="62" s="1"/>
  <c r="R21" i="62" s="1"/>
  <c r="Q22" i="62"/>
  <c r="R22" i="62" s="1"/>
  <c r="S22" i="62"/>
  <c r="Q23" i="62"/>
  <c r="R23" i="62" s="1"/>
  <c r="S23" i="62"/>
  <c r="Q24" i="62"/>
  <c r="R24" i="62" s="1"/>
  <c r="S24" i="62"/>
  <c r="Q25" i="62"/>
  <c r="R25" i="62" s="1"/>
  <c r="S25" i="62"/>
  <c r="Q26" i="62"/>
  <c r="R26" i="62" s="1"/>
  <c r="S26" i="62"/>
  <c r="Q27" i="62"/>
  <c r="R27" i="62" s="1"/>
  <c r="S27" i="62"/>
  <c r="Q28" i="62"/>
  <c r="R28" i="62" s="1"/>
  <c r="S28" i="62"/>
  <c r="Q29" i="62"/>
  <c r="R29" i="62" s="1"/>
  <c r="S29" i="62"/>
  <c r="Q30" i="62"/>
  <c r="R30" i="62" s="1"/>
  <c r="S30" i="62"/>
  <c r="Q31" i="62"/>
  <c r="R31" i="62" s="1"/>
  <c r="S31" i="62"/>
  <c r="Q32" i="62"/>
  <c r="R32" i="62" s="1"/>
  <c r="S32" i="62"/>
  <c r="Q33" i="62"/>
  <c r="R33" i="62" s="1"/>
  <c r="S33" i="62"/>
  <c r="Q34" i="62"/>
  <c r="R34" i="62" s="1"/>
  <c r="S34" i="62"/>
  <c r="Q35" i="62"/>
  <c r="R35" i="62" s="1"/>
  <c r="S35" i="62"/>
  <c r="S5" i="62"/>
  <c r="Q5" i="62"/>
  <c r="R5" i="62" s="1"/>
  <c r="F6" i="62"/>
  <c r="G6" i="62" s="1"/>
  <c r="H6" i="62"/>
  <c r="F7" i="62"/>
  <c r="G7" i="62" s="1"/>
  <c r="H7" i="62"/>
  <c r="F8" i="62"/>
  <c r="G8" i="62" s="1"/>
  <c r="H8" i="62"/>
  <c r="F9" i="62"/>
  <c r="G9" i="62" s="1"/>
  <c r="H9" i="62"/>
  <c r="F10" i="62"/>
  <c r="G10" i="62" s="1"/>
  <c r="H10" i="62"/>
  <c r="H11" i="62"/>
  <c r="F11" i="62" s="1"/>
  <c r="G11" i="62" s="1"/>
  <c r="H12" i="62"/>
  <c r="F12" i="62" s="1"/>
  <c r="G12" i="62" s="1"/>
  <c r="H13" i="62"/>
  <c r="F13" i="62" s="1"/>
  <c r="G13" i="62" s="1"/>
  <c r="H14" i="62"/>
  <c r="F14" i="62" s="1"/>
  <c r="G14" i="62" s="1"/>
  <c r="H15" i="62"/>
  <c r="F15" i="62" s="1"/>
  <c r="G15" i="62" s="1"/>
  <c r="H16" i="62"/>
  <c r="F16" i="62" s="1"/>
  <c r="G16" i="62" s="1"/>
  <c r="H17" i="62"/>
  <c r="F17" i="62" s="1"/>
  <c r="G17" i="62" s="1"/>
  <c r="H18" i="62"/>
  <c r="F18" i="62" s="1"/>
  <c r="G18" i="62" s="1"/>
  <c r="F19" i="62"/>
  <c r="G19" i="62" s="1"/>
  <c r="H19" i="62"/>
  <c r="H20" i="62"/>
  <c r="F20" i="62" s="1"/>
  <c r="G20" i="62" s="1"/>
  <c r="F21" i="62"/>
  <c r="G21" i="62" s="1"/>
  <c r="H21" i="62"/>
  <c r="F22" i="62"/>
  <c r="G22" i="62" s="1"/>
  <c r="H22" i="62"/>
  <c r="F23" i="62"/>
  <c r="G23" i="62" s="1"/>
  <c r="H23" i="62"/>
  <c r="F24" i="62"/>
  <c r="G24" i="62" s="1"/>
  <c r="H24" i="62"/>
  <c r="F25" i="62"/>
  <c r="G25" i="62" s="1"/>
  <c r="H25" i="62"/>
  <c r="F26" i="62"/>
  <c r="G26" i="62" s="1"/>
  <c r="H26" i="62"/>
  <c r="F27" i="62"/>
  <c r="G27" i="62" s="1"/>
  <c r="H27" i="62"/>
  <c r="F28" i="62"/>
  <c r="G28" i="62" s="1"/>
  <c r="H28" i="62"/>
  <c r="F29" i="62"/>
  <c r="G29" i="62" s="1"/>
  <c r="H29" i="62"/>
  <c r="F30" i="62"/>
  <c r="G30" i="62" s="1"/>
  <c r="H30" i="62"/>
  <c r="F31" i="62"/>
  <c r="G31" i="62" s="1"/>
  <c r="H31" i="62"/>
  <c r="F32" i="62"/>
  <c r="G32" i="62" s="1"/>
  <c r="H32" i="62"/>
  <c r="F33" i="62"/>
  <c r="G33" i="62" s="1"/>
  <c r="H33" i="62"/>
  <c r="F34" i="62"/>
  <c r="G34" i="62" s="1"/>
  <c r="H34" i="62"/>
  <c r="F35" i="62"/>
  <c r="G35" i="62" s="1"/>
  <c r="H35" i="62"/>
  <c r="H5" i="62"/>
  <c r="F5" i="62"/>
  <c r="G5" i="62" s="1"/>
  <c r="L5" i="62"/>
  <c r="A5" i="62"/>
  <c r="Q6" i="39"/>
  <c r="R6" i="39" s="1"/>
  <c r="S6" i="39"/>
  <c r="Q7" i="39"/>
  <c r="R7" i="39" s="1"/>
  <c r="S7" i="39"/>
  <c r="Q8" i="39"/>
  <c r="R8" i="39" s="1"/>
  <c r="S8" i="39"/>
  <c r="S9" i="39"/>
  <c r="Q9" i="39" s="1"/>
  <c r="R9" i="39" s="1"/>
  <c r="S10" i="39"/>
  <c r="Q10" i="39" s="1"/>
  <c r="R10" i="39" s="1"/>
  <c r="S11" i="39"/>
  <c r="Q11" i="39" s="1"/>
  <c r="R11" i="39" s="1"/>
  <c r="S12" i="39"/>
  <c r="Q12" i="39" s="1"/>
  <c r="R12" i="39" s="1"/>
  <c r="Q13" i="39"/>
  <c r="R13" i="39" s="1"/>
  <c r="S13" i="39"/>
  <c r="Q14" i="39"/>
  <c r="R14" i="39" s="1"/>
  <c r="S14" i="39"/>
  <c r="S15" i="39"/>
  <c r="Q15" i="39" s="1"/>
  <c r="R15" i="39" s="1"/>
  <c r="S16" i="39"/>
  <c r="Q16" i="39" s="1"/>
  <c r="R16" i="39" s="1"/>
  <c r="S17" i="39"/>
  <c r="Q17" i="39" s="1"/>
  <c r="R17" i="39" s="1"/>
  <c r="S18" i="39"/>
  <c r="Q18" i="39" s="1"/>
  <c r="R18" i="39" s="1"/>
  <c r="Q19" i="39"/>
  <c r="R19" i="39" s="1"/>
  <c r="S19" i="39"/>
  <c r="Q20" i="39"/>
  <c r="R20" i="39" s="1"/>
  <c r="S20" i="39"/>
  <c r="S21" i="39"/>
  <c r="Q21" i="39" s="1"/>
  <c r="R21" i="39" s="1"/>
  <c r="Q22" i="39"/>
  <c r="R22" i="39" s="1"/>
  <c r="S22" i="39"/>
  <c r="Q23" i="39"/>
  <c r="R23" i="39" s="1"/>
  <c r="S23" i="39"/>
  <c r="Q24" i="39"/>
  <c r="R24" i="39" s="1"/>
  <c r="S24" i="39"/>
  <c r="Q25" i="39"/>
  <c r="R25" i="39" s="1"/>
  <c r="S25" i="39"/>
  <c r="Q26" i="39"/>
  <c r="R26" i="39" s="1"/>
  <c r="S26" i="39"/>
  <c r="Q27" i="39"/>
  <c r="R27" i="39" s="1"/>
  <c r="S27" i="39"/>
  <c r="Q28" i="39"/>
  <c r="R28" i="39" s="1"/>
  <c r="S28" i="39"/>
  <c r="Q29" i="39"/>
  <c r="R29" i="39" s="1"/>
  <c r="S29" i="39"/>
  <c r="Q30" i="39"/>
  <c r="R30" i="39" s="1"/>
  <c r="S30" i="39"/>
  <c r="Q31" i="39"/>
  <c r="R31" i="39" s="1"/>
  <c r="S31" i="39"/>
  <c r="Q32" i="39"/>
  <c r="R32" i="39" s="1"/>
  <c r="S32" i="39"/>
  <c r="Q33" i="39"/>
  <c r="R33" i="39" s="1"/>
  <c r="S33" i="39"/>
  <c r="Q34" i="39"/>
  <c r="R34" i="39" s="1"/>
  <c r="S34" i="39"/>
  <c r="Q35" i="39"/>
  <c r="R35" i="39" s="1"/>
  <c r="S35" i="39"/>
  <c r="S5" i="39"/>
  <c r="Q5" i="39"/>
  <c r="R5" i="39" s="1"/>
  <c r="F7" i="39"/>
  <c r="G7" i="39" s="1"/>
  <c r="F8" i="39"/>
  <c r="G8" i="39" s="1"/>
  <c r="F9" i="39"/>
  <c r="G9" i="39" s="1"/>
  <c r="F10" i="39"/>
  <c r="G10" i="39" s="1"/>
  <c r="F11" i="39"/>
  <c r="G11" i="39" s="1"/>
  <c r="F12" i="39"/>
  <c r="G12" i="39" s="1"/>
  <c r="F13" i="39"/>
  <c r="G13" i="39" s="1"/>
  <c r="F14" i="39"/>
  <c r="G14" i="39" s="1"/>
  <c r="F15" i="39"/>
  <c r="G15" i="39" s="1"/>
  <c r="F16" i="39"/>
  <c r="G16" i="39" s="1"/>
  <c r="F17" i="39"/>
  <c r="G17" i="39" s="1"/>
  <c r="F18" i="39"/>
  <c r="G18" i="39" s="1"/>
  <c r="F19" i="39"/>
  <c r="G19" i="39" s="1"/>
  <c r="F20" i="39"/>
  <c r="G20" i="39" s="1"/>
  <c r="F21" i="39"/>
  <c r="G21" i="39" s="1"/>
  <c r="F22" i="39"/>
  <c r="G22" i="39" s="1"/>
  <c r="F23" i="39"/>
  <c r="G23" i="39" s="1"/>
  <c r="F24" i="39"/>
  <c r="G24" i="39" s="1"/>
  <c r="F25" i="39"/>
  <c r="G25" i="39" s="1"/>
  <c r="F26" i="39"/>
  <c r="G26" i="39" s="1"/>
  <c r="F27" i="39"/>
  <c r="G27" i="39" s="1"/>
  <c r="F28" i="39"/>
  <c r="G28" i="39" s="1"/>
  <c r="F29" i="39"/>
  <c r="G29" i="39" s="1"/>
  <c r="F30" i="39"/>
  <c r="G30" i="39" s="1"/>
  <c r="F31" i="39"/>
  <c r="G31" i="39" s="1"/>
  <c r="F32" i="39"/>
  <c r="G32" i="39" s="1"/>
  <c r="F33" i="39"/>
  <c r="G33" i="39" s="1"/>
  <c r="F34" i="39"/>
  <c r="G34" i="39" s="1"/>
  <c r="F35" i="39"/>
  <c r="G35" i="39" s="1"/>
  <c r="F36" i="39"/>
  <c r="G36" i="39" s="1"/>
  <c r="F5" i="39"/>
  <c r="G5" i="39" s="1"/>
  <c r="L5" i="39"/>
  <c r="A5" i="39"/>
  <c r="Q6" i="38"/>
  <c r="R6" i="38"/>
  <c r="S6" i="38"/>
  <c r="Q7" i="38"/>
  <c r="R7" i="38" s="1"/>
  <c r="S7" i="38"/>
  <c r="Q8" i="38"/>
  <c r="R8" i="38" s="1"/>
  <c r="S8" i="38"/>
  <c r="Q9" i="38"/>
  <c r="R9" i="38" s="1"/>
  <c r="S9" i="38"/>
  <c r="Q10" i="38"/>
  <c r="R10" i="38" s="1"/>
  <c r="S10" i="38"/>
  <c r="S11" i="38"/>
  <c r="Q11" i="38" s="1"/>
  <c r="R11" i="38" s="1"/>
  <c r="S12" i="38"/>
  <c r="Q12" i="38" s="1"/>
  <c r="R12" i="38" s="1"/>
  <c r="Q13" i="38"/>
  <c r="R13" i="38" s="1"/>
  <c r="S13" i="38"/>
  <c r="Q14" i="38"/>
  <c r="R14" i="38" s="1"/>
  <c r="S14" i="38"/>
  <c r="S15" i="38"/>
  <c r="Q15" i="38" s="1"/>
  <c r="R15" i="38" s="1"/>
  <c r="S16" i="38"/>
  <c r="Q16" i="38" s="1"/>
  <c r="R16" i="38" s="1"/>
  <c r="Q17" i="38"/>
  <c r="R17" i="38" s="1"/>
  <c r="S17" i="38"/>
  <c r="Q18" i="38"/>
  <c r="R18" i="38" s="1"/>
  <c r="S18" i="38"/>
  <c r="S19" i="38"/>
  <c r="Q19" i="38" s="1"/>
  <c r="R19" i="38" s="1"/>
  <c r="S20" i="38"/>
  <c r="Q20" i="38" s="1"/>
  <c r="R20" i="38" s="1"/>
  <c r="Q21" i="38"/>
  <c r="R21" i="38" s="1"/>
  <c r="S21" i="38"/>
  <c r="Q22" i="38"/>
  <c r="R22" i="38" s="1"/>
  <c r="S22" i="38"/>
  <c r="S23" i="38"/>
  <c r="Q23" i="38" s="1"/>
  <c r="R23" i="38" s="1"/>
  <c r="Q24" i="38"/>
  <c r="R24" i="38" s="1"/>
  <c r="S24" i="38"/>
  <c r="Q25" i="38"/>
  <c r="R25" i="38" s="1"/>
  <c r="S25" i="38"/>
  <c r="Q26" i="38"/>
  <c r="R26" i="38" s="1"/>
  <c r="S26" i="38"/>
  <c r="S27" i="38"/>
  <c r="Q27" i="38" s="1"/>
  <c r="R27" i="38" s="1"/>
  <c r="Q28" i="38"/>
  <c r="R28" i="38" s="1"/>
  <c r="S28" i="38"/>
  <c r="Q29" i="38"/>
  <c r="R29" i="38" s="1"/>
  <c r="S29" i="38"/>
  <c r="Q30" i="38"/>
  <c r="R30" i="38" s="1"/>
  <c r="S30" i="38"/>
  <c r="Q31" i="38"/>
  <c r="R31" i="38"/>
  <c r="S31" i="38"/>
  <c r="Q32" i="38"/>
  <c r="R32" i="38" s="1"/>
  <c r="S32" i="38"/>
  <c r="Q33" i="38"/>
  <c r="R33" i="38" s="1"/>
  <c r="S33" i="38"/>
  <c r="Q34" i="38"/>
  <c r="R34" i="38" s="1"/>
  <c r="S34" i="38"/>
  <c r="Q35" i="38"/>
  <c r="R35" i="38" s="1"/>
  <c r="S35" i="38"/>
  <c r="S5" i="38"/>
  <c r="R5" i="38"/>
  <c r="Q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F19" i="38" s="1"/>
  <c r="G19" i="38" s="1"/>
  <c r="H20" i="38"/>
  <c r="H21" i="38"/>
  <c r="H22" i="38"/>
  <c r="H23" i="38"/>
  <c r="H24" i="38"/>
  <c r="H25" i="38"/>
  <c r="F25" i="38" s="1"/>
  <c r="G25" i="38" s="1"/>
  <c r="H26" i="38"/>
  <c r="H27" i="38"/>
  <c r="F27" i="38" s="1"/>
  <c r="G27" i="38" s="1"/>
  <c r="H28" i="38"/>
  <c r="H29" i="38"/>
  <c r="F29" i="38" s="1"/>
  <c r="G29" i="38" s="1"/>
  <c r="H30" i="38"/>
  <c r="H31" i="38"/>
  <c r="H32" i="38"/>
  <c r="H33" i="38"/>
  <c r="H34" i="38"/>
  <c r="H35" i="38"/>
  <c r="H5" i="38"/>
  <c r="F5" i="38"/>
  <c r="G5" i="38" s="1"/>
  <c r="L5" i="38"/>
  <c r="A5" i="38"/>
  <c r="Q6" i="37"/>
  <c r="R6" i="37" s="1"/>
  <c r="S6" i="37"/>
  <c r="Q7" i="37"/>
  <c r="R7" i="37" s="1"/>
  <c r="S7" i="37"/>
  <c r="Q8" i="37"/>
  <c r="R8" i="37" s="1"/>
  <c r="S8" i="37"/>
  <c r="Q9" i="37"/>
  <c r="R9" i="37" s="1"/>
  <c r="S9" i="37"/>
  <c r="S10" i="37"/>
  <c r="Q10" i="37" s="1"/>
  <c r="R10" i="37" s="1"/>
  <c r="S11" i="37"/>
  <c r="Q11" i="37" s="1"/>
  <c r="R11" i="37" s="1"/>
  <c r="Q12" i="37"/>
  <c r="R12" i="37" s="1"/>
  <c r="S12" i="37"/>
  <c r="Q13" i="37"/>
  <c r="R13" i="37" s="1"/>
  <c r="S13" i="37"/>
  <c r="S14" i="37"/>
  <c r="Q14" i="37" s="1"/>
  <c r="R14" i="37" s="1"/>
  <c r="S15" i="37"/>
  <c r="Q15" i="37" s="1"/>
  <c r="R15" i="37" s="1"/>
  <c r="S16" i="37"/>
  <c r="Q16" i="37" s="1"/>
  <c r="R16" i="37" s="1"/>
  <c r="S17" i="37"/>
  <c r="Q17" i="37" s="1"/>
  <c r="R17" i="37" s="1"/>
  <c r="S18" i="37"/>
  <c r="Q18" i="37" s="1"/>
  <c r="R18" i="37" s="1"/>
  <c r="S19" i="37"/>
  <c r="Q19" i="37" s="1"/>
  <c r="R19" i="37" s="1"/>
  <c r="Q20" i="37"/>
  <c r="R20" i="37" s="1"/>
  <c r="S20" i="37"/>
  <c r="Q21" i="37"/>
  <c r="R21" i="37" s="1"/>
  <c r="S21" i="37"/>
  <c r="Q22" i="37"/>
  <c r="R22" i="37" s="1"/>
  <c r="S22" i="37"/>
  <c r="Q23" i="37"/>
  <c r="R23" i="37" s="1"/>
  <c r="S23" i="37"/>
  <c r="Q24" i="37"/>
  <c r="R24" i="37" s="1"/>
  <c r="S24" i="37"/>
  <c r="Q25" i="37"/>
  <c r="R25" i="37" s="1"/>
  <c r="S25" i="37"/>
  <c r="Q26" i="37"/>
  <c r="R26" i="37" s="1"/>
  <c r="S26" i="37"/>
  <c r="Q27" i="37"/>
  <c r="R27" i="37" s="1"/>
  <c r="S27" i="37"/>
  <c r="Q28" i="37"/>
  <c r="R28" i="37" s="1"/>
  <c r="S28" i="37"/>
  <c r="Q29" i="37"/>
  <c r="R29" i="37" s="1"/>
  <c r="S29" i="37"/>
  <c r="Q30" i="37"/>
  <c r="R30" i="37" s="1"/>
  <c r="S30" i="37"/>
  <c r="Q31" i="37"/>
  <c r="R31" i="37" s="1"/>
  <c r="S31" i="37"/>
  <c r="Q32" i="37"/>
  <c r="R32" i="37" s="1"/>
  <c r="S32" i="37"/>
  <c r="Q33" i="37"/>
  <c r="R33" i="37" s="1"/>
  <c r="S33" i="37"/>
  <c r="Q34" i="37"/>
  <c r="R34" i="37" s="1"/>
  <c r="S34" i="37"/>
  <c r="Q35" i="37"/>
  <c r="R35" i="37" s="1"/>
  <c r="S35" i="37"/>
  <c r="S5" i="37"/>
  <c r="Q5" i="37"/>
  <c r="R5" i="37" s="1"/>
  <c r="F6" i="37"/>
  <c r="G6" i="37" s="1"/>
  <c r="H6" i="37"/>
  <c r="F7" i="37"/>
  <c r="G7" i="37" s="1"/>
  <c r="H7" i="37"/>
  <c r="F8" i="37"/>
  <c r="G8" i="37" s="1"/>
  <c r="H8" i="37"/>
  <c r="F9" i="37"/>
  <c r="G9" i="37" s="1"/>
  <c r="H9" i="37"/>
  <c r="F10" i="37"/>
  <c r="G10" i="37" s="1"/>
  <c r="H10" i="37"/>
  <c r="F11" i="37"/>
  <c r="G11" i="37" s="1"/>
  <c r="H11" i="37"/>
  <c r="H12" i="37"/>
  <c r="F12" i="37" s="1"/>
  <c r="G12" i="37" s="1"/>
  <c r="H13" i="37"/>
  <c r="F13" i="37" s="1"/>
  <c r="G13" i="37" s="1"/>
  <c r="F14" i="37"/>
  <c r="G14" i="37" s="1"/>
  <c r="H14" i="37"/>
  <c r="F15" i="37"/>
  <c r="G15" i="37" s="1"/>
  <c r="H15" i="37"/>
  <c r="H16" i="37"/>
  <c r="F16" i="37" s="1"/>
  <c r="G16" i="37" s="1"/>
  <c r="F17" i="37"/>
  <c r="G17" i="37" s="1"/>
  <c r="H17" i="37"/>
  <c r="F18" i="37"/>
  <c r="G18" i="37" s="1"/>
  <c r="H18" i="37"/>
  <c r="F19" i="37"/>
  <c r="G19" i="37" s="1"/>
  <c r="H19" i="37"/>
  <c r="F20" i="37"/>
  <c r="G20" i="37" s="1"/>
  <c r="H20" i="37"/>
  <c r="F21" i="37"/>
  <c r="G21" i="37" s="1"/>
  <c r="H21" i="37"/>
  <c r="F22" i="37"/>
  <c r="G22" i="37" s="1"/>
  <c r="H22" i="37"/>
  <c r="F23" i="37"/>
  <c r="G23" i="37" s="1"/>
  <c r="H23" i="37"/>
  <c r="F24" i="37"/>
  <c r="G24" i="37" s="1"/>
  <c r="H24" i="37"/>
  <c r="F25" i="37"/>
  <c r="G25" i="37" s="1"/>
  <c r="H25" i="37"/>
  <c r="F26" i="37"/>
  <c r="G26" i="37" s="1"/>
  <c r="H26" i="37"/>
  <c r="F27" i="37"/>
  <c r="G27" i="37" s="1"/>
  <c r="H27" i="37"/>
  <c r="F28" i="37"/>
  <c r="G28" i="37" s="1"/>
  <c r="H28" i="37"/>
  <c r="F29" i="37"/>
  <c r="G29" i="37"/>
  <c r="H29" i="37"/>
  <c r="F30" i="37"/>
  <c r="G30" i="37" s="1"/>
  <c r="H30" i="37"/>
  <c r="F31" i="37"/>
  <c r="G31" i="37" s="1"/>
  <c r="H31" i="37"/>
  <c r="F32" i="37"/>
  <c r="G32" i="37" s="1"/>
  <c r="H32" i="37"/>
  <c r="F33" i="37"/>
  <c r="G33" i="37" s="1"/>
  <c r="H33" i="37"/>
  <c r="F34" i="37"/>
  <c r="G34" i="37" s="1"/>
  <c r="H34" i="37"/>
  <c r="F35" i="37"/>
  <c r="G35" i="37" s="1"/>
  <c r="H35" i="37"/>
  <c r="H5" i="37"/>
  <c r="F5" i="37"/>
  <c r="G5" i="37" s="1"/>
  <c r="L5" i="37"/>
  <c r="A5" i="37"/>
  <c r="G6" i="35"/>
  <c r="H6" i="35" s="1"/>
  <c r="G7" i="35"/>
  <c r="H7" i="35" s="1"/>
  <c r="G8" i="35"/>
  <c r="H8" i="35" s="1"/>
  <c r="G9" i="35"/>
  <c r="H9" i="35" s="1"/>
  <c r="G10" i="35"/>
  <c r="H10" i="35" s="1"/>
  <c r="G11" i="35"/>
  <c r="H11" i="35" s="1"/>
  <c r="G12" i="35"/>
  <c r="H12" i="35" s="1"/>
  <c r="G13" i="35"/>
  <c r="H13" i="35" s="1"/>
  <c r="G14" i="35"/>
  <c r="H14" i="35" s="1"/>
  <c r="G15" i="35"/>
  <c r="H15" i="35" s="1"/>
  <c r="G16" i="35"/>
  <c r="H16" i="35" s="1"/>
  <c r="G17" i="35"/>
  <c r="H17" i="35" s="1"/>
  <c r="G18" i="35"/>
  <c r="H18" i="35" s="1"/>
  <c r="G19" i="35"/>
  <c r="H19" i="35" s="1"/>
  <c r="G20" i="35"/>
  <c r="H20" i="35" s="1"/>
  <c r="G21" i="35"/>
  <c r="H21" i="35" s="1"/>
  <c r="G22" i="35"/>
  <c r="H22" i="35" s="1"/>
  <c r="G23" i="35"/>
  <c r="H23" i="35" s="1"/>
  <c r="G24" i="35"/>
  <c r="H24" i="35" s="1"/>
  <c r="G25" i="35"/>
  <c r="H25" i="35" s="1"/>
  <c r="G26" i="35"/>
  <c r="H26" i="35" s="1"/>
  <c r="G27" i="35"/>
  <c r="H27" i="35" s="1"/>
  <c r="G28" i="35"/>
  <c r="H28" i="35" s="1"/>
  <c r="G29" i="35"/>
  <c r="H29" i="35" s="1"/>
  <c r="G30" i="35"/>
  <c r="H30" i="35" s="1"/>
  <c r="G31" i="35"/>
  <c r="H31" i="35" s="1"/>
  <c r="G32" i="35"/>
  <c r="H32" i="35" s="1"/>
  <c r="G33" i="35"/>
  <c r="H33" i="35" s="1"/>
  <c r="G34" i="35"/>
  <c r="H34" i="35" s="1"/>
  <c r="G35" i="35"/>
  <c r="H35" i="35" s="1"/>
  <c r="T6" i="35"/>
  <c r="U6" i="35" s="1"/>
  <c r="T7" i="35"/>
  <c r="U7" i="35" s="1"/>
  <c r="T8" i="35"/>
  <c r="U8" i="35" s="1"/>
  <c r="T9" i="35"/>
  <c r="U9" i="35" s="1"/>
  <c r="T10" i="35"/>
  <c r="U10" i="35" s="1"/>
  <c r="T11" i="35"/>
  <c r="U11" i="35" s="1"/>
  <c r="T12" i="35"/>
  <c r="U12" i="35" s="1"/>
  <c r="T13" i="35"/>
  <c r="U13" i="35" s="1"/>
  <c r="T14" i="35"/>
  <c r="U14" i="35" s="1"/>
  <c r="T15" i="35"/>
  <c r="U15" i="35" s="1"/>
  <c r="T16" i="35"/>
  <c r="U16" i="35" s="1"/>
  <c r="T17" i="35"/>
  <c r="U17" i="35" s="1"/>
  <c r="T18" i="35"/>
  <c r="U18" i="35" s="1"/>
  <c r="T19" i="35"/>
  <c r="U19" i="35" s="1"/>
  <c r="T20" i="35"/>
  <c r="U20" i="35" s="1"/>
  <c r="T21" i="35"/>
  <c r="U21" i="35" s="1"/>
  <c r="T22" i="35"/>
  <c r="U22" i="35" s="1"/>
  <c r="T23" i="35"/>
  <c r="U23" i="35" s="1"/>
  <c r="T24" i="35"/>
  <c r="U24" i="35" s="1"/>
  <c r="T25" i="35"/>
  <c r="U25" i="35" s="1"/>
  <c r="T26" i="35"/>
  <c r="U26" i="35" s="1"/>
  <c r="T27" i="35"/>
  <c r="U27" i="35" s="1"/>
  <c r="T28" i="35"/>
  <c r="U28" i="35" s="1"/>
  <c r="T29" i="35"/>
  <c r="U29" i="35" s="1"/>
  <c r="T30" i="35"/>
  <c r="U30" i="35" s="1"/>
  <c r="T31" i="35"/>
  <c r="U31" i="35" s="1"/>
  <c r="T32" i="35"/>
  <c r="U32" i="35" s="1"/>
  <c r="T33" i="35"/>
  <c r="U33" i="35" s="1"/>
  <c r="T34" i="35"/>
  <c r="U34" i="35" s="1"/>
  <c r="T35" i="35"/>
  <c r="U35" i="35" s="1"/>
  <c r="Q6" i="36"/>
  <c r="R6" i="36" s="1"/>
  <c r="S6" i="36"/>
  <c r="Q7" i="36"/>
  <c r="R7" i="36" s="1"/>
  <c r="S7" i="36"/>
  <c r="Q8" i="36"/>
  <c r="R8" i="36" s="1"/>
  <c r="S8" i="36"/>
  <c r="S9" i="36"/>
  <c r="Q9" i="36" s="1"/>
  <c r="R9" i="36" s="1"/>
  <c r="S10" i="36"/>
  <c r="Q10" i="36" s="1"/>
  <c r="R10" i="36" s="1"/>
  <c r="S11" i="36"/>
  <c r="Q11" i="36" s="1"/>
  <c r="R11" i="36" s="1"/>
  <c r="S12" i="36"/>
  <c r="Q12" i="36" s="1"/>
  <c r="R12" i="36" s="1"/>
  <c r="S13" i="36"/>
  <c r="Q13" i="36" s="1"/>
  <c r="R13" i="36" s="1"/>
  <c r="S14" i="36"/>
  <c r="Q14" i="36" s="1"/>
  <c r="R14" i="36" s="1"/>
  <c r="Q15" i="36"/>
  <c r="R15" i="36" s="1"/>
  <c r="S15" i="36"/>
  <c r="S16" i="36"/>
  <c r="Q16" i="36" s="1"/>
  <c r="R16" i="36" s="1"/>
  <c r="S17" i="36"/>
  <c r="Q17" i="36" s="1"/>
  <c r="R17" i="36" s="1"/>
  <c r="Q18" i="36"/>
  <c r="R18" i="36" s="1"/>
  <c r="S18" i="36"/>
  <c r="Q19" i="36"/>
  <c r="R19" i="36" s="1"/>
  <c r="S19" i="36"/>
  <c r="Q20" i="36"/>
  <c r="R20" i="36" s="1"/>
  <c r="S20" i="36"/>
  <c r="Q21" i="36"/>
  <c r="R21" i="36" s="1"/>
  <c r="S21" i="36"/>
  <c r="Q22" i="36"/>
  <c r="R22" i="36" s="1"/>
  <c r="S22" i="36"/>
  <c r="Q23" i="36"/>
  <c r="R23" i="36" s="1"/>
  <c r="S23" i="36"/>
  <c r="Q24" i="36"/>
  <c r="R24" i="36" s="1"/>
  <c r="S24" i="36"/>
  <c r="Q25" i="36"/>
  <c r="R25" i="36" s="1"/>
  <c r="S25" i="36"/>
  <c r="Q26" i="36"/>
  <c r="R26" i="36" s="1"/>
  <c r="S26" i="36"/>
  <c r="Q27" i="36"/>
  <c r="R27" i="36" s="1"/>
  <c r="S27" i="36"/>
  <c r="Q28" i="36"/>
  <c r="R28" i="36" s="1"/>
  <c r="S28" i="36"/>
  <c r="Q29" i="36"/>
  <c r="R29" i="36" s="1"/>
  <c r="S29" i="36"/>
  <c r="Q30" i="36"/>
  <c r="R30" i="36" s="1"/>
  <c r="S30" i="36"/>
  <c r="Q31" i="36"/>
  <c r="R31" i="36" s="1"/>
  <c r="S31" i="36"/>
  <c r="Q32" i="36"/>
  <c r="R32" i="36" s="1"/>
  <c r="S32" i="36"/>
  <c r="Q33" i="36"/>
  <c r="R33" i="36" s="1"/>
  <c r="S33" i="36"/>
  <c r="Q34" i="36"/>
  <c r="R34" i="36"/>
  <c r="S34" i="36"/>
  <c r="Q35" i="36"/>
  <c r="R35" i="36" s="1"/>
  <c r="S35" i="36"/>
  <c r="S5" i="36"/>
  <c r="Q5" i="36"/>
  <c r="R5" i="36" s="1"/>
  <c r="F6" i="36"/>
  <c r="G6" i="36" s="1"/>
  <c r="H6" i="36"/>
  <c r="F7" i="36"/>
  <c r="G7" i="36" s="1"/>
  <c r="H7" i="36"/>
  <c r="F8" i="36"/>
  <c r="G8" i="36" s="1"/>
  <c r="H8" i="36"/>
  <c r="H9" i="36"/>
  <c r="F9" i="36" s="1"/>
  <c r="G9" i="36" s="1"/>
  <c r="F10" i="36"/>
  <c r="G10" i="36" s="1"/>
  <c r="H10" i="36"/>
  <c r="F11" i="36"/>
  <c r="G11" i="36"/>
  <c r="H11" i="36"/>
  <c r="F12" i="36"/>
  <c r="G12" i="36" s="1"/>
  <c r="H12" i="36"/>
  <c r="F13" i="36"/>
  <c r="G13" i="36" s="1"/>
  <c r="H13" i="36"/>
  <c r="F14" i="36"/>
  <c r="G14" i="36" s="1"/>
  <c r="H14" i="36"/>
  <c r="F15" i="36"/>
  <c r="G15" i="36"/>
  <c r="H15" i="36"/>
  <c r="F16" i="36"/>
  <c r="G16" i="36" s="1"/>
  <c r="H16" i="36"/>
  <c r="F17" i="36"/>
  <c r="G17" i="36" s="1"/>
  <c r="H17" i="36"/>
  <c r="F18" i="36"/>
  <c r="G18" i="36"/>
  <c r="H18" i="36"/>
  <c r="F19" i="36"/>
  <c r="G19" i="36" s="1"/>
  <c r="H19" i="36"/>
  <c r="F20" i="36"/>
  <c r="G20" i="36"/>
  <c r="H20" i="36"/>
  <c r="F21" i="36"/>
  <c r="G21" i="36" s="1"/>
  <c r="H21" i="36"/>
  <c r="F22" i="36"/>
  <c r="G22" i="36" s="1"/>
  <c r="H22" i="36"/>
  <c r="F23" i="36"/>
  <c r="G23" i="36"/>
  <c r="H23" i="36"/>
  <c r="F24" i="36"/>
  <c r="G24" i="36" s="1"/>
  <c r="H24" i="36"/>
  <c r="F25" i="36"/>
  <c r="G25" i="36" s="1"/>
  <c r="H25" i="36"/>
  <c r="F26" i="36"/>
  <c r="G26" i="36" s="1"/>
  <c r="H26" i="36"/>
  <c r="F27" i="36"/>
  <c r="G27" i="36" s="1"/>
  <c r="H27" i="36"/>
  <c r="F28" i="36"/>
  <c r="G28" i="36" s="1"/>
  <c r="H28" i="36"/>
  <c r="F29" i="36"/>
  <c r="G29" i="36" s="1"/>
  <c r="H29" i="36"/>
  <c r="F30" i="36"/>
  <c r="G30" i="36" s="1"/>
  <c r="H30" i="36"/>
  <c r="F31" i="36"/>
  <c r="G31" i="36" s="1"/>
  <c r="H31" i="36"/>
  <c r="F32" i="36"/>
  <c r="G32" i="36" s="1"/>
  <c r="H32" i="36"/>
  <c r="F33" i="36"/>
  <c r="G33" i="36" s="1"/>
  <c r="H33" i="36"/>
  <c r="F34" i="36"/>
  <c r="G34" i="36"/>
  <c r="H34" i="36"/>
  <c r="F35" i="36"/>
  <c r="G35" i="36" s="1"/>
  <c r="H35" i="36"/>
  <c r="H5" i="36"/>
  <c r="F5" i="36" s="1"/>
  <c r="G5" i="36" s="1"/>
  <c r="T5" i="35"/>
  <c r="U5" i="35" s="1"/>
  <c r="A6" i="43" l="1"/>
  <c r="Q36" i="52"/>
  <c r="G5" i="50"/>
  <c r="G36" i="50" s="1"/>
  <c r="F36" i="50"/>
  <c r="G5" i="52"/>
  <c r="G36" i="52" s="1"/>
  <c r="F36" i="52"/>
  <c r="G5" i="53"/>
  <c r="G36" i="53" s="1"/>
  <c r="F36" i="53"/>
  <c r="R5" i="53"/>
  <c r="R36" i="53" s="1"/>
  <c r="Q36" i="53"/>
  <c r="R36" i="54"/>
  <c r="R5" i="50"/>
  <c r="R36" i="50" s="1"/>
  <c r="Q36" i="50"/>
  <c r="R5" i="52"/>
  <c r="R36" i="52" s="1"/>
  <c r="G5" i="54"/>
  <c r="G36" i="54" s="1"/>
  <c r="F36" i="54"/>
  <c r="Q36" i="54"/>
  <c r="R17" i="49"/>
  <c r="R36" i="49" s="1"/>
  <c r="Q36" i="49"/>
  <c r="R7" i="51"/>
  <c r="R36" i="51" s="1"/>
  <c r="Q36" i="51"/>
  <c r="G5" i="42"/>
  <c r="F36" i="42"/>
  <c r="F109" i="1"/>
  <c r="F95" i="1"/>
  <c r="F191" i="1"/>
  <c r="F156" i="1"/>
  <c r="F127" i="1"/>
  <c r="F54" i="1"/>
  <c r="F192" i="1"/>
  <c r="F123" i="1"/>
  <c r="F56" i="1"/>
  <c r="F131" i="1"/>
  <c r="F125" i="1"/>
  <c r="F155" i="1"/>
  <c r="F138" i="1"/>
  <c r="F67" i="1"/>
  <c r="F71" i="1"/>
  <c r="F13" i="1"/>
  <c r="F48" i="1"/>
  <c r="F4" i="1"/>
  <c r="F341" i="1"/>
  <c r="F194" i="1"/>
  <c r="F82" i="1"/>
  <c r="F174" i="1"/>
  <c r="F152" i="1"/>
  <c r="F86" i="1"/>
  <c r="F190" i="1"/>
  <c r="F183" i="1"/>
  <c r="F108" i="1"/>
  <c r="F10" i="1"/>
  <c r="F337" i="1"/>
  <c r="F2" i="1"/>
  <c r="F36" i="1"/>
  <c r="F37" i="1"/>
  <c r="F182" i="1"/>
  <c r="F136" i="1"/>
  <c r="F150" i="1"/>
  <c r="F11" i="1"/>
  <c r="F19" i="1"/>
  <c r="F63" i="1"/>
  <c r="F25" i="1"/>
  <c r="F6" i="1"/>
  <c r="F257" i="1"/>
  <c r="F179" i="1"/>
  <c r="F35" i="1"/>
  <c r="F115" i="1"/>
  <c r="F89" i="1"/>
  <c r="F88" i="1"/>
  <c r="F40" i="1"/>
  <c r="F201" i="1"/>
  <c r="F12" i="1"/>
  <c r="F31" i="1"/>
  <c r="F9" i="1"/>
  <c r="F214" i="1"/>
  <c r="F42" i="1"/>
  <c r="F94" i="1"/>
  <c r="F30" i="1"/>
  <c r="F38" i="1"/>
  <c r="F62" i="1"/>
  <c r="F26" i="1"/>
  <c r="F7" i="1"/>
  <c r="F303" i="1"/>
  <c r="F147" i="1"/>
  <c r="F32" i="1"/>
  <c r="F121" i="1"/>
  <c r="F23" i="1"/>
  <c r="F65" i="1"/>
  <c r="F5" i="1"/>
  <c r="F187" i="1"/>
  <c r="F27" i="1"/>
  <c r="F24" i="1"/>
  <c r="F50" i="1"/>
  <c r="F99" i="1"/>
  <c r="F76" i="1"/>
  <c r="F166" i="1"/>
  <c r="F93" i="1"/>
  <c r="F135" i="1"/>
  <c r="F57" i="1"/>
  <c r="F153" i="1"/>
  <c r="F105" i="1"/>
  <c r="F126" i="1"/>
  <c r="F101" i="1"/>
  <c r="F171" i="1"/>
  <c r="F46" i="1"/>
  <c r="F132" i="1"/>
  <c r="F66" i="1"/>
  <c r="F193" i="1"/>
  <c r="F141" i="1"/>
  <c r="F103" i="1"/>
  <c r="F119" i="1"/>
  <c r="F110" i="1"/>
  <c r="F78" i="1"/>
  <c r="F133" i="1"/>
  <c r="F165" i="1"/>
  <c r="F55" i="1"/>
  <c r="F154" i="1"/>
  <c r="F146" i="1"/>
  <c r="F184" i="1"/>
  <c r="F124" i="1"/>
  <c r="F122" i="1"/>
  <c r="F205" i="1"/>
  <c r="F209" i="1"/>
  <c r="F73" i="1"/>
  <c r="F51" i="1"/>
  <c r="F83" i="1"/>
  <c r="F161" i="1"/>
  <c r="F142" i="1"/>
  <c r="F117" i="1"/>
  <c r="F176" i="1"/>
  <c r="F60" i="1"/>
  <c r="F85" i="1"/>
  <c r="F114" i="1"/>
  <c r="F198" i="1"/>
  <c r="F185" i="1"/>
  <c r="F107" i="1"/>
  <c r="F96" i="1"/>
  <c r="F197" i="1"/>
  <c r="F163" i="1"/>
  <c r="F52" i="1"/>
  <c r="F157" i="1"/>
  <c r="F160" i="1"/>
  <c r="F128" i="1"/>
  <c r="F87" i="1"/>
  <c r="F112" i="1"/>
  <c r="F58" i="1"/>
  <c r="F170" i="1"/>
  <c r="F69" i="1"/>
  <c r="F207" i="1"/>
  <c r="F211" i="1"/>
  <c r="F204" i="1"/>
  <c r="F208" i="1"/>
  <c r="F116" i="1"/>
  <c r="F167" i="1"/>
  <c r="F45" i="1"/>
  <c r="F111" i="1"/>
  <c r="F104" i="1"/>
  <c r="F64" i="1"/>
  <c r="F92" i="1"/>
  <c r="F100" i="1"/>
  <c r="F143" i="1"/>
  <c r="F134" i="1"/>
  <c r="F203" i="1"/>
  <c r="F47" i="1"/>
  <c r="F74" i="1"/>
  <c r="F137" i="1"/>
  <c r="F80" i="1"/>
  <c r="F68" i="1"/>
  <c r="F139" i="1"/>
  <c r="F199" i="1"/>
  <c r="F53" i="1"/>
  <c r="F129" i="1"/>
  <c r="F130" i="1"/>
  <c r="F189" i="1"/>
  <c r="F175" i="1"/>
  <c r="F61" i="1"/>
  <c r="F200" i="1"/>
  <c r="F91" i="1"/>
  <c r="F158" i="1"/>
  <c r="F180" i="1"/>
  <c r="F49" i="1"/>
  <c r="F84" i="1"/>
  <c r="F81" i="1"/>
  <c r="F181" i="1"/>
  <c r="F75" i="1"/>
  <c r="F149" i="1"/>
  <c r="F173" i="1"/>
  <c r="F120" i="1"/>
  <c r="F151" i="1"/>
  <c r="F98" i="1"/>
  <c r="F164" i="1"/>
  <c r="F206" i="1"/>
  <c r="F210" i="1"/>
  <c r="L6" i="43"/>
  <c r="L7" i="43" s="1"/>
  <c r="L8" i="43" s="1"/>
  <c r="L9" i="43" s="1"/>
  <c r="L10" i="43" s="1"/>
  <c r="L11" i="43" s="1"/>
  <c r="L12" i="43" s="1"/>
  <c r="L13" i="43" s="1"/>
  <c r="L14" i="43" s="1"/>
  <c r="L15" i="43" s="1"/>
  <c r="L16" i="43" s="1"/>
  <c r="L17" i="43" s="1"/>
  <c r="L18" i="43" s="1"/>
  <c r="L19" i="43" s="1"/>
  <c r="L20" i="43" s="1"/>
  <c r="L21" i="43" s="1"/>
  <c r="L22" i="43" s="1"/>
  <c r="L23" i="43" s="1"/>
  <c r="L24" i="43" s="1"/>
  <c r="L25" i="43" s="1"/>
  <c r="L26" i="43" s="1"/>
  <c r="L27" i="43" s="1"/>
  <c r="L28" i="43" s="1"/>
  <c r="L29" i="43" s="1"/>
  <c r="L30" i="43" s="1"/>
  <c r="L31" i="43" s="1"/>
  <c r="L32" i="43" s="1"/>
  <c r="L33" i="43" s="1"/>
  <c r="L34" i="43" s="1"/>
  <c r="A39" i="43" s="1"/>
  <c r="Q18" i="43"/>
  <c r="R18" i="43" s="1"/>
  <c r="G36" i="51"/>
  <c r="F36" i="51"/>
  <c r="L6" i="45"/>
  <c r="L7" i="45" s="1"/>
  <c r="L8" i="45" s="1"/>
  <c r="L9" i="45" s="1"/>
  <c r="L10" i="45" s="1"/>
  <c r="L11" i="45" s="1"/>
  <c r="L12" i="45" s="1"/>
  <c r="L13" i="45" s="1"/>
  <c r="L14" i="45" s="1"/>
  <c r="L15" i="45" s="1"/>
  <c r="L16" i="45" s="1"/>
  <c r="L17" i="45" s="1"/>
  <c r="L18" i="45" s="1"/>
  <c r="L19" i="45" s="1"/>
  <c r="L20" i="45" s="1"/>
  <c r="L21" i="45" s="1"/>
  <c r="L22" i="45" s="1"/>
  <c r="L23" i="45" s="1"/>
  <c r="L24" i="45" s="1"/>
  <c r="L25" i="45" s="1"/>
  <c r="L26" i="45" s="1"/>
  <c r="L27" i="45" s="1"/>
  <c r="L28" i="45" s="1"/>
  <c r="L29" i="45" s="1"/>
  <c r="L30" i="45" s="1"/>
  <c r="L31" i="45" s="1"/>
  <c r="L32" i="45" s="1"/>
  <c r="L33" i="45" s="1"/>
  <c r="L34" i="45" s="1"/>
  <c r="L35" i="45" s="1"/>
  <c r="G5" i="49"/>
  <c r="G36" i="49" s="1"/>
  <c r="F36" i="49"/>
  <c r="L6" i="46"/>
  <c r="L7" i="46" s="1"/>
  <c r="L8" i="46" s="1"/>
  <c r="L9" i="46" s="1"/>
  <c r="L10" i="46" s="1"/>
  <c r="L11" i="46" s="1"/>
  <c r="L12" i="46" s="1"/>
  <c r="L13" i="46" s="1"/>
  <c r="L14" i="46" s="1"/>
  <c r="L15" i="46" s="1"/>
  <c r="L16" i="46" s="1"/>
  <c r="L17" i="46" s="1"/>
  <c r="L18" i="46" s="1"/>
  <c r="L19" i="46" s="1"/>
  <c r="L20" i="46" s="1"/>
  <c r="L21" i="46" s="1"/>
  <c r="L22" i="46" s="1"/>
  <c r="L23" i="46" s="1"/>
  <c r="L24" i="46" s="1"/>
  <c r="L25" i="46" s="1"/>
  <c r="L26" i="46" s="1"/>
  <c r="L27" i="46" s="1"/>
  <c r="L28" i="46" s="1"/>
  <c r="L29" i="46" s="1"/>
  <c r="L30" i="46" s="1"/>
  <c r="L31" i="46" s="1"/>
  <c r="L32" i="46" s="1"/>
  <c r="L33" i="46" s="1"/>
  <c r="L34" i="46" s="1"/>
  <c r="L35" i="46" s="1"/>
  <c r="A6" i="45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L6" i="48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L35" i="43" l="1"/>
  <c r="A38" i="43"/>
  <c r="A21" i="43"/>
  <c r="A29" i="43"/>
  <c r="A25" i="43"/>
  <c r="A14" i="43"/>
  <c r="A12" i="43"/>
  <c r="A18" i="43"/>
  <c r="A16" i="43"/>
  <c r="A32" i="43"/>
  <c r="A33" i="43"/>
  <c r="A10" i="43"/>
  <c r="A8" i="43"/>
  <c r="A35" i="43"/>
  <c r="A22" i="43"/>
  <c r="A36" i="43"/>
  <c r="A34" i="43"/>
  <c r="A13" i="43"/>
  <c r="A30" i="43"/>
  <c r="A26" i="43"/>
  <c r="A24" i="43"/>
  <c r="A31" i="43"/>
  <c r="A23" i="43"/>
  <c r="A19" i="43"/>
  <c r="A17" i="43"/>
  <c r="A15" i="43"/>
  <c r="A11" i="43"/>
  <c r="A9" i="43"/>
  <c r="A7" i="43"/>
  <c r="L5" i="36"/>
  <c r="A5" i="36"/>
  <c r="N5" i="35" l="1"/>
  <c r="A204" i="63" l="1"/>
  <c r="A203" i="63"/>
  <c r="A202" i="63"/>
  <c r="A201" i="63"/>
  <c r="A200" i="63"/>
  <c r="A199" i="63"/>
  <c r="A198" i="63"/>
  <c r="A197" i="63"/>
  <c r="A196" i="63"/>
  <c r="A195" i="63"/>
  <c r="A194" i="63"/>
  <c r="A193" i="63"/>
  <c r="A192" i="63"/>
  <c r="A191" i="63"/>
  <c r="A190" i="63"/>
  <c r="A189" i="63"/>
  <c r="A188" i="63"/>
  <c r="A187" i="63"/>
  <c r="A186" i="63"/>
  <c r="A185" i="63"/>
  <c r="A184" i="63"/>
  <c r="A183" i="63"/>
  <c r="A182" i="63"/>
  <c r="A181" i="63"/>
  <c r="A180" i="63"/>
  <c r="A179" i="63"/>
  <c r="A178" i="63"/>
  <c r="A177" i="63"/>
  <c r="A176" i="63"/>
  <c r="A175" i="63"/>
  <c r="A174" i="63"/>
  <c r="A173" i="63"/>
  <c r="A172" i="63"/>
  <c r="A171" i="63"/>
  <c r="A170" i="63"/>
  <c r="A169" i="63"/>
  <c r="A168" i="63"/>
  <c r="A167" i="63"/>
  <c r="A166" i="63"/>
  <c r="A165" i="63"/>
  <c r="A164" i="63"/>
  <c r="A163" i="63"/>
  <c r="A162" i="63"/>
  <c r="A161" i="63"/>
  <c r="A160" i="63"/>
  <c r="A159" i="63"/>
  <c r="A158" i="63"/>
  <c r="A157" i="63"/>
  <c r="A156" i="63"/>
  <c r="A155" i="63"/>
  <c r="A154" i="63"/>
  <c r="A153" i="63"/>
  <c r="A152" i="63"/>
  <c r="A151" i="63"/>
  <c r="A150" i="63"/>
  <c r="A149" i="63"/>
  <c r="A148" i="63"/>
  <c r="A147" i="63"/>
  <c r="A146" i="63"/>
  <c r="A145" i="63"/>
  <c r="A144" i="63"/>
  <c r="A143" i="63"/>
  <c r="A142" i="63"/>
  <c r="A141" i="63"/>
  <c r="A140" i="63"/>
  <c r="A139" i="63"/>
  <c r="A138" i="63"/>
  <c r="A137" i="63"/>
  <c r="A136" i="63"/>
  <c r="A135" i="63"/>
  <c r="A134" i="63"/>
  <c r="A133" i="63"/>
  <c r="A132" i="63"/>
  <c r="A131" i="63"/>
  <c r="A130" i="63"/>
  <c r="A129" i="63"/>
  <c r="A128" i="63"/>
  <c r="A127" i="63"/>
  <c r="A126" i="63"/>
  <c r="A125" i="63"/>
  <c r="A124" i="63"/>
  <c r="A123" i="63"/>
  <c r="A122" i="63"/>
  <c r="A121" i="63"/>
  <c r="A120" i="63"/>
  <c r="A119" i="63"/>
  <c r="A118" i="63"/>
  <c r="A117" i="63"/>
  <c r="A116" i="63"/>
  <c r="A115" i="63"/>
  <c r="A114" i="63"/>
  <c r="A113" i="63"/>
  <c r="A112" i="63"/>
  <c r="A111" i="63"/>
  <c r="A110" i="63"/>
  <c r="A109" i="63"/>
  <c r="A108" i="63"/>
  <c r="A107" i="63"/>
  <c r="A106" i="63"/>
  <c r="A105" i="63"/>
  <c r="A104" i="63"/>
  <c r="A103" i="63"/>
  <c r="A102" i="63"/>
  <c r="A101" i="63"/>
  <c r="A100" i="63"/>
  <c r="A99" i="63"/>
  <c r="A98" i="63"/>
  <c r="A97" i="63"/>
  <c r="A96" i="63"/>
  <c r="A95" i="63"/>
  <c r="A94" i="63"/>
  <c r="A93" i="63"/>
  <c r="A92" i="63"/>
  <c r="A91" i="63"/>
  <c r="A90" i="63"/>
  <c r="A89" i="63"/>
  <c r="A88" i="63"/>
  <c r="A87" i="63"/>
  <c r="A86" i="63"/>
  <c r="A85" i="63"/>
  <c r="A84" i="63"/>
  <c r="A83" i="63"/>
  <c r="A82" i="63"/>
  <c r="A81" i="63"/>
  <c r="A80" i="63"/>
  <c r="A79" i="63"/>
  <c r="A78" i="63"/>
  <c r="A77" i="63"/>
  <c r="A76" i="63"/>
  <c r="A75" i="63"/>
  <c r="A74" i="63"/>
  <c r="A73" i="63"/>
  <c r="A72" i="63"/>
  <c r="A71" i="63"/>
  <c r="A70" i="63"/>
  <c r="A69" i="63"/>
  <c r="A68" i="63"/>
  <c r="A67" i="63"/>
  <c r="A66" i="63"/>
  <c r="A65" i="63"/>
  <c r="A64" i="63"/>
  <c r="A63" i="63"/>
  <c r="A62" i="63"/>
  <c r="A61" i="63"/>
  <c r="A60" i="63"/>
  <c r="A59" i="63"/>
  <c r="A58" i="63"/>
  <c r="A57" i="63"/>
  <c r="A56" i="63"/>
  <c r="A55" i="63"/>
  <c r="A54" i="63"/>
  <c r="A53" i="63"/>
  <c r="A52" i="63"/>
  <c r="A51" i="63"/>
  <c r="A50" i="63"/>
  <c r="A49" i="63"/>
  <c r="A48" i="63"/>
  <c r="A47" i="63"/>
  <c r="A46" i="63"/>
  <c r="A45" i="63"/>
  <c r="A44" i="63"/>
  <c r="A43" i="63"/>
  <c r="A42" i="63"/>
  <c r="A41" i="63"/>
  <c r="A40" i="63"/>
  <c r="A39" i="63"/>
  <c r="A38" i="63"/>
  <c r="A37" i="63"/>
  <c r="A36" i="63"/>
  <c r="A35" i="63"/>
  <c r="A34" i="63"/>
  <c r="A33" i="63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2" i="63"/>
  <c r="AA2" i="63" s="1"/>
  <c r="AB20" i="63" l="1"/>
  <c r="T20" i="63"/>
  <c r="AA20" i="63"/>
  <c r="AB36" i="63"/>
  <c r="T36" i="63"/>
  <c r="AA36" i="63"/>
  <c r="AB60" i="63"/>
  <c r="T60" i="63"/>
  <c r="AA60" i="63"/>
  <c r="AB84" i="63"/>
  <c r="T84" i="63"/>
  <c r="AA84" i="63"/>
  <c r="AB108" i="63"/>
  <c r="T108" i="63"/>
  <c r="AA108" i="63"/>
  <c r="AB132" i="63"/>
  <c r="T132" i="63"/>
  <c r="AA132" i="63"/>
  <c r="AB156" i="63"/>
  <c r="T156" i="63"/>
  <c r="AA156" i="63"/>
  <c r="AB196" i="63"/>
  <c r="T196" i="63"/>
  <c r="AA196" i="63"/>
  <c r="AB13" i="63"/>
  <c r="AA13" i="63"/>
  <c r="T13" i="63"/>
  <c r="AB37" i="63"/>
  <c r="AA37" i="63"/>
  <c r="T37" i="63"/>
  <c r="AB53" i="63"/>
  <c r="AA53" i="63"/>
  <c r="T53" i="63"/>
  <c r="AB77" i="63"/>
  <c r="AA77" i="63"/>
  <c r="T77" i="63"/>
  <c r="AB101" i="63"/>
  <c r="AA101" i="63"/>
  <c r="T101" i="63"/>
  <c r="AB125" i="63"/>
  <c r="AA125" i="63"/>
  <c r="T125" i="63"/>
  <c r="AB149" i="63"/>
  <c r="AA149" i="63"/>
  <c r="T149" i="63"/>
  <c r="AB173" i="63"/>
  <c r="AA173" i="63"/>
  <c r="T173" i="63"/>
  <c r="AB189" i="63"/>
  <c r="AA189" i="63"/>
  <c r="T189" i="63"/>
  <c r="AB6" i="63"/>
  <c r="AA6" i="63"/>
  <c r="T6" i="63"/>
  <c r="AB14" i="63"/>
  <c r="AA14" i="63"/>
  <c r="T14" i="63"/>
  <c r="AB22" i="63"/>
  <c r="AA22" i="63"/>
  <c r="T22" i="63"/>
  <c r="AB30" i="63"/>
  <c r="AA30" i="63"/>
  <c r="T30" i="63"/>
  <c r="AB38" i="63"/>
  <c r="AA38" i="63"/>
  <c r="T38" i="63"/>
  <c r="AB46" i="63"/>
  <c r="AA46" i="63"/>
  <c r="T46" i="63"/>
  <c r="AB54" i="63"/>
  <c r="AA54" i="63"/>
  <c r="T54" i="63"/>
  <c r="AB62" i="63"/>
  <c r="AA62" i="63"/>
  <c r="T62" i="63"/>
  <c r="AB70" i="63"/>
  <c r="AA70" i="63"/>
  <c r="T70" i="63"/>
  <c r="AB78" i="63"/>
  <c r="AA78" i="63"/>
  <c r="T78" i="63"/>
  <c r="AB86" i="63"/>
  <c r="AA86" i="63"/>
  <c r="T86" i="63"/>
  <c r="AB94" i="63"/>
  <c r="AA94" i="63"/>
  <c r="T94" i="63"/>
  <c r="AB102" i="63"/>
  <c r="AA102" i="63"/>
  <c r="T102" i="63"/>
  <c r="AB110" i="63"/>
  <c r="AA110" i="63"/>
  <c r="T110" i="63"/>
  <c r="AB118" i="63"/>
  <c r="AA118" i="63"/>
  <c r="T118" i="63"/>
  <c r="AB126" i="63"/>
  <c r="AA126" i="63"/>
  <c r="T126" i="63"/>
  <c r="AB134" i="63"/>
  <c r="AA134" i="63"/>
  <c r="T134" i="63"/>
  <c r="AB142" i="63"/>
  <c r="AA142" i="63"/>
  <c r="T142" i="63"/>
  <c r="AB150" i="63"/>
  <c r="AA150" i="63"/>
  <c r="T150" i="63"/>
  <c r="AB158" i="63"/>
  <c r="AA158" i="63"/>
  <c r="T158" i="63"/>
  <c r="AB166" i="63"/>
  <c r="AA166" i="63"/>
  <c r="T166" i="63"/>
  <c r="AB174" i="63"/>
  <c r="AA174" i="63"/>
  <c r="T174" i="63"/>
  <c r="AB182" i="63"/>
  <c r="AA182" i="63"/>
  <c r="T182" i="63"/>
  <c r="AB190" i="63"/>
  <c r="AA190" i="63"/>
  <c r="T190" i="63"/>
  <c r="AB198" i="63"/>
  <c r="AA198" i="63"/>
  <c r="T198" i="63"/>
  <c r="AB4" i="63"/>
  <c r="T4" i="63"/>
  <c r="AA4" i="63"/>
  <c r="AB28" i="63"/>
  <c r="T28" i="63"/>
  <c r="AA28" i="63"/>
  <c r="AB52" i="63"/>
  <c r="T52" i="63"/>
  <c r="AA52" i="63"/>
  <c r="AB76" i="63"/>
  <c r="T76" i="63"/>
  <c r="AA76" i="63"/>
  <c r="AB100" i="63"/>
  <c r="T100" i="63"/>
  <c r="AA100" i="63"/>
  <c r="AB124" i="63"/>
  <c r="T124" i="63"/>
  <c r="AA124" i="63"/>
  <c r="AB148" i="63"/>
  <c r="T148" i="63"/>
  <c r="AA148" i="63"/>
  <c r="AB172" i="63"/>
  <c r="T172" i="63"/>
  <c r="AA172" i="63"/>
  <c r="AB180" i="63"/>
  <c r="T180" i="63"/>
  <c r="AA180" i="63"/>
  <c r="AB204" i="63"/>
  <c r="T204" i="63"/>
  <c r="AA204" i="63"/>
  <c r="AB21" i="63"/>
  <c r="AA21" i="63"/>
  <c r="T21" i="63"/>
  <c r="AB45" i="63"/>
  <c r="AA45" i="63"/>
  <c r="T45" i="63"/>
  <c r="AB69" i="63"/>
  <c r="AA69" i="63"/>
  <c r="T69" i="63"/>
  <c r="AB93" i="63"/>
  <c r="AA93" i="63"/>
  <c r="T93" i="63"/>
  <c r="AB117" i="63"/>
  <c r="AA117" i="63"/>
  <c r="T117" i="63"/>
  <c r="AB141" i="63"/>
  <c r="AA141" i="63"/>
  <c r="T141" i="63"/>
  <c r="AB165" i="63"/>
  <c r="AA165" i="63"/>
  <c r="T165" i="63"/>
  <c r="AB181" i="63"/>
  <c r="AA181" i="63"/>
  <c r="T181" i="63"/>
  <c r="AB7" i="63"/>
  <c r="T7" i="63"/>
  <c r="AA7" i="63"/>
  <c r="AB15" i="63"/>
  <c r="T15" i="63"/>
  <c r="AA15" i="63"/>
  <c r="AB23" i="63"/>
  <c r="T23" i="63"/>
  <c r="AA23" i="63"/>
  <c r="AB31" i="63"/>
  <c r="T31" i="63"/>
  <c r="AA31" i="63"/>
  <c r="AB39" i="63"/>
  <c r="T39" i="63"/>
  <c r="AA39" i="63"/>
  <c r="AB47" i="63"/>
  <c r="T47" i="63"/>
  <c r="AA47" i="63"/>
  <c r="AB55" i="63"/>
  <c r="T55" i="63"/>
  <c r="AA55" i="63"/>
  <c r="AB63" i="63"/>
  <c r="T63" i="63"/>
  <c r="AA63" i="63"/>
  <c r="AB71" i="63"/>
  <c r="T71" i="63"/>
  <c r="AA71" i="63"/>
  <c r="AB79" i="63"/>
  <c r="T79" i="63"/>
  <c r="AA79" i="63"/>
  <c r="AB87" i="63"/>
  <c r="T87" i="63"/>
  <c r="AA87" i="63"/>
  <c r="AB95" i="63"/>
  <c r="T95" i="63"/>
  <c r="AA95" i="63"/>
  <c r="AB103" i="63"/>
  <c r="T103" i="63"/>
  <c r="AA103" i="63"/>
  <c r="AB111" i="63"/>
  <c r="T111" i="63"/>
  <c r="AA111" i="63"/>
  <c r="AB119" i="63"/>
  <c r="T119" i="63"/>
  <c r="AA119" i="63"/>
  <c r="AB127" i="63"/>
  <c r="T127" i="63"/>
  <c r="AA127" i="63"/>
  <c r="AB135" i="63"/>
  <c r="T135" i="63"/>
  <c r="AA135" i="63"/>
  <c r="AB143" i="63"/>
  <c r="T143" i="63"/>
  <c r="AA143" i="63"/>
  <c r="AB151" i="63"/>
  <c r="T151" i="63"/>
  <c r="AA151" i="63"/>
  <c r="AB159" i="63"/>
  <c r="T159" i="63"/>
  <c r="AA159" i="63"/>
  <c r="AB167" i="63"/>
  <c r="T167" i="63"/>
  <c r="AA167" i="63"/>
  <c r="AB175" i="63"/>
  <c r="T175" i="63"/>
  <c r="AA175" i="63"/>
  <c r="AB183" i="63"/>
  <c r="T183" i="63"/>
  <c r="AA183" i="63"/>
  <c r="AB191" i="63"/>
  <c r="T191" i="63"/>
  <c r="AA191" i="63"/>
  <c r="AB199" i="63"/>
  <c r="T199" i="63"/>
  <c r="AA199" i="63"/>
  <c r="AB12" i="63"/>
  <c r="T12" i="63"/>
  <c r="AA12" i="63"/>
  <c r="AB44" i="63"/>
  <c r="T44" i="63"/>
  <c r="AA44" i="63"/>
  <c r="AB68" i="63"/>
  <c r="T68" i="63"/>
  <c r="AA68" i="63"/>
  <c r="AB92" i="63"/>
  <c r="T92" i="63"/>
  <c r="AA92" i="63"/>
  <c r="AB116" i="63"/>
  <c r="T116" i="63"/>
  <c r="AA116" i="63"/>
  <c r="AB140" i="63"/>
  <c r="T140" i="63"/>
  <c r="AA140" i="63"/>
  <c r="AB164" i="63"/>
  <c r="T164" i="63"/>
  <c r="AA164" i="63"/>
  <c r="AB188" i="63"/>
  <c r="T188" i="63"/>
  <c r="AA188" i="63"/>
  <c r="AB5" i="63"/>
  <c r="AA5" i="63"/>
  <c r="T5" i="63"/>
  <c r="AB29" i="63"/>
  <c r="AA29" i="63"/>
  <c r="T29" i="63"/>
  <c r="AB61" i="63"/>
  <c r="AA61" i="63"/>
  <c r="T61" i="63"/>
  <c r="AB85" i="63"/>
  <c r="AA85" i="63"/>
  <c r="T85" i="63"/>
  <c r="AB109" i="63"/>
  <c r="AA109" i="63"/>
  <c r="T109" i="63"/>
  <c r="AB133" i="63"/>
  <c r="AA133" i="63"/>
  <c r="T133" i="63"/>
  <c r="AB157" i="63"/>
  <c r="AA157" i="63"/>
  <c r="T157" i="63"/>
  <c r="AB197" i="63"/>
  <c r="AA197" i="63"/>
  <c r="T197" i="63"/>
  <c r="AB8" i="63"/>
  <c r="T8" i="63"/>
  <c r="AA8" i="63"/>
  <c r="AB16" i="63"/>
  <c r="T16" i="63"/>
  <c r="AA16" i="63"/>
  <c r="AB24" i="63"/>
  <c r="T24" i="63"/>
  <c r="AA24" i="63"/>
  <c r="AB32" i="63"/>
  <c r="T32" i="63"/>
  <c r="AA32" i="63"/>
  <c r="AB40" i="63"/>
  <c r="T40" i="63"/>
  <c r="AA40" i="63"/>
  <c r="AB48" i="63"/>
  <c r="T48" i="63"/>
  <c r="AA48" i="63"/>
  <c r="AB56" i="63"/>
  <c r="T56" i="63"/>
  <c r="AA56" i="63"/>
  <c r="AB64" i="63"/>
  <c r="T64" i="63"/>
  <c r="AA64" i="63"/>
  <c r="AB72" i="63"/>
  <c r="T72" i="63"/>
  <c r="AA72" i="63"/>
  <c r="AB80" i="63"/>
  <c r="T80" i="63"/>
  <c r="AA80" i="63"/>
  <c r="AB88" i="63"/>
  <c r="T88" i="63"/>
  <c r="AA88" i="63"/>
  <c r="AB96" i="63"/>
  <c r="T96" i="63"/>
  <c r="AA96" i="63"/>
  <c r="AB104" i="63"/>
  <c r="T104" i="63"/>
  <c r="AA104" i="63"/>
  <c r="AB112" i="63"/>
  <c r="T112" i="63"/>
  <c r="AA112" i="63"/>
  <c r="AB120" i="63"/>
  <c r="T120" i="63"/>
  <c r="AA120" i="63"/>
  <c r="AB128" i="63"/>
  <c r="T128" i="63"/>
  <c r="AA128" i="63"/>
  <c r="AB136" i="63"/>
  <c r="T136" i="63"/>
  <c r="AA136" i="63"/>
  <c r="AB144" i="63"/>
  <c r="T144" i="63"/>
  <c r="AA144" i="63"/>
  <c r="AB152" i="63"/>
  <c r="T152" i="63"/>
  <c r="AA152" i="63"/>
  <c r="AB160" i="63"/>
  <c r="T160" i="63"/>
  <c r="AA160" i="63"/>
  <c r="AB168" i="63"/>
  <c r="T168" i="63"/>
  <c r="AA168" i="63"/>
  <c r="AB176" i="63"/>
  <c r="T176" i="63"/>
  <c r="AA176" i="63"/>
  <c r="AB184" i="63"/>
  <c r="T184" i="63"/>
  <c r="AA184" i="63"/>
  <c r="AB192" i="63"/>
  <c r="T192" i="63"/>
  <c r="AA192" i="63"/>
  <c r="AB200" i="63"/>
  <c r="T200" i="63"/>
  <c r="AA200" i="63"/>
  <c r="AB10" i="63"/>
  <c r="T10" i="63"/>
  <c r="AA10" i="63"/>
  <c r="AB18" i="63"/>
  <c r="T18" i="63"/>
  <c r="AA18" i="63"/>
  <c r="AB26" i="63"/>
  <c r="T26" i="63"/>
  <c r="AA26" i="63"/>
  <c r="AB34" i="63"/>
  <c r="T34" i="63"/>
  <c r="AA34" i="63"/>
  <c r="AB42" i="63"/>
  <c r="T42" i="63"/>
  <c r="AA42" i="63"/>
  <c r="AB50" i="63"/>
  <c r="T50" i="63"/>
  <c r="AA50" i="63"/>
  <c r="AB58" i="63"/>
  <c r="T58" i="63"/>
  <c r="AA58" i="63"/>
  <c r="AB66" i="63"/>
  <c r="T66" i="63"/>
  <c r="AA66" i="63"/>
  <c r="AB74" i="63"/>
  <c r="T74" i="63"/>
  <c r="AA74" i="63"/>
  <c r="AB82" i="63"/>
  <c r="T82" i="63"/>
  <c r="AA82" i="63"/>
  <c r="AB90" i="63"/>
  <c r="T90" i="63"/>
  <c r="AA90" i="63"/>
  <c r="AB98" i="63"/>
  <c r="T98" i="63"/>
  <c r="AA98" i="63"/>
  <c r="AB106" i="63"/>
  <c r="T106" i="63"/>
  <c r="AA106" i="63"/>
  <c r="AB114" i="63"/>
  <c r="T114" i="63"/>
  <c r="AA114" i="63"/>
  <c r="AB122" i="63"/>
  <c r="T122" i="63"/>
  <c r="AA122" i="63"/>
  <c r="AB130" i="63"/>
  <c r="T130" i="63"/>
  <c r="AA130" i="63"/>
  <c r="AB138" i="63"/>
  <c r="T138" i="63"/>
  <c r="AA138" i="63"/>
  <c r="AB146" i="63"/>
  <c r="T146" i="63"/>
  <c r="AA146" i="63"/>
  <c r="AB154" i="63"/>
  <c r="T154" i="63"/>
  <c r="AA154" i="63"/>
  <c r="AB162" i="63"/>
  <c r="T162" i="63"/>
  <c r="AA162" i="63"/>
  <c r="AB170" i="63"/>
  <c r="T170" i="63"/>
  <c r="AA170" i="63"/>
  <c r="AB178" i="63"/>
  <c r="T178" i="63"/>
  <c r="AA178" i="63"/>
  <c r="AB186" i="63"/>
  <c r="T186" i="63"/>
  <c r="AA186" i="63"/>
  <c r="AB194" i="63"/>
  <c r="T194" i="63"/>
  <c r="AA194" i="63"/>
  <c r="AB202" i="63"/>
  <c r="T202" i="63"/>
  <c r="AA202" i="63"/>
  <c r="AB9" i="63"/>
  <c r="T9" i="63"/>
  <c r="AA9" i="63"/>
  <c r="AB17" i="63"/>
  <c r="T17" i="63"/>
  <c r="AA17" i="63"/>
  <c r="AB25" i="63"/>
  <c r="T25" i="63"/>
  <c r="AA25" i="63"/>
  <c r="AB33" i="63"/>
  <c r="T33" i="63"/>
  <c r="AA33" i="63"/>
  <c r="AB41" i="63"/>
  <c r="T41" i="63"/>
  <c r="AA41" i="63"/>
  <c r="AB49" i="63"/>
  <c r="T49" i="63"/>
  <c r="AA49" i="63"/>
  <c r="AB57" i="63"/>
  <c r="T57" i="63"/>
  <c r="AA57" i="63"/>
  <c r="AB65" i="63"/>
  <c r="T65" i="63"/>
  <c r="AA65" i="63"/>
  <c r="AB73" i="63"/>
  <c r="T73" i="63"/>
  <c r="AA73" i="63"/>
  <c r="AB81" i="63"/>
  <c r="T81" i="63"/>
  <c r="AA81" i="63"/>
  <c r="AB89" i="63"/>
  <c r="T89" i="63"/>
  <c r="AA89" i="63"/>
  <c r="AB97" i="63"/>
  <c r="T97" i="63"/>
  <c r="AA97" i="63"/>
  <c r="AB105" i="63"/>
  <c r="T105" i="63"/>
  <c r="AA105" i="63"/>
  <c r="AB113" i="63"/>
  <c r="T113" i="63"/>
  <c r="AA113" i="63"/>
  <c r="AB121" i="63"/>
  <c r="T121" i="63"/>
  <c r="AA121" i="63"/>
  <c r="AB129" i="63"/>
  <c r="T129" i="63"/>
  <c r="AA129" i="63"/>
  <c r="AB137" i="63"/>
  <c r="T137" i="63"/>
  <c r="AA137" i="63"/>
  <c r="AB145" i="63"/>
  <c r="T145" i="63"/>
  <c r="AA145" i="63"/>
  <c r="AB153" i="63"/>
  <c r="T153" i="63"/>
  <c r="AA153" i="63"/>
  <c r="AB161" i="63"/>
  <c r="T161" i="63"/>
  <c r="AA161" i="63"/>
  <c r="AB169" i="63"/>
  <c r="T169" i="63"/>
  <c r="AA169" i="63"/>
  <c r="AB177" i="63"/>
  <c r="T177" i="63"/>
  <c r="AA177" i="63"/>
  <c r="AB185" i="63"/>
  <c r="T185" i="63"/>
  <c r="AA185" i="63"/>
  <c r="AB193" i="63"/>
  <c r="T193" i="63"/>
  <c r="AA193" i="63"/>
  <c r="AB201" i="63"/>
  <c r="T201" i="63"/>
  <c r="AA201" i="63"/>
  <c r="AB3" i="63"/>
  <c r="T3" i="63"/>
  <c r="AA3" i="63"/>
  <c r="AB11" i="63"/>
  <c r="T11" i="63"/>
  <c r="AA11" i="63"/>
  <c r="AB19" i="63"/>
  <c r="T19" i="63"/>
  <c r="AA19" i="63"/>
  <c r="AB27" i="63"/>
  <c r="T27" i="63"/>
  <c r="AA27" i="63"/>
  <c r="AB35" i="63"/>
  <c r="T35" i="63"/>
  <c r="AA35" i="63"/>
  <c r="AB43" i="63"/>
  <c r="T43" i="63"/>
  <c r="AA43" i="63"/>
  <c r="AB51" i="63"/>
  <c r="T51" i="63"/>
  <c r="AA51" i="63"/>
  <c r="AB59" i="63"/>
  <c r="T59" i="63"/>
  <c r="AA59" i="63"/>
  <c r="AB67" i="63"/>
  <c r="T67" i="63"/>
  <c r="AA67" i="63"/>
  <c r="AB75" i="63"/>
  <c r="T75" i="63"/>
  <c r="AA75" i="63"/>
  <c r="AB83" i="63"/>
  <c r="T83" i="63"/>
  <c r="AA83" i="63"/>
  <c r="AB91" i="63"/>
  <c r="T91" i="63"/>
  <c r="AA91" i="63"/>
  <c r="AB99" i="63"/>
  <c r="T99" i="63"/>
  <c r="AA99" i="63"/>
  <c r="AB107" i="63"/>
  <c r="T107" i="63"/>
  <c r="AA107" i="63"/>
  <c r="AB115" i="63"/>
  <c r="T115" i="63"/>
  <c r="AA115" i="63"/>
  <c r="AB123" i="63"/>
  <c r="T123" i="63"/>
  <c r="AA123" i="63"/>
  <c r="AB131" i="63"/>
  <c r="T131" i="63"/>
  <c r="AA131" i="63"/>
  <c r="AB139" i="63"/>
  <c r="T139" i="63"/>
  <c r="AA139" i="63"/>
  <c r="AB147" i="63"/>
  <c r="T147" i="63"/>
  <c r="AA147" i="63"/>
  <c r="AB155" i="63"/>
  <c r="T155" i="63"/>
  <c r="AA155" i="63"/>
  <c r="AB163" i="63"/>
  <c r="T163" i="63"/>
  <c r="AA163" i="63"/>
  <c r="AB171" i="63"/>
  <c r="T171" i="63"/>
  <c r="AA171" i="63"/>
  <c r="AB179" i="63"/>
  <c r="T179" i="63"/>
  <c r="AA179" i="63"/>
  <c r="AB187" i="63"/>
  <c r="T187" i="63"/>
  <c r="AA187" i="63"/>
  <c r="AB195" i="63"/>
  <c r="T195" i="63"/>
  <c r="AA195" i="63"/>
  <c r="AB203" i="63"/>
  <c r="T203" i="63"/>
  <c r="AA203" i="63"/>
  <c r="E247" i="1"/>
  <c r="E249" i="1"/>
  <c r="E251" i="1"/>
  <c r="E248" i="1"/>
  <c r="E250" i="1"/>
  <c r="E252" i="1"/>
  <c r="E253" i="1"/>
  <c r="E255" i="1"/>
  <c r="E254" i="1"/>
  <c r="E256" i="1"/>
  <c r="E244" i="1"/>
  <c r="E243" i="1"/>
  <c r="E245" i="1"/>
  <c r="E246" i="1"/>
  <c r="E228" i="1"/>
  <c r="E229" i="1"/>
  <c r="E230" i="1"/>
  <c r="E223" i="1"/>
  <c r="E231" i="1"/>
  <c r="E224" i="1"/>
  <c r="E232" i="1"/>
  <c r="E225" i="1"/>
  <c r="E233" i="1"/>
  <c r="E227" i="1"/>
  <c r="E226" i="1"/>
  <c r="E239" i="1"/>
  <c r="E236" i="1"/>
  <c r="E240" i="1"/>
  <c r="E241" i="1"/>
  <c r="E234" i="1"/>
  <c r="E242" i="1"/>
  <c r="E235" i="1"/>
  <c r="E237" i="1"/>
  <c r="E238" i="1"/>
  <c r="AB2" i="63"/>
  <c r="E339" i="1"/>
  <c r="E344" i="1"/>
  <c r="E335" i="1"/>
  <c r="E342" i="1"/>
  <c r="E343" i="1"/>
  <c r="E340" i="1"/>
  <c r="E336" i="1"/>
  <c r="E345" i="1"/>
  <c r="E338" i="1"/>
  <c r="E346" i="1"/>
  <c r="E347" i="1"/>
  <c r="E348" i="1"/>
  <c r="E350" i="1"/>
  <c r="E351" i="1"/>
  <c r="E349" i="1"/>
  <c r="E298" i="1"/>
  <c r="E278" i="1"/>
  <c r="E277" i="1"/>
  <c r="E210" i="1"/>
  <c r="E328" i="1"/>
  <c r="E288" i="1"/>
  <c r="E275" i="1"/>
  <c r="E261" i="1"/>
  <c r="E334" i="1"/>
  <c r="E222" i="1"/>
  <c r="E259" i="1"/>
  <c r="E302" i="1"/>
  <c r="E314" i="1"/>
  <c r="E209" i="1"/>
  <c r="E306" i="1"/>
  <c r="E325" i="1"/>
  <c r="E293" i="1"/>
  <c r="E218" i="1"/>
  <c r="E282" i="1"/>
  <c r="E320" i="1"/>
  <c r="E284" i="1"/>
  <c r="E280" i="1"/>
  <c r="E290" i="1"/>
  <c r="E265" i="1"/>
  <c r="E221" i="1"/>
  <c r="E260" i="1"/>
  <c r="E217" i="1"/>
  <c r="E220" i="1"/>
  <c r="E319" i="1"/>
  <c r="E258" i="1"/>
  <c r="E269" i="1"/>
  <c r="E308" i="1"/>
  <c r="E316" i="1"/>
  <c r="E272" i="1"/>
  <c r="E263" i="1"/>
  <c r="E289" i="1"/>
  <c r="E281" i="1"/>
  <c r="E219" i="1"/>
  <c r="E211" i="1"/>
  <c r="E273" i="1"/>
  <c r="E326" i="1"/>
  <c r="E332" i="1"/>
  <c r="E310" i="1"/>
  <c r="E287" i="1"/>
  <c r="E300" i="1"/>
  <c r="E264" i="1"/>
  <c r="E216" i="1"/>
  <c r="E304" i="1"/>
  <c r="E279" i="1"/>
  <c r="E321" i="1"/>
  <c r="E297" i="1"/>
  <c r="E283" i="1"/>
  <c r="E294" i="1"/>
  <c r="E299" i="1"/>
  <c r="E212" i="1"/>
  <c r="E295" i="1"/>
  <c r="E323" i="1"/>
  <c r="E324" i="1"/>
  <c r="E333" i="1"/>
  <c r="E315" i="1"/>
  <c r="E274" i="1"/>
  <c r="E268" i="1"/>
  <c r="E327" i="1"/>
  <c r="E329" i="1"/>
  <c r="E313" i="1"/>
  <c r="E330" i="1"/>
  <c r="E266" i="1"/>
  <c r="E305" i="1"/>
  <c r="E271" i="1"/>
  <c r="E213" i="1"/>
  <c r="E291" i="1"/>
  <c r="E312" i="1"/>
  <c r="E309" i="1"/>
  <c r="E296" i="1"/>
  <c r="E267" i="1"/>
  <c r="E307" i="1"/>
  <c r="E317" i="1"/>
  <c r="E285" i="1"/>
  <c r="E311" i="1"/>
  <c r="E276" i="1"/>
  <c r="E215" i="1"/>
  <c r="E292" i="1"/>
  <c r="E301" i="1"/>
  <c r="E270" i="1"/>
  <c r="E286" i="1"/>
  <c r="E262" i="1"/>
  <c r="E318" i="1"/>
  <c r="E322" i="1"/>
  <c r="E331" i="1"/>
  <c r="F2" i="63"/>
  <c r="F26" i="63"/>
  <c r="F50" i="63"/>
  <c r="F106" i="63"/>
  <c r="B122" i="63"/>
  <c r="F170" i="63"/>
  <c r="G3" i="63"/>
  <c r="B11" i="63"/>
  <c r="C27" i="63"/>
  <c r="E43" i="63"/>
  <c r="F67" i="63"/>
  <c r="F83" i="63"/>
  <c r="B91" i="63"/>
  <c r="G115" i="63"/>
  <c r="B123" i="63"/>
  <c r="E131" i="63"/>
  <c r="F147" i="63"/>
  <c r="I179" i="63"/>
  <c r="B195" i="63"/>
  <c r="E12" i="63"/>
  <c r="C36" i="63"/>
  <c r="C44" i="63"/>
  <c r="E60" i="63"/>
  <c r="E68" i="63"/>
  <c r="H76" i="63"/>
  <c r="C84" i="63"/>
  <c r="E100" i="63"/>
  <c r="H108" i="63"/>
  <c r="H124" i="63"/>
  <c r="E132" i="63"/>
  <c r="E140" i="63"/>
  <c r="I164" i="63"/>
  <c r="E172" i="63"/>
  <c r="H180" i="63"/>
  <c r="E188" i="63"/>
  <c r="B204" i="63"/>
  <c r="C5" i="63"/>
  <c r="F21" i="63"/>
  <c r="E29" i="63"/>
  <c r="H45" i="63"/>
  <c r="E61" i="63"/>
  <c r="E69" i="63"/>
  <c r="E77" i="63"/>
  <c r="H85" i="63"/>
  <c r="F93" i="63"/>
  <c r="E109" i="63"/>
  <c r="G117" i="63"/>
  <c r="E125" i="63"/>
  <c r="B141" i="63"/>
  <c r="H149" i="63"/>
  <c r="E157" i="63"/>
  <c r="E165" i="63"/>
  <c r="E173" i="63"/>
  <c r="E189" i="63"/>
  <c r="E197" i="63"/>
  <c r="G78" i="63"/>
  <c r="C118" i="63"/>
  <c r="G142" i="63"/>
  <c r="B174" i="63"/>
  <c r="H182" i="63"/>
  <c r="C14" i="63"/>
  <c r="B38" i="63"/>
  <c r="B62" i="63"/>
  <c r="B94" i="63"/>
  <c r="E111" i="63"/>
  <c r="C22" i="63"/>
  <c r="B30" i="63"/>
  <c r="H54" i="63"/>
  <c r="C70" i="63"/>
  <c r="B110" i="63"/>
  <c r="F166" i="63"/>
  <c r="C7" i="63"/>
  <c r="C15" i="63"/>
  <c r="B31" i="63"/>
  <c r="G39" i="63"/>
  <c r="F47" i="63"/>
  <c r="G55" i="63"/>
  <c r="G63" i="63"/>
  <c r="E71" i="63"/>
  <c r="F79" i="63"/>
  <c r="B87" i="63"/>
  <c r="C95" i="63"/>
  <c r="F119" i="63"/>
  <c r="E135" i="63"/>
  <c r="B151" i="63"/>
  <c r="F159" i="63"/>
  <c r="C175" i="63"/>
  <c r="F183" i="63"/>
  <c r="I199" i="63"/>
  <c r="E8" i="63"/>
  <c r="H24" i="63"/>
  <c r="B32" i="63"/>
  <c r="C40" i="63"/>
  <c r="B48" i="63"/>
  <c r="E56" i="63"/>
  <c r="B64" i="63"/>
  <c r="C88" i="63"/>
  <c r="H96" i="63"/>
  <c r="G104" i="63"/>
  <c r="B112" i="63"/>
  <c r="E128" i="63"/>
  <c r="B168" i="63"/>
  <c r="H192" i="63"/>
  <c r="H17" i="63"/>
  <c r="E25" i="63"/>
  <c r="E49" i="63"/>
  <c r="E57" i="63"/>
  <c r="H65" i="63"/>
  <c r="E73" i="63"/>
  <c r="E89" i="63"/>
  <c r="F97" i="63"/>
  <c r="E105" i="63"/>
  <c r="E113" i="63"/>
  <c r="E137" i="63"/>
  <c r="E145" i="63"/>
  <c r="G153" i="63"/>
  <c r="H161" i="63"/>
  <c r="H169" i="63"/>
  <c r="H177" i="63"/>
  <c r="H201" i="63"/>
  <c r="F34" i="63"/>
  <c r="F90" i="63"/>
  <c r="C114" i="63"/>
  <c r="B130" i="63"/>
  <c r="C178" i="63"/>
  <c r="F194" i="63"/>
  <c r="F202" i="63"/>
  <c r="H10" i="63"/>
  <c r="B74" i="63"/>
  <c r="F18" i="63"/>
  <c r="F146" i="63"/>
  <c r="F102" i="63"/>
  <c r="C54" i="63"/>
  <c r="B54" i="63"/>
  <c r="C200" i="63"/>
  <c r="C194" i="63"/>
  <c r="B40" i="63"/>
  <c r="E200" i="63"/>
  <c r="B102" i="63"/>
  <c r="B140" i="63"/>
  <c r="C102" i="63"/>
  <c r="B170" i="63"/>
  <c r="C41" i="63"/>
  <c r="B84" i="63"/>
  <c r="C151" i="63"/>
  <c r="B166" i="63"/>
  <c r="B2" i="63"/>
  <c r="B79" i="63"/>
  <c r="C3" i="63"/>
  <c r="C110" i="63"/>
  <c r="B115" i="63"/>
  <c r="E193" i="63"/>
  <c r="C65" i="63"/>
  <c r="C85" i="63"/>
  <c r="B145" i="63"/>
  <c r="C202" i="63"/>
  <c r="B20" i="63"/>
  <c r="E151" i="63"/>
  <c r="B135" i="63"/>
  <c r="B147" i="63"/>
  <c r="B159" i="63"/>
  <c r="B165" i="63"/>
  <c r="E204" i="63"/>
  <c r="F199" i="63"/>
  <c r="B114" i="63"/>
  <c r="C147" i="63"/>
  <c r="C153" i="63"/>
  <c r="C159" i="63"/>
  <c r="C170" i="63"/>
  <c r="B200" i="63"/>
  <c r="E201" i="63"/>
  <c r="F182" i="63"/>
  <c r="E124" i="63"/>
  <c r="E104" i="63"/>
  <c r="E41" i="63"/>
  <c r="E15" i="63"/>
  <c r="F151" i="63"/>
  <c r="F113" i="63"/>
  <c r="F71" i="63"/>
  <c r="F5" i="63"/>
  <c r="B44" i="63"/>
  <c r="B60" i="63"/>
  <c r="C93" i="63"/>
  <c r="C104" i="63"/>
  <c r="B119" i="63"/>
  <c r="C124" i="63"/>
  <c r="B179" i="63"/>
  <c r="B192" i="63"/>
  <c r="E192" i="63"/>
  <c r="E169" i="63"/>
  <c r="E149" i="63"/>
  <c r="E121" i="63"/>
  <c r="E97" i="63"/>
  <c r="E37" i="63"/>
  <c r="F179" i="63"/>
  <c r="F149" i="63"/>
  <c r="F111" i="63"/>
  <c r="F45" i="63"/>
  <c r="F3" i="63"/>
  <c r="B18" i="63"/>
  <c r="B22" i="63"/>
  <c r="B3" i="63"/>
  <c r="C18" i="63"/>
  <c r="C28" i="63"/>
  <c r="C60" i="63"/>
  <c r="C179" i="63"/>
  <c r="C192" i="63"/>
  <c r="E164" i="63"/>
  <c r="E147" i="63"/>
  <c r="E119" i="63"/>
  <c r="E96" i="63"/>
  <c r="E33" i="63"/>
  <c r="E5" i="63"/>
  <c r="F173" i="63"/>
  <c r="F43" i="63"/>
  <c r="G202" i="63"/>
  <c r="E184" i="63"/>
  <c r="E161" i="63"/>
  <c r="E117" i="63"/>
  <c r="E93" i="63"/>
  <c r="E65" i="63"/>
  <c r="E28" i="63"/>
  <c r="E3" i="63"/>
  <c r="F135" i="63"/>
  <c r="F37" i="63"/>
  <c r="G200" i="63"/>
  <c r="C45" i="63"/>
  <c r="B56" i="63"/>
  <c r="C79" i="63"/>
  <c r="C90" i="63"/>
  <c r="C106" i="63"/>
  <c r="C121" i="63"/>
  <c r="B132" i="63"/>
  <c r="B149" i="63"/>
  <c r="E180" i="63"/>
  <c r="E159" i="63"/>
  <c r="E115" i="63"/>
  <c r="E85" i="63"/>
  <c r="E24" i="63"/>
  <c r="F133" i="63"/>
  <c r="G197" i="63"/>
  <c r="E179" i="63"/>
  <c r="E133" i="63"/>
  <c r="E83" i="63"/>
  <c r="E21" i="63"/>
  <c r="F161" i="63"/>
  <c r="F131" i="63"/>
  <c r="F85" i="63"/>
  <c r="G194" i="63"/>
  <c r="B161" i="63"/>
  <c r="B178" i="63"/>
  <c r="E177" i="63"/>
  <c r="E156" i="63"/>
  <c r="E79" i="63"/>
  <c r="E45" i="63"/>
  <c r="E20" i="63"/>
  <c r="F197" i="63"/>
  <c r="F15" i="63"/>
  <c r="G192" i="63"/>
  <c r="C8" i="63"/>
  <c r="B5" i="63"/>
  <c r="C20" i="63"/>
  <c r="C25" i="63"/>
  <c r="B118" i="63"/>
  <c r="B128" i="63"/>
  <c r="C47" i="63"/>
  <c r="C63" i="63"/>
  <c r="C76" i="63"/>
  <c r="B108" i="63"/>
  <c r="B183" i="63"/>
  <c r="E153" i="63"/>
  <c r="E108" i="63"/>
  <c r="E76" i="63"/>
  <c r="E17" i="63"/>
  <c r="F153" i="63"/>
  <c r="F115" i="63"/>
  <c r="F10" i="63"/>
  <c r="G182" i="63"/>
  <c r="Z7" i="63"/>
  <c r="Y7" i="63"/>
  <c r="X7" i="63"/>
  <c r="W7" i="63"/>
  <c r="U7" i="63"/>
  <c r="V7" i="63"/>
  <c r="S7" i="63"/>
  <c r="R7" i="63"/>
  <c r="Q7" i="63"/>
  <c r="P7" i="63"/>
  <c r="O7" i="63"/>
  <c r="N7" i="63"/>
  <c r="M7" i="63"/>
  <c r="K7" i="63"/>
  <c r="L7" i="63"/>
  <c r="J7" i="63"/>
  <c r="I7" i="63"/>
  <c r="H7" i="63"/>
  <c r="E7" i="63"/>
  <c r="G7" i="63"/>
  <c r="F7" i="63"/>
  <c r="Y36" i="63"/>
  <c r="Z36" i="63"/>
  <c r="X36" i="63"/>
  <c r="V36" i="63"/>
  <c r="W36" i="63"/>
  <c r="U36" i="63"/>
  <c r="S36" i="63"/>
  <c r="R36" i="63"/>
  <c r="O36" i="63"/>
  <c r="L36" i="63"/>
  <c r="I36" i="63"/>
  <c r="K36" i="63"/>
  <c r="E36" i="63"/>
  <c r="H36" i="63"/>
  <c r="C49" i="63"/>
  <c r="Z81" i="63"/>
  <c r="Y81" i="63"/>
  <c r="X81" i="63"/>
  <c r="W81" i="63"/>
  <c r="V81" i="63"/>
  <c r="U81" i="63"/>
  <c r="P81" i="63"/>
  <c r="S81" i="63"/>
  <c r="R81" i="63"/>
  <c r="Q81" i="63"/>
  <c r="O81" i="63"/>
  <c r="M81" i="63"/>
  <c r="N81" i="63"/>
  <c r="L81" i="63"/>
  <c r="K81" i="63"/>
  <c r="J81" i="63"/>
  <c r="I81" i="63"/>
  <c r="F81" i="63"/>
  <c r="H81" i="63"/>
  <c r="G81" i="63"/>
  <c r="X86" i="63"/>
  <c r="Z86" i="63"/>
  <c r="Y86" i="63"/>
  <c r="W86" i="63"/>
  <c r="V86" i="63"/>
  <c r="U86" i="63"/>
  <c r="S86" i="63"/>
  <c r="R86" i="63"/>
  <c r="Q86" i="63"/>
  <c r="P86" i="63"/>
  <c r="O86" i="63"/>
  <c r="K86" i="63"/>
  <c r="N86" i="63"/>
  <c r="M86" i="63"/>
  <c r="J86" i="63"/>
  <c r="L86" i="63"/>
  <c r="I86" i="63"/>
  <c r="B86" i="63"/>
  <c r="G86" i="63"/>
  <c r="H86" i="63"/>
  <c r="F86" i="63"/>
  <c r="E86" i="63"/>
  <c r="C86" i="63"/>
  <c r="Z91" i="63"/>
  <c r="V91" i="63"/>
  <c r="X91" i="63"/>
  <c r="Y91" i="63"/>
  <c r="W91" i="63"/>
  <c r="U91" i="63"/>
  <c r="S91" i="63"/>
  <c r="Q91" i="63"/>
  <c r="P91" i="63"/>
  <c r="R91" i="63"/>
  <c r="N91" i="63"/>
  <c r="M91" i="63"/>
  <c r="O91" i="63"/>
  <c r="L91" i="63"/>
  <c r="I91" i="63"/>
  <c r="H91" i="63"/>
  <c r="K91" i="63"/>
  <c r="J91" i="63"/>
  <c r="F91" i="63"/>
  <c r="C91" i="63"/>
  <c r="E91" i="63"/>
  <c r="G91" i="63"/>
  <c r="Z95" i="63"/>
  <c r="X95" i="63"/>
  <c r="Y95" i="63"/>
  <c r="W95" i="63"/>
  <c r="V95" i="63"/>
  <c r="U95" i="63"/>
  <c r="S95" i="63"/>
  <c r="Q95" i="63"/>
  <c r="R95" i="63"/>
  <c r="P95" i="63"/>
  <c r="M95" i="63"/>
  <c r="O95" i="63"/>
  <c r="N95" i="63"/>
  <c r="K95" i="63"/>
  <c r="L95" i="63"/>
  <c r="J95" i="63"/>
  <c r="I95" i="63"/>
  <c r="H95" i="63"/>
  <c r="G95" i="63"/>
  <c r="F95" i="63"/>
  <c r="E95" i="63"/>
  <c r="Y101" i="63"/>
  <c r="Z101" i="63"/>
  <c r="W101" i="63"/>
  <c r="X101" i="63"/>
  <c r="V101" i="63"/>
  <c r="U101" i="63"/>
  <c r="Q101" i="63"/>
  <c r="S101" i="63"/>
  <c r="R101" i="63"/>
  <c r="O101" i="63"/>
  <c r="P101" i="63"/>
  <c r="N101" i="63"/>
  <c r="M101" i="63"/>
  <c r="J101" i="63"/>
  <c r="I101" i="63"/>
  <c r="L101" i="63"/>
  <c r="K101" i="63"/>
  <c r="H101" i="63"/>
  <c r="C101" i="63"/>
  <c r="G101" i="63"/>
  <c r="F101" i="63"/>
  <c r="C132" i="63"/>
  <c r="C137" i="63"/>
  <c r="Z143" i="63"/>
  <c r="X143" i="63"/>
  <c r="W143" i="63"/>
  <c r="Y143" i="63"/>
  <c r="V143" i="63"/>
  <c r="U143" i="63"/>
  <c r="S143" i="63"/>
  <c r="R143" i="63"/>
  <c r="Q143" i="63"/>
  <c r="P143" i="63"/>
  <c r="M143" i="63"/>
  <c r="N143" i="63"/>
  <c r="O143" i="63"/>
  <c r="J143" i="63"/>
  <c r="L143" i="63"/>
  <c r="K143" i="63"/>
  <c r="H143" i="63"/>
  <c r="I143" i="63"/>
  <c r="E143" i="63"/>
  <c r="G143" i="63"/>
  <c r="Z152" i="63"/>
  <c r="X152" i="63"/>
  <c r="Y152" i="63"/>
  <c r="W152" i="63"/>
  <c r="V152" i="63"/>
  <c r="U152" i="63"/>
  <c r="R152" i="63"/>
  <c r="P152" i="63"/>
  <c r="S152" i="63"/>
  <c r="Q152" i="63"/>
  <c r="M152" i="63"/>
  <c r="L152" i="63"/>
  <c r="O152" i="63"/>
  <c r="N152" i="63"/>
  <c r="J152" i="63"/>
  <c r="K152" i="63"/>
  <c r="E152" i="63"/>
  <c r="I152" i="63"/>
  <c r="G152" i="63"/>
  <c r="H152" i="63"/>
  <c r="F152" i="63"/>
  <c r="Z157" i="63"/>
  <c r="Y157" i="63"/>
  <c r="W157" i="63"/>
  <c r="V157" i="63"/>
  <c r="X157" i="63"/>
  <c r="U157" i="63"/>
  <c r="Q157" i="63"/>
  <c r="O157" i="63"/>
  <c r="S157" i="63"/>
  <c r="R157" i="63"/>
  <c r="P157" i="63"/>
  <c r="N157" i="63"/>
  <c r="M157" i="63"/>
  <c r="L157" i="63"/>
  <c r="J157" i="63"/>
  <c r="K157" i="63"/>
  <c r="I157" i="63"/>
  <c r="G157" i="63"/>
  <c r="H157" i="63"/>
  <c r="F157" i="63"/>
  <c r="Y162" i="63"/>
  <c r="X162" i="63"/>
  <c r="Z162" i="63"/>
  <c r="V162" i="63"/>
  <c r="W162" i="63"/>
  <c r="U162" i="63"/>
  <c r="S162" i="63"/>
  <c r="R162" i="63"/>
  <c r="P162" i="63"/>
  <c r="Q162" i="63"/>
  <c r="N162" i="63"/>
  <c r="M162" i="63"/>
  <c r="O162" i="63"/>
  <c r="K162" i="63"/>
  <c r="I162" i="63"/>
  <c r="L162" i="63"/>
  <c r="J162" i="63"/>
  <c r="B162" i="63"/>
  <c r="F162" i="63"/>
  <c r="E162" i="63"/>
  <c r="H162" i="63"/>
  <c r="G162" i="63"/>
  <c r="C162" i="63"/>
  <c r="Z191" i="63"/>
  <c r="X191" i="63"/>
  <c r="W191" i="63"/>
  <c r="Y191" i="63"/>
  <c r="V191" i="63"/>
  <c r="S191" i="63"/>
  <c r="U191" i="63"/>
  <c r="Q191" i="63"/>
  <c r="R191" i="63"/>
  <c r="P191" i="63"/>
  <c r="O191" i="63"/>
  <c r="N191" i="63"/>
  <c r="K191" i="63"/>
  <c r="M191" i="63"/>
  <c r="L191" i="63"/>
  <c r="J191" i="63"/>
  <c r="H191" i="63"/>
  <c r="I191" i="63"/>
  <c r="E191" i="63"/>
  <c r="G191" i="63"/>
  <c r="Y129" i="63"/>
  <c r="Z129" i="63"/>
  <c r="X129" i="63"/>
  <c r="W129" i="63"/>
  <c r="V129" i="63"/>
  <c r="U129" i="63"/>
  <c r="S129" i="63"/>
  <c r="R129" i="63"/>
  <c r="P129" i="63"/>
  <c r="Q129" i="63"/>
  <c r="O129" i="63"/>
  <c r="M129" i="63"/>
  <c r="N129" i="63"/>
  <c r="L129" i="63"/>
  <c r="K129" i="63"/>
  <c r="J129" i="63"/>
  <c r="I129" i="63"/>
  <c r="F129" i="63"/>
  <c r="C129" i="63"/>
  <c r="H129" i="63"/>
  <c r="G129" i="63"/>
  <c r="X158" i="63"/>
  <c r="Z158" i="63"/>
  <c r="W158" i="63"/>
  <c r="Y158" i="63"/>
  <c r="V158" i="63"/>
  <c r="U158" i="63"/>
  <c r="Q158" i="63"/>
  <c r="S158" i="63"/>
  <c r="R158" i="63"/>
  <c r="P158" i="63"/>
  <c r="O158" i="63"/>
  <c r="N158" i="63"/>
  <c r="M158" i="63"/>
  <c r="L158" i="63"/>
  <c r="J158" i="63"/>
  <c r="K158" i="63"/>
  <c r="I158" i="63"/>
  <c r="B158" i="63"/>
  <c r="G158" i="63"/>
  <c r="H158" i="63"/>
  <c r="F158" i="63"/>
  <c r="E158" i="63"/>
  <c r="Z163" i="63"/>
  <c r="X163" i="63"/>
  <c r="Y163" i="63"/>
  <c r="W163" i="63"/>
  <c r="V163" i="63"/>
  <c r="U163" i="63"/>
  <c r="S163" i="63"/>
  <c r="Q163" i="63"/>
  <c r="R163" i="63"/>
  <c r="P163" i="63"/>
  <c r="N163" i="63"/>
  <c r="M163" i="63"/>
  <c r="O163" i="63"/>
  <c r="K163" i="63"/>
  <c r="H163" i="63"/>
  <c r="L163" i="63"/>
  <c r="J163" i="63"/>
  <c r="F163" i="63"/>
  <c r="E163" i="63"/>
  <c r="I163" i="63"/>
  <c r="G163" i="63"/>
  <c r="Z167" i="63"/>
  <c r="X167" i="63"/>
  <c r="W167" i="63"/>
  <c r="Y167" i="63"/>
  <c r="V167" i="63"/>
  <c r="U167" i="63"/>
  <c r="S167" i="63"/>
  <c r="Q167" i="63"/>
  <c r="R167" i="63"/>
  <c r="P167" i="63"/>
  <c r="O167" i="63"/>
  <c r="M167" i="63"/>
  <c r="N167" i="63"/>
  <c r="L167" i="63"/>
  <c r="J167" i="63"/>
  <c r="K167" i="63"/>
  <c r="H167" i="63"/>
  <c r="E167" i="63"/>
  <c r="G167" i="63"/>
  <c r="C167" i="63"/>
  <c r="I167" i="63"/>
  <c r="Z171" i="63"/>
  <c r="Y171" i="63"/>
  <c r="W171" i="63"/>
  <c r="V171" i="63"/>
  <c r="X171" i="63"/>
  <c r="U171" i="63"/>
  <c r="S171" i="63"/>
  <c r="R171" i="63"/>
  <c r="Q171" i="63"/>
  <c r="P171" i="63"/>
  <c r="N171" i="63"/>
  <c r="O171" i="63"/>
  <c r="M171" i="63"/>
  <c r="H171" i="63"/>
  <c r="L171" i="63"/>
  <c r="K171" i="63"/>
  <c r="J171" i="63"/>
  <c r="I171" i="63"/>
  <c r="F171" i="63"/>
  <c r="B171" i="63"/>
  <c r="E171" i="63"/>
  <c r="G171" i="63"/>
  <c r="Z176" i="63"/>
  <c r="X176" i="63"/>
  <c r="Y176" i="63"/>
  <c r="W176" i="63"/>
  <c r="V176" i="63"/>
  <c r="U176" i="63"/>
  <c r="R176" i="63"/>
  <c r="P176" i="63"/>
  <c r="S176" i="63"/>
  <c r="Q176" i="63"/>
  <c r="L176" i="63"/>
  <c r="N176" i="63"/>
  <c r="O176" i="63"/>
  <c r="M176" i="63"/>
  <c r="K176" i="63"/>
  <c r="J176" i="63"/>
  <c r="H176" i="63"/>
  <c r="E176" i="63"/>
  <c r="G176" i="63"/>
  <c r="I176" i="63"/>
  <c r="F176" i="63"/>
  <c r="Y185" i="63"/>
  <c r="Z185" i="63"/>
  <c r="X185" i="63"/>
  <c r="W185" i="63"/>
  <c r="V185" i="63"/>
  <c r="U185" i="63"/>
  <c r="P185" i="63"/>
  <c r="S185" i="63"/>
  <c r="R185" i="63"/>
  <c r="Q185" i="63"/>
  <c r="O185" i="63"/>
  <c r="N185" i="63"/>
  <c r="K185" i="63"/>
  <c r="J185" i="63"/>
  <c r="L185" i="63"/>
  <c r="M185" i="63"/>
  <c r="I185" i="63"/>
  <c r="F185" i="63"/>
  <c r="G185" i="63"/>
  <c r="H185" i="63"/>
  <c r="Z196" i="63"/>
  <c r="Y196" i="63"/>
  <c r="X196" i="63"/>
  <c r="V196" i="63"/>
  <c r="W196" i="63"/>
  <c r="U196" i="63"/>
  <c r="R196" i="63"/>
  <c r="Q196" i="63"/>
  <c r="S196" i="63"/>
  <c r="P196" i="63"/>
  <c r="N196" i="63"/>
  <c r="O196" i="63"/>
  <c r="L196" i="63"/>
  <c r="J196" i="63"/>
  <c r="K196" i="63"/>
  <c r="M196" i="63"/>
  <c r="G196" i="63"/>
  <c r="C196" i="63"/>
  <c r="F196" i="63"/>
  <c r="I196" i="63"/>
  <c r="H196" i="63"/>
  <c r="X46" i="63"/>
  <c r="Y46" i="63"/>
  <c r="W46" i="63"/>
  <c r="Z46" i="63"/>
  <c r="V46" i="63"/>
  <c r="U46" i="63"/>
  <c r="R46" i="63"/>
  <c r="S46" i="63"/>
  <c r="Q46" i="63"/>
  <c r="P46" i="63"/>
  <c r="K46" i="63"/>
  <c r="N46" i="63"/>
  <c r="O46" i="63"/>
  <c r="M46" i="63"/>
  <c r="J46" i="63"/>
  <c r="I46" i="63"/>
  <c r="L46" i="63"/>
  <c r="F46" i="63"/>
  <c r="H46" i="63"/>
  <c r="G46" i="63"/>
  <c r="E46" i="63"/>
  <c r="Z51" i="63"/>
  <c r="Y51" i="63"/>
  <c r="V51" i="63"/>
  <c r="X51" i="63"/>
  <c r="W51" i="63"/>
  <c r="U51" i="63"/>
  <c r="S51" i="63"/>
  <c r="Q51" i="63"/>
  <c r="P51" i="63"/>
  <c r="R51" i="63"/>
  <c r="O51" i="63"/>
  <c r="N51" i="63"/>
  <c r="M51" i="63"/>
  <c r="K51" i="63"/>
  <c r="I51" i="63"/>
  <c r="L51" i="63"/>
  <c r="H51" i="63"/>
  <c r="J51" i="63"/>
  <c r="F51" i="63"/>
  <c r="G51" i="63"/>
  <c r="E51" i="63"/>
  <c r="Z61" i="63"/>
  <c r="Y61" i="63"/>
  <c r="W61" i="63"/>
  <c r="X61" i="63"/>
  <c r="V61" i="63"/>
  <c r="U61" i="63"/>
  <c r="Q61" i="63"/>
  <c r="O61" i="63"/>
  <c r="S61" i="63"/>
  <c r="R61" i="63"/>
  <c r="P61" i="63"/>
  <c r="N61" i="63"/>
  <c r="M61" i="63"/>
  <c r="L61" i="63"/>
  <c r="K61" i="63"/>
  <c r="J61" i="63"/>
  <c r="I61" i="63"/>
  <c r="H61" i="63"/>
  <c r="G61" i="63"/>
  <c r="C61" i="63"/>
  <c r="F61" i="63"/>
  <c r="Z72" i="63"/>
  <c r="Y72" i="63"/>
  <c r="X72" i="63"/>
  <c r="V72" i="63"/>
  <c r="W72" i="63"/>
  <c r="U72" i="63"/>
  <c r="R72" i="63"/>
  <c r="P72" i="63"/>
  <c r="S72" i="63"/>
  <c r="Q72" i="63"/>
  <c r="O72" i="63"/>
  <c r="M72" i="63"/>
  <c r="L72" i="63"/>
  <c r="N72" i="63"/>
  <c r="K72" i="63"/>
  <c r="J72" i="63"/>
  <c r="I72" i="63"/>
  <c r="C72" i="63"/>
  <c r="H72" i="63"/>
  <c r="G72" i="63"/>
  <c r="F72" i="63"/>
  <c r="E72" i="63"/>
  <c r="Y77" i="63"/>
  <c r="Z77" i="63"/>
  <c r="W77" i="63"/>
  <c r="X77" i="63"/>
  <c r="V77" i="63"/>
  <c r="U77" i="63"/>
  <c r="S77" i="63"/>
  <c r="R77" i="63"/>
  <c r="Q77" i="63"/>
  <c r="O77" i="63"/>
  <c r="P77" i="63"/>
  <c r="N77" i="63"/>
  <c r="M77" i="63"/>
  <c r="J77" i="63"/>
  <c r="I77" i="63"/>
  <c r="L77" i="63"/>
  <c r="K77" i="63"/>
  <c r="G77" i="63"/>
  <c r="F77" i="63"/>
  <c r="H77" i="63"/>
  <c r="V92" i="63"/>
  <c r="Z92" i="63"/>
  <c r="X92" i="63"/>
  <c r="Y92" i="63"/>
  <c r="U92" i="63"/>
  <c r="W92" i="63"/>
  <c r="R92" i="63"/>
  <c r="Q92" i="63"/>
  <c r="S92" i="63"/>
  <c r="P92" i="63"/>
  <c r="O92" i="63"/>
  <c r="N92" i="63"/>
  <c r="M92" i="63"/>
  <c r="L92" i="63"/>
  <c r="K92" i="63"/>
  <c r="J92" i="63"/>
  <c r="I92" i="63"/>
  <c r="G92" i="63"/>
  <c r="C92" i="63"/>
  <c r="H92" i="63"/>
  <c r="F92" i="63"/>
  <c r="B163" i="63"/>
  <c r="B167" i="63"/>
  <c r="C171" i="63"/>
  <c r="Y181" i="63"/>
  <c r="Z181" i="63"/>
  <c r="W181" i="63"/>
  <c r="V181" i="63"/>
  <c r="X181" i="63"/>
  <c r="U181" i="63"/>
  <c r="Q181" i="63"/>
  <c r="O181" i="63"/>
  <c r="P181" i="63"/>
  <c r="S181" i="63"/>
  <c r="R181" i="63"/>
  <c r="N181" i="63"/>
  <c r="K181" i="63"/>
  <c r="J181" i="63"/>
  <c r="L181" i="63"/>
  <c r="I181" i="63"/>
  <c r="M181" i="63"/>
  <c r="G181" i="63"/>
  <c r="H181" i="63"/>
  <c r="F181" i="63"/>
  <c r="C185" i="63"/>
  <c r="B196" i="63"/>
  <c r="E185" i="63"/>
  <c r="E92" i="63"/>
  <c r="F167" i="63"/>
  <c r="F143" i="63"/>
  <c r="Y138" i="63"/>
  <c r="Z138" i="63"/>
  <c r="X138" i="63"/>
  <c r="V138" i="63"/>
  <c r="U138" i="63"/>
  <c r="W138" i="63"/>
  <c r="P138" i="63"/>
  <c r="S138" i="63"/>
  <c r="R138" i="63"/>
  <c r="Q138" i="63"/>
  <c r="N138" i="63"/>
  <c r="O138" i="63"/>
  <c r="M138" i="63"/>
  <c r="K138" i="63"/>
  <c r="I138" i="63"/>
  <c r="L138" i="63"/>
  <c r="J138" i="63"/>
  <c r="B138" i="63"/>
  <c r="F138" i="63"/>
  <c r="E138" i="63"/>
  <c r="H138" i="63"/>
  <c r="G138" i="63"/>
  <c r="C138" i="63"/>
  <c r="Z144" i="63"/>
  <c r="X144" i="63"/>
  <c r="Y144" i="63"/>
  <c r="W144" i="63"/>
  <c r="V144" i="63"/>
  <c r="U144" i="63"/>
  <c r="R144" i="63"/>
  <c r="P144" i="63"/>
  <c r="S144" i="63"/>
  <c r="Q144" i="63"/>
  <c r="M144" i="63"/>
  <c r="L144" i="63"/>
  <c r="N144" i="63"/>
  <c r="O144" i="63"/>
  <c r="K144" i="63"/>
  <c r="J144" i="63"/>
  <c r="I144" i="63"/>
  <c r="H144" i="63"/>
  <c r="E144" i="63"/>
  <c r="C144" i="63"/>
  <c r="G144" i="63"/>
  <c r="F144" i="63"/>
  <c r="Y148" i="63"/>
  <c r="Z148" i="63"/>
  <c r="V148" i="63"/>
  <c r="X148" i="63"/>
  <c r="W148" i="63"/>
  <c r="R148" i="63"/>
  <c r="U148" i="63"/>
  <c r="Q148" i="63"/>
  <c r="P148" i="63"/>
  <c r="S148" i="63"/>
  <c r="O148" i="63"/>
  <c r="N148" i="63"/>
  <c r="M148" i="63"/>
  <c r="L148" i="63"/>
  <c r="J148" i="63"/>
  <c r="I148" i="63"/>
  <c r="K148" i="63"/>
  <c r="G148" i="63"/>
  <c r="H148" i="63"/>
  <c r="F148" i="63"/>
  <c r="Z13" i="63"/>
  <c r="Y13" i="63"/>
  <c r="W13" i="63"/>
  <c r="X13" i="63"/>
  <c r="V13" i="63"/>
  <c r="U13" i="63"/>
  <c r="S13" i="63"/>
  <c r="Q13" i="63"/>
  <c r="R13" i="63"/>
  <c r="O13" i="63"/>
  <c r="P13" i="63"/>
  <c r="N13" i="63"/>
  <c r="M13" i="63"/>
  <c r="J13" i="63"/>
  <c r="I13" i="63"/>
  <c r="L13" i="63"/>
  <c r="K13" i="63"/>
  <c r="F13" i="63"/>
  <c r="H13" i="63"/>
  <c r="G13" i="63"/>
  <c r="B27" i="63"/>
  <c r="Z107" i="63"/>
  <c r="V107" i="63"/>
  <c r="X107" i="63"/>
  <c r="Y107" i="63"/>
  <c r="W107" i="63"/>
  <c r="U107" i="63"/>
  <c r="S107" i="63"/>
  <c r="R107" i="63"/>
  <c r="Q107" i="63"/>
  <c r="P107" i="63"/>
  <c r="N107" i="63"/>
  <c r="O107" i="63"/>
  <c r="M107" i="63"/>
  <c r="I107" i="63"/>
  <c r="K107" i="63"/>
  <c r="H107" i="63"/>
  <c r="L107" i="63"/>
  <c r="J107" i="63"/>
  <c r="F107" i="63"/>
  <c r="E107" i="63"/>
  <c r="G107" i="63"/>
  <c r="Z120" i="63"/>
  <c r="Y120" i="63"/>
  <c r="X120" i="63"/>
  <c r="W120" i="63"/>
  <c r="V120" i="63"/>
  <c r="U120" i="63"/>
  <c r="R120" i="63"/>
  <c r="P120" i="63"/>
  <c r="S120" i="63"/>
  <c r="Q120" i="63"/>
  <c r="M120" i="63"/>
  <c r="L120" i="63"/>
  <c r="O120" i="63"/>
  <c r="N120" i="63"/>
  <c r="J120" i="63"/>
  <c r="K120" i="63"/>
  <c r="I120" i="63"/>
  <c r="G120" i="63"/>
  <c r="H120" i="63"/>
  <c r="F120" i="63"/>
  <c r="E120" i="63"/>
  <c r="B129" i="63"/>
  <c r="X134" i="63"/>
  <c r="Y134" i="63"/>
  <c r="Z134" i="63"/>
  <c r="W134" i="63"/>
  <c r="V134" i="63"/>
  <c r="U134" i="63"/>
  <c r="Q134" i="63"/>
  <c r="S134" i="63"/>
  <c r="R134" i="63"/>
  <c r="P134" i="63"/>
  <c r="K134" i="63"/>
  <c r="N134" i="63"/>
  <c r="O134" i="63"/>
  <c r="M134" i="63"/>
  <c r="L134" i="63"/>
  <c r="J134" i="63"/>
  <c r="I134" i="63"/>
  <c r="C134" i="63"/>
  <c r="H134" i="63"/>
  <c r="G134" i="63"/>
  <c r="F134" i="63"/>
  <c r="E134" i="63"/>
  <c r="Z139" i="63"/>
  <c r="X139" i="63"/>
  <c r="Y139" i="63"/>
  <c r="W139" i="63"/>
  <c r="V139" i="63"/>
  <c r="U139" i="63"/>
  <c r="S139" i="63"/>
  <c r="R139" i="63"/>
  <c r="Q139" i="63"/>
  <c r="P139" i="63"/>
  <c r="N139" i="63"/>
  <c r="O139" i="63"/>
  <c r="M139" i="63"/>
  <c r="I139" i="63"/>
  <c r="K139" i="63"/>
  <c r="H139" i="63"/>
  <c r="L139" i="63"/>
  <c r="J139" i="63"/>
  <c r="F139" i="63"/>
  <c r="E139" i="63"/>
  <c r="G139" i="63"/>
  <c r="B144" i="63"/>
  <c r="Z14" i="63"/>
  <c r="X14" i="63"/>
  <c r="Y14" i="63"/>
  <c r="W14" i="63"/>
  <c r="V14" i="63"/>
  <c r="U14" i="63"/>
  <c r="S14" i="63"/>
  <c r="R14" i="63"/>
  <c r="Q14" i="63"/>
  <c r="P14" i="63"/>
  <c r="N14" i="63"/>
  <c r="K14" i="63"/>
  <c r="O14" i="63"/>
  <c r="M14" i="63"/>
  <c r="J14" i="63"/>
  <c r="I14" i="63"/>
  <c r="L14" i="63"/>
  <c r="F14" i="63"/>
  <c r="H14" i="63"/>
  <c r="G14" i="63"/>
  <c r="E14" i="63"/>
  <c r="Z32" i="63"/>
  <c r="Y32" i="63"/>
  <c r="X32" i="63"/>
  <c r="V32" i="63"/>
  <c r="W32" i="63"/>
  <c r="U32" i="63"/>
  <c r="S32" i="63"/>
  <c r="R32" i="63"/>
  <c r="Q32" i="63"/>
  <c r="P32" i="63"/>
  <c r="M32" i="63"/>
  <c r="O32" i="63"/>
  <c r="L32" i="63"/>
  <c r="N32" i="63"/>
  <c r="K32" i="63"/>
  <c r="G32" i="63"/>
  <c r="J32" i="63"/>
  <c r="I32" i="63"/>
  <c r="E32" i="63"/>
  <c r="H32" i="63"/>
  <c r="F32" i="63"/>
  <c r="X38" i="63"/>
  <c r="W38" i="63"/>
  <c r="Z38" i="63"/>
  <c r="Y38" i="63"/>
  <c r="V38" i="63"/>
  <c r="U38" i="63"/>
  <c r="S38" i="63"/>
  <c r="R38" i="63"/>
  <c r="Q38" i="63"/>
  <c r="P38" i="63"/>
  <c r="K38" i="63"/>
  <c r="N38" i="63"/>
  <c r="O38" i="63"/>
  <c r="M38" i="63"/>
  <c r="L38" i="63"/>
  <c r="J38" i="63"/>
  <c r="I38" i="63"/>
  <c r="H38" i="63"/>
  <c r="G38" i="63"/>
  <c r="F38" i="63"/>
  <c r="E38" i="63"/>
  <c r="Z42" i="63"/>
  <c r="X42" i="63"/>
  <c r="Y42" i="63"/>
  <c r="V42" i="63"/>
  <c r="U42" i="63"/>
  <c r="W42" i="63"/>
  <c r="S42" i="63"/>
  <c r="P42" i="63"/>
  <c r="R42" i="63"/>
  <c r="Q42" i="63"/>
  <c r="N42" i="63"/>
  <c r="O42" i="63"/>
  <c r="M42" i="63"/>
  <c r="K42" i="63"/>
  <c r="I42" i="63"/>
  <c r="L42" i="63"/>
  <c r="J42" i="63"/>
  <c r="C42" i="63"/>
  <c r="F42" i="63"/>
  <c r="E42" i="63"/>
  <c r="H42" i="63"/>
  <c r="G42" i="63"/>
  <c r="Z52" i="63"/>
  <c r="V52" i="63"/>
  <c r="Y52" i="63"/>
  <c r="X52" i="63"/>
  <c r="W52" i="63"/>
  <c r="U52" i="63"/>
  <c r="R52" i="63"/>
  <c r="Q52" i="63"/>
  <c r="P52" i="63"/>
  <c r="S52" i="63"/>
  <c r="O52" i="63"/>
  <c r="N52" i="63"/>
  <c r="M52" i="63"/>
  <c r="L52" i="63"/>
  <c r="J52" i="63"/>
  <c r="K52" i="63"/>
  <c r="I52" i="63"/>
  <c r="G52" i="63"/>
  <c r="H52" i="63"/>
  <c r="F52" i="63"/>
  <c r="E52" i="63"/>
  <c r="Z57" i="63"/>
  <c r="Y57" i="63"/>
  <c r="X57" i="63"/>
  <c r="U57" i="63"/>
  <c r="V57" i="63"/>
  <c r="W57" i="63"/>
  <c r="P57" i="63"/>
  <c r="S57" i="63"/>
  <c r="R57" i="63"/>
  <c r="Q57" i="63"/>
  <c r="O57" i="63"/>
  <c r="M57" i="63"/>
  <c r="N57" i="63"/>
  <c r="J57" i="63"/>
  <c r="L57" i="63"/>
  <c r="K57" i="63"/>
  <c r="I57" i="63"/>
  <c r="F57" i="63"/>
  <c r="H57" i="63"/>
  <c r="G57" i="63"/>
  <c r="X62" i="63"/>
  <c r="Z62" i="63"/>
  <c r="Y62" i="63"/>
  <c r="W62" i="63"/>
  <c r="V62" i="63"/>
  <c r="U62" i="63"/>
  <c r="Q62" i="63"/>
  <c r="S62" i="63"/>
  <c r="R62" i="63"/>
  <c r="P62" i="63"/>
  <c r="O62" i="63"/>
  <c r="K62" i="63"/>
  <c r="N62" i="63"/>
  <c r="M62" i="63"/>
  <c r="L62" i="63"/>
  <c r="J62" i="63"/>
  <c r="I62" i="63"/>
  <c r="H62" i="63"/>
  <c r="G62" i="63"/>
  <c r="F62" i="63"/>
  <c r="E62" i="63"/>
  <c r="X66" i="63"/>
  <c r="V66" i="63"/>
  <c r="Y66" i="63"/>
  <c r="Z66" i="63"/>
  <c r="W66" i="63"/>
  <c r="U66" i="63"/>
  <c r="S66" i="63"/>
  <c r="R66" i="63"/>
  <c r="P66" i="63"/>
  <c r="Q66" i="63"/>
  <c r="N66" i="63"/>
  <c r="M66" i="63"/>
  <c r="O66" i="63"/>
  <c r="K66" i="63"/>
  <c r="I66" i="63"/>
  <c r="L66" i="63"/>
  <c r="J66" i="63"/>
  <c r="F66" i="63"/>
  <c r="E66" i="63"/>
  <c r="H66" i="63"/>
  <c r="G66" i="63"/>
  <c r="B72" i="63"/>
  <c r="X84" i="63"/>
  <c r="Z84" i="63"/>
  <c r="Y84" i="63"/>
  <c r="V84" i="63"/>
  <c r="W84" i="63"/>
  <c r="U84" i="63"/>
  <c r="R84" i="63"/>
  <c r="Q84" i="63"/>
  <c r="P84" i="63"/>
  <c r="S84" i="63"/>
  <c r="O84" i="63"/>
  <c r="N84" i="63"/>
  <c r="M84" i="63"/>
  <c r="L84" i="63"/>
  <c r="J84" i="63"/>
  <c r="K84" i="63"/>
  <c r="I84" i="63"/>
  <c r="G84" i="63"/>
  <c r="H84" i="63"/>
  <c r="F84" i="63"/>
  <c r="Z88" i="63"/>
  <c r="X88" i="63"/>
  <c r="Y88" i="63"/>
  <c r="V88" i="63"/>
  <c r="W88" i="63"/>
  <c r="U88" i="63"/>
  <c r="R88" i="63"/>
  <c r="P88" i="63"/>
  <c r="S88" i="63"/>
  <c r="Q88" i="63"/>
  <c r="M88" i="63"/>
  <c r="L88" i="63"/>
  <c r="O88" i="63"/>
  <c r="N88" i="63"/>
  <c r="J88" i="63"/>
  <c r="K88" i="63"/>
  <c r="I88" i="63"/>
  <c r="B88" i="63"/>
  <c r="G88" i="63"/>
  <c r="H88" i="63"/>
  <c r="F88" i="63"/>
  <c r="E88" i="63"/>
  <c r="B92" i="63"/>
  <c r="B107" i="63"/>
  <c r="Z112" i="63"/>
  <c r="X112" i="63"/>
  <c r="Y112" i="63"/>
  <c r="W112" i="63"/>
  <c r="V112" i="63"/>
  <c r="U112" i="63"/>
  <c r="R112" i="63"/>
  <c r="P112" i="63"/>
  <c r="S112" i="63"/>
  <c r="Q112" i="63"/>
  <c r="M112" i="63"/>
  <c r="L112" i="63"/>
  <c r="N112" i="63"/>
  <c r="O112" i="63"/>
  <c r="J112" i="63"/>
  <c r="I112" i="63"/>
  <c r="K112" i="63"/>
  <c r="H112" i="63"/>
  <c r="C112" i="63"/>
  <c r="G112" i="63"/>
  <c r="F112" i="63"/>
  <c r="E112" i="63"/>
  <c r="Z116" i="63"/>
  <c r="X116" i="63"/>
  <c r="Y116" i="63"/>
  <c r="V116" i="63"/>
  <c r="W116" i="63"/>
  <c r="R116" i="63"/>
  <c r="U116" i="63"/>
  <c r="Q116" i="63"/>
  <c r="P116" i="63"/>
  <c r="S116" i="63"/>
  <c r="O116" i="63"/>
  <c r="N116" i="63"/>
  <c r="M116" i="63"/>
  <c r="L116" i="63"/>
  <c r="J116" i="63"/>
  <c r="K116" i="63"/>
  <c r="I116" i="63"/>
  <c r="G116" i="63"/>
  <c r="H116" i="63"/>
  <c r="F116" i="63"/>
  <c r="Z125" i="63"/>
  <c r="Y125" i="63"/>
  <c r="W125" i="63"/>
  <c r="X125" i="63"/>
  <c r="V125" i="63"/>
  <c r="U125" i="63"/>
  <c r="Q125" i="63"/>
  <c r="O125" i="63"/>
  <c r="S125" i="63"/>
  <c r="R125" i="63"/>
  <c r="P125" i="63"/>
  <c r="N125" i="63"/>
  <c r="M125" i="63"/>
  <c r="L125" i="63"/>
  <c r="K125" i="63"/>
  <c r="J125" i="63"/>
  <c r="I125" i="63"/>
  <c r="G125" i="63"/>
  <c r="H125" i="63"/>
  <c r="F125" i="63"/>
  <c r="Y130" i="63"/>
  <c r="X130" i="63"/>
  <c r="Z130" i="63"/>
  <c r="V130" i="63"/>
  <c r="W130" i="63"/>
  <c r="U130" i="63"/>
  <c r="S130" i="63"/>
  <c r="R130" i="63"/>
  <c r="P130" i="63"/>
  <c r="Q130" i="63"/>
  <c r="N130" i="63"/>
  <c r="M130" i="63"/>
  <c r="O130" i="63"/>
  <c r="K130" i="63"/>
  <c r="I130" i="63"/>
  <c r="L130" i="63"/>
  <c r="J130" i="63"/>
  <c r="C130" i="63"/>
  <c r="F130" i="63"/>
  <c r="E130" i="63"/>
  <c r="H130" i="63"/>
  <c r="G130" i="63"/>
  <c r="B134" i="63"/>
  <c r="Z140" i="63"/>
  <c r="X140" i="63"/>
  <c r="Y140" i="63"/>
  <c r="V140" i="63"/>
  <c r="W140" i="63"/>
  <c r="R140" i="63"/>
  <c r="U140" i="63"/>
  <c r="S140" i="63"/>
  <c r="Q140" i="63"/>
  <c r="P140" i="63"/>
  <c r="N140" i="63"/>
  <c r="O140" i="63"/>
  <c r="M140" i="63"/>
  <c r="L140" i="63"/>
  <c r="J140" i="63"/>
  <c r="I140" i="63"/>
  <c r="K140" i="63"/>
  <c r="G140" i="63"/>
  <c r="F140" i="63"/>
  <c r="C140" i="63"/>
  <c r="H140" i="63"/>
  <c r="Z145" i="63"/>
  <c r="Y145" i="63"/>
  <c r="W145" i="63"/>
  <c r="X145" i="63"/>
  <c r="V145" i="63"/>
  <c r="U145" i="63"/>
  <c r="P145" i="63"/>
  <c r="S145" i="63"/>
  <c r="R145" i="63"/>
  <c r="Q145" i="63"/>
  <c r="O145" i="63"/>
  <c r="M145" i="63"/>
  <c r="N145" i="63"/>
  <c r="L145" i="63"/>
  <c r="K145" i="63"/>
  <c r="J145" i="63"/>
  <c r="I145" i="63"/>
  <c r="F145" i="63"/>
  <c r="H145" i="63"/>
  <c r="G145" i="63"/>
  <c r="Y154" i="63"/>
  <c r="X154" i="63"/>
  <c r="Z154" i="63"/>
  <c r="V154" i="63"/>
  <c r="U154" i="63"/>
  <c r="W154" i="63"/>
  <c r="P154" i="63"/>
  <c r="S154" i="63"/>
  <c r="R154" i="63"/>
  <c r="Q154" i="63"/>
  <c r="N154" i="63"/>
  <c r="M154" i="63"/>
  <c r="O154" i="63"/>
  <c r="K154" i="63"/>
  <c r="I154" i="63"/>
  <c r="J154" i="63"/>
  <c r="L154" i="63"/>
  <c r="H154" i="63"/>
  <c r="B154" i="63"/>
  <c r="F154" i="63"/>
  <c r="E154" i="63"/>
  <c r="G154" i="63"/>
  <c r="C154" i="63"/>
  <c r="C163" i="63"/>
  <c r="Z168" i="63"/>
  <c r="Y168" i="63"/>
  <c r="X168" i="63"/>
  <c r="W168" i="63"/>
  <c r="V168" i="63"/>
  <c r="U168" i="63"/>
  <c r="R168" i="63"/>
  <c r="P168" i="63"/>
  <c r="S168" i="63"/>
  <c r="Q168" i="63"/>
  <c r="O168" i="63"/>
  <c r="L168" i="63"/>
  <c r="N168" i="63"/>
  <c r="M168" i="63"/>
  <c r="J168" i="63"/>
  <c r="K168" i="63"/>
  <c r="I168" i="63"/>
  <c r="E168" i="63"/>
  <c r="H168" i="63"/>
  <c r="G168" i="63"/>
  <c r="F168" i="63"/>
  <c r="Z172" i="63"/>
  <c r="Y172" i="63"/>
  <c r="X172" i="63"/>
  <c r="V172" i="63"/>
  <c r="W172" i="63"/>
  <c r="R172" i="63"/>
  <c r="U172" i="63"/>
  <c r="S172" i="63"/>
  <c r="Q172" i="63"/>
  <c r="P172" i="63"/>
  <c r="N172" i="63"/>
  <c r="O172" i="63"/>
  <c r="L172" i="63"/>
  <c r="K172" i="63"/>
  <c r="J172" i="63"/>
  <c r="M172" i="63"/>
  <c r="G172" i="63"/>
  <c r="B172" i="63"/>
  <c r="I172" i="63"/>
  <c r="F172" i="63"/>
  <c r="H172" i="63"/>
  <c r="Y178" i="63"/>
  <c r="X178" i="63"/>
  <c r="Z178" i="63"/>
  <c r="V178" i="63"/>
  <c r="W178" i="63"/>
  <c r="U178" i="63"/>
  <c r="P178" i="63"/>
  <c r="S178" i="63"/>
  <c r="R178" i="63"/>
  <c r="Q178" i="63"/>
  <c r="O178" i="63"/>
  <c r="N178" i="63"/>
  <c r="M178" i="63"/>
  <c r="K178" i="63"/>
  <c r="L178" i="63"/>
  <c r="J178" i="63"/>
  <c r="F178" i="63"/>
  <c r="H178" i="63"/>
  <c r="E178" i="63"/>
  <c r="I178" i="63"/>
  <c r="G178" i="63"/>
  <c r="B181" i="63"/>
  <c r="Y186" i="63"/>
  <c r="X186" i="63"/>
  <c r="Z186" i="63"/>
  <c r="V186" i="63"/>
  <c r="U186" i="63"/>
  <c r="W186" i="63"/>
  <c r="P186" i="63"/>
  <c r="S186" i="63"/>
  <c r="R186" i="63"/>
  <c r="Q186" i="63"/>
  <c r="N186" i="63"/>
  <c r="M186" i="63"/>
  <c r="O186" i="63"/>
  <c r="K186" i="63"/>
  <c r="J186" i="63"/>
  <c r="L186" i="63"/>
  <c r="H186" i="63"/>
  <c r="F186" i="63"/>
  <c r="E186" i="63"/>
  <c r="C186" i="63"/>
  <c r="I186" i="63"/>
  <c r="G186" i="63"/>
  <c r="E13" i="63"/>
  <c r="F191" i="63"/>
  <c r="Z53" i="63"/>
  <c r="W53" i="63"/>
  <c r="Y53" i="63"/>
  <c r="X53" i="63"/>
  <c r="V53" i="63"/>
  <c r="U53" i="63"/>
  <c r="Q53" i="63"/>
  <c r="O53" i="63"/>
  <c r="P53" i="63"/>
  <c r="S53" i="63"/>
  <c r="R53" i="63"/>
  <c r="N53" i="63"/>
  <c r="M53" i="63"/>
  <c r="J53" i="63"/>
  <c r="L53" i="63"/>
  <c r="K53" i="63"/>
  <c r="I53" i="63"/>
  <c r="H53" i="63"/>
  <c r="G53" i="63"/>
  <c r="F53" i="63"/>
  <c r="X58" i="63"/>
  <c r="V58" i="63"/>
  <c r="Z58" i="63"/>
  <c r="Y58" i="63"/>
  <c r="U58" i="63"/>
  <c r="W58" i="63"/>
  <c r="P58" i="63"/>
  <c r="S58" i="63"/>
  <c r="R58" i="63"/>
  <c r="Q58" i="63"/>
  <c r="N58" i="63"/>
  <c r="M58" i="63"/>
  <c r="O58" i="63"/>
  <c r="K58" i="63"/>
  <c r="I58" i="63"/>
  <c r="J58" i="63"/>
  <c r="L58" i="63"/>
  <c r="H58" i="63"/>
  <c r="G58" i="63"/>
  <c r="F58" i="63"/>
  <c r="E58" i="63"/>
  <c r="B58" i="63"/>
  <c r="Y98" i="63"/>
  <c r="X98" i="63"/>
  <c r="V98" i="63"/>
  <c r="Z98" i="63"/>
  <c r="W98" i="63"/>
  <c r="U98" i="63"/>
  <c r="S98" i="63"/>
  <c r="R98" i="63"/>
  <c r="P98" i="63"/>
  <c r="Q98" i="63"/>
  <c r="N98" i="63"/>
  <c r="M98" i="63"/>
  <c r="O98" i="63"/>
  <c r="K98" i="63"/>
  <c r="I98" i="63"/>
  <c r="L98" i="63"/>
  <c r="J98" i="63"/>
  <c r="F98" i="63"/>
  <c r="E98" i="63"/>
  <c r="H98" i="63"/>
  <c r="G98" i="63"/>
  <c r="Z103" i="63"/>
  <c r="X103" i="63"/>
  <c r="W103" i="63"/>
  <c r="Y103" i="63"/>
  <c r="V103" i="63"/>
  <c r="S103" i="63"/>
  <c r="U103" i="63"/>
  <c r="Q103" i="63"/>
  <c r="R103" i="63"/>
  <c r="P103" i="63"/>
  <c r="O103" i="63"/>
  <c r="M103" i="63"/>
  <c r="N103" i="63"/>
  <c r="K103" i="63"/>
  <c r="L103" i="63"/>
  <c r="J103" i="63"/>
  <c r="I103" i="63"/>
  <c r="H103" i="63"/>
  <c r="G103" i="63"/>
  <c r="F103" i="63"/>
  <c r="E103" i="63"/>
  <c r="X126" i="63"/>
  <c r="Z126" i="63"/>
  <c r="W126" i="63"/>
  <c r="Y126" i="63"/>
  <c r="V126" i="63"/>
  <c r="U126" i="63"/>
  <c r="Q126" i="63"/>
  <c r="S126" i="63"/>
  <c r="R126" i="63"/>
  <c r="P126" i="63"/>
  <c r="O126" i="63"/>
  <c r="K126" i="63"/>
  <c r="N126" i="63"/>
  <c r="M126" i="63"/>
  <c r="L126" i="63"/>
  <c r="J126" i="63"/>
  <c r="I126" i="63"/>
  <c r="G126" i="63"/>
  <c r="H126" i="63"/>
  <c r="B126" i="63"/>
  <c r="F126" i="63"/>
  <c r="E126" i="63"/>
  <c r="X150" i="63"/>
  <c r="Z150" i="63"/>
  <c r="Y150" i="63"/>
  <c r="W150" i="63"/>
  <c r="V150" i="63"/>
  <c r="U150" i="63"/>
  <c r="S150" i="63"/>
  <c r="R150" i="63"/>
  <c r="Q150" i="63"/>
  <c r="P150" i="63"/>
  <c r="O150" i="63"/>
  <c r="N150" i="63"/>
  <c r="M150" i="63"/>
  <c r="J150" i="63"/>
  <c r="L150" i="63"/>
  <c r="I150" i="63"/>
  <c r="K150" i="63"/>
  <c r="C150" i="63"/>
  <c r="G150" i="63"/>
  <c r="H150" i="63"/>
  <c r="F150" i="63"/>
  <c r="E150" i="63"/>
  <c r="Z155" i="63"/>
  <c r="Y155" i="63"/>
  <c r="W155" i="63"/>
  <c r="V155" i="63"/>
  <c r="X155" i="63"/>
  <c r="U155" i="63"/>
  <c r="S155" i="63"/>
  <c r="Q155" i="63"/>
  <c r="P155" i="63"/>
  <c r="R155" i="63"/>
  <c r="N155" i="63"/>
  <c r="M155" i="63"/>
  <c r="O155" i="63"/>
  <c r="L155" i="63"/>
  <c r="K155" i="63"/>
  <c r="I155" i="63"/>
  <c r="H155" i="63"/>
  <c r="J155" i="63"/>
  <c r="F155" i="63"/>
  <c r="E155" i="63"/>
  <c r="G155" i="63"/>
  <c r="C181" i="63"/>
  <c r="Z187" i="63"/>
  <c r="Y187" i="63"/>
  <c r="W187" i="63"/>
  <c r="V187" i="63"/>
  <c r="X187" i="63"/>
  <c r="U187" i="63"/>
  <c r="S187" i="63"/>
  <c r="Q187" i="63"/>
  <c r="P187" i="63"/>
  <c r="R187" i="63"/>
  <c r="N187" i="63"/>
  <c r="O187" i="63"/>
  <c r="M187" i="63"/>
  <c r="L187" i="63"/>
  <c r="H187" i="63"/>
  <c r="K187" i="63"/>
  <c r="J187" i="63"/>
  <c r="F187" i="63"/>
  <c r="E187" i="63"/>
  <c r="I187" i="63"/>
  <c r="G187" i="63"/>
  <c r="X198" i="63"/>
  <c r="Y198" i="63"/>
  <c r="W198" i="63"/>
  <c r="Z198" i="63"/>
  <c r="V198" i="63"/>
  <c r="U198" i="63"/>
  <c r="Q198" i="63"/>
  <c r="S198" i="63"/>
  <c r="R198" i="63"/>
  <c r="P198" i="63"/>
  <c r="N198" i="63"/>
  <c r="O198" i="63"/>
  <c r="M198" i="63"/>
  <c r="L198" i="63"/>
  <c r="K198" i="63"/>
  <c r="J198" i="63"/>
  <c r="H198" i="63"/>
  <c r="G198" i="63"/>
  <c r="I198" i="63"/>
  <c r="F198" i="63"/>
  <c r="E198" i="63"/>
  <c r="E181" i="63"/>
  <c r="E148" i="63"/>
  <c r="E53" i="63"/>
  <c r="Z27" i="63"/>
  <c r="Y27" i="63"/>
  <c r="V27" i="63"/>
  <c r="X27" i="63"/>
  <c r="W27" i="63"/>
  <c r="U27" i="63"/>
  <c r="S27" i="63"/>
  <c r="P27" i="63"/>
  <c r="R27" i="63"/>
  <c r="Q27" i="63"/>
  <c r="N27" i="63"/>
  <c r="M27" i="63"/>
  <c r="O27" i="63"/>
  <c r="L27" i="63"/>
  <c r="I27" i="63"/>
  <c r="H27" i="63"/>
  <c r="K27" i="63"/>
  <c r="J27" i="63"/>
  <c r="G27" i="63"/>
  <c r="F27" i="63"/>
  <c r="E27" i="63"/>
  <c r="Z31" i="63"/>
  <c r="X31" i="63"/>
  <c r="Y31" i="63"/>
  <c r="W31" i="63"/>
  <c r="U31" i="63"/>
  <c r="V31" i="63"/>
  <c r="S31" i="63"/>
  <c r="R31" i="63"/>
  <c r="Q31" i="63"/>
  <c r="P31" i="63"/>
  <c r="M31" i="63"/>
  <c r="O31" i="63"/>
  <c r="N31" i="63"/>
  <c r="K31" i="63"/>
  <c r="L31" i="63"/>
  <c r="J31" i="63"/>
  <c r="I31" i="63"/>
  <c r="H31" i="63"/>
  <c r="C31" i="63"/>
  <c r="G31" i="63"/>
  <c r="F31" i="63"/>
  <c r="E31" i="63"/>
  <c r="Z44" i="63"/>
  <c r="Y44" i="63"/>
  <c r="V44" i="63"/>
  <c r="X44" i="63"/>
  <c r="U44" i="63"/>
  <c r="W44" i="63"/>
  <c r="S44" i="63"/>
  <c r="R44" i="63"/>
  <c r="Q44" i="63"/>
  <c r="P44" i="63"/>
  <c r="N44" i="63"/>
  <c r="O44" i="63"/>
  <c r="M44" i="63"/>
  <c r="L44" i="63"/>
  <c r="J44" i="63"/>
  <c r="I44" i="63"/>
  <c r="K44" i="63"/>
  <c r="G44" i="63"/>
  <c r="F44" i="63"/>
  <c r="H44" i="63"/>
  <c r="E44" i="63"/>
  <c r="Z48" i="63"/>
  <c r="Y48" i="63"/>
  <c r="X48" i="63"/>
  <c r="V48" i="63"/>
  <c r="W48" i="63"/>
  <c r="U48" i="63"/>
  <c r="S48" i="63"/>
  <c r="R48" i="63"/>
  <c r="P48" i="63"/>
  <c r="Q48" i="63"/>
  <c r="M48" i="63"/>
  <c r="L48" i="63"/>
  <c r="N48" i="63"/>
  <c r="O48" i="63"/>
  <c r="G48" i="63"/>
  <c r="J48" i="63"/>
  <c r="I48" i="63"/>
  <c r="K48" i="63"/>
  <c r="H48" i="63"/>
  <c r="E48" i="63"/>
  <c r="C48" i="63"/>
  <c r="F48" i="63"/>
  <c r="C58" i="63"/>
  <c r="Y74" i="63"/>
  <c r="Z74" i="63"/>
  <c r="X74" i="63"/>
  <c r="V74" i="63"/>
  <c r="U74" i="63"/>
  <c r="W74" i="63"/>
  <c r="P74" i="63"/>
  <c r="S74" i="63"/>
  <c r="R74" i="63"/>
  <c r="Q74" i="63"/>
  <c r="N74" i="63"/>
  <c r="O74" i="63"/>
  <c r="M74" i="63"/>
  <c r="K74" i="63"/>
  <c r="I74" i="63"/>
  <c r="L74" i="63"/>
  <c r="J74" i="63"/>
  <c r="F74" i="63"/>
  <c r="E74" i="63"/>
  <c r="H74" i="63"/>
  <c r="G74" i="63"/>
  <c r="Y89" i="63"/>
  <c r="Z89" i="63"/>
  <c r="X89" i="63"/>
  <c r="V89" i="63"/>
  <c r="W89" i="63"/>
  <c r="U89" i="63"/>
  <c r="P89" i="63"/>
  <c r="S89" i="63"/>
  <c r="R89" i="63"/>
  <c r="Q89" i="63"/>
  <c r="O89" i="63"/>
  <c r="M89" i="63"/>
  <c r="N89" i="63"/>
  <c r="J89" i="63"/>
  <c r="L89" i="63"/>
  <c r="K89" i="63"/>
  <c r="I89" i="63"/>
  <c r="F89" i="63"/>
  <c r="G89" i="63"/>
  <c r="H89" i="63"/>
  <c r="C98" i="63"/>
  <c r="Z118" i="63"/>
  <c r="X118" i="63"/>
  <c r="W118" i="63"/>
  <c r="Y118" i="63"/>
  <c r="V118" i="63"/>
  <c r="U118" i="63"/>
  <c r="S118" i="63"/>
  <c r="R118" i="63"/>
  <c r="Q118" i="63"/>
  <c r="P118" i="63"/>
  <c r="O118" i="63"/>
  <c r="K118" i="63"/>
  <c r="N118" i="63"/>
  <c r="M118" i="63"/>
  <c r="J118" i="63"/>
  <c r="L118" i="63"/>
  <c r="I118" i="63"/>
  <c r="G118" i="63"/>
  <c r="H118" i="63"/>
  <c r="F118" i="63"/>
  <c r="E118" i="63"/>
  <c r="Y122" i="63"/>
  <c r="X122" i="63"/>
  <c r="Z122" i="63"/>
  <c r="V122" i="63"/>
  <c r="U122" i="63"/>
  <c r="W122" i="63"/>
  <c r="P122" i="63"/>
  <c r="S122" i="63"/>
  <c r="R122" i="63"/>
  <c r="Q122" i="63"/>
  <c r="N122" i="63"/>
  <c r="M122" i="63"/>
  <c r="O122" i="63"/>
  <c r="K122" i="63"/>
  <c r="I122" i="63"/>
  <c r="J122" i="63"/>
  <c r="L122" i="63"/>
  <c r="H122" i="63"/>
  <c r="F122" i="63"/>
  <c r="E122" i="63"/>
  <c r="C122" i="63"/>
  <c r="G122" i="63"/>
  <c r="C126" i="63"/>
  <c r="Y141" i="63"/>
  <c r="W141" i="63"/>
  <c r="Z141" i="63"/>
  <c r="X141" i="63"/>
  <c r="V141" i="63"/>
  <c r="U141" i="63"/>
  <c r="S141" i="63"/>
  <c r="R141" i="63"/>
  <c r="Q141" i="63"/>
  <c r="O141" i="63"/>
  <c r="P141" i="63"/>
  <c r="N141" i="63"/>
  <c r="M141" i="63"/>
  <c r="J141" i="63"/>
  <c r="I141" i="63"/>
  <c r="L141" i="63"/>
  <c r="K141" i="63"/>
  <c r="G141" i="63"/>
  <c r="F141" i="63"/>
  <c r="H141" i="63"/>
  <c r="B155" i="63"/>
  <c r="Z160" i="63"/>
  <c r="Y160" i="63"/>
  <c r="X160" i="63"/>
  <c r="W160" i="63"/>
  <c r="V160" i="63"/>
  <c r="U160" i="63"/>
  <c r="R160" i="63"/>
  <c r="P160" i="63"/>
  <c r="Q160" i="63"/>
  <c r="S160" i="63"/>
  <c r="M160" i="63"/>
  <c r="O160" i="63"/>
  <c r="L160" i="63"/>
  <c r="N160" i="63"/>
  <c r="J160" i="63"/>
  <c r="K160" i="63"/>
  <c r="E160" i="63"/>
  <c r="I160" i="63"/>
  <c r="H160" i="63"/>
  <c r="G160" i="63"/>
  <c r="F160" i="63"/>
  <c r="Y165" i="63"/>
  <c r="Z165" i="63"/>
  <c r="W165" i="63"/>
  <c r="X165" i="63"/>
  <c r="V165" i="63"/>
  <c r="U165" i="63"/>
  <c r="Q165" i="63"/>
  <c r="S165" i="63"/>
  <c r="R165" i="63"/>
  <c r="O165" i="63"/>
  <c r="P165" i="63"/>
  <c r="N165" i="63"/>
  <c r="J165" i="63"/>
  <c r="K165" i="63"/>
  <c r="M165" i="63"/>
  <c r="I165" i="63"/>
  <c r="L165" i="63"/>
  <c r="H165" i="63"/>
  <c r="C165" i="63"/>
  <c r="G165" i="63"/>
  <c r="F165" i="63"/>
  <c r="X174" i="63"/>
  <c r="Y174" i="63"/>
  <c r="W174" i="63"/>
  <c r="Z174" i="63"/>
  <c r="V174" i="63"/>
  <c r="U174" i="63"/>
  <c r="S174" i="63"/>
  <c r="R174" i="63"/>
  <c r="Q174" i="63"/>
  <c r="P174" i="63"/>
  <c r="N174" i="63"/>
  <c r="O174" i="63"/>
  <c r="M174" i="63"/>
  <c r="K174" i="63"/>
  <c r="J174" i="63"/>
  <c r="L174" i="63"/>
  <c r="G174" i="63"/>
  <c r="I174" i="63"/>
  <c r="F174" i="63"/>
  <c r="H174" i="63"/>
  <c r="E174" i="63"/>
  <c r="X188" i="63"/>
  <c r="Y188" i="63"/>
  <c r="Z188" i="63"/>
  <c r="V188" i="63"/>
  <c r="W188" i="63"/>
  <c r="U188" i="63"/>
  <c r="R188" i="63"/>
  <c r="Q188" i="63"/>
  <c r="S188" i="63"/>
  <c r="P188" i="63"/>
  <c r="O188" i="63"/>
  <c r="N188" i="63"/>
  <c r="L188" i="63"/>
  <c r="J188" i="63"/>
  <c r="M188" i="63"/>
  <c r="K188" i="63"/>
  <c r="G188" i="63"/>
  <c r="B188" i="63"/>
  <c r="H188" i="63"/>
  <c r="F188" i="63"/>
  <c r="I188" i="63"/>
  <c r="C188" i="63"/>
  <c r="C198" i="63"/>
  <c r="Z203" i="63"/>
  <c r="X203" i="63"/>
  <c r="Y203" i="63"/>
  <c r="W203" i="63"/>
  <c r="V203" i="63"/>
  <c r="U203" i="63"/>
  <c r="S203" i="63"/>
  <c r="R203" i="63"/>
  <c r="Q203" i="63"/>
  <c r="P203" i="63"/>
  <c r="N203" i="63"/>
  <c r="O203" i="63"/>
  <c r="H203" i="63"/>
  <c r="M203" i="63"/>
  <c r="L203" i="63"/>
  <c r="K203" i="63"/>
  <c r="J203" i="63"/>
  <c r="I203" i="63"/>
  <c r="F203" i="63"/>
  <c r="C203" i="63"/>
  <c r="E203" i="63"/>
  <c r="B203" i="63"/>
  <c r="G203" i="63"/>
  <c r="E196" i="63"/>
  <c r="E116" i="63"/>
  <c r="E101" i="63"/>
  <c r="E84" i="63"/>
  <c r="Z82" i="63"/>
  <c r="Y82" i="63"/>
  <c r="X82" i="63"/>
  <c r="V82" i="63"/>
  <c r="W82" i="63"/>
  <c r="U82" i="63"/>
  <c r="P82" i="63"/>
  <c r="S82" i="63"/>
  <c r="R82" i="63"/>
  <c r="Q82" i="63"/>
  <c r="O82" i="63"/>
  <c r="N82" i="63"/>
  <c r="M82" i="63"/>
  <c r="K82" i="63"/>
  <c r="I82" i="63"/>
  <c r="L82" i="63"/>
  <c r="J82" i="63"/>
  <c r="C82" i="63"/>
  <c r="F82" i="63"/>
  <c r="H82" i="63"/>
  <c r="E82" i="63"/>
  <c r="G82" i="63"/>
  <c r="Z87" i="63"/>
  <c r="X87" i="63"/>
  <c r="W87" i="63"/>
  <c r="Y87" i="63"/>
  <c r="V87" i="63"/>
  <c r="S87" i="63"/>
  <c r="U87" i="63"/>
  <c r="R87" i="63"/>
  <c r="Q87" i="63"/>
  <c r="P87" i="63"/>
  <c r="M87" i="63"/>
  <c r="O87" i="63"/>
  <c r="N87" i="63"/>
  <c r="J87" i="63"/>
  <c r="K87" i="63"/>
  <c r="L87" i="63"/>
  <c r="I87" i="63"/>
  <c r="H87" i="63"/>
  <c r="G87" i="63"/>
  <c r="F87" i="63"/>
  <c r="E87" i="63"/>
  <c r="X9" i="63"/>
  <c r="Y9" i="63"/>
  <c r="Z9" i="63"/>
  <c r="U9" i="63"/>
  <c r="V9" i="63"/>
  <c r="W9" i="63"/>
  <c r="Q9" i="63"/>
  <c r="S9" i="63"/>
  <c r="P9" i="63"/>
  <c r="R9" i="63"/>
  <c r="O9" i="63"/>
  <c r="N9" i="63"/>
  <c r="M9" i="63"/>
  <c r="L9" i="63"/>
  <c r="K9" i="63"/>
  <c r="J9" i="63"/>
  <c r="I9" i="63"/>
  <c r="F9" i="63"/>
  <c r="E9" i="63"/>
  <c r="H9" i="63"/>
  <c r="G9" i="63"/>
  <c r="Z19" i="63"/>
  <c r="Y19" i="63"/>
  <c r="V19" i="63"/>
  <c r="X19" i="63"/>
  <c r="W19" i="63"/>
  <c r="U19" i="63"/>
  <c r="S19" i="63"/>
  <c r="P19" i="63"/>
  <c r="R19" i="63"/>
  <c r="Q19" i="63"/>
  <c r="O19" i="63"/>
  <c r="N19" i="63"/>
  <c r="M19" i="63"/>
  <c r="K19" i="63"/>
  <c r="I19" i="63"/>
  <c r="L19" i="63"/>
  <c r="H19" i="63"/>
  <c r="J19" i="63"/>
  <c r="F19" i="63"/>
  <c r="G19" i="63"/>
  <c r="E19" i="63"/>
  <c r="Z23" i="63"/>
  <c r="X23" i="63"/>
  <c r="Y23" i="63"/>
  <c r="W23" i="63"/>
  <c r="U23" i="63"/>
  <c r="V23" i="63"/>
  <c r="S23" i="63"/>
  <c r="R23" i="63"/>
  <c r="Q23" i="63"/>
  <c r="P23" i="63"/>
  <c r="M23" i="63"/>
  <c r="O23" i="63"/>
  <c r="N23" i="63"/>
  <c r="J23" i="63"/>
  <c r="K23" i="63"/>
  <c r="L23" i="63"/>
  <c r="I23" i="63"/>
  <c r="H23" i="63"/>
  <c r="G23" i="63"/>
  <c r="F23" i="63"/>
  <c r="E23" i="63"/>
  <c r="C9" i="63"/>
  <c r="Y2" i="63"/>
  <c r="Z2" i="63"/>
  <c r="W2" i="63"/>
  <c r="V2" i="63"/>
  <c r="X2" i="63"/>
  <c r="U2" i="63"/>
  <c r="T2" i="63"/>
  <c r="S2" i="63"/>
  <c r="R2" i="63"/>
  <c r="Q2" i="63"/>
  <c r="O2" i="63"/>
  <c r="N2" i="63"/>
  <c r="P2" i="63"/>
  <c r="L2" i="63"/>
  <c r="G2" i="63"/>
  <c r="M2" i="63"/>
  <c r="K2" i="63"/>
  <c r="J2" i="63"/>
  <c r="I2" i="63"/>
  <c r="H2" i="63"/>
  <c r="E2" i="63"/>
  <c r="Z25" i="63"/>
  <c r="Y25" i="63"/>
  <c r="X25" i="63"/>
  <c r="U25" i="63"/>
  <c r="V25" i="63"/>
  <c r="W25" i="63"/>
  <c r="Q25" i="63"/>
  <c r="S25" i="63"/>
  <c r="P25" i="63"/>
  <c r="R25" i="63"/>
  <c r="O25" i="63"/>
  <c r="M25" i="63"/>
  <c r="N25" i="63"/>
  <c r="J25" i="63"/>
  <c r="L25" i="63"/>
  <c r="K25" i="63"/>
  <c r="I25" i="63"/>
  <c r="F25" i="63"/>
  <c r="H25" i="63"/>
  <c r="G25" i="63"/>
  <c r="Z29" i="63"/>
  <c r="W29" i="63"/>
  <c r="Y29" i="63"/>
  <c r="X29" i="63"/>
  <c r="V29" i="63"/>
  <c r="U29" i="63"/>
  <c r="S29" i="63"/>
  <c r="Q29" i="63"/>
  <c r="O29" i="63"/>
  <c r="R29" i="63"/>
  <c r="P29" i="63"/>
  <c r="N29" i="63"/>
  <c r="M29" i="63"/>
  <c r="L29" i="63"/>
  <c r="K29" i="63"/>
  <c r="J29" i="63"/>
  <c r="I29" i="63"/>
  <c r="C29" i="63"/>
  <c r="H29" i="63"/>
  <c r="G29" i="63"/>
  <c r="F29" i="63"/>
  <c r="Z40" i="63"/>
  <c r="Y40" i="63"/>
  <c r="X40" i="63"/>
  <c r="V40" i="63"/>
  <c r="U40" i="63"/>
  <c r="W40" i="63"/>
  <c r="S40" i="63"/>
  <c r="R40" i="63"/>
  <c r="P40" i="63"/>
  <c r="Q40" i="63"/>
  <c r="O40" i="63"/>
  <c r="M40" i="63"/>
  <c r="L40" i="63"/>
  <c r="N40" i="63"/>
  <c r="K40" i="63"/>
  <c r="G40" i="63"/>
  <c r="J40" i="63"/>
  <c r="I40" i="63"/>
  <c r="E40" i="63"/>
  <c r="H40" i="63"/>
  <c r="F40" i="63"/>
  <c r="Z59" i="63"/>
  <c r="Y59" i="63"/>
  <c r="X59" i="63"/>
  <c r="V59" i="63"/>
  <c r="W59" i="63"/>
  <c r="U59" i="63"/>
  <c r="S59" i="63"/>
  <c r="Q59" i="63"/>
  <c r="P59" i="63"/>
  <c r="R59" i="63"/>
  <c r="N59" i="63"/>
  <c r="M59" i="63"/>
  <c r="O59" i="63"/>
  <c r="L59" i="63"/>
  <c r="I59" i="63"/>
  <c r="H59" i="63"/>
  <c r="K59" i="63"/>
  <c r="J59" i="63"/>
  <c r="B59" i="63"/>
  <c r="G59" i="63"/>
  <c r="F59" i="63"/>
  <c r="E59" i="63"/>
  <c r="Z69" i="63"/>
  <c r="Y69" i="63"/>
  <c r="W69" i="63"/>
  <c r="X69" i="63"/>
  <c r="V69" i="63"/>
  <c r="U69" i="63"/>
  <c r="Q69" i="63"/>
  <c r="S69" i="63"/>
  <c r="R69" i="63"/>
  <c r="O69" i="63"/>
  <c r="P69" i="63"/>
  <c r="N69" i="63"/>
  <c r="M69" i="63"/>
  <c r="J69" i="63"/>
  <c r="I69" i="63"/>
  <c r="L69" i="63"/>
  <c r="K69" i="63"/>
  <c r="H69" i="63"/>
  <c r="G69" i="63"/>
  <c r="F69" i="63"/>
  <c r="X94" i="63"/>
  <c r="Z94" i="63"/>
  <c r="Y94" i="63"/>
  <c r="W94" i="63"/>
  <c r="V94" i="63"/>
  <c r="U94" i="63"/>
  <c r="Q94" i="63"/>
  <c r="S94" i="63"/>
  <c r="R94" i="63"/>
  <c r="P94" i="63"/>
  <c r="O94" i="63"/>
  <c r="K94" i="63"/>
  <c r="N94" i="63"/>
  <c r="M94" i="63"/>
  <c r="L94" i="63"/>
  <c r="J94" i="63"/>
  <c r="I94" i="63"/>
  <c r="G94" i="63"/>
  <c r="H94" i="63"/>
  <c r="C94" i="63"/>
  <c r="F94" i="63"/>
  <c r="E94" i="63"/>
  <c r="Z99" i="63"/>
  <c r="X99" i="63"/>
  <c r="Y99" i="63"/>
  <c r="V99" i="63"/>
  <c r="W99" i="63"/>
  <c r="U99" i="63"/>
  <c r="S99" i="63"/>
  <c r="Q99" i="63"/>
  <c r="R99" i="63"/>
  <c r="P99" i="63"/>
  <c r="N99" i="63"/>
  <c r="M99" i="63"/>
  <c r="O99" i="63"/>
  <c r="I99" i="63"/>
  <c r="H99" i="63"/>
  <c r="K99" i="63"/>
  <c r="L99" i="63"/>
  <c r="J99" i="63"/>
  <c r="F99" i="63"/>
  <c r="B99" i="63"/>
  <c r="E99" i="63"/>
  <c r="G99" i="63"/>
  <c r="Y109" i="63"/>
  <c r="X109" i="63"/>
  <c r="W109" i="63"/>
  <c r="Z109" i="63"/>
  <c r="V109" i="63"/>
  <c r="U109" i="63"/>
  <c r="S109" i="63"/>
  <c r="R109" i="63"/>
  <c r="Q109" i="63"/>
  <c r="O109" i="63"/>
  <c r="P109" i="63"/>
  <c r="N109" i="63"/>
  <c r="M109" i="63"/>
  <c r="J109" i="63"/>
  <c r="I109" i="63"/>
  <c r="L109" i="63"/>
  <c r="K109" i="63"/>
  <c r="B109" i="63"/>
  <c r="G109" i="63"/>
  <c r="F109" i="63"/>
  <c r="H109" i="63"/>
  <c r="C109" i="63"/>
  <c r="Y114" i="63"/>
  <c r="X114" i="63"/>
  <c r="Z114" i="63"/>
  <c r="V114" i="63"/>
  <c r="W114" i="63"/>
  <c r="U114" i="63"/>
  <c r="P114" i="63"/>
  <c r="S114" i="63"/>
  <c r="R114" i="63"/>
  <c r="Q114" i="63"/>
  <c r="O114" i="63"/>
  <c r="N114" i="63"/>
  <c r="M114" i="63"/>
  <c r="K114" i="63"/>
  <c r="I114" i="63"/>
  <c r="L114" i="63"/>
  <c r="J114" i="63"/>
  <c r="F114" i="63"/>
  <c r="H114" i="63"/>
  <c r="E114" i="63"/>
  <c r="G114" i="63"/>
  <c r="Z127" i="63"/>
  <c r="X127" i="63"/>
  <c r="W127" i="63"/>
  <c r="Y127" i="63"/>
  <c r="V127" i="63"/>
  <c r="S127" i="63"/>
  <c r="U127" i="63"/>
  <c r="Q127" i="63"/>
  <c r="R127" i="63"/>
  <c r="P127" i="63"/>
  <c r="M127" i="63"/>
  <c r="O127" i="63"/>
  <c r="N127" i="63"/>
  <c r="K127" i="63"/>
  <c r="L127" i="63"/>
  <c r="J127" i="63"/>
  <c r="I127" i="63"/>
  <c r="H127" i="63"/>
  <c r="B127" i="63"/>
  <c r="G127" i="63"/>
  <c r="F127" i="63"/>
  <c r="E127" i="63"/>
  <c r="Z132" i="63"/>
  <c r="X132" i="63"/>
  <c r="Y132" i="63"/>
  <c r="V132" i="63"/>
  <c r="W132" i="63"/>
  <c r="U132" i="63"/>
  <c r="R132" i="63"/>
  <c r="Q132" i="63"/>
  <c r="S132" i="63"/>
  <c r="P132" i="63"/>
  <c r="N132" i="63"/>
  <c r="M132" i="63"/>
  <c r="O132" i="63"/>
  <c r="L132" i="63"/>
  <c r="J132" i="63"/>
  <c r="I132" i="63"/>
  <c r="K132" i="63"/>
  <c r="G132" i="63"/>
  <c r="F132" i="63"/>
  <c r="H132" i="63"/>
  <c r="Z136" i="63"/>
  <c r="Y136" i="63"/>
  <c r="X136" i="63"/>
  <c r="W136" i="63"/>
  <c r="V136" i="63"/>
  <c r="U136" i="63"/>
  <c r="R136" i="63"/>
  <c r="P136" i="63"/>
  <c r="S136" i="63"/>
  <c r="Q136" i="63"/>
  <c r="O136" i="63"/>
  <c r="M136" i="63"/>
  <c r="L136" i="63"/>
  <c r="N136" i="63"/>
  <c r="K136" i="63"/>
  <c r="J136" i="63"/>
  <c r="I136" i="63"/>
  <c r="E136" i="63"/>
  <c r="H136" i="63"/>
  <c r="G136" i="63"/>
  <c r="F136" i="63"/>
  <c r="C155" i="63"/>
  <c r="Z183" i="63"/>
  <c r="X183" i="63"/>
  <c r="W183" i="63"/>
  <c r="Y183" i="63"/>
  <c r="V183" i="63"/>
  <c r="S183" i="63"/>
  <c r="U183" i="63"/>
  <c r="R183" i="63"/>
  <c r="Q183" i="63"/>
  <c r="P183" i="63"/>
  <c r="O183" i="63"/>
  <c r="N183" i="63"/>
  <c r="K183" i="63"/>
  <c r="J183" i="63"/>
  <c r="M183" i="63"/>
  <c r="L183" i="63"/>
  <c r="H183" i="63"/>
  <c r="E183" i="63"/>
  <c r="I183" i="63"/>
  <c r="G183" i="63"/>
  <c r="Z189" i="63"/>
  <c r="Y189" i="63"/>
  <c r="W189" i="63"/>
  <c r="X189" i="63"/>
  <c r="V189" i="63"/>
  <c r="U189" i="63"/>
  <c r="Q189" i="63"/>
  <c r="O189" i="63"/>
  <c r="S189" i="63"/>
  <c r="R189" i="63"/>
  <c r="P189" i="63"/>
  <c r="N189" i="63"/>
  <c r="L189" i="63"/>
  <c r="J189" i="63"/>
  <c r="M189" i="63"/>
  <c r="I189" i="63"/>
  <c r="K189" i="63"/>
  <c r="G189" i="63"/>
  <c r="H189" i="63"/>
  <c r="F189" i="63"/>
  <c r="Z204" i="63"/>
  <c r="X204" i="63"/>
  <c r="Y204" i="63"/>
  <c r="V204" i="63"/>
  <c r="W204" i="63"/>
  <c r="R204" i="63"/>
  <c r="U204" i="63"/>
  <c r="S204" i="63"/>
  <c r="Q204" i="63"/>
  <c r="P204" i="63"/>
  <c r="N204" i="63"/>
  <c r="O204" i="63"/>
  <c r="L204" i="63"/>
  <c r="J204" i="63"/>
  <c r="M204" i="63"/>
  <c r="K204" i="63"/>
  <c r="G204" i="63"/>
  <c r="C204" i="63"/>
  <c r="I204" i="63"/>
  <c r="F204" i="63"/>
  <c r="H204" i="63"/>
  <c r="E129" i="63"/>
  <c r="Z6" i="63"/>
  <c r="Y6" i="63"/>
  <c r="X6" i="63"/>
  <c r="V6" i="63"/>
  <c r="W6" i="63"/>
  <c r="U6" i="63"/>
  <c r="S6" i="63"/>
  <c r="R6" i="63"/>
  <c r="Q6" i="63"/>
  <c r="P6" i="63"/>
  <c r="N6" i="63"/>
  <c r="K6" i="63"/>
  <c r="O6" i="63"/>
  <c r="M6" i="63"/>
  <c r="L6" i="63"/>
  <c r="J6" i="63"/>
  <c r="I6" i="63"/>
  <c r="H6" i="63"/>
  <c r="G6" i="63"/>
  <c r="B6" i="63"/>
  <c r="F6" i="63"/>
  <c r="E6" i="63"/>
  <c r="Z11" i="63"/>
  <c r="W11" i="63"/>
  <c r="Y11" i="63"/>
  <c r="X11" i="63"/>
  <c r="V11" i="63"/>
  <c r="U11" i="63"/>
  <c r="S11" i="63"/>
  <c r="R11" i="63"/>
  <c r="Q11" i="63"/>
  <c r="P11" i="63"/>
  <c r="O11" i="63"/>
  <c r="N11" i="63"/>
  <c r="M11" i="63"/>
  <c r="I11" i="63"/>
  <c r="K11" i="63"/>
  <c r="H11" i="63"/>
  <c r="L11" i="63"/>
  <c r="J11" i="63"/>
  <c r="C11" i="63"/>
  <c r="F11" i="63"/>
  <c r="E11" i="63"/>
  <c r="G11" i="63"/>
  <c r="Z16" i="63"/>
  <c r="Y16" i="63"/>
  <c r="X16" i="63"/>
  <c r="V16" i="63"/>
  <c r="W16" i="63"/>
  <c r="U16" i="63"/>
  <c r="S16" i="63"/>
  <c r="R16" i="63"/>
  <c r="P16" i="63"/>
  <c r="Q16" i="63"/>
  <c r="M16" i="63"/>
  <c r="L16" i="63"/>
  <c r="O16" i="63"/>
  <c r="N16" i="63"/>
  <c r="G16" i="63"/>
  <c r="J16" i="63"/>
  <c r="I16" i="63"/>
  <c r="K16" i="63"/>
  <c r="H16" i="63"/>
  <c r="E16" i="63"/>
  <c r="F16" i="63"/>
  <c r="Z35" i="63"/>
  <c r="X35" i="63"/>
  <c r="V35" i="63"/>
  <c r="Y35" i="63"/>
  <c r="W35" i="63"/>
  <c r="U35" i="63"/>
  <c r="S35" i="63"/>
  <c r="R35" i="63"/>
  <c r="Q35" i="63"/>
  <c r="P35" i="63"/>
  <c r="N35" i="63"/>
  <c r="M35" i="63"/>
  <c r="O35" i="63"/>
  <c r="I35" i="63"/>
  <c r="H35" i="63"/>
  <c r="K35" i="63"/>
  <c r="L35" i="63"/>
  <c r="J35" i="63"/>
  <c r="F35" i="63"/>
  <c r="E35" i="63"/>
  <c r="G35" i="63"/>
  <c r="Z49" i="63"/>
  <c r="X49" i="63"/>
  <c r="Y49" i="63"/>
  <c r="W49" i="63"/>
  <c r="U49" i="63"/>
  <c r="V49" i="63"/>
  <c r="P49" i="63"/>
  <c r="S49" i="63"/>
  <c r="R49" i="63"/>
  <c r="Q49" i="63"/>
  <c r="O49" i="63"/>
  <c r="M49" i="63"/>
  <c r="N49" i="63"/>
  <c r="L49" i="63"/>
  <c r="K49" i="63"/>
  <c r="J49" i="63"/>
  <c r="I49" i="63"/>
  <c r="F49" i="63"/>
  <c r="H49" i="63"/>
  <c r="G49" i="63"/>
  <c r="Z64" i="63"/>
  <c r="Y64" i="63"/>
  <c r="X64" i="63"/>
  <c r="V64" i="63"/>
  <c r="W64" i="63"/>
  <c r="U64" i="63"/>
  <c r="R64" i="63"/>
  <c r="P64" i="63"/>
  <c r="Q64" i="63"/>
  <c r="S64" i="63"/>
  <c r="M64" i="63"/>
  <c r="O64" i="63"/>
  <c r="L64" i="63"/>
  <c r="N64" i="63"/>
  <c r="K64" i="63"/>
  <c r="G64" i="63"/>
  <c r="J64" i="63"/>
  <c r="I64" i="63"/>
  <c r="H64" i="63"/>
  <c r="F64" i="63"/>
  <c r="E64" i="63"/>
  <c r="X70" i="63"/>
  <c r="W70" i="63"/>
  <c r="Y70" i="63"/>
  <c r="Z70" i="63"/>
  <c r="V70" i="63"/>
  <c r="U70" i="63"/>
  <c r="Q70" i="63"/>
  <c r="S70" i="63"/>
  <c r="R70" i="63"/>
  <c r="P70" i="63"/>
  <c r="K70" i="63"/>
  <c r="N70" i="63"/>
  <c r="O70" i="63"/>
  <c r="M70" i="63"/>
  <c r="L70" i="63"/>
  <c r="J70" i="63"/>
  <c r="I70" i="63"/>
  <c r="H70" i="63"/>
  <c r="G70" i="63"/>
  <c r="F70" i="63"/>
  <c r="E70" i="63"/>
  <c r="Z75" i="63"/>
  <c r="X75" i="63"/>
  <c r="V75" i="63"/>
  <c r="Y75" i="63"/>
  <c r="W75" i="63"/>
  <c r="U75" i="63"/>
  <c r="S75" i="63"/>
  <c r="R75" i="63"/>
  <c r="Q75" i="63"/>
  <c r="P75" i="63"/>
  <c r="N75" i="63"/>
  <c r="O75" i="63"/>
  <c r="M75" i="63"/>
  <c r="I75" i="63"/>
  <c r="K75" i="63"/>
  <c r="H75" i="63"/>
  <c r="L75" i="63"/>
  <c r="J75" i="63"/>
  <c r="F75" i="63"/>
  <c r="E75" i="63"/>
  <c r="G75" i="63"/>
  <c r="Z80" i="63"/>
  <c r="Y80" i="63"/>
  <c r="X80" i="63"/>
  <c r="V80" i="63"/>
  <c r="W80" i="63"/>
  <c r="U80" i="63"/>
  <c r="R80" i="63"/>
  <c r="P80" i="63"/>
  <c r="S80" i="63"/>
  <c r="Q80" i="63"/>
  <c r="M80" i="63"/>
  <c r="L80" i="63"/>
  <c r="N80" i="63"/>
  <c r="O80" i="63"/>
  <c r="J80" i="63"/>
  <c r="I80" i="63"/>
  <c r="K80" i="63"/>
  <c r="H80" i="63"/>
  <c r="C80" i="63"/>
  <c r="G80" i="63"/>
  <c r="F80" i="63"/>
  <c r="E80" i="63"/>
  <c r="Z100" i="63"/>
  <c r="X100" i="63"/>
  <c r="Y100" i="63"/>
  <c r="V100" i="63"/>
  <c r="W100" i="63"/>
  <c r="U100" i="63"/>
  <c r="R100" i="63"/>
  <c r="Q100" i="63"/>
  <c r="S100" i="63"/>
  <c r="P100" i="63"/>
  <c r="N100" i="63"/>
  <c r="M100" i="63"/>
  <c r="O100" i="63"/>
  <c r="L100" i="63"/>
  <c r="J100" i="63"/>
  <c r="I100" i="63"/>
  <c r="K100" i="63"/>
  <c r="G100" i="63"/>
  <c r="F100" i="63"/>
  <c r="H100" i="63"/>
  <c r="Y105" i="63"/>
  <c r="Z105" i="63"/>
  <c r="X105" i="63"/>
  <c r="V105" i="63"/>
  <c r="W105" i="63"/>
  <c r="U105" i="63"/>
  <c r="P105" i="63"/>
  <c r="S105" i="63"/>
  <c r="R105" i="63"/>
  <c r="Q105" i="63"/>
  <c r="O105" i="63"/>
  <c r="M105" i="63"/>
  <c r="N105" i="63"/>
  <c r="L105" i="63"/>
  <c r="K105" i="63"/>
  <c r="J105" i="63"/>
  <c r="I105" i="63"/>
  <c r="H105" i="63"/>
  <c r="G105" i="63"/>
  <c r="F105" i="63"/>
  <c r="X110" i="63"/>
  <c r="Y110" i="63"/>
  <c r="W110" i="63"/>
  <c r="Z110" i="63"/>
  <c r="V110" i="63"/>
  <c r="U110" i="63"/>
  <c r="S110" i="63"/>
  <c r="R110" i="63"/>
  <c r="Q110" i="63"/>
  <c r="P110" i="63"/>
  <c r="K110" i="63"/>
  <c r="N110" i="63"/>
  <c r="O110" i="63"/>
  <c r="M110" i="63"/>
  <c r="J110" i="63"/>
  <c r="I110" i="63"/>
  <c r="L110" i="63"/>
  <c r="G110" i="63"/>
  <c r="F110" i="63"/>
  <c r="H110" i="63"/>
  <c r="E110" i="63"/>
  <c r="Z123" i="63"/>
  <c r="X123" i="63"/>
  <c r="Y123" i="63"/>
  <c r="W123" i="63"/>
  <c r="V123" i="63"/>
  <c r="U123" i="63"/>
  <c r="S123" i="63"/>
  <c r="Q123" i="63"/>
  <c r="P123" i="63"/>
  <c r="R123" i="63"/>
  <c r="N123" i="63"/>
  <c r="M123" i="63"/>
  <c r="O123" i="63"/>
  <c r="L123" i="63"/>
  <c r="I123" i="63"/>
  <c r="H123" i="63"/>
  <c r="K123" i="63"/>
  <c r="J123" i="63"/>
  <c r="F123" i="63"/>
  <c r="E123" i="63"/>
  <c r="G123" i="63"/>
  <c r="Y137" i="63"/>
  <c r="X137" i="63"/>
  <c r="Z137" i="63"/>
  <c r="W137" i="63"/>
  <c r="V137" i="63"/>
  <c r="U137" i="63"/>
  <c r="P137" i="63"/>
  <c r="S137" i="63"/>
  <c r="R137" i="63"/>
  <c r="Q137" i="63"/>
  <c r="O137" i="63"/>
  <c r="M137" i="63"/>
  <c r="N137" i="63"/>
  <c r="L137" i="63"/>
  <c r="K137" i="63"/>
  <c r="J137" i="63"/>
  <c r="I137" i="63"/>
  <c r="F137" i="63"/>
  <c r="H137" i="63"/>
  <c r="B137" i="63"/>
  <c r="G137" i="63"/>
  <c r="Z175" i="63"/>
  <c r="X175" i="63"/>
  <c r="Y175" i="63"/>
  <c r="W175" i="63"/>
  <c r="V175" i="63"/>
  <c r="U175" i="63"/>
  <c r="S175" i="63"/>
  <c r="R175" i="63"/>
  <c r="Q175" i="63"/>
  <c r="P175" i="63"/>
  <c r="M175" i="63"/>
  <c r="N175" i="63"/>
  <c r="O175" i="63"/>
  <c r="K175" i="63"/>
  <c r="J175" i="63"/>
  <c r="L175" i="63"/>
  <c r="H175" i="63"/>
  <c r="E175" i="63"/>
  <c r="G175" i="63"/>
  <c r="B175" i="63"/>
  <c r="I175" i="63"/>
  <c r="X190" i="63"/>
  <c r="Z190" i="63"/>
  <c r="W190" i="63"/>
  <c r="Y190" i="63"/>
  <c r="V190" i="63"/>
  <c r="U190" i="63"/>
  <c r="Q190" i="63"/>
  <c r="S190" i="63"/>
  <c r="R190" i="63"/>
  <c r="P190" i="63"/>
  <c r="O190" i="63"/>
  <c r="N190" i="63"/>
  <c r="M190" i="63"/>
  <c r="K190" i="63"/>
  <c r="L190" i="63"/>
  <c r="J190" i="63"/>
  <c r="G190" i="63"/>
  <c r="H190" i="63"/>
  <c r="F190" i="63"/>
  <c r="I190" i="63"/>
  <c r="E190" i="63"/>
  <c r="Z195" i="63"/>
  <c r="Y195" i="63"/>
  <c r="W195" i="63"/>
  <c r="X195" i="63"/>
  <c r="V195" i="63"/>
  <c r="U195" i="63"/>
  <c r="S195" i="63"/>
  <c r="Q195" i="63"/>
  <c r="R195" i="63"/>
  <c r="P195" i="63"/>
  <c r="N195" i="63"/>
  <c r="O195" i="63"/>
  <c r="H195" i="63"/>
  <c r="K195" i="63"/>
  <c r="M195" i="63"/>
  <c r="L195" i="63"/>
  <c r="J195" i="63"/>
  <c r="F195" i="63"/>
  <c r="I195" i="63"/>
  <c r="C195" i="63"/>
  <c r="E195" i="63"/>
  <c r="G195" i="63"/>
  <c r="E141" i="63"/>
  <c r="E81" i="63"/>
  <c r="F175" i="63"/>
  <c r="E63" i="63"/>
  <c r="E55" i="63"/>
  <c r="E47" i="63"/>
  <c r="E39" i="63"/>
  <c r="Z5" i="63"/>
  <c r="Y5" i="63"/>
  <c r="X5" i="63"/>
  <c r="V5" i="63"/>
  <c r="W5" i="63"/>
  <c r="U5" i="63"/>
  <c r="S5" i="63"/>
  <c r="Q5" i="63"/>
  <c r="R5" i="63"/>
  <c r="O5" i="63"/>
  <c r="P5" i="63"/>
  <c r="M5" i="63"/>
  <c r="N5" i="63"/>
  <c r="J5" i="63"/>
  <c r="I5" i="63"/>
  <c r="L5" i="63"/>
  <c r="K5" i="63"/>
  <c r="B8" i="63"/>
  <c r="Y12" i="63"/>
  <c r="Z12" i="63"/>
  <c r="W12" i="63"/>
  <c r="X12" i="63"/>
  <c r="V12" i="63"/>
  <c r="U12" i="63"/>
  <c r="S12" i="63"/>
  <c r="R12" i="63"/>
  <c r="Q12" i="63"/>
  <c r="P12" i="63"/>
  <c r="O12" i="63"/>
  <c r="N12" i="63"/>
  <c r="M12" i="63"/>
  <c r="L12" i="63"/>
  <c r="J12" i="63"/>
  <c r="I12" i="63"/>
  <c r="K12" i="63"/>
  <c r="G12" i="63"/>
  <c r="Y18" i="63"/>
  <c r="X18" i="63"/>
  <c r="V18" i="63"/>
  <c r="Z18" i="63"/>
  <c r="W18" i="63"/>
  <c r="U18" i="63"/>
  <c r="S18" i="63"/>
  <c r="P18" i="63"/>
  <c r="N18" i="63"/>
  <c r="R18" i="63"/>
  <c r="Q18" i="63"/>
  <c r="O18" i="63"/>
  <c r="M18" i="63"/>
  <c r="K18" i="63"/>
  <c r="I18" i="63"/>
  <c r="L18" i="63"/>
  <c r="J18" i="63"/>
  <c r="Z22" i="63"/>
  <c r="X22" i="63"/>
  <c r="Y22" i="63"/>
  <c r="W22" i="63"/>
  <c r="V22" i="63"/>
  <c r="U22" i="63"/>
  <c r="S22" i="63"/>
  <c r="R22" i="63"/>
  <c r="Q22" i="63"/>
  <c r="P22" i="63"/>
  <c r="O22" i="63"/>
  <c r="K22" i="63"/>
  <c r="N22" i="63"/>
  <c r="M22" i="63"/>
  <c r="J22" i="63"/>
  <c r="L22" i="63"/>
  <c r="I22" i="63"/>
  <c r="B26" i="63"/>
  <c r="X30" i="63"/>
  <c r="Z30" i="63"/>
  <c r="W30" i="63"/>
  <c r="Y30" i="63"/>
  <c r="V30" i="63"/>
  <c r="U30" i="63"/>
  <c r="S30" i="63"/>
  <c r="R30" i="63"/>
  <c r="Q30" i="63"/>
  <c r="P30" i="63"/>
  <c r="O30" i="63"/>
  <c r="K30" i="63"/>
  <c r="N30" i="63"/>
  <c r="M30" i="63"/>
  <c r="L30" i="63"/>
  <c r="J30" i="63"/>
  <c r="I30" i="63"/>
  <c r="X34" i="63"/>
  <c r="V34" i="63"/>
  <c r="Z34" i="63"/>
  <c r="Y34" i="63"/>
  <c r="W34" i="63"/>
  <c r="U34" i="63"/>
  <c r="S34" i="63"/>
  <c r="R34" i="63"/>
  <c r="Q34" i="63"/>
  <c r="P34" i="63"/>
  <c r="N34" i="63"/>
  <c r="M34" i="63"/>
  <c r="O34" i="63"/>
  <c r="K34" i="63"/>
  <c r="I34" i="63"/>
  <c r="L34" i="63"/>
  <c r="J34" i="63"/>
  <c r="B39" i="63"/>
  <c r="Z43" i="63"/>
  <c r="Y43" i="63"/>
  <c r="V43" i="63"/>
  <c r="X43" i="63"/>
  <c r="W43" i="63"/>
  <c r="U43" i="63"/>
  <c r="S43" i="63"/>
  <c r="R43" i="63"/>
  <c r="Q43" i="63"/>
  <c r="P43" i="63"/>
  <c r="N43" i="63"/>
  <c r="O43" i="63"/>
  <c r="M43" i="63"/>
  <c r="I43" i="63"/>
  <c r="K43" i="63"/>
  <c r="H43" i="63"/>
  <c r="L43" i="63"/>
  <c r="J43" i="63"/>
  <c r="B47" i="63"/>
  <c r="C50" i="63"/>
  <c r="Z56" i="63"/>
  <c r="Y56" i="63"/>
  <c r="X56" i="63"/>
  <c r="V56" i="63"/>
  <c r="U56" i="63"/>
  <c r="W56" i="63"/>
  <c r="R56" i="63"/>
  <c r="P56" i="63"/>
  <c r="S56" i="63"/>
  <c r="Q56" i="63"/>
  <c r="M56" i="63"/>
  <c r="L56" i="63"/>
  <c r="O56" i="63"/>
  <c r="N56" i="63"/>
  <c r="G56" i="63"/>
  <c r="J56" i="63"/>
  <c r="K56" i="63"/>
  <c r="I56" i="63"/>
  <c r="Y60" i="63"/>
  <c r="X60" i="63"/>
  <c r="Z60" i="63"/>
  <c r="V60" i="63"/>
  <c r="U60" i="63"/>
  <c r="W60" i="63"/>
  <c r="R60" i="63"/>
  <c r="Q60" i="63"/>
  <c r="S60" i="63"/>
  <c r="P60" i="63"/>
  <c r="O60" i="63"/>
  <c r="N60" i="63"/>
  <c r="M60" i="63"/>
  <c r="L60" i="63"/>
  <c r="K60" i="63"/>
  <c r="J60" i="63"/>
  <c r="I60" i="63"/>
  <c r="G60" i="63"/>
  <c r="B63" i="63"/>
  <c r="Z68" i="63"/>
  <c r="Y68" i="63"/>
  <c r="V68" i="63"/>
  <c r="X68" i="63"/>
  <c r="W68" i="63"/>
  <c r="U68" i="63"/>
  <c r="R68" i="63"/>
  <c r="Q68" i="63"/>
  <c r="S68" i="63"/>
  <c r="P68" i="63"/>
  <c r="N68" i="63"/>
  <c r="M68" i="63"/>
  <c r="O68" i="63"/>
  <c r="L68" i="63"/>
  <c r="J68" i="63"/>
  <c r="I68" i="63"/>
  <c r="K68" i="63"/>
  <c r="Y73" i="63"/>
  <c r="X73" i="63"/>
  <c r="Z73" i="63"/>
  <c r="V73" i="63"/>
  <c r="W73" i="63"/>
  <c r="U73" i="63"/>
  <c r="P73" i="63"/>
  <c r="S73" i="63"/>
  <c r="R73" i="63"/>
  <c r="Q73" i="63"/>
  <c r="O73" i="63"/>
  <c r="M73" i="63"/>
  <c r="N73" i="63"/>
  <c r="L73" i="63"/>
  <c r="K73" i="63"/>
  <c r="J73" i="63"/>
  <c r="I73" i="63"/>
  <c r="Z79" i="63"/>
  <c r="X79" i="63"/>
  <c r="Y79" i="63"/>
  <c r="W79" i="63"/>
  <c r="U79" i="63"/>
  <c r="V79" i="63"/>
  <c r="S79" i="63"/>
  <c r="R79" i="63"/>
  <c r="Q79" i="63"/>
  <c r="P79" i="63"/>
  <c r="M79" i="63"/>
  <c r="N79" i="63"/>
  <c r="O79" i="63"/>
  <c r="J79" i="63"/>
  <c r="I79" i="63"/>
  <c r="K79" i="63"/>
  <c r="L79" i="63"/>
  <c r="H79" i="63"/>
  <c r="Z83" i="63"/>
  <c r="Y83" i="63"/>
  <c r="V83" i="63"/>
  <c r="X83" i="63"/>
  <c r="W83" i="63"/>
  <c r="U83" i="63"/>
  <c r="S83" i="63"/>
  <c r="Q83" i="63"/>
  <c r="P83" i="63"/>
  <c r="R83" i="63"/>
  <c r="O83" i="63"/>
  <c r="N83" i="63"/>
  <c r="M83" i="63"/>
  <c r="K83" i="63"/>
  <c r="I83" i="63"/>
  <c r="L83" i="63"/>
  <c r="H83" i="63"/>
  <c r="J83" i="63"/>
  <c r="B90" i="63"/>
  <c r="Z93" i="63"/>
  <c r="Y93" i="63"/>
  <c r="W93" i="63"/>
  <c r="X93" i="63"/>
  <c r="V93" i="63"/>
  <c r="U93" i="63"/>
  <c r="Q93" i="63"/>
  <c r="O93" i="63"/>
  <c r="S93" i="63"/>
  <c r="R93" i="63"/>
  <c r="P93" i="63"/>
  <c r="N93" i="63"/>
  <c r="M93" i="63"/>
  <c r="L93" i="63"/>
  <c r="K93" i="63"/>
  <c r="J93" i="63"/>
  <c r="I93" i="63"/>
  <c r="Y97" i="63"/>
  <c r="X97" i="63"/>
  <c r="Z97" i="63"/>
  <c r="W97" i="63"/>
  <c r="V97" i="63"/>
  <c r="U97" i="63"/>
  <c r="S97" i="63"/>
  <c r="R97" i="63"/>
  <c r="P97" i="63"/>
  <c r="Q97" i="63"/>
  <c r="O97" i="63"/>
  <c r="M97" i="63"/>
  <c r="N97" i="63"/>
  <c r="L97" i="63"/>
  <c r="K97" i="63"/>
  <c r="J97" i="63"/>
  <c r="I97" i="63"/>
  <c r="X102" i="63"/>
  <c r="Z102" i="63"/>
  <c r="W102" i="63"/>
  <c r="Y102" i="63"/>
  <c r="V102" i="63"/>
  <c r="U102" i="63"/>
  <c r="Q102" i="63"/>
  <c r="S102" i="63"/>
  <c r="R102" i="63"/>
  <c r="P102" i="63"/>
  <c r="K102" i="63"/>
  <c r="N102" i="63"/>
  <c r="O102" i="63"/>
  <c r="M102" i="63"/>
  <c r="L102" i="63"/>
  <c r="J102" i="63"/>
  <c r="I102" i="63"/>
  <c r="B106" i="63"/>
  <c r="Y113" i="63"/>
  <c r="Z113" i="63"/>
  <c r="X113" i="63"/>
  <c r="V113" i="63"/>
  <c r="W113" i="63"/>
  <c r="U113" i="63"/>
  <c r="P113" i="63"/>
  <c r="S113" i="63"/>
  <c r="R113" i="63"/>
  <c r="Q113" i="63"/>
  <c r="O113" i="63"/>
  <c r="M113" i="63"/>
  <c r="N113" i="63"/>
  <c r="L113" i="63"/>
  <c r="K113" i="63"/>
  <c r="J113" i="63"/>
  <c r="I113" i="63"/>
  <c r="B117" i="63"/>
  <c r="B121" i="63"/>
  <c r="B124" i="63"/>
  <c r="Z128" i="63"/>
  <c r="X128" i="63"/>
  <c r="Y128" i="63"/>
  <c r="W128" i="63"/>
  <c r="V128" i="63"/>
  <c r="U128" i="63"/>
  <c r="R128" i="63"/>
  <c r="P128" i="63"/>
  <c r="Q128" i="63"/>
  <c r="S128" i="63"/>
  <c r="M128" i="63"/>
  <c r="O128" i="63"/>
  <c r="L128" i="63"/>
  <c r="N128" i="63"/>
  <c r="K128" i="63"/>
  <c r="J128" i="63"/>
  <c r="I128" i="63"/>
  <c r="Z131" i="63"/>
  <c r="X131" i="63"/>
  <c r="Y131" i="63"/>
  <c r="W131" i="63"/>
  <c r="V131" i="63"/>
  <c r="U131" i="63"/>
  <c r="S131" i="63"/>
  <c r="Q131" i="63"/>
  <c r="R131" i="63"/>
  <c r="P131" i="63"/>
  <c r="N131" i="63"/>
  <c r="M131" i="63"/>
  <c r="O131" i="63"/>
  <c r="I131" i="63"/>
  <c r="H131" i="63"/>
  <c r="K131" i="63"/>
  <c r="L131" i="63"/>
  <c r="J131" i="63"/>
  <c r="Z135" i="63"/>
  <c r="X135" i="63"/>
  <c r="Y135" i="63"/>
  <c r="W135" i="63"/>
  <c r="V135" i="63"/>
  <c r="U135" i="63"/>
  <c r="S135" i="63"/>
  <c r="Q135" i="63"/>
  <c r="R135" i="63"/>
  <c r="P135" i="63"/>
  <c r="O135" i="63"/>
  <c r="M135" i="63"/>
  <c r="N135" i="63"/>
  <c r="K135" i="63"/>
  <c r="L135" i="63"/>
  <c r="J135" i="63"/>
  <c r="I135" i="63"/>
  <c r="H135" i="63"/>
  <c r="C142" i="63"/>
  <c r="Z147" i="63"/>
  <c r="Y147" i="63"/>
  <c r="X147" i="63"/>
  <c r="W147" i="63"/>
  <c r="V147" i="63"/>
  <c r="U147" i="63"/>
  <c r="S147" i="63"/>
  <c r="Q147" i="63"/>
  <c r="P147" i="63"/>
  <c r="R147" i="63"/>
  <c r="O147" i="63"/>
  <c r="N147" i="63"/>
  <c r="M147" i="63"/>
  <c r="I147" i="63"/>
  <c r="L147" i="63"/>
  <c r="K147" i="63"/>
  <c r="H147" i="63"/>
  <c r="J147" i="63"/>
  <c r="Z151" i="63"/>
  <c r="X151" i="63"/>
  <c r="Y151" i="63"/>
  <c r="W151" i="63"/>
  <c r="V151" i="63"/>
  <c r="S151" i="63"/>
  <c r="U151" i="63"/>
  <c r="R151" i="63"/>
  <c r="Q151" i="63"/>
  <c r="P151" i="63"/>
  <c r="M151" i="63"/>
  <c r="O151" i="63"/>
  <c r="N151" i="63"/>
  <c r="J151" i="63"/>
  <c r="L151" i="63"/>
  <c r="K151" i="63"/>
  <c r="H151" i="63"/>
  <c r="Z159" i="63"/>
  <c r="X159" i="63"/>
  <c r="Y159" i="63"/>
  <c r="W159" i="63"/>
  <c r="V159" i="63"/>
  <c r="S159" i="63"/>
  <c r="U159" i="63"/>
  <c r="Q159" i="63"/>
  <c r="R159" i="63"/>
  <c r="P159" i="63"/>
  <c r="M159" i="63"/>
  <c r="O159" i="63"/>
  <c r="N159" i="63"/>
  <c r="L159" i="63"/>
  <c r="J159" i="63"/>
  <c r="K159" i="63"/>
  <c r="H159" i="63"/>
  <c r="X166" i="63"/>
  <c r="W166" i="63"/>
  <c r="Z166" i="63"/>
  <c r="Y166" i="63"/>
  <c r="V166" i="63"/>
  <c r="U166" i="63"/>
  <c r="Q166" i="63"/>
  <c r="S166" i="63"/>
  <c r="R166" i="63"/>
  <c r="P166" i="63"/>
  <c r="N166" i="63"/>
  <c r="O166" i="63"/>
  <c r="M166" i="63"/>
  <c r="L166" i="63"/>
  <c r="J166" i="63"/>
  <c r="K166" i="63"/>
  <c r="I166" i="63"/>
  <c r="Z170" i="63"/>
  <c r="Y170" i="63"/>
  <c r="X170" i="63"/>
  <c r="V170" i="63"/>
  <c r="U170" i="63"/>
  <c r="W170" i="63"/>
  <c r="P170" i="63"/>
  <c r="S170" i="63"/>
  <c r="R170" i="63"/>
  <c r="Q170" i="63"/>
  <c r="N170" i="63"/>
  <c r="O170" i="63"/>
  <c r="M170" i="63"/>
  <c r="K170" i="63"/>
  <c r="I170" i="63"/>
  <c r="L170" i="63"/>
  <c r="J170" i="63"/>
  <c r="Y173" i="63"/>
  <c r="W173" i="63"/>
  <c r="Z173" i="63"/>
  <c r="X173" i="63"/>
  <c r="V173" i="63"/>
  <c r="U173" i="63"/>
  <c r="S173" i="63"/>
  <c r="R173" i="63"/>
  <c r="Q173" i="63"/>
  <c r="O173" i="63"/>
  <c r="P173" i="63"/>
  <c r="N173" i="63"/>
  <c r="K173" i="63"/>
  <c r="J173" i="63"/>
  <c r="I173" i="63"/>
  <c r="L173" i="63"/>
  <c r="M173" i="63"/>
  <c r="B177" i="63"/>
  <c r="B180" i="63"/>
  <c r="B184" i="63"/>
  <c r="Y194" i="63"/>
  <c r="X194" i="63"/>
  <c r="Z194" i="63"/>
  <c r="V194" i="63"/>
  <c r="W194" i="63"/>
  <c r="U194" i="63"/>
  <c r="S194" i="63"/>
  <c r="R194" i="63"/>
  <c r="Q194" i="63"/>
  <c r="N194" i="63"/>
  <c r="P194" i="63"/>
  <c r="M194" i="63"/>
  <c r="O194" i="63"/>
  <c r="K194" i="63"/>
  <c r="L194" i="63"/>
  <c r="J194" i="63"/>
  <c r="Z197" i="63"/>
  <c r="Y197" i="63"/>
  <c r="W197" i="63"/>
  <c r="X197" i="63"/>
  <c r="V197" i="63"/>
  <c r="U197" i="63"/>
  <c r="Q197" i="63"/>
  <c r="S197" i="63"/>
  <c r="R197" i="63"/>
  <c r="O197" i="63"/>
  <c r="P197" i="63"/>
  <c r="N197" i="63"/>
  <c r="M197" i="63"/>
  <c r="J197" i="63"/>
  <c r="I197" i="63"/>
  <c r="L197" i="63"/>
  <c r="K197" i="63"/>
  <c r="Y202" i="63"/>
  <c r="Z202" i="63"/>
  <c r="X202" i="63"/>
  <c r="V202" i="63"/>
  <c r="U202" i="63"/>
  <c r="W202" i="63"/>
  <c r="S202" i="63"/>
  <c r="R202" i="63"/>
  <c r="Q202" i="63"/>
  <c r="N202" i="63"/>
  <c r="O202" i="63"/>
  <c r="M202" i="63"/>
  <c r="P202" i="63"/>
  <c r="L202" i="63"/>
  <c r="K202" i="63"/>
  <c r="J202" i="63"/>
  <c r="E182" i="63"/>
  <c r="E166" i="63"/>
  <c r="E142" i="63"/>
  <c r="E102" i="63"/>
  <c r="E78" i="63"/>
  <c r="E54" i="63"/>
  <c r="E30" i="63"/>
  <c r="E22" i="63"/>
  <c r="F200" i="63"/>
  <c r="F192" i="63"/>
  <c r="F184" i="63"/>
  <c r="F128" i="63"/>
  <c r="F104" i="63"/>
  <c r="F96" i="63"/>
  <c r="F56" i="63"/>
  <c r="F24" i="63"/>
  <c r="F8" i="63"/>
  <c r="G179" i="63"/>
  <c r="G147" i="63"/>
  <c r="G131" i="63"/>
  <c r="G83" i="63"/>
  <c r="G67" i="63"/>
  <c r="H164" i="63"/>
  <c r="H153" i="63"/>
  <c r="H142" i="63"/>
  <c r="H121" i="63"/>
  <c r="H78" i="63"/>
  <c r="H68" i="63"/>
  <c r="H4" i="63"/>
  <c r="I200" i="63"/>
  <c r="F63" i="63"/>
  <c r="F55" i="63"/>
  <c r="F39" i="63"/>
  <c r="G170" i="63"/>
  <c r="G146" i="63"/>
  <c r="G106" i="63"/>
  <c r="G90" i="63"/>
  <c r="G45" i="63"/>
  <c r="G34" i="63"/>
  <c r="H194" i="63"/>
  <c r="H184" i="63"/>
  <c r="H173" i="63"/>
  <c r="H56" i="63"/>
  <c r="H34" i="63"/>
  <c r="E4" i="63"/>
  <c r="F142" i="63"/>
  <c r="F78" i="63"/>
  <c r="F54" i="63"/>
  <c r="F30" i="63"/>
  <c r="F22" i="63"/>
  <c r="G201" i="63"/>
  <c r="G193" i="63"/>
  <c r="G177" i="63"/>
  <c r="G169" i="63"/>
  <c r="G161" i="63"/>
  <c r="G121" i="63"/>
  <c r="G113" i="63"/>
  <c r="G97" i="63"/>
  <c r="G73" i="63"/>
  <c r="G65" i="63"/>
  <c r="G54" i="63"/>
  <c r="G43" i="63"/>
  <c r="G33" i="63"/>
  <c r="G22" i="63"/>
  <c r="H193" i="63"/>
  <c r="H97" i="63"/>
  <c r="H33" i="63"/>
  <c r="H22" i="63"/>
  <c r="H12" i="63"/>
  <c r="G184" i="63"/>
  <c r="G128" i="63"/>
  <c r="G96" i="63"/>
  <c r="G21" i="63"/>
  <c r="G10" i="63"/>
  <c r="H202" i="63"/>
  <c r="H170" i="63"/>
  <c r="H128" i="63"/>
  <c r="H117" i="63"/>
  <c r="H106" i="63"/>
  <c r="H21" i="63"/>
  <c r="Z199" i="63"/>
  <c r="X199" i="63"/>
  <c r="Y199" i="63"/>
  <c r="W199" i="63"/>
  <c r="V199" i="63"/>
  <c r="U199" i="63"/>
  <c r="S199" i="63"/>
  <c r="Q199" i="63"/>
  <c r="R199" i="63"/>
  <c r="P199" i="63"/>
  <c r="O199" i="63"/>
  <c r="N199" i="63"/>
  <c r="M199" i="63"/>
  <c r="L199" i="63"/>
  <c r="K199" i="63"/>
  <c r="J199" i="63"/>
  <c r="H199" i="63"/>
  <c r="E67" i="63"/>
  <c r="F117" i="63"/>
  <c r="Z3" i="63"/>
  <c r="W3" i="63"/>
  <c r="Y3" i="63"/>
  <c r="V3" i="63"/>
  <c r="X3" i="63"/>
  <c r="U3" i="63"/>
  <c r="S3" i="63"/>
  <c r="R3" i="63"/>
  <c r="Q3" i="63"/>
  <c r="P3" i="63"/>
  <c r="M3" i="63"/>
  <c r="O3" i="63"/>
  <c r="N3" i="63"/>
  <c r="I3" i="63"/>
  <c r="H3" i="63"/>
  <c r="K3" i="63"/>
  <c r="L3" i="63"/>
  <c r="J3" i="63"/>
  <c r="Z10" i="63"/>
  <c r="X10" i="63"/>
  <c r="W10" i="63"/>
  <c r="V10" i="63"/>
  <c r="Y10" i="63"/>
  <c r="U10" i="63"/>
  <c r="S10" i="63"/>
  <c r="P10" i="63"/>
  <c r="N10" i="63"/>
  <c r="R10" i="63"/>
  <c r="Q10" i="63"/>
  <c r="O10" i="63"/>
  <c r="M10" i="63"/>
  <c r="K10" i="63"/>
  <c r="I10" i="63"/>
  <c r="L10" i="63"/>
  <c r="J10" i="63"/>
  <c r="Z15" i="63"/>
  <c r="X15" i="63"/>
  <c r="W15" i="63"/>
  <c r="Y15" i="63"/>
  <c r="U15" i="63"/>
  <c r="V15" i="63"/>
  <c r="S15" i="63"/>
  <c r="R15" i="63"/>
  <c r="Q15" i="63"/>
  <c r="P15" i="63"/>
  <c r="M15" i="63"/>
  <c r="O15" i="63"/>
  <c r="N15" i="63"/>
  <c r="J15" i="63"/>
  <c r="I15" i="63"/>
  <c r="K15" i="63"/>
  <c r="L15" i="63"/>
  <c r="H15" i="63"/>
  <c r="Z20" i="63"/>
  <c r="X20" i="63"/>
  <c r="V20" i="63"/>
  <c r="Y20" i="63"/>
  <c r="W20" i="63"/>
  <c r="U20" i="63"/>
  <c r="S20" i="63"/>
  <c r="R20" i="63"/>
  <c r="P20" i="63"/>
  <c r="Q20" i="63"/>
  <c r="O20" i="63"/>
  <c r="N20" i="63"/>
  <c r="M20" i="63"/>
  <c r="L20" i="63"/>
  <c r="J20" i="63"/>
  <c r="K20" i="63"/>
  <c r="I20" i="63"/>
  <c r="G20" i="63"/>
  <c r="Z24" i="63"/>
  <c r="Y24" i="63"/>
  <c r="X24" i="63"/>
  <c r="V24" i="63"/>
  <c r="U24" i="63"/>
  <c r="W24" i="63"/>
  <c r="S24" i="63"/>
  <c r="R24" i="63"/>
  <c r="P24" i="63"/>
  <c r="Q24" i="63"/>
  <c r="M24" i="63"/>
  <c r="L24" i="63"/>
  <c r="O24" i="63"/>
  <c r="N24" i="63"/>
  <c r="G24" i="63"/>
  <c r="J24" i="63"/>
  <c r="K24" i="63"/>
  <c r="I24" i="63"/>
  <c r="Y28" i="63"/>
  <c r="Z28" i="63"/>
  <c r="V28" i="63"/>
  <c r="X28" i="63"/>
  <c r="U28" i="63"/>
  <c r="W28" i="63"/>
  <c r="S28" i="63"/>
  <c r="R28" i="63"/>
  <c r="P28" i="63"/>
  <c r="Q28" i="63"/>
  <c r="O28" i="63"/>
  <c r="N28" i="63"/>
  <c r="M28" i="63"/>
  <c r="L28" i="63"/>
  <c r="K28" i="63"/>
  <c r="J28" i="63"/>
  <c r="I28" i="63"/>
  <c r="G28" i="63"/>
  <c r="Y37" i="63"/>
  <c r="Z37" i="63"/>
  <c r="W37" i="63"/>
  <c r="X37" i="63"/>
  <c r="V37" i="63"/>
  <c r="U37" i="63"/>
  <c r="S37" i="63"/>
  <c r="Q37" i="63"/>
  <c r="R37" i="63"/>
  <c r="O37" i="63"/>
  <c r="P37" i="63"/>
  <c r="N37" i="63"/>
  <c r="M37" i="63"/>
  <c r="J37" i="63"/>
  <c r="I37" i="63"/>
  <c r="L37" i="63"/>
  <c r="K37" i="63"/>
  <c r="Y41" i="63"/>
  <c r="Z41" i="63"/>
  <c r="X41" i="63"/>
  <c r="U41" i="63"/>
  <c r="V41" i="63"/>
  <c r="W41" i="63"/>
  <c r="Q41" i="63"/>
  <c r="S41" i="63"/>
  <c r="P41" i="63"/>
  <c r="R41" i="63"/>
  <c r="O41" i="63"/>
  <c r="M41" i="63"/>
  <c r="N41" i="63"/>
  <c r="L41" i="63"/>
  <c r="K41" i="63"/>
  <c r="J41" i="63"/>
  <c r="I41" i="63"/>
  <c r="Y45" i="63"/>
  <c r="X45" i="63"/>
  <c r="W45" i="63"/>
  <c r="Z45" i="63"/>
  <c r="V45" i="63"/>
  <c r="U45" i="63"/>
  <c r="R45" i="63"/>
  <c r="S45" i="63"/>
  <c r="Q45" i="63"/>
  <c r="O45" i="63"/>
  <c r="P45" i="63"/>
  <c r="N45" i="63"/>
  <c r="M45" i="63"/>
  <c r="J45" i="63"/>
  <c r="I45" i="63"/>
  <c r="L45" i="63"/>
  <c r="K45" i="63"/>
  <c r="Z54" i="63"/>
  <c r="Y54" i="63"/>
  <c r="X54" i="63"/>
  <c r="W54" i="63"/>
  <c r="V54" i="63"/>
  <c r="U54" i="63"/>
  <c r="S54" i="63"/>
  <c r="R54" i="63"/>
  <c r="Q54" i="63"/>
  <c r="P54" i="63"/>
  <c r="O54" i="63"/>
  <c r="K54" i="63"/>
  <c r="N54" i="63"/>
  <c r="M54" i="63"/>
  <c r="J54" i="63"/>
  <c r="L54" i="63"/>
  <c r="I54" i="63"/>
  <c r="Y65" i="63"/>
  <c r="Z65" i="63"/>
  <c r="X65" i="63"/>
  <c r="W65" i="63"/>
  <c r="U65" i="63"/>
  <c r="V65" i="63"/>
  <c r="S65" i="63"/>
  <c r="R65" i="63"/>
  <c r="P65" i="63"/>
  <c r="Q65" i="63"/>
  <c r="O65" i="63"/>
  <c r="M65" i="63"/>
  <c r="N65" i="63"/>
  <c r="L65" i="63"/>
  <c r="K65" i="63"/>
  <c r="J65" i="63"/>
  <c r="I65" i="63"/>
  <c r="Z71" i="63"/>
  <c r="X71" i="63"/>
  <c r="W71" i="63"/>
  <c r="Y71" i="63"/>
  <c r="U71" i="63"/>
  <c r="V71" i="63"/>
  <c r="S71" i="63"/>
  <c r="Q71" i="63"/>
  <c r="R71" i="63"/>
  <c r="P71" i="63"/>
  <c r="O71" i="63"/>
  <c r="M71" i="63"/>
  <c r="N71" i="63"/>
  <c r="K71" i="63"/>
  <c r="L71" i="63"/>
  <c r="J71" i="63"/>
  <c r="I71" i="63"/>
  <c r="H71" i="63"/>
  <c r="Z76" i="63"/>
  <c r="X76" i="63"/>
  <c r="V76" i="63"/>
  <c r="Y76" i="63"/>
  <c r="U76" i="63"/>
  <c r="W76" i="63"/>
  <c r="R76" i="63"/>
  <c r="S76" i="63"/>
  <c r="Q76" i="63"/>
  <c r="P76" i="63"/>
  <c r="N76" i="63"/>
  <c r="O76" i="63"/>
  <c r="M76" i="63"/>
  <c r="L76" i="63"/>
  <c r="J76" i="63"/>
  <c r="I76" i="63"/>
  <c r="K76" i="63"/>
  <c r="Y85" i="63"/>
  <c r="X85" i="63"/>
  <c r="W85" i="63"/>
  <c r="Z85" i="63"/>
  <c r="V85" i="63"/>
  <c r="U85" i="63"/>
  <c r="Q85" i="63"/>
  <c r="O85" i="63"/>
  <c r="P85" i="63"/>
  <c r="S85" i="63"/>
  <c r="R85" i="63"/>
  <c r="N85" i="63"/>
  <c r="M85" i="63"/>
  <c r="J85" i="63"/>
  <c r="L85" i="63"/>
  <c r="K85" i="63"/>
  <c r="I85" i="63"/>
  <c r="Z104" i="63"/>
  <c r="X104" i="63"/>
  <c r="Y104" i="63"/>
  <c r="V104" i="63"/>
  <c r="W104" i="63"/>
  <c r="U104" i="63"/>
  <c r="R104" i="63"/>
  <c r="P104" i="63"/>
  <c r="S104" i="63"/>
  <c r="Q104" i="63"/>
  <c r="O104" i="63"/>
  <c r="M104" i="63"/>
  <c r="L104" i="63"/>
  <c r="N104" i="63"/>
  <c r="K104" i="63"/>
  <c r="J104" i="63"/>
  <c r="I104" i="63"/>
  <c r="Z108" i="63"/>
  <c r="Y108" i="63"/>
  <c r="V108" i="63"/>
  <c r="X108" i="63"/>
  <c r="U108" i="63"/>
  <c r="W108" i="63"/>
  <c r="R108" i="63"/>
  <c r="S108" i="63"/>
  <c r="Q108" i="63"/>
  <c r="P108" i="63"/>
  <c r="N108" i="63"/>
  <c r="O108" i="63"/>
  <c r="M108" i="63"/>
  <c r="L108" i="63"/>
  <c r="J108" i="63"/>
  <c r="I108" i="63"/>
  <c r="K108" i="63"/>
  <c r="Z111" i="63"/>
  <c r="X111" i="63"/>
  <c r="Y111" i="63"/>
  <c r="W111" i="63"/>
  <c r="V111" i="63"/>
  <c r="U111" i="63"/>
  <c r="S111" i="63"/>
  <c r="R111" i="63"/>
  <c r="Q111" i="63"/>
  <c r="P111" i="63"/>
  <c r="M111" i="63"/>
  <c r="N111" i="63"/>
  <c r="O111" i="63"/>
  <c r="J111" i="63"/>
  <c r="I111" i="63"/>
  <c r="K111" i="63"/>
  <c r="L111" i="63"/>
  <c r="H111" i="63"/>
  <c r="Z115" i="63"/>
  <c r="V115" i="63"/>
  <c r="X115" i="63"/>
  <c r="Y115" i="63"/>
  <c r="W115" i="63"/>
  <c r="U115" i="63"/>
  <c r="S115" i="63"/>
  <c r="Q115" i="63"/>
  <c r="P115" i="63"/>
  <c r="R115" i="63"/>
  <c r="O115" i="63"/>
  <c r="N115" i="63"/>
  <c r="M115" i="63"/>
  <c r="K115" i="63"/>
  <c r="I115" i="63"/>
  <c r="L115" i="63"/>
  <c r="H115" i="63"/>
  <c r="J115" i="63"/>
  <c r="Z119" i="63"/>
  <c r="X119" i="63"/>
  <c r="W119" i="63"/>
  <c r="Y119" i="63"/>
  <c r="V119" i="63"/>
  <c r="S119" i="63"/>
  <c r="U119" i="63"/>
  <c r="R119" i="63"/>
  <c r="Q119" i="63"/>
  <c r="P119" i="63"/>
  <c r="M119" i="63"/>
  <c r="O119" i="63"/>
  <c r="N119" i="63"/>
  <c r="J119" i="63"/>
  <c r="K119" i="63"/>
  <c r="L119" i="63"/>
  <c r="I119" i="63"/>
  <c r="H119" i="63"/>
  <c r="Z133" i="63"/>
  <c r="Y133" i="63"/>
  <c r="W133" i="63"/>
  <c r="X133" i="63"/>
  <c r="V133" i="63"/>
  <c r="U133" i="63"/>
  <c r="Q133" i="63"/>
  <c r="S133" i="63"/>
  <c r="R133" i="63"/>
  <c r="O133" i="63"/>
  <c r="P133" i="63"/>
  <c r="N133" i="63"/>
  <c r="M133" i="63"/>
  <c r="J133" i="63"/>
  <c r="I133" i="63"/>
  <c r="L133" i="63"/>
  <c r="K133" i="63"/>
  <c r="Y149" i="63"/>
  <c r="X149" i="63"/>
  <c r="W149" i="63"/>
  <c r="Z149" i="63"/>
  <c r="V149" i="63"/>
  <c r="U149" i="63"/>
  <c r="Q149" i="63"/>
  <c r="O149" i="63"/>
  <c r="P149" i="63"/>
  <c r="S149" i="63"/>
  <c r="R149" i="63"/>
  <c r="N149" i="63"/>
  <c r="M149" i="63"/>
  <c r="J149" i="63"/>
  <c r="L149" i="63"/>
  <c r="I149" i="63"/>
  <c r="K149" i="63"/>
  <c r="Y153" i="63"/>
  <c r="Z153" i="63"/>
  <c r="X153" i="63"/>
  <c r="W153" i="63"/>
  <c r="V153" i="63"/>
  <c r="U153" i="63"/>
  <c r="P153" i="63"/>
  <c r="S153" i="63"/>
  <c r="R153" i="63"/>
  <c r="Q153" i="63"/>
  <c r="O153" i="63"/>
  <c r="M153" i="63"/>
  <c r="N153" i="63"/>
  <c r="K153" i="63"/>
  <c r="J153" i="63"/>
  <c r="L153" i="63"/>
  <c r="I153" i="63"/>
  <c r="Z156" i="63"/>
  <c r="Y156" i="63"/>
  <c r="V156" i="63"/>
  <c r="X156" i="63"/>
  <c r="W156" i="63"/>
  <c r="U156" i="63"/>
  <c r="R156" i="63"/>
  <c r="Q156" i="63"/>
  <c r="S156" i="63"/>
  <c r="P156" i="63"/>
  <c r="O156" i="63"/>
  <c r="N156" i="63"/>
  <c r="L156" i="63"/>
  <c r="M156" i="63"/>
  <c r="J156" i="63"/>
  <c r="K156" i="63"/>
  <c r="I156" i="63"/>
  <c r="Y161" i="63"/>
  <c r="Z161" i="63"/>
  <c r="W161" i="63"/>
  <c r="X161" i="63"/>
  <c r="V161" i="63"/>
  <c r="U161" i="63"/>
  <c r="S161" i="63"/>
  <c r="R161" i="63"/>
  <c r="P161" i="63"/>
  <c r="Q161" i="63"/>
  <c r="O161" i="63"/>
  <c r="M161" i="63"/>
  <c r="N161" i="63"/>
  <c r="L161" i="63"/>
  <c r="J161" i="63"/>
  <c r="K161" i="63"/>
  <c r="I161" i="63"/>
  <c r="Z164" i="63"/>
  <c r="X164" i="63"/>
  <c r="Y164" i="63"/>
  <c r="V164" i="63"/>
  <c r="W164" i="63"/>
  <c r="U164" i="63"/>
  <c r="R164" i="63"/>
  <c r="Q164" i="63"/>
  <c r="S164" i="63"/>
  <c r="P164" i="63"/>
  <c r="N164" i="63"/>
  <c r="O164" i="63"/>
  <c r="L164" i="63"/>
  <c r="J164" i="63"/>
  <c r="K164" i="63"/>
  <c r="M164" i="63"/>
  <c r="Z179" i="63"/>
  <c r="X179" i="63"/>
  <c r="Y179" i="63"/>
  <c r="W179" i="63"/>
  <c r="V179" i="63"/>
  <c r="U179" i="63"/>
  <c r="S179" i="63"/>
  <c r="Q179" i="63"/>
  <c r="P179" i="63"/>
  <c r="R179" i="63"/>
  <c r="O179" i="63"/>
  <c r="N179" i="63"/>
  <c r="M179" i="63"/>
  <c r="L179" i="63"/>
  <c r="H179" i="63"/>
  <c r="K179" i="63"/>
  <c r="J179" i="63"/>
  <c r="Z182" i="63"/>
  <c r="X182" i="63"/>
  <c r="W182" i="63"/>
  <c r="Y182" i="63"/>
  <c r="V182" i="63"/>
  <c r="U182" i="63"/>
  <c r="S182" i="63"/>
  <c r="R182" i="63"/>
  <c r="Q182" i="63"/>
  <c r="P182" i="63"/>
  <c r="O182" i="63"/>
  <c r="N182" i="63"/>
  <c r="M182" i="63"/>
  <c r="K182" i="63"/>
  <c r="J182" i="63"/>
  <c r="L182" i="63"/>
  <c r="Z192" i="63"/>
  <c r="X192" i="63"/>
  <c r="Y192" i="63"/>
  <c r="W192" i="63"/>
  <c r="V192" i="63"/>
  <c r="U192" i="63"/>
  <c r="R192" i="63"/>
  <c r="P192" i="63"/>
  <c r="Q192" i="63"/>
  <c r="S192" i="63"/>
  <c r="O192" i="63"/>
  <c r="L192" i="63"/>
  <c r="N192" i="63"/>
  <c r="K192" i="63"/>
  <c r="M192" i="63"/>
  <c r="J192" i="63"/>
  <c r="Z200" i="63"/>
  <c r="Y200" i="63"/>
  <c r="X200" i="63"/>
  <c r="W200" i="63"/>
  <c r="V200" i="63"/>
  <c r="U200" i="63"/>
  <c r="R200" i="63"/>
  <c r="P200" i="63"/>
  <c r="S200" i="63"/>
  <c r="Q200" i="63"/>
  <c r="O200" i="63"/>
  <c r="L200" i="63"/>
  <c r="N200" i="63"/>
  <c r="M200" i="63"/>
  <c r="K200" i="63"/>
  <c r="J200" i="63"/>
  <c r="E202" i="63"/>
  <c r="E194" i="63"/>
  <c r="E170" i="63"/>
  <c r="E146" i="63"/>
  <c r="E106" i="63"/>
  <c r="E90" i="63"/>
  <c r="E50" i="63"/>
  <c r="E34" i="63"/>
  <c r="E26" i="63"/>
  <c r="E18" i="63"/>
  <c r="E10" i="63"/>
  <c r="F180" i="63"/>
  <c r="F164" i="63"/>
  <c r="F156" i="63"/>
  <c r="F124" i="63"/>
  <c r="F108" i="63"/>
  <c r="F76" i="63"/>
  <c r="F68" i="63"/>
  <c r="F60" i="63"/>
  <c r="F28" i="63"/>
  <c r="F20" i="63"/>
  <c r="F12" i="63"/>
  <c r="F4" i="63"/>
  <c r="G199" i="63"/>
  <c r="G159" i="63"/>
  <c r="G151" i="63"/>
  <c r="G135" i="63"/>
  <c r="G119" i="63"/>
  <c r="G111" i="63"/>
  <c r="G79" i="63"/>
  <c r="G71" i="63"/>
  <c r="G41" i="63"/>
  <c r="G30" i="63"/>
  <c r="H73" i="63"/>
  <c r="H41" i="63"/>
  <c r="H30" i="63"/>
  <c r="H20" i="63"/>
  <c r="I184" i="63"/>
  <c r="I159" i="63"/>
  <c r="G166" i="63"/>
  <c r="G102" i="63"/>
  <c r="G50" i="63"/>
  <c r="G18" i="63"/>
  <c r="H200" i="63"/>
  <c r="H146" i="63"/>
  <c r="H104" i="63"/>
  <c r="H93" i="63"/>
  <c r="H50" i="63"/>
  <c r="H18" i="63"/>
  <c r="H8" i="63"/>
  <c r="I194" i="63"/>
  <c r="G173" i="63"/>
  <c r="G149" i="63"/>
  <c r="G133" i="63"/>
  <c r="G93" i="63"/>
  <c r="G85" i="63"/>
  <c r="G17" i="63"/>
  <c r="H166" i="63"/>
  <c r="H156" i="63"/>
  <c r="H113" i="63"/>
  <c r="H102" i="63"/>
  <c r="H60" i="63"/>
  <c r="H28" i="63"/>
  <c r="I192" i="63"/>
  <c r="I182" i="63"/>
  <c r="I151" i="63"/>
  <c r="Y4" i="63"/>
  <c r="W4" i="63"/>
  <c r="V4" i="63"/>
  <c r="Z4" i="63"/>
  <c r="X4" i="63"/>
  <c r="S4" i="63"/>
  <c r="U4" i="63"/>
  <c r="R4" i="63"/>
  <c r="Q4" i="63"/>
  <c r="P4" i="63"/>
  <c r="M4" i="63"/>
  <c r="O4" i="63"/>
  <c r="N4" i="63"/>
  <c r="L4" i="63"/>
  <c r="J4" i="63"/>
  <c r="I4" i="63"/>
  <c r="K4" i="63"/>
  <c r="G4" i="63"/>
  <c r="Z8" i="63"/>
  <c r="Y8" i="63"/>
  <c r="X8" i="63"/>
  <c r="W8" i="63"/>
  <c r="V8" i="63"/>
  <c r="U8" i="63"/>
  <c r="S8" i="63"/>
  <c r="R8" i="63"/>
  <c r="P8" i="63"/>
  <c r="Q8" i="63"/>
  <c r="O8" i="63"/>
  <c r="N8" i="63"/>
  <c r="M8" i="63"/>
  <c r="L8" i="63"/>
  <c r="K8" i="63"/>
  <c r="G8" i="63"/>
  <c r="J8" i="63"/>
  <c r="I8" i="63"/>
  <c r="Y17" i="63"/>
  <c r="Z17" i="63"/>
  <c r="X17" i="63"/>
  <c r="W17" i="63"/>
  <c r="U17" i="63"/>
  <c r="V17" i="63"/>
  <c r="Q17" i="63"/>
  <c r="S17" i="63"/>
  <c r="P17" i="63"/>
  <c r="R17" i="63"/>
  <c r="O17" i="63"/>
  <c r="N17" i="63"/>
  <c r="M17" i="63"/>
  <c r="L17" i="63"/>
  <c r="K17" i="63"/>
  <c r="J17" i="63"/>
  <c r="I17" i="63"/>
  <c r="Z21" i="63"/>
  <c r="X21" i="63"/>
  <c r="W21" i="63"/>
  <c r="Y21" i="63"/>
  <c r="V21" i="63"/>
  <c r="U21" i="63"/>
  <c r="S21" i="63"/>
  <c r="Q21" i="63"/>
  <c r="O21" i="63"/>
  <c r="P21" i="63"/>
  <c r="R21" i="63"/>
  <c r="N21" i="63"/>
  <c r="M21" i="63"/>
  <c r="J21" i="63"/>
  <c r="L21" i="63"/>
  <c r="K21" i="63"/>
  <c r="I21" i="63"/>
  <c r="X26" i="63"/>
  <c r="Z26" i="63"/>
  <c r="Y26" i="63"/>
  <c r="V26" i="63"/>
  <c r="U26" i="63"/>
  <c r="W26" i="63"/>
  <c r="S26" i="63"/>
  <c r="P26" i="63"/>
  <c r="R26" i="63"/>
  <c r="Q26" i="63"/>
  <c r="N26" i="63"/>
  <c r="M26" i="63"/>
  <c r="O26" i="63"/>
  <c r="K26" i="63"/>
  <c r="I26" i="63"/>
  <c r="J26" i="63"/>
  <c r="L26" i="63"/>
  <c r="Y33" i="63"/>
  <c r="X33" i="63"/>
  <c r="Z33" i="63"/>
  <c r="W33" i="63"/>
  <c r="U33" i="63"/>
  <c r="V33" i="63"/>
  <c r="Q33" i="63"/>
  <c r="S33" i="63"/>
  <c r="R33" i="63"/>
  <c r="P33" i="63"/>
  <c r="O33" i="63"/>
  <c r="M33" i="63"/>
  <c r="N33" i="63"/>
  <c r="L33" i="63"/>
  <c r="K33" i="63"/>
  <c r="J33" i="63"/>
  <c r="I33" i="63"/>
  <c r="Z39" i="63"/>
  <c r="X39" i="63"/>
  <c r="W39" i="63"/>
  <c r="Y39" i="63"/>
  <c r="U39" i="63"/>
  <c r="V39" i="63"/>
  <c r="S39" i="63"/>
  <c r="R39" i="63"/>
  <c r="Q39" i="63"/>
  <c r="P39" i="63"/>
  <c r="O39" i="63"/>
  <c r="M39" i="63"/>
  <c r="N39" i="63"/>
  <c r="K39" i="63"/>
  <c r="L39" i="63"/>
  <c r="J39" i="63"/>
  <c r="I39" i="63"/>
  <c r="H39" i="63"/>
  <c r="Z47" i="63"/>
  <c r="X47" i="63"/>
  <c r="Y47" i="63"/>
  <c r="W47" i="63"/>
  <c r="U47" i="63"/>
  <c r="V47" i="63"/>
  <c r="S47" i="63"/>
  <c r="R47" i="63"/>
  <c r="Q47" i="63"/>
  <c r="P47" i="63"/>
  <c r="M47" i="63"/>
  <c r="N47" i="63"/>
  <c r="O47" i="63"/>
  <c r="J47" i="63"/>
  <c r="I47" i="63"/>
  <c r="K47" i="63"/>
  <c r="L47" i="63"/>
  <c r="H47" i="63"/>
  <c r="Y50" i="63"/>
  <c r="X50" i="63"/>
  <c r="Z50" i="63"/>
  <c r="V50" i="63"/>
  <c r="W50" i="63"/>
  <c r="U50" i="63"/>
  <c r="P50" i="63"/>
  <c r="S50" i="63"/>
  <c r="R50" i="63"/>
  <c r="Q50" i="63"/>
  <c r="O50" i="63"/>
  <c r="N50" i="63"/>
  <c r="M50" i="63"/>
  <c r="K50" i="63"/>
  <c r="I50" i="63"/>
  <c r="L50" i="63"/>
  <c r="J50" i="63"/>
  <c r="Z55" i="63"/>
  <c r="Y55" i="63"/>
  <c r="X55" i="63"/>
  <c r="W55" i="63"/>
  <c r="U55" i="63"/>
  <c r="V55" i="63"/>
  <c r="S55" i="63"/>
  <c r="R55" i="63"/>
  <c r="Q55" i="63"/>
  <c r="P55" i="63"/>
  <c r="M55" i="63"/>
  <c r="O55" i="63"/>
  <c r="N55" i="63"/>
  <c r="J55" i="63"/>
  <c r="K55" i="63"/>
  <c r="L55" i="63"/>
  <c r="I55" i="63"/>
  <c r="H55" i="63"/>
  <c r="Z63" i="63"/>
  <c r="Y63" i="63"/>
  <c r="X63" i="63"/>
  <c r="W63" i="63"/>
  <c r="U63" i="63"/>
  <c r="V63" i="63"/>
  <c r="S63" i="63"/>
  <c r="Q63" i="63"/>
  <c r="R63" i="63"/>
  <c r="P63" i="63"/>
  <c r="M63" i="63"/>
  <c r="O63" i="63"/>
  <c r="N63" i="63"/>
  <c r="K63" i="63"/>
  <c r="L63" i="63"/>
  <c r="J63" i="63"/>
  <c r="I63" i="63"/>
  <c r="H63" i="63"/>
  <c r="Z67" i="63"/>
  <c r="V67" i="63"/>
  <c r="Y67" i="63"/>
  <c r="X67" i="63"/>
  <c r="W67" i="63"/>
  <c r="U67" i="63"/>
  <c r="S67" i="63"/>
  <c r="Q67" i="63"/>
  <c r="R67" i="63"/>
  <c r="P67" i="63"/>
  <c r="N67" i="63"/>
  <c r="M67" i="63"/>
  <c r="O67" i="63"/>
  <c r="I67" i="63"/>
  <c r="H67" i="63"/>
  <c r="K67" i="63"/>
  <c r="L67" i="63"/>
  <c r="J67" i="63"/>
  <c r="X78" i="63"/>
  <c r="Y78" i="63"/>
  <c r="Z78" i="63"/>
  <c r="W78" i="63"/>
  <c r="V78" i="63"/>
  <c r="U78" i="63"/>
  <c r="S78" i="63"/>
  <c r="R78" i="63"/>
  <c r="Q78" i="63"/>
  <c r="P78" i="63"/>
  <c r="K78" i="63"/>
  <c r="N78" i="63"/>
  <c r="O78" i="63"/>
  <c r="M78" i="63"/>
  <c r="J78" i="63"/>
  <c r="I78" i="63"/>
  <c r="L78" i="63"/>
  <c r="Y90" i="63"/>
  <c r="X90" i="63"/>
  <c r="V90" i="63"/>
  <c r="Z90" i="63"/>
  <c r="U90" i="63"/>
  <c r="W90" i="63"/>
  <c r="P90" i="63"/>
  <c r="S90" i="63"/>
  <c r="R90" i="63"/>
  <c r="Q90" i="63"/>
  <c r="N90" i="63"/>
  <c r="M90" i="63"/>
  <c r="O90" i="63"/>
  <c r="K90" i="63"/>
  <c r="I90" i="63"/>
  <c r="J90" i="63"/>
  <c r="L90" i="63"/>
  <c r="Z96" i="63"/>
  <c r="Y96" i="63"/>
  <c r="X96" i="63"/>
  <c r="V96" i="63"/>
  <c r="W96" i="63"/>
  <c r="U96" i="63"/>
  <c r="R96" i="63"/>
  <c r="P96" i="63"/>
  <c r="Q96" i="63"/>
  <c r="S96" i="63"/>
  <c r="M96" i="63"/>
  <c r="O96" i="63"/>
  <c r="L96" i="63"/>
  <c r="N96" i="63"/>
  <c r="K96" i="63"/>
  <c r="J96" i="63"/>
  <c r="I96" i="63"/>
  <c r="Z106" i="63"/>
  <c r="Y106" i="63"/>
  <c r="X106" i="63"/>
  <c r="V106" i="63"/>
  <c r="U106" i="63"/>
  <c r="W106" i="63"/>
  <c r="P106" i="63"/>
  <c r="S106" i="63"/>
  <c r="R106" i="63"/>
  <c r="Q106" i="63"/>
  <c r="N106" i="63"/>
  <c r="O106" i="63"/>
  <c r="M106" i="63"/>
  <c r="K106" i="63"/>
  <c r="I106" i="63"/>
  <c r="L106" i="63"/>
  <c r="J106" i="63"/>
  <c r="Y117" i="63"/>
  <c r="W117" i="63"/>
  <c r="Z117" i="63"/>
  <c r="X117" i="63"/>
  <c r="V117" i="63"/>
  <c r="U117" i="63"/>
  <c r="Q117" i="63"/>
  <c r="O117" i="63"/>
  <c r="P117" i="63"/>
  <c r="S117" i="63"/>
  <c r="R117" i="63"/>
  <c r="N117" i="63"/>
  <c r="M117" i="63"/>
  <c r="J117" i="63"/>
  <c r="L117" i="63"/>
  <c r="K117" i="63"/>
  <c r="I117" i="63"/>
  <c r="Y121" i="63"/>
  <c r="Z121" i="63"/>
  <c r="X121" i="63"/>
  <c r="W121" i="63"/>
  <c r="V121" i="63"/>
  <c r="U121" i="63"/>
  <c r="P121" i="63"/>
  <c r="S121" i="63"/>
  <c r="R121" i="63"/>
  <c r="Q121" i="63"/>
  <c r="O121" i="63"/>
  <c r="M121" i="63"/>
  <c r="N121" i="63"/>
  <c r="J121" i="63"/>
  <c r="L121" i="63"/>
  <c r="K121" i="63"/>
  <c r="I121" i="63"/>
  <c r="X124" i="63"/>
  <c r="Y124" i="63"/>
  <c r="Z124" i="63"/>
  <c r="V124" i="63"/>
  <c r="W124" i="63"/>
  <c r="U124" i="63"/>
  <c r="R124" i="63"/>
  <c r="Q124" i="63"/>
  <c r="S124" i="63"/>
  <c r="P124" i="63"/>
  <c r="O124" i="63"/>
  <c r="N124" i="63"/>
  <c r="M124" i="63"/>
  <c r="L124" i="63"/>
  <c r="K124" i="63"/>
  <c r="J124" i="63"/>
  <c r="I124" i="63"/>
  <c r="X142" i="63"/>
  <c r="W142" i="63"/>
  <c r="Z142" i="63"/>
  <c r="Y142" i="63"/>
  <c r="V142" i="63"/>
  <c r="U142" i="63"/>
  <c r="S142" i="63"/>
  <c r="R142" i="63"/>
  <c r="Q142" i="63"/>
  <c r="P142" i="63"/>
  <c r="N142" i="63"/>
  <c r="O142" i="63"/>
  <c r="M142" i="63"/>
  <c r="J142" i="63"/>
  <c r="I142" i="63"/>
  <c r="L142" i="63"/>
  <c r="K142" i="63"/>
  <c r="Z146" i="63"/>
  <c r="Y146" i="63"/>
  <c r="X146" i="63"/>
  <c r="V146" i="63"/>
  <c r="W146" i="63"/>
  <c r="U146" i="63"/>
  <c r="P146" i="63"/>
  <c r="S146" i="63"/>
  <c r="R146" i="63"/>
  <c r="Q146" i="63"/>
  <c r="O146" i="63"/>
  <c r="N146" i="63"/>
  <c r="M146" i="63"/>
  <c r="K146" i="63"/>
  <c r="I146" i="63"/>
  <c r="L146" i="63"/>
  <c r="J146" i="63"/>
  <c r="Y169" i="63"/>
  <c r="Z169" i="63"/>
  <c r="X169" i="63"/>
  <c r="W169" i="63"/>
  <c r="V169" i="63"/>
  <c r="U169" i="63"/>
  <c r="P169" i="63"/>
  <c r="S169" i="63"/>
  <c r="R169" i="63"/>
  <c r="Q169" i="63"/>
  <c r="O169" i="63"/>
  <c r="N169" i="63"/>
  <c r="L169" i="63"/>
  <c r="M169" i="63"/>
  <c r="J169" i="63"/>
  <c r="K169" i="63"/>
  <c r="I169" i="63"/>
  <c r="Y177" i="63"/>
  <c r="Z177" i="63"/>
  <c r="X177" i="63"/>
  <c r="W177" i="63"/>
  <c r="V177" i="63"/>
  <c r="U177" i="63"/>
  <c r="P177" i="63"/>
  <c r="S177" i="63"/>
  <c r="R177" i="63"/>
  <c r="Q177" i="63"/>
  <c r="O177" i="63"/>
  <c r="N177" i="63"/>
  <c r="L177" i="63"/>
  <c r="M177" i="63"/>
  <c r="K177" i="63"/>
  <c r="J177" i="63"/>
  <c r="I177" i="63"/>
  <c r="Z180" i="63"/>
  <c r="Y180" i="63"/>
  <c r="V180" i="63"/>
  <c r="W180" i="63"/>
  <c r="X180" i="63"/>
  <c r="R180" i="63"/>
  <c r="U180" i="63"/>
  <c r="Q180" i="63"/>
  <c r="P180" i="63"/>
  <c r="S180" i="63"/>
  <c r="O180" i="63"/>
  <c r="N180" i="63"/>
  <c r="L180" i="63"/>
  <c r="J180" i="63"/>
  <c r="M180" i="63"/>
  <c r="K180" i="63"/>
  <c r="Z184" i="63"/>
  <c r="Y184" i="63"/>
  <c r="W184" i="63"/>
  <c r="X184" i="63"/>
  <c r="V184" i="63"/>
  <c r="U184" i="63"/>
  <c r="R184" i="63"/>
  <c r="P184" i="63"/>
  <c r="S184" i="63"/>
  <c r="Q184" i="63"/>
  <c r="L184" i="63"/>
  <c r="O184" i="63"/>
  <c r="N184" i="63"/>
  <c r="K184" i="63"/>
  <c r="J184" i="63"/>
  <c r="M184" i="63"/>
  <c r="Y193" i="63"/>
  <c r="Z193" i="63"/>
  <c r="X193" i="63"/>
  <c r="W193" i="63"/>
  <c r="V193" i="63"/>
  <c r="U193" i="63"/>
  <c r="S193" i="63"/>
  <c r="R193" i="63"/>
  <c r="Q193" i="63"/>
  <c r="O193" i="63"/>
  <c r="P193" i="63"/>
  <c r="N193" i="63"/>
  <c r="K193" i="63"/>
  <c r="L193" i="63"/>
  <c r="M193" i="63"/>
  <c r="J193" i="63"/>
  <c r="I193" i="63"/>
  <c r="Y201" i="63"/>
  <c r="X201" i="63"/>
  <c r="Z201" i="63"/>
  <c r="W201" i="63"/>
  <c r="V201" i="63"/>
  <c r="U201" i="63"/>
  <c r="S201" i="63"/>
  <c r="R201" i="63"/>
  <c r="Q201" i="63"/>
  <c r="O201" i="63"/>
  <c r="P201" i="63"/>
  <c r="N201" i="63"/>
  <c r="L201" i="63"/>
  <c r="M201" i="63"/>
  <c r="K201" i="63"/>
  <c r="J201" i="63"/>
  <c r="I201" i="63"/>
  <c r="E199" i="63"/>
  <c r="F201" i="63"/>
  <c r="F193" i="63"/>
  <c r="F177" i="63"/>
  <c r="F169" i="63"/>
  <c r="F121" i="63"/>
  <c r="F73" i="63"/>
  <c r="F65" i="63"/>
  <c r="F41" i="63"/>
  <c r="F33" i="63"/>
  <c r="F17" i="63"/>
  <c r="G180" i="63"/>
  <c r="G164" i="63"/>
  <c r="G156" i="63"/>
  <c r="G124" i="63"/>
  <c r="G108" i="63"/>
  <c r="G76" i="63"/>
  <c r="G68" i="63"/>
  <c r="G47" i="63"/>
  <c r="G37" i="63"/>
  <c r="G26" i="63"/>
  <c r="G15" i="63"/>
  <c r="G5" i="63"/>
  <c r="H197" i="63"/>
  <c r="H133" i="63"/>
  <c r="H90" i="63"/>
  <c r="H37" i="63"/>
  <c r="H26" i="63"/>
  <c r="H5" i="63"/>
  <c r="I202" i="63"/>
  <c r="I180" i="63"/>
  <c r="C16" i="63"/>
  <c r="B28" i="63"/>
  <c r="C30" i="63"/>
  <c r="B16" i="63"/>
  <c r="C2" i="63"/>
  <c r="B13" i="63"/>
  <c r="C13" i="63"/>
  <c r="C19" i="63"/>
  <c r="B37" i="63"/>
  <c r="C37" i="63"/>
  <c r="B15" i="63"/>
  <c r="B19" i="63"/>
  <c r="C12" i="63"/>
  <c r="B23" i="63"/>
  <c r="C23" i="63"/>
  <c r="C24" i="63"/>
  <c r="B24" i="63"/>
  <c r="C35" i="63"/>
  <c r="B35" i="63"/>
  <c r="B12" i="63"/>
  <c r="C6" i="63"/>
  <c r="C26" i="63"/>
  <c r="B43" i="63"/>
  <c r="B81" i="63"/>
  <c r="C81" i="63"/>
  <c r="B52" i="63"/>
  <c r="C53" i="63"/>
  <c r="B4" i="63"/>
  <c r="B10" i="63"/>
  <c r="B21" i="63"/>
  <c r="C43" i="63"/>
  <c r="B51" i="63"/>
  <c r="C52" i="63"/>
  <c r="C59" i="63"/>
  <c r="C62" i="63"/>
  <c r="B66" i="63"/>
  <c r="B68" i="63"/>
  <c r="B73" i="63"/>
  <c r="B77" i="63"/>
  <c r="C77" i="63"/>
  <c r="C83" i="63"/>
  <c r="B17" i="63"/>
  <c r="C17" i="63"/>
  <c r="B33" i="63"/>
  <c r="B34" i="63"/>
  <c r="C4" i="63"/>
  <c r="B7" i="63"/>
  <c r="C10" i="63"/>
  <c r="B14" i="63"/>
  <c r="C21" i="63"/>
  <c r="B25" i="63"/>
  <c r="C32" i="63"/>
  <c r="C33" i="63"/>
  <c r="C34" i="63"/>
  <c r="B41" i="63"/>
  <c r="B42" i="63"/>
  <c r="B50" i="63"/>
  <c r="C51" i="63"/>
  <c r="C66" i="63"/>
  <c r="C68" i="63"/>
  <c r="B70" i="63"/>
  <c r="C73" i="63"/>
  <c r="B80" i="63"/>
  <c r="B83" i="63"/>
  <c r="C39" i="63"/>
  <c r="B49" i="63"/>
  <c r="C78" i="63"/>
  <c r="B78" i="63"/>
  <c r="B57" i="63"/>
  <c r="C57" i="63"/>
  <c r="C74" i="63"/>
  <c r="C46" i="63"/>
  <c r="C67" i="63"/>
  <c r="B69" i="63"/>
  <c r="C71" i="63"/>
  <c r="B75" i="63"/>
  <c r="B9" i="63"/>
  <c r="C38" i="63"/>
  <c r="B45" i="63"/>
  <c r="B46" i="63"/>
  <c r="B55" i="63"/>
  <c r="C56" i="63"/>
  <c r="B67" i="63"/>
  <c r="C69" i="63"/>
  <c r="B71" i="63"/>
  <c r="C75" i="63"/>
  <c r="B53" i="63"/>
  <c r="C55" i="63"/>
  <c r="C64" i="63"/>
  <c r="B76" i="63"/>
  <c r="C87" i="63"/>
  <c r="C100" i="63"/>
  <c r="B89" i="63"/>
  <c r="C89" i="63"/>
  <c r="C103" i="63"/>
  <c r="B103" i="63"/>
  <c r="C99" i="63"/>
  <c r="B65" i="63"/>
  <c r="B98" i="63"/>
  <c r="B97" i="63"/>
  <c r="C105" i="63"/>
  <c r="B105" i="63"/>
  <c r="B82" i="63"/>
  <c r="C97" i="63"/>
  <c r="C96" i="63"/>
  <c r="B96" i="63"/>
  <c r="B100" i="63"/>
  <c r="C107" i="63"/>
  <c r="B85" i="63"/>
  <c r="B95" i="63"/>
  <c r="B101" i="63"/>
  <c r="B104" i="63"/>
  <c r="B113" i="63"/>
  <c r="C113" i="63"/>
  <c r="C108" i="63"/>
  <c r="C120" i="63"/>
  <c r="B120" i="63"/>
  <c r="C117" i="63"/>
  <c r="C111" i="63"/>
  <c r="B111" i="63"/>
  <c r="B116" i="63"/>
  <c r="B29" i="63"/>
  <c r="B61" i="63"/>
  <c r="B93" i="63"/>
  <c r="C116" i="63"/>
  <c r="C131" i="63"/>
  <c r="B131" i="63"/>
  <c r="C128" i="63"/>
  <c r="C133" i="63"/>
  <c r="B133" i="63"/>
  <c r="C115" i="63"/>
  <c r="C119" i="63"/>
  <c r="B125" i="63"/>
  <c r="C136" i="63"/>
  <c r="B136" i="63"/>
  <c r="C123" i="63"/>
  <c r="C125" i="63"/>
  <c r="C149" i="63"/>
  <c r="C135" i="63"/>
  <c r="B139" i="63"/>
  <c r="B143" i="63"/>
  <c r="C139" i="63"/>
  <c r="C143" i="63"/>
  <c r="B146" i="63"/>
  <c r="C152" i="63"/>
  <c r="B152" i="63"/>
  <c r="C127" i="63"/>
  <c r="C141" i="63"/>
  <c r="B142" i="63"/>
  <c r="C145" i="63"/>
  <c r="C146" i="63"/>
  <c r="C148" i="63"/>
  <c r="B148" i="63"/>
  <c r="C160" i="63"/>
  <c r="B160" i="63"/>
  <c r="B150" i="63"/>
  <c r="B153" i="63"/>
  <c r="C156" i="63"/>
  <c r="B156" i="63"/>
  <c r="C157" i="63"/>
  <c r="B157" i="63"/>
  <c r="C158" i="63"/>
  <c r="C169" i="63"/>
  <c r="B169" i="63"/>
  <c r="C164" i="63"/>
  <c r="C166" i="63"/>
  <c r="C176" i="63"/>
  <c r="B164" i="63"/>
  <c r="C172" i="63"/>
  <c r="B176" i="63"/>
  <c r="C182" i="63"/>
  <c r="B182" i="63"/>
  <c r="C173" i="63"/>
  <c r="C161" i="63"/>
  <c r="B173" i="63"/>
  <c r="C187" i="63"/>
  <c r="B190" i="63"/>
  <c r="C193" i="63"/>
  <c r="B193" i="63"/>
  <c r="C199" i="63"/>
  <c r="B199" i="63"/>
  <c r="C168" i="63"/>
  <c r="C174" i="63"/>
  <c r="C177" i="63"/>
  <c r="B185" i="63"/>
  <c r="C190" i="63"/>
  <c r="C197" i="63"/>
  <c r="B197" i="63"/>
  <c r="C189" i="63"/>
  <c r="B189" i="63"/>
  <c r="C183" i="63"/>
  <c r="C191" i="63"/>
  <c r="C180" i="63"/>
  <c r="C184" i="63"/>
  <c r="B187" i="63"/>
  <c r="B191" i="63"/>
  <c r="B198" i="63"/>
  <c r="C201" i="63"/>
  <c r="B201" i="63"/>
  <c r="B186" i="63"/>
  <c r="B194" i="63"/>
  <c r="B202" i="63"/>
  <c r="O36" i="43"/>
  <c r="M36" i="43"/>
  <c r="R36" i="43" l="1"/>
  <c r="Q36" i="43"/>
  <c r="R36" i="35" l="1"/>
  <c r="P36" i="35"/>
  <c r="E36" i="35"/>
  <c r="C36" i="35"/>
  <c r="O36" i="36"/>
  <c r="M36" i="36"/>
  <c r="D36" i="36"/>
  <c r="B36" i="36"/>
  <c r="O36" i="37"/>
  <c r="M36" i="37"/>
  <c r="D36" i="37"/>
  <c r="B36" i="37"/>
  <c r="O36" i="38"/>
  <c r="M36" i="38"/>
  <c r="D36" i="38"/>
  <c r="B36" i="38"/>
  <c r="O36" i="62"/>
  <c r="M36" i="62"/>
  <c r="D36" i="62"/>
  <c r="B36" i="62"/>
  <c r="O36" i="39"/>
  <c r="M36" i="39"/>
  <c r="D37" i="39"/>
  <c r="F2" i="39" s="1"/>
  <c r="B37" i="39"/>
  <c r="O36" i="40"/>
  <c r="M36" i="40"/>
  <c r="D36" i="40"/>
  <c r="B36" i="40"/>
  <c r="O36" i="41"/>
  <c r="M36" i="41"/>
  <c r="D36" i="41"/>
  <c r="B36" i="41"/>
  <c r="O36" i="42"/>
  <c r="M36" i="42"/>
  <c r="D36" i="42"/>
  <c r="B36" i="42"/>
  <c r="O36" i="45"/>
  <c r="M36" i="45"/>
  <c r="D36" i="45"/>
  <c r="B36" i="45"/>
  <c r="O36" i="46"/>
  <c r="M36" i="46"/>
  <c r="D36" i="46"/>
  <c r="H2" i="46" s="1"/>
  <c r="B36" i="46"/>
  <c r="R36" i="45" l="1"/>
  <c r="Q36" i="45"/>
  <c r="O36" i="48"/>
  <c r="M36" i="48"/>
  <c r="D36" i="48"/>
  <c r="B36" i="48"/>
  <c r="O36" i="61"/>
  <c r="M36" i="61"/>
  <c r="D36" i="61"/>
  <c r="B36" i="61"/>
  <c r="O36" i="57"/>
  <c r="M36" i="57"/>
  <c r="D36" i="57"/>
  <c r="B36" i="57"/>
  <c r="O36" i="56"/>
  <c r="M36" i="56"/>
  <c r="D36" i="56"/>
  <c r="B36" i="56"/>
  <c r="O36" i="55"/>
  <c r="M36" i="55"/>
  <c r="D36" i="55"/>
  <c r="B36" i="55"/>
  <c r="O36" i="54"/>
  <c r="M36" i="54"/>
  <c r="D36" i="54"/>
  <c r="B36" i="54"/>
  <c r="O36" i="53"/>
  <c r="M36" i="53"/>
  <c r="D36" i="53"/>
  <c r="B36" i="53"/>
  <c r="O36" i="52"/>
  <c r="M36" i="52"/>
  <c r="D36" i="52"/>
  <c r="B36" i="52"/>
  <c r="O36" i="51"/>
  <c r="M36" i="51"/>
  <c r="D36" i="51"/>
  <c r="H2" i="51" s="1"/>
  <c r="B36" i="51"/>
  <c r="O36" i="50"/>
  <c r="M36" i="50"/>
  <c r="D36" i="50"/>
  <c r="B36" i="50"/>
  <c r="O36" i="49"/>
  <c r="M36" i="49"/>
  <c r="D36" i="49"/>
  <c r="B36" i="49"/>
  <c r="Q36" i="56" l="1"/>
  <c r="R36" i="56"/>
  <c r="U36" i="56"/>
  <c r="A6" i="4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6" i="62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L6" i="38"/>
  <c r="L7" i="38" s="1"/>
  <c r="L8" i="38" s="1"/>
  <c r="L9" i="38" s="1"/>
  <c r="L10" i="38" s="1"/>
  <c r="L11" i="38" s="1"/>
  <c r="L12" i="38" s="1"/>
  <c r="L13" i="38" s="1"/>
  <c r="L14" i="38" s="1"/>
  <c r="L15" i="38" s="1"/>
  <c r="L16" i="38" s="1"/>
  <c r="L17" i="38" s="1"/>
  <c r="L18" i="38" s="1"/>
  <c r="L19" i="38" s="1"/>
  <c r="L20" i="38" s="1"/>
  <c r="L21" i="38" s="1"/>
  <c r="L22" i="38" s="1"/>
  <c r="L23" i="38" s="1"/>
  <c r="L24" i="38" s="1"/>
  <c r="L25" i="38" s="1"/>
  <c r="L26" i="38" s="1"/>
  <c r="L27" i="38" s="1"/>
  <c r="L28" i="38" s="1"/>
  <c r="L29" i="38" s="1"/>
  <c r="L30" i="38" s="1"/>
  <c r="L31" i="38" s="1"/>
  <c r="L32" i="38" s="1"/>
  <c r="L33" i="38" s="1"/>
  <c r="L34" i="38" s="1"/>
  <c r="L35" i="38" s="1"/>
  <c r="A6" i="36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196" i="5"/>
  <c r="AB196" i="5" s="1"/>
  <c r="A195" i="5"/>
  <c r="AB195" i="5" s="1"/>
  <c r="D195" i="63" l="1"/>
  <c r="D196" i="63"/>
  <c r="L6" i="42"/>
  <c r="L7" i="42" s="1"/>
  <c r="L8" i="42" s="1"/>
  <c r="L9" i="42" s="1"/>
  <c r="L10" i="42" s="1"/>
  <c r="L11" i="42" s="1"/>
  <c r="L12" i="42" s="1"/>
  <c r="L13" i="42" s="1"/>
  <c r="L14" i="42" s="1"/>
  <c r="L15" i="42" s="1"/>
  <c r="L16" i="42" s="1"/>
  <c r="L17" i="42" s="1"/>
  <c r="L18" i="42" s="1"/>
  <c r="L19" i="42" s="1"/>
  <c r="L20" i="42" s="1"/>
  <c r="L21" i="42" s="1"/>
  <c r="L22" i="42" s="1"/>
  <c r="L23" i="42" s="1"/>
  <c r="L24" i="42" s="1"/>
  <c r="L25" i="42" s="1"/>
  <c r="L26" i="42" s="1"/>
  <c r="L27" i="42" s="1"/>
  <c r="L28" i="42" s="1"/>
  <c r="L29" i="42" s="1"/>
  <c r="L30" i="42" s="1"/>
  <c r="L31" i="42" s="1"/>
  <c r="L32" i="42" s="1"/>
  <c r="L33" i="42" s="1"/>
  <c r="L34" i="42" s="1"/>
  <c r="L35" i="42" s="1"/>
  <c r="L6" i="37"/>
  <c r="L7" i="37" s="1"/>
  <c r="L8" i="37" s="1"/>
  <c r="L9" i="37" s="1"/>
  <c r="L10" i="37" s="1"/>
  <c r="L11" i="37" s="1"/>
  <c r="L12" i="37" s="1"/>
  <c r="L13" i="37" s="1"/>
  <c r="L14" i="37" s="1"/>
  <c r="L15" i="37" s="1"/>
  <c r="L16" i="37" s="1"/>
  <c r="L17" i="37" s="1"/>
  <c r="L18" i="37" s="1"/>
  <c r="L19" i="37" s="1"/>
  <c r="L20" i="37" s="1"/>
  <c r="L21" i="37" s="1"/>
  <c r="L22" i="37" s="1"/>
  <c r="L23" i="37" s="1"/>
  <c r="L24" i="37" s="1"/>
  <c r="L25" i="37" s="1"/>
  <c r="L26" i="37" s="1"/>
  <c r="L27" i="37" s="1"/>
  <c r="L28" i="37" s="1"/>
  <c r="L29" i="37" s="1"/>
  <c r="L30" i="37" s="1"/>
  <c r="L31" i="37" s="1"/>
  <c r="L32" i="37" s="1"/>
  <c r="L33" i="37" s="1"/>
  <c r="L34" i="37" s="1"/>
  <c r="L35" i="37" s="1"/>
  <c r="L6" i="40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3" i="40" s="1"/>
  <c r="L34" i="40" s="1"/>
  <c r="L35" i="40" s="1"/>
  <c r="L6" i="36"/>
  <c r="L7" i="36" s="1"/>
  <c r="L8" i="36" s="1"/>
  <c r="L9" i="36" s="1"/>
  <c r="L10" i="36" s="1"/>
  <c r="L11" i="36" s="1"/>
  <c r="L12" i="36" s="1"/>
  <c r="L13" i="36" s="1"/>
  <c r="L14" i="36" s="1"/>
  <c r="L15" i="36" s="1"/>
  <c r="L16" i="36" s="1"/>
  <c r="L17" i="36" s="1"/>
  <c r="L18" i="36" s="1"/>
  <c r="L19" i="36" s="1"/>
  <c r="L20" i="36" s="1"/>
  <c r="L21" i="36" s="1"/>
  <c r="L22" i="36" s="1"/>
  <c r="L23" i="36" s="1"/>
  <c r="L24" i="36" s="1"/>
  <c r="L25" i="36" s="1"/>
  <c r="L26" i="36" s="1"/>
  <c r="L27" i="36" s="1"/>
  <c r="L28" i="36" s="1"/>
  <c r="L29" i="36" s="1"/>
  <c r="L30" i="36" s="1"/>
  <c r="L31" i="36" s="1"/>
  <c r="L32" i="36" s="1"/>
  <c r="L33" i="36" s="1"/>
  <c r="L34" i="36" s="1"/>
  <c r="L35" i="36" s="1"/>
  <c r="E196" i="5"/>
  <c r="B196" i="5"/>
  <c r="C196" i="5"/>
  <c r="B195" i="5"/>
  <c r="C195" i="5"/>
  <c r="E195" i="5"/>
  <c r="AA195" i="5"/>
  <c r="Z195" i="5"/>
  <c r="X195" i="5"/>
  <c r="Z196" i="5"/>
  <c r="AA196" i="5"/>
  <c r="X196" i="5"/>
  <c r="U196" i="5"/>
  <c r="Y196" i="5"/>
  <c r="V196" i="5"/>
  <c r="T196" i="5"/>
  <c r="W196" i="5"/>
  <c r="P196" i="5"/>
  <c r="O196" i="5"/>
  <c r="Q196" i="5"/>
  <c r="K196" i="5"/>
  <c r="M196" i="5"/>
  <c r="N196" i="5"/>
  <c r="S196" i="5"/>
  <c r="Y195" i="5"/>
  <c r="W195" i="5"/>
  <c r="T195" i="5"/>
  <c r="U195" i="5"/>
  <c r="V195" i="5"/>
  <c r="Q195" i="5"/>
  <c r="P195" i="5"/>
  <c r="O195" i="5"/>
  <c r="N195" i="5"/>
  <c r="M195" i="5"/>
  <c r="S195" i="5"/>
  <c r="K195" i="5"/>
  <c r="R196" i="5"/>
  <c r="L196" i="5"/>
  <c r="L195" i="5"/>
  <c r="R195" i="5"/>
  <c r="J195" i="5"/>
  <c r="I195" i="5"/>
  <c r="J196" i="5"/>
  <c r="I196" i="5"/>
  <c r="L6" i="39"/>
  <c r="L7" i="39" s="1"/>
  <c r="L8" i="39" s="1"/>
  <c r="L9" i="39" s="1"/>
  <c r="L10" i="39" s="1"/>
  <c r="L11" i="39" s="1"/>
  <c r="L12" i="39" s="1"/>
  <c r="L13" i="39" s="1"/>
  <c r="L14" i="39" s="1"/>
  <c r="L15" i="39" s="1"/>
  <c r="L16" i="39" s="1"/>
  <c r="L17" i="39" s="1"/>
  <c r="L18" i="39" s="1"/>
  <c r="L19" i="39" s="1"/>
  <c r="L20" i="39" s="1"/>
  <c r="L21" i="39" s="1"/>
  <c r="L22" i="39" s="1"/>
  <c r="L23" i="39" s="1"/>
  <c r="L24" i="39" s="1"/>
  <c r="L25" i="39" s="1"/>
  <c r="L26" i="39" s="1"/>
  <c r="L27" i="39" s="1"/>
  <c r="L28" i="39" s="1"/>
  <c r="L29" i="39" s="1"/>
  <c r="L30" i="39" s="1"/>
  <c r="L31" i="39" s="1"/>
  <c r="L32" i="39" s="1"/>
  <c r="L33" i="39" s="1"/>
  <c r="L34" i="39" s="1"/>
  <c r="L35" i="39" s="1"/>
  <c r="H195" i="5"/>
  <c r="G195" i="5"/>
  <c r="A6" i="40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L6" i="62"/>
  <c r="L7" i="62" s="1"/>
  <c r="L8" i="62" s="1"/>
  <c r="L9" i="62" s="1"/>
  <c r="L10" i="62" s="1"/>
  <c r="L11" i="62" s="1"/>
  <c r="L12" i="62" s="1"/>
  <c r="L13" i="62" s="1"/>
  <c r="L14" i="62" s="1"/>
  <c r="L15" i="62" s="1"/>
  <c r="L16" i="62" s="1"/>
  <c r="L17" i="62" s="1"/>
  <c r="L18" i="62" s="1"/>
  <c r="L19" i="62" s="1"/>
  <c r="L20" i="62" s="1"/>
  <c r="L21" i="62" s="1"/>
  <c r="L22" i="62" s="1"/>
  <c r="L23" i="62" s="1"/>
  <c r="L24" i="62" s="1"/>
  <c r="L25" i="62" s="1"/>
  <c r="L26" i="62" s="1"/>
  <c r="L27" i="62" s="1"/>
  <c r="L28" i="62" s="1"/>
  <c r="L29" i="62" s="1"/>
  <c r="L30" i="62" s="1"/>
  <c r="L31" i="62" s="1"/>
  <c r="L32" i="62" s="1"/>
  <c r="L33" i="62" s="1"/>
  <c r="L34" i="62" s="1"/>
  <c r="L35" i="62" s="1"/>
  <c r="A6" i="38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7" i="39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6" i="37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6" i="42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G196" i="5"/>
  <c r="H196" i="5"/>
  <c r="F196" i="5"/>
  <c r="F195" i="5"/>
  <c r="L6" i="41"/>
  <c r="L7" i="41" s="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L19" i="41" s="1"/>
  <c r="L20" i="41" s="1"/>
  <c r="L21" i="41" s="1"/>
  <c r="L22" i="41" s="1"/>
  <c r="L23" i="41" s="1"/>
  <c r="L24" i="41" s="1"/>
  <c r="L25" i="41" s="1"/>
  <c r="L26" i="41" s="1"/>
  <c r="L27" i="41" s="1"/>
  <c r="L28" i="41" s="1"/>
  <c r="L29" i="41" s="1"/>
  <c r="L30" i="41" s="1"/>
  <c r="L31" i="41" s="1"/>
  <c r="L32" i="41" s="1"/>
  <c r="L33" i="41" s="1"/>
  <c r="L34" i="41" s="1"/>
  <c r="L35" i="41" s="1"/>
  <c r="A202" i="5"/>
  <c r="AB202" i="5" s="1"/>
  <c r="D202" i="63" l="1"/>
  <c r="D196" i="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N6" i="35"/>
  <c r="N7" i="35" s="1"/>
  <c r="N8" i="35" s="1"/>
  <c r="N9" i="35" s="1"/>
  <c r="N10" i="35" s="1"/>
  <c r="N11" i="35" s="1"/>
  <c r="N12" i="35" s="1"/>
  <c r="N13" i="35" s="1"/>
  <c r="N14" i="35" s="1"/>
  <c r="N15" i="35" s="1"/>
  <c r="N16" i="35" s="1"/>
  <c r="N17" i="35" s="1"/>
  <c r="N18" i="35" s="1"/>
  <c r="N19" i="35" s="1"/>
  <c r="N20" i="35" s="1"/>
  <c r="N21" i="35" s="1"/>
  <c r="N22" i="35" s="1"/>
  <c r="N23" i="35" s="1"/>
  <c r="N24" i="35" s="1"/>
  <c r="N25" i="35" s="1"/>
  <c r="N26" i="35" s="1"/>
  <c r="N27" i="35" s="1"/>
  <c r="N28" i="35" s="1"/>
  <c r="N29" i="35" s="1"/>
  <c r="N30" i="35" s="1"/>
  <c r="N31" i="35" s="1"/>
  <c r="N32" i="35" s="1"/>
  <c r="N33" i="35" s="1"/>
  <c r="N34" i="35" s="1"/>
  <c r="N35" i="35" s="1"/>
  <c r="D195" i="5"/>
  <c r="C202" i="5"/>
  <c r="E202" i="5"/>
  <c r="B202" i="5"/>
  <c r="AA202" i="5"/>
  <c r="X202" i="5"/>
  <c r="Z202" i="5"/>
  <c r="W202" i="5"/>
  <c r="Y202" i="5"/>
  <c r="V202" i="5"/>
  <c r="U202" i="5"/>
  <c r="S202" i="5"/>
  <c r="P202" i="5"/>
  <c r="T202" i="5"/>
  <c r="M202" i="5"/>
  <c r="Q202" i="5"/>
  <c r="N202" i="5"/>
  <c r="K202" i="5"/>
  <c r="O202" i="5"/>
  <c r="L202" i="5"/>
  <c r="R202" i="5"/>
  <c r="I202" i="5"/>
  <c r="J202" i="5"/>
  <c r="F202" i="5"/>
  <c r="G202" i="5"/>
  <c r="H202" i="5"/>
  <c r="E206" i="1" l="1"/>
  <c r="D202" i="5"/>
  <c r="G36" i="62" l="1"/>
  <c r="F36" i="62"/>
  <c r="R36" i="62"/>
  <c r="J36" i="62"/>
  <c r="U36" i="62"/>
  <c r="Q36" i="62"/>
  <c r="A6" i="61" l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L6" i="61"/>
  <c r="L7" i="61" s="1"/>
  <c r="L8" i="61" s="1"/>
  <c r="L9" i="61" s="1"/>
  <c r="L10" i="61" s="1"/>
  <c r="L11" i="61" s="1"/>
  <c r="L12" i="61" s="1"/>
  <c r="L13" i="61" s="1"/>
  <c r="L14" i="61" s="1"/>
  <c r="L15" i="61" s="1"/>
  <c r="L16" i="61" s="1"/>
  <c r="L17" i="61" s="1"/>
  <c r="L18" i="61" s="1"/>
  <c r="L19" i="61" s="1"/>
  <c r="L20" i="61" s="1"/>
  <c r="L21" i="61" s="1"/>
  <c r="L22" i="61" s="1"/>
  <c r="L23" i="61" s="1"/>
  <c r="L24" i="61" s="1"/>
  <c r="L25" i="61" s="1"/>
  <c r="L26" i="61" s="1"/>
  <c r="L27" i="61" s="1"/>
  <c r="L28" i="61" s="1"/>
  <c r="L29" i="61" s="1"/>
  <c r="L30" i="61" s="1"/>
  <c r="L31" i="61" s="1"/>
  <c r="L32" i="61" s="1"/>
  <c r="L33" i="61" s="1"/>
  <c r="L34" i="61" s="1"/>
  <c r="L35" i="61" s="1"/>
  <c r="R36" i="61" l="1"/>
  <c r="U36" i="61"/>
  <c r="J36" i="61"/>
  <c r="Q36" i="61"/>
  <c r="F36" i="61"/>
  <c r="G36" i="61"/>
  <c r="G36" i="56"/>
  <c r="R36" i="57" l="1"/>
  <c r="U36" i="57"/>
  <c r="F36" i="57"/>
  <c r="G36" i="57"/>
  <c r="J36" i="57"/>
  <c r="Q36" i="57"/>
  <c r="J36" i="56"/>
  <c r="F36" i="56"/>
  <c r="U36" i="43"/>
  <c r="U36" i="39"/>
  <c r="R36" i="39"/>
  <c r="Q36" i="39"/>
  <c r="J36" i="38"/>
  <c r="G36" i="38"/>
  <c r="F36" i="38"/>
  <c r="R36" i="37"/>
  <c r="Q36" i="37"/>
  <c r="U36" i="35"/>
  <c r="T36" i="35"/>
  <c r="Q36" i="48" l="1"/>
  <c r="R36" i="48"/>
  <c r="U36" i="48"/>
  <c r="F36" i="48"/>
  <c r="G36" i="48"/>
  <c r="J36" i="48"/>
  <c r="Q36" i="46"/>
  <c r="U36" i="46"/>
  <c r="R36" i="46"/>
  <c r="F36" i="45"/>
  <c r="G36" i="45"/>
  <c r="J36" i="45"/>
  <c r="F40" i="43"/>
  <c r="J40" i="43"/>
  <c r="G40" i="43"/>
  <c r="J36" i="42"/>
  <c r="R36" i="42"/>
  <c r="Q36" i="42"/>
  <c r="G36" i="42"/>
  <c r="U36" i="42"/>
  <c r="U36" i="40"/>
  <c r="R36" i="40"/>
  <c r="Q36" i="40"/>
  <c r="J36" i="40"/>
  <c r="G36" i="40"/>
  <c r="F36" i="40"/>
  <c r="R36" i="38"/>
  <c r="U36" i="38"/>
  <c r="Q36" i="38"/>
  <c r="J36" i="36"/>
  <c r="R36" i="36"/>
  <c r="L6" i="49"/>
  <c r="L7" i="49" s="1"/>
  <c r="L8" i="49" s="1"/>
  <c r="L9" i="49" s="1"/>
  <c r="L10" i="49" s="1"/>
  <c r="L11" i="49" s="1"/>
  <c r="L12" i="49" s="1"/>
  <c r="L13" i="49" s="1"/>
  <c r="L14" i="49" s="1"/>
  <c r="L15" i="49" s="1"/>
  <c r="L16" i="49" s="1"/>
  <c r="L17" i="49" s="1"/>
  <c r="L18" i="49" s="1"/>
  <c r="L19" i="49" s="1"/>
  <c r="L20" i="49" s="1"/>
  <c r="L21" i="49" s="1"/>
  <c r="L22" i="49" s="1"/>
  <c r="L23" i="49" s="1"/>
  <c r="L24" i="49" s="1"/>
  <c r="L25" i="49" s="1"/>
  <c r="L26" i="49" s="1"/>
  <c r="L27" i="49" s="1"/>
  <c r="L28" i="49" s="1"/>
  <c r="L29" i="49" s="1"/>
  <c r="L30" i="49" s="1"/>
  <c r="L31" i="49" s="1"/>
  <c r="L32" i="49" s="1"/>
  <c r="L33" i="49" s="1"/>
  <c r="L34" i="49" s="1"/>
  <c r="L35" i="49" s="1"/>
  <c r="A6" i="49"/>
  <c r="A7" i="49" s="1"/>
  <c r="A8" i="49" s="1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L6" i="53"/>
  <c r="L7" i="53" s="1"/>
  <c r="L8" i="53" s="1"/>
  <c r="L9" i="53" s="1"/>
  <c r="L10" i="53" s="1"/>
  <c r="L11" i="53" s="1"/>
  <c r="L12" i="53" s="1"/>
  <c r="L13" i="53" s="1"/>
  <c r="L14" i="53" s="1"/>
  <c r="L15" i="53" s="1"/>
  <c r="L16" i="53" s="1"/>
  <c r="L17" i="53" s="1"/>
  <c r="L18" i="53" s="1"/>
  <c r="L19" i="53" s="1"/>
  <c r="L20" i="53" s="1"/>
  <c r="L21" i="53" s="1"/>
  <c r="L22" i="53" s="1"/>
  <c r="L23" i="53" s="1"/>
  <c r="L24" i="53" s="1"/>
  <c r="L25" i="53" s="1"/>
  <c r="L26" i="53" s="1"/>
  <c r="L27" i="53" s="1"/>
  <c r="L28" i="53" s="1"/>
  <c r="L29" i="53" s="1"/>
  <c r="L30" i="53" s="1"/>
  <c r="L31" i="53" s="1"/>
  <c r="L32" i="53" s="1"/>
  <c r="L33" i="53" s="1"/>
  <c r="L34" i="53" s="1"/>
  <c r="L35" i="53" s="1"/>
  <c r="A6" i="53"/>
  <c r="A7" i="53" s="1"/>
  <c r="A8" i="53" s="1"/>
  <c r="A9" i="53" s="1"/>
  <c r="A10" i="53" s="1"/>
  <c r="A11" i="53" s="1"/>
  <c r="A12" i="53" s="1"/>
  <c r="A13" i="53" s="1"/>
  <c r="A14" i="53" s="1"/>
  <c r="A15" i="53" s="1"/>
  <c r="A16" i="53" s="1"/>
  <c r="A17" i="53" s="1"/>
  <c r="A18" i="53" s="1"/>
  <c r="A19" i="53" s="1"/>
  <c r="A20" i="53" s="1"/>
  <c r="A21" i="53" s="1"/>
  <c r="A22" i="53" s="1"/>
  <c r="A23" i="53" s="1"/>
  <c r="A24" i="53" s="1"/>
  <c r="A25" i="53" s="1"/>
  <c r="A26" i="53" s="1"/>
  <c r="A27" i="53" s="1"/>
  <c r="A28" i="53" s="1"/>
  <c r="A29" i="53" s="1"/>
  <c r="A30" i="53" s="1"/>
  <c r="A31" i="53" s="1"/>
  <c r="A32" i="53" s="1"/>
  <c r="A33" i="53" s="1"/>
  <c r="A34" i="53" s="1"/>
  <c r="A35" i="53" s="1"/>
  <c r="L6" i="57"/>
  <c r="L7" i="57" s="1"/>
  <c r="L8" i="57" s="1"/>
  <c r="L9" i="57" s="1"/>
  <c r="L10" i="57" s="1"/>
  <c r="L11" i="57" s="1"/>
  <c r="L12" i="57" s="1"/>
  <c r="L13" i="57" s="1"/>
  <c r="L14" i="57" s="1"/>
  <c r="L15" i="57" s="1"/>
  <c r="L16" i="57" s="1"/>
  <c r="L17" i="57" s="1"/>
  <c r="L18" i="57" s="1"/>
  <c r="L19" i="57" s="1"/>
  <c r="L20" i="57" s="1"/>
  <c r="L21" i="57" s="1"/>
  <c r="L22" i="57" s="1"/>
  <c r="L23" i="57" s="1"/>
  <c r="L24" i="57" s="1"/>
  <c r="L25" i="57" s="1"/>
  <c r="L26" i="57" s="1"/>
  <c r="L27" i="57" s="1"/>
  <c r="L28" i="57" s="1"/>
  <c r="L29" i="57" s="1"/>
  <c r="L30" i="57" s="1"/>
  <c r="L31" i="57" s="1"/>
  <c r="L32" i="57" s="1"/>
  <c r="L33" i="57" s="1"/>
  <c r="L34" i="57" s="1"/>
  <c r="L35" i="57" s="1"/>
  <c r="A6" i="57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6" i="50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L6" i="50"/>
  <c r="L7" i="50" s="1"/>
  <c r="L8" i="50" s="1"/>
  <c r="L9" i="50" s="1"/>
  <c r="L10" i="50" s="1"/>
  <c r="L11" i="50" s="1"/>
  <c r="L12" i="50" s="1"/>
  <c r="L13" i="50" s="1"/>
  <c r="L14" i="50" s="1"/>
  <c r="L15" i="50" s="1"/>
  <c r="L16" i="50" s="1"/>
  <c r="L17" i="50" s="1"/>
  <c r="L18" i="50" s="1"/>
  <c r="L19" i="50" s="1"/>
  <c r="L20" i="50" s="1"/>
  <c r="L21" i="50" s="1"/>
  <c r="L22" i="50" s="1"/>
  <c r="L23" i="50" s="1"/>
  <c r="L24" i="50" s="1"/>
  <c r="L25" i="50" s="1"/>
  <c r="L26" i="50" s="1"/>
  <c r="L27" i="50" s="1"/>
  <c r="L28" i="50" s="1"/>
  <c r="L29" i="50" s="1"/>
  <c r="L30" i="50" s="1"/>
  <c r="L31" i="50" s="1"/>
  <c r="L32" i="50" s="1"/>
  <c r="L33" i="50" s="1"/>
  <c r="L34" i="50" s="1"/>
  <c r="L35" i="50" s="1"/>
  <c r="L6" i="54"/>
  <c r="L7" i="54" s="1"/>
  <c r="L8" i="54" s="1"/>
  <c r="L9" i="54" s="1"/>
  <c r="L10" i="54" s="1"/>
  <c r="L11" i="54" s="1"/>
  <c r="L12" i="54" s="1"/>
  <c r="L13" i="54" s="1"/>
  <c r="L14" i="54" s="1"/>
  <c r="L15" i="54" s="1"/>
  <c r="L16" i="54" s="1"/>
  <c r="L17" i="54" s="1"/>
  <c r="L18" i="54" s="1"/>
  <c r="L19" i="54" s="1"/>
  <c r="L20" i="54" s="1"/>
  <c r="L21" i="54" s="1"/>
  <c r="L22" i="54" s="1"/>
  <c r="L23" i="54" s="1"/>
  <c r="L24" i="54" s="1"/>
  <c r="L25" i="54" s="1"/>
  <c r="L26" i="54" s="1"/>
  <c r="L27" i="54" s="1"/>
  <c r="L28" i="54" s="1"/>
  <c r="L29" i="54" s="1"/>
  <c r="L30" i="54" s="1"/>
  <c r="L31" i="54" s="1"/>
  <c r="L32" i="54" s="1"/>
  <c r="L33" i="54" s="1"/>
  <c r="L34" i="54" s="1"/>
  <c r="L35" i="54" s="1"/>
  <c r="A6" i="54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L6" i="55"/>
  <c r="L7" i="55" s="1"/>
  <c r="L8" i="55" s="1"/>
  <c r="L9" i="55" s="1"/>
  <c r="L10" i="55" s="1"/>
  <c r="L11" i="55" s="1"/>
  <c r="L12" i="55" s="1"/>
  <c r="L13" i="55" s="1"/>
  <c r="L14" i="55" s="1"/>
  <c r="L15" i="55" s="1"/>
  <c r="L16" i="55" s="1"/>
  <c r="L17" i="55" s="1"/>
  <c r="L18" i="55" s="1"/>
  <c r="L19" i="55" s="1"/>
  <c r="L20" i="55" s="1"/>
  <c r="L21" i="55" s="1"/>
  <c r="L22" i="55" s="1"/>
  <c r="L23" i="55" s="1"/>
  <c r="L24" i="55" s="1"/>
  <c r="L25" i="55" s="1"/>
  <c r="L26" i="55" s="1"/>
  <c r="L27" i="55" s="1"/>
  <c r="L28" i="55" s="1"/>
  <c r="L29" i="55" s="1"/>
  <c r="L30" i="55" s="1"/>
  <c r="L31" i="55" s="1"/>
  <c r="L32" i="55" s="1"/>
  <c r="L33" i="55" s="1"/>
  <c r="L34" i="55" s="1"/>
  <c r="L35" i="55" s="1"/>
  <c r="A6" i="55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L6" i="51"/>
  <c r="L7" i="51" s="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L22" i="51" s="1"/>
  <c r="L23" i="51" s="1"/>
  <c r="L24" i="51" s="1"/>
  <c r="L25" i="51" s="1"/>
  <c r="L26" i="51" s="1"/>
  <c r="L27" i="51" s="1"/>
  <c r="L28" i="51" s="1"/>
  <c r="L29" i="51" s="1"/>
  <c r="L30" i="51" s="1"/>
  <c r="L31" i="51" s="1"/>
  <c r="L32" i="51" s="1"/>
  <c r="L33" i="51" s="1"/>
  <c r="L34" i="51" s="1"/>
  <c r="L35" i="51" s="1"/>
  <c r="A6" i="51"/>
  <c r="A7" i="51" s="1"/>
  <c r="A8" i="51" s="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L6" i="52"/>
  <c r="L7" i="52" s="1"/>
  <c r="L8" i="52" s="1"/>
  <c r="L9" i="52" s="1"/>
  <c r="L10" i="52" s="1"/>
  <c r="L11" i="52" s="1"/>
  <c r="L12" i="52" s="1"/>
  <c r="L13" i="52" s="1"/>
  <c r="L14" i="52" s="1"/>
  <c r="L15" i="52" s="1"/>
  <c r="L16" i="52" s="1"/>
  <c r="L17" i="52" s="1"/>
  <c r="L18" i="52" s="1"/>
  <c r="L19" i="52" s="1"/>
  <c r="L20" i="52" s="1"/>
  <c r="L21" i="52" s="1"/>
  <c r="L22" i="52" s="1"/>
  <c r="L23" i="52" s="1"/>
  <c r="L24" i="52" s="1"/>
  <c r="L25" i="52" s="1"/>
  <c r="L26" i="52" s="1"/>
  <c r="L27" i="52" s="1"/>
  <c r="L28" i="52" s="1"/>
  <c r="L29" i="52" s="1"/>
  <c r="L30" i="52" s="1"/>
  <c r="L31" i="52" s="1"/>
  <c r="L32" i="52" s="1"/>
  <c r="L33" i="52" s="1"/>
  <c r="L34" i="52" s="1"/>
  <c r="L35" i="52" s="1"/>
  <c r="A6" i="52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6" i="56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L6" i="56"/>
  <c r="L7" i="56" s="1"/>
  <c r="L8" i="56" s="1"/>
  <c r="L9" i="56" s="1"/>
  <c r="L10" i="56" s="1"/>
  <c r="L11" i="56" s="1"/>
  <c r="L12" i="56" s="1"/>
  <c r="L13" i="56" s="1"/>
  <c r="L14" i="56" s="1"/>
  <c r="L15" i="56" s="1"/>
  <c r="L16" i="56" s="1"/>
  <c r="L17" i="56" s="1"/>
  <c r="L18" i="56" s="1"/>
  <c r="L19" i="56" s="1"/>
  <c r="L20" i="56" s="1"/>
  <c r="L21" i="56" s="1"/>
  <c r="L22" i="56" s="1"/>
  <c r="L23" i="56" s="1"/>
  <c r="L24" i="56" s="1"/>
  <c r="L25" i="56" s="1"/>
  <c r="L26" i="56" s="1"/>
  <c r="L27" i="56" s="1"/>
  <c r="L28" i="56" s="1"/>
  <c r="L29" i="56" s="1"/>
  <c r="L30" i="56" s="1"/>
  <c r="L31" i="56" s="1"/>
  <c r="L32" i="56" s="1"/>
  <c r="L33" i="56" s="1"/>
  <c r="L34" i="56" s="1"/>
  <c r="L35" i="56" s="1"/>
  <c r="J36" i="46"/>
  <c r="G36" i="46"/>
  <c r="F36" i="46"/>
  <c r="F37" i="39"/>
  <c r="G37" i="39"/>
  <c r="J37" i="39"/>
  <c r="K36" i="35"/>
  <c r="U36" i="45"/>
  <c r="U36" i="37"/>
  <c r="J36" i="37"/>
  <c r="G36" i="37"/>
  <c r="F36" i="37"/>
  <c r="U36" i="36"/>
  <c r="Q36" i="36"/>
  <c r="G36" i="36"/>
  <c r="F36" i="36"/>
  <c r="G36" i="41"/>
  <c r="F36" i="41"/>
  <c r="U36" i="41"/>
  <c r="J36" i="41"/>
  <c r="Q36" i="41"/>
  <c r="R36" i="41"/>
  <c r="A194" i="5" l="1"/>
  <c r="AB194" i="5" s="1"/>
  <c r="A193" i="5"/>
  <c r="AB193" i="5" s="1"/>
  <c r="A192" i="5"/>
  <c r="AB192" i="5" s="1"/>
  <c r="A191" i="5"/>
  <c r="AB191" i="5" s="1"/>
  <c r="A190" i="5"/>
  <c r="AB190" i="5" s="1"/>
  <c r="A189" i="5"/>
  <c r="AB189" i="5" s="1"/>
  <c r="A188" i="5"/>
  <c r="AB188" i="5" s="1"/>
  <c r="A187" i="5"/>
  <c r="AB187" i="5" s="1"/>
  <c r="A186" i="5"/>
  <c r="AB186" i="5" s="1"/>
  <c r="A185" i="5"/>
  <c r="AB185" i="5" s="1"/>
  <c r="A184" i="5"/>
  <c r="AB184" i="5" s="1"/>
  <c r="A183" i="5"/>
  <c r="AB183" i="5" s="1"/>
  <c r="A182" i="5"/>
  <c r="AB182" i="5" s="1"/>
  <c r="A181" i="5"/>
  <c r="AB181" i="5" s="1"/>
  <c r="A180" i="5"/>
  <c r="AB180" i="5" s="1"/>
  <c r="A179" i="5"/>
  <c r="AB179" i="5" s="1"/>
  <c r="A178" i="5"/>
  <c r="AB178" i="5" s="1"/>
  <c r="A177" i="5"/>
  <c r="AB177" i="5" s="1"/>
  <c r="A176" i="5"/>
  <c r="AB176" i="5" s="1"/>
  <c r="A175" i="5"/>
  <c r="AB175" i="5" s="1"/>
  <c r="A174" i="5"/>
  <c r="AB174" i="5" s="1"/>
  <c r="A173" i="5"/>
  <c r="AB173" i="5" s="1"/>
  <c r="A172" i="5"/>
  <c r="AB172" i="5" s="1"/>
  <c r="A171" i="5"/>
  <c r="AB171" i="5" s="1"/>
  <c r="A170" i="5"/>
  <c r="AB170" i="5" s="1"/>
  <c r="A169" i="5"/>
  <c r="AB169" i="5" s="1"/>
  <c r="A168" i="5"/>
  <c r="AB168" i="5" s="1"/>
  <c r="A167" i="5"/>
  <c r="AB167" i="5" s="1"/>
  <c r="A166" i="5"/>
  <c r="AB166" i="5" s="1"/>
  <c r="A165" i="5"/>
  <c r="AB165" i="5" s="1"/>
  <c r="A164" i="5"/>
  <c r="AB164" i="5" s="1"/>
  <c r="A163" i="5"/>
  <c r="AB163" i="5" s="1"/>
  <c r="A162" i="5"/>
  <c r="AB162" i="5" s="1"/>
  <c r="A161" i="5"/>
  <c r="AB161" i="5" s="1"/>
  <c r="A160" i="5"/>
  <c r="AB160" i="5" s="1"/>
  <c r="A159" i="5"/>
  <c r="AB159" i="5" s="1"/>
  <c r="A158" i="5"/>
  <c r="AB158" i="5" s="1"/>
  <c r="A157" i="5"/>
  <c r="AB157" i="5" s="1"/>
  <c r="A156" i="5"/>
  <c r="AB156" i="5" s="1"/>
  <c r="A155" i="5"/>
  <c r="AB155" i="5" s="1"/>
  <c r="A154" i="5"/>
  <c r="AB154" i="5" s="1"/>
  <c r="A153" i="5"/>
  <c r="AB153" i="5" s="1"/>
  <c r="A152" i="5"/>
  <c r="AB152" i="5" s="1"/>
  <c r="A151" i="5"/>
  <c r="AB151" i="5" s="1"/>
  <c r="A150" i="5"/>
  <c r="AB150" i="5" s="1"/>
  <c r="A149" i="5"/>
  <c r="AB149" i="5" s="1"/>
  <c r="A148" i="5"/>
  <c r="AB148" i="5" s="1"/>
  <c r="A147" i="5"/>
  <c r="AB147" i="5" s="1"/>
  <c r="A146" i="5"/>
  <c r="AB146" i="5" s="1"/>
  <c r="A145" i="5"/>
  <c r="AB145" i="5" s="1"/>
  <c r="A144" i="5"/>
  <c r="AB144" i="5" s="1"/>
  <c r="A143" i="5"/>
  <c r="AB143" i="5" s="1"/>
  <c r="A142" i="5"/>
  <c r="AB142" i="5" s="1"/>
  <c r="A141" i="5"/>
  <c r="AB141" i="5" s="1"/>
  <c r="A140" i="5"/>
  <c r="AB140" i="5" s="1"/>
  <c r="A139" i="5"/>
  <c r="AB139" i="5" s="1"/>
  <c r="A138" i="5"/>
  <c r="AB138" i="5" s="1"/>
  <c r="A137" i="5"/>
  <c r="AB137" i="5" s="1"/>
  <c r="A136" i="5"/>
  <c r="AB136" i="5" s="1"/>
  <c r="A135" i="5"/>
  <c r="AB135" i="5" s="1"/>
  <c r="A134" i="5"/>
  <c r="AB134" i="5" s="1"/>
  <c r="A133" i="5"/>
  <c r="AB133" i="5" s="1"/>
  <c r="A132" i="5"/>
  <c r="AB132" i="5" s="1"/>
  <c r="A131" i="5"/>
  <c r="AB131" i="5" s="1"/>
  <c r="A130" i="5"/>
  <c r="AB130" i="5" s="1"/>
  <c r="A129" i="5"/>
  <c r="AB129" i="5" s="1"/>
  <c r="A128" i="5"/>
  <c r="AB128" i="5" s="1"/>
  <c r="A127" i="5"/>
  <c r="AB127" i="5" s="1"/>
  <c r="A126" i="5"/>
  <c r="AB126" i="5" s="1"/>
  <c r="A125" i="5"/>
  <c r="AB125" i="5" s="1"/>
  <c r="A124" i="5"/>
  <c r="AB124" i="5" s="1"/>
  <c r="A123" i="5"/>
  <c r="AB123" i="5" s="1"/>
  <c r="A122" i="5"/>
  <c r="AB122" i="5" s="1"/>
  <c r="A121" i="5"/>
  <c r="AB121" i="5" s="1"/>
  <c r="A120" i="5"/>
  <c r="AB120" i="5" s="1"/>
  <c r="A119" i="5"/>
  <c r="AB119" i="5" s="1"/>
  <c r="A118" i="5"/>
  <c r="AB118" i="5" s="1"/>
  <c r="A117" i="5"/>
  <c r="AB117" i="5" s="1"/>
  <c r="A116" i="5"/>
  <c r="AB116" i="5" s="1"/>
  <c r="A115" i="5"/>
  <c r="AB115" i="5" s="1"/>
  <c r="A114" i="5"/>
  <c r="AB114" i="5" s="1"/>
  <c r="A113" i="5"/>
  <c r="AB113" i="5" s="1"/>
  <c r="A112" i="5"/>
  <c r="AB112" i="5" s="1"/>
  <c r="A111" i="5"/>
  <c r="AB111" i="5" s="1"/>
  <c r="A110" i="5"/>
  <c r="AB110" i="5" s="1"/>
  <c r="A109" i="5"/>
  <c r="AB109" i="5" s="1"/>
  <c r="A108" i="5"/>
  <c r="AB108" i="5" s="1"/>
  <c r="A107" i="5"/>
  <c r="AB107" i="5" s="1"/>
  <c r="A106" i="5"/>
  <c r="AB106" i="5" s="1"/>
  <c r="A105" i="5"/>
  <c r="AB105" i="5" s="1"/>
  <c r="A104" i="5"/>
  <c r="AB104" i="5" s="1"/>
  <c r="A103" i="5"/>
  <c r="AB103" i="5" s="1"/>
  <c r="A102" i="5"/>
  <c r="AB102" i="5" s="1"/>
  <c r="A101" i="5"/>
  <c r="AB101" i="5" s="1"/>
  <c r="A100" i="5"/>
  <c r="AB100" i="5" s="1"/>
  <c r="A99" i="5"/>
  <c r="AB99" i="5" s="1"/>
  <c r="A98" i="5"/>
  <c r="AB98" i="5" s="1"/>
  <c r="A97" i="5"/>
  <c r="AB97" i="5" s="1"/>
  <c r="A96" i="5"/>
  <c r="AB96" i="5" s="1"/>
  <c r="A95" i="5"/>
  <c r="AB95" i="5" s="1"/>
  <c r="A94" i="5"/>
  <c r="AB94" i="5" s="1"/>
  <c r="A93" i="5"/>
  <c r="AB93" i="5" s="1"/>
  <c r="A92" i="5"/>
  <c r="AB92" i="5" s="1"/>
  <c r="A91" i="5"/>
  <c r="AB91" i="5" s="1"/>
  <c r="A90" i="5"/>
  <c r="AB90" i="5" s="1"/>
  <c r="A89" i="5"/>
  <c r="AB89" i="5" s="1"/>
  <c r="A88" i="5"/>
  <c r="AB88" i="5" s="1"/>
  <c r="A87" i="5"/>
  <c r="AB87" i="5" s="1"/>
  <c r="A86" i="5"/>
  <c r="AB86" i="5" s="1"/>
  <c r="A85" i="5"/>
  <c r="AB85" i="5" s="1"/>
  <c r="A84" i="5"/>
  <c r="AB84" i="5" s="1"/>
  <c r="A83" i="5"/>
  <c r="AB83" i="5" s="1"/>
  <c r="A82" i="5"/>
  <c r="AB82" i="5" s="1"/>
  <c r="A81" i="5"/>
  <c r="AB81" i="5" s="1"/>
  <c r="A80" i="5"/>
  <c r="AB80" i="5" s="1"/>
  <c r="A79" i="5"/>
  <c r="AB79" i="5" s="1"/>
  <c r="A78" i="5"/>
  <c r="AB78" i="5" s="1"/>
  <c r="A77" i="5"/>
  <c r="AB77" i="5" s="1"/>
  <c r="A76" i="5"/>
  <c r="AB76" i="5" s="1"/>
  <c r="A75" i="5"/>
  <c r="AB75" i="5" s="1"/>
  <c r="A74" i="5"/>
  <c r="AB74" i="5" s="1"/>
  <c r="A73" i="5"/>
  <c r="AB73" i="5" s="1"/>
  <c r="A72" i="5"/>
  <c r="AB72" i="5" s="1"/>
  <c r="A71" i="5"/>
  <c r="AB71" i="5" s="1"/>
  <c r="A70" i="5"/>
  <c r="AB70" i="5" s="1"/>
  <c r="A69" i="5"/>
  <c r="AB69" i="5" s="1"/>
  <c r="A68" i="5"/>
  <c r="AB68" i="5" s="1"/>
  <c r="A67" i="5"/>
  <c r="AB67" i="5" s="1"/>
  <c r="A66" i="5"/>
  <c r="AB66" i="5" s="1"/>
  <c r="A65" i="5"/>
  <c r="AB65" i="5" s="1"/>
  <c r="A64" i="5"/>
  <c r="AB64" i="5" s="1"/>
  <c r="A63" i="5"/>
  <c r="AB63" i="5" s="1"/>
  <c r="A62" i="5"/>
  <c r="AB62" i="5" s="1"/>
  <c r="A61" i="5"/>
  <c r="AB61" i="5" s="1"/>
  <c r="A60" i="5"/>
  <c r="AB60" i="5" s="1"/>
  <c r="A59" i="5"/>
  <c r="AB59" i="5" s="1"/>
  <c r="A58" i="5"/>
  <c r="AB58" i="5" s="1"/>
  <c r="A57" i="5"/>
  <c r="AB57" i="5" s="1"/>
  <c r="A56" i="5"/>
  <c r="AB56" i="5" s="1"/>
  <c r="A55" i="5"/>
  <c r="AB55" i="5" s="1"/>
  <c r="A54" i="5"/>
  <c r="AB54" i="5" s="1"/>
  <c r="A53" i="5"/>
  <c r="AB53" i="5" s="1"/>
  <c r="A52" i="5"/>
  <c r="AB52" i="5" s="1"/>
  <c r="A51" i="5"/>
  <c r="AB51" i="5" s="1"/>
  <c r="A50" i="5"/>
  <c r="AB50" i="5" s="1"/>
  <c r="A49" i="5"/>
  <c r="AB49" i="5" s="1"/>
  <c r="A48" i="5"/>
  <c r="AB48" i="5" s="1"/>
  <c r="A47" i="5"/>
  <c r="AB47" i="5" s="1"/>
  <c r="A46" i="5"/>
  <c r="AB46" i="5" s="1"/>
  <c r="A45" i="5"/>
  <c r="AB45" i="5" s="1"/>
  <c r="A44" i="5"/>
  <c r="AB44" i="5" s="1"/>
  <c r="A43" i="5"/>
  <c r="AB43" i="5" s="1"/>
  <c r="A42" i="5"/>
  <c r="AB42" i="5" s="1"/>
  <c r="A41" i="5"/>
  <c r="AB41" i="5" s="1"/>
  <c r="A40" i="5"/>
  <c r="AB40" i="5" s="1"/>
  <c r="A39" i="5"/>
  <c r="AB39" i="5" s="1"/>
  <c r="A38" i="5"/>
  <c r="AB38" i="5" s="1"/>
  <c r="A37" i="5"/>
  <c r="AB37" i="5" s="1"/>
  <c r="A36" i="5"/>
  <c r="AB36" i="5" s="1"/>
  <c r="A35" i="5"/>
  <c r="AB35" i="5" s="1"/>
  <c r="A34" i="5"/>
  <c r="AB34" i="5" s="1"/>
  <c r="A33" i="5"/>
  <c r="AB33" i="5" s="1"/>
  <c r="A32" i="5"/>
  <c r="AB32" i="5" s="1"/>
  <c r="A31" i="5"/>
  <c r="AB31" i="5" s="1"/>
  <c r="A30" i="5"/>
  <c r="AB30" i="5" s="1"/>
  <c r="A29" i="5"/>
  <c r="AB29" i="5" s="1"/>
  <c r="A28" i="5"/>
  <c r="AB28" i="5" s="1"/>
  <c r="A27" i="5"/>
  <c r="AB27" i="5" s="1"/>
  <c r="A26" i="5"/>
  <c r="AB26" i="5" s="1"/>
  <c r="A25" i="5"/>
  <c r="AB25" i="5" s="1"/>
  <c r="A24" i="5"/>
  <c r="AB24" i="5" s="1"/>
  <c r="A23" i="5"/>
  <c r="AB23" i="5" s="1"/>
  <c r="A22" i="5"/>
  <c r="AB22" i="5" s="1"/>
  <c r="A21" i="5"/>
  <c r="AB21" i="5" s="1"/>
  <c r="A20" i="5"/>
  <c r="AB20" i="5" s="1"/>
  <c r="A19" i="5"/>
  <c r="AB19" i="5" s="1"/>
  <c r="A18" i="5"/>
  <c r="AB18" i="5" s="1"/>
  <c r="A17" i="5"/>
  <c r="AB17" i="5" s="1"/>
  <c r="A3" i="5"/>
  <c r="AB3" i="5" s="1"/>
  <c r="A16" i="5"/>
  <c r="AB16" i="5" s="1"/>
  <c r="A15" i="5"/>
  <c r="AB15" i="5" s="1"/>
  <c r="A204" i="5"/>
  <c r="AB204" i="5" s="1"/>
  <c r="A203" i="5"/>
  <c r="AB203" i="5" s="1"/>
  <c r="A14" i="5"/>
  <c r="AB14" i="5" s="1"/>
  <c r="A200" i="5"/>
  <c r="AB200" i="5" s="1"/>
  <c r="A13" i="5"/>
  <c r="AB13" i="5" s="1"/>
  <c r="A12" i="5"/>
  <c r="AB12" i="5" s="1"/>
  <c r="A11" i="5"/>
  <c r="AB11" i="5" s="1"/>
  <c r="A10" i="5"/>
  <c r="AB10" i="5" s="1"/>
  <c r="A9" i="5"/>
  <c r="AB9" i="5" s="1"/>
  <c r="A8" i="5"/>
  <c r="AB8" i="5" s="1"/>
  <c r="A7" i="5"/>
  <c r="AB7" i="5" s="1"/>
  <c r="A6" i="5"/>
  <c r="AB6" i="5" s="1"/>
  <c r="A5" i="5"/>
  <c r="AB5" i="5" s="1"/>
  <c r="A2" i="5"/>
  <c r="A4" i="5"/>
  <c r="AB4" i="5" s="1"/>
  <c r="A201" i="5"/>
  <c r="AB201" i="5" s="1"/>
  <c r="A199" i="5"/>
  <c r="AB199" i="5" s="1"/>
  <c r="A198" i="5"/>
  <c r="AB198" i="5" s="1"/>
  <c r="A197" i="5"/>
  <c r="AB197" i="5" s="1"/>
  <c r="D247" i="1" l="1"/>
  <c r="I247" i="1" s="1"/>
  <c r="D249" i="1"/>
  <c r="I249" i="1" s="1"/>
  <c r="D251" i="1"/>
  <c r="I251" i="1" s="1"/>
  <c r="D248" i="1"/>
  <c r="I248" i="1" s="1"/>
  <c r="D250" i="1"/>
  <c r="I250" i="1" s="1"/>
  <c r="D252" i="1"/>
  <c r="I252" i="1" s="1"/>
  <c r="D253" i="1"/>
  <c r="I253" i="1" s="1"/>
  <c r="D255" i="1"/>
  <c r="I255" i="1" s="1"/>
  <c r="D254" i="1"/>
  <c r="I254" i="1" s="1"/>
  <c r="D256" i="1"/>
  <c r="I256" i="1" s="1"/>
  <c r="D243" i="1"/>
  <c r="I243" i="1" s="1"/>
  <c r="D244" i="1"/>
  <c r="I244" i="1" s="1"/>
  <c r="D245" i="1"/>
  <c r="I245" i="1" s="1"/>
  <c r="D246" i="1"/>
  <c r="I246" i="1" s="1"/>
  <c r="D208" i="1"/>
  <c r="I208" i="1" s="1"/>
  <c r="J208" i="1" s="1"/>
  <c r="D216" i="1"/>
  <c r="I216" i="1" s="1"/>
  <c r="J216" i="1" s="1"/>
  <c r="D224" i="1"/>
  <c r="I224" i="1" s="1"/>
  <c r="J224" i="1" s="1"/>
  <c r="D232" i="1"/>
  <c r="I232" i="1" s="1"/>
  <c r="J232" i="1" s="1"/>
  <c r="D240" i="1"/>
  <c r="I240" i="1" s="1"/>
  <c r="D262" i="1"/>
  <c r="I262" i="1" s="1"/>
  <c r="J262" i="1" s="1"/>
  <c r="D270" i="1"/>
  <c r="I270" i="1" s="1"/>
  <c r="J270" i="1" s="1"/>
  <c r="D278" i="1"/>
  <c r="I278" i="1" s="1"/>
  <c r="J278" i="1" s="1"/>
  <c r="D286" i="1"/>
  <c r="I286" i="1" s="1"/>
  <c r="J286" i="1" s="1"/>
  <c r="D294" i="1"/>
  <c r="I294" i="1" s="1"/>
  <c r="J294" i="1" s="1"/>
  <c r="D302" i="1"/>
  <c r="I302" i="1" s="1"/>
  <c r="J302" i="1" s="1"/>
  <c r="D310" i="1"/>
  <c r="I310" i="1" s="1"/>
  <c r="J310" i="1" s="1"/>
  <c r="D318" i="1"/>
  <c r="I318" i="1" s="1"/>
  <c r="J318" i="1" s="1"/>
  <c r="D326" i="1"/>
  <c r="I326" i="1" s="1"/>
  <c r="J326" i="1" s="1"/>
  <c r="D334" i="1"/>
  <c r="I334" i="1" s="1"/>
  <c r="J334" i="1" s="1"/>
  <c r="D342" i="1"/>
  <c r="I342" i="1" s="1"/>
  <c r="J342" i="1" s="1"/>
  <c r="D350" i="1"/>
  <c r="I350" i="1" s="1"/>
  <c r="J350" i="1" s="1"/>
  <c r="D209" i="1"/>
  <c r="I209" i="1" s="1"/>
  <c r="J209" i="1" s="1"/>
  <c r="D225" i="1"/>
  <c r="I225" i="1" s="1"/>
  <c r="J225" i="1" s="1"/>
  <c r="D241" i="1"/>
  <c r="I241" i="1" s="1"/>
  <c r="D263" i="1"/>
  <c r="I263" i="1" s="1"/>
  <c r="J263" i="1" s="1"/>
  <c r="D279" i="1"/>
  <c r="I279" i="1" s="1"/>
  <c r="J279" i="1" s="1"/>
  <c r="D295" i="1"/>
  <c r="I295" i="1" s="1"/>
  <c r="D303" i="1"/>
  <c r="I303" i="1" s="1"/>
  <c r="J303" i="1" s="1"/>
  <c r="D319" i="1"/>
  <c r="I319" i="1" s="1"/>
  <c r="J319" i="1" s="1"/>
  <c r="D335" i="1"/>
  <c r="I335" i="1" s="1"/>
  <c r="J335" i="1" s="1"/>
  <c r="D343" i="1"/>
  <c r="I343" i="1" s="1"/>
  <c r="J343" i="1" s="1"/>
  <c r="D226" i="1"/>
  <c r="I226" i="1" s="1"/>
  <c r="J226" i="1" s="1"/>
  <c r="D264" i="1"/>
  <c r="I264" i="1" s="1"/>
  <c r="D288" i="1"/>
  <c r="I288" i="1" s="1"/>
  <c r="J288" i="1" s="1"/>
  <c r="D312" i="1"/>
  <c r="I312" i="1" s="1"/>
  <c r="J312" i="1" s="1"/>
  <c r="D328" i="1"/>
  <c r="I328" i="1" s="1"/>
  <c r="J328" i="1" s="1"/>
  <c r="D285" i="1"/>
  <c r="I285" i="1" s="1"/>
  <c r="J285" i="1" s="1"/>
  <c r="D217" i="1"/>
  <c r="I217" i="1" s="1"/>
  <c r="J217" i="1" s="1"/>
  <c r="D233" i="1"/>
  <c r="I233" i="1" s="1"/>
  <c r="J233" i="1" s="1"/>
  <c r="D271" i="1"/>
  <c r="I271" i="1" s="1"/>
  <c r="J271" i="1" s="1"/>
  <c r="D287" i="1"/>
  <c r="I287" i="1" s="1"/>
  <c r="D311" i="1"/>
  <c r="I311" i="1" s="1"/>
  <c r="J311" i="1" s="1"/>
  <c r="D327" i="1"/>
  <c r="I327" i="1" s="1"/>
  <c r="J327" i="1" s="1"/>
  <c r="D351" i="1"/>
  <c r="I351" i="1" s="1"/>
  <c r="J351" i="1" s="1"/>
  <c r="D234" i="1"/>
  <c r="I234" i="1" s="1"/>
  <c r="J234" i="1" s="1"/>
  <c r="D280" i="1"/>
  <c r="I280" i="1" s="1"/>
  <c r="J280" i="1" s="1"/>
  <c r="D304" i="1"/>
  <c r="I304" i="1" s="1"/>
  <c r="J304" i="1" s="1"/>
  <c r="D336" i="1"/>
  <c r="I336" i="1" s="1"/>
  <c r="J336" i="1" s="1"/>
  <c r="D207" i="1"/>
  <c r="I207" i="1" s="1"/>
  <c r="D239" i="1"/>
  <c r="I239" i="1" s="1"/>
  <c r="J239" i="1" s="1"/>
  <c r="D309" i="1"/>
  <c r="I309" i="1" s="1"/>
  <c r="J309" i="1" s="1"/>
  <c r="D202" i="1"/>
  <c r="I202" i="1" s="1"/>
  <c r="D210" i="1"/>
  <c r="I210" i="1" s="1"/>
  <c r="J210" i="1" s="1"/>
  <c r="D218" i="1"/>
  <c r="I218" i="1" s="1"/>
  <c r="J218" i="1" s="1"/>
  <c r="D242" i="1"/>
  <c r="I242" i="1" s="1"/>
  <c r="D272" i="1"/>
  <c r="I272" i="1" s="1"/>
  <c r="J272" i="1" s="1"/>
  <c r="D296" i="1"/>
  <c r="I296" i="1" s="1"/>
  <c r="J296" i="1" s="1"/>
  <c r="D320" i="1"/>
  <c r="I320" i="1" s="1"/>
  <c r="J320" i="1" s="1"/>
  <c r="D344" i="1"/>
  <c r="I344" i="1" s="1"/>
  <c r="J344" i="1" s="1"/>
  <c r="D277" i="1"/>
  <c r="I277" i="1" s="1"/>
  <c r="J277" i="1" s="1"/>
  <c r="D341" i="1"/>
  <c r="I341" i="1" s="1"/>
  <c r="J341" i="1" s="1"/>
  <c r="D195" i="1"/>
  <c r="I195" i="1" s="1"/>
  <c r="J195" i="1" s="1"/>
  <c r="D211" i="1"/>
  <c r="I211" i="1" s="1"/>
  <c r="J211" i="1" s="1"/>
  <c r="D219" i="1"/>
  <c r="I219" i="1" s="1"/>
  <c r="J219" i="1" s="1"/>
  <c r="D227" i="1"/>
  <c r="I227" i="1" s="1"/>
  <c r="J227" i="1" s="1"/>
  <c r="D235" i="1"/>
  <c r="I235" i="1" s="1"/>
  <c r="J235" i="1" s="1"/>
  <c r="D257" i="1"/>
  <c r="I257" i="1" s="1"/>
  <c r="J257" i="1" s="1"/>
  <c r="D265" i="1"/>
  <c r="I265" i="1" s="1"/>
  <c r="J265" i="1" s="1"/>
  <c r="D273" i="1"/>
  <c r="I273" i="1" s="1"/>
  <c r="J273" i="1" s="1"/>
  <c r="D281" i="1"/>
  <c r="I281" i="1" s="1"/>
  <c r="J281" i="1" s="1"/>
  <c r="D289" i="1"/>
  <c r="I289" i="1" s="1"/>
  <c r="J289" i="1" s="1"/>
  <c r="D297" i="1"/>
  <c r="I297" i="1" s="1"/>
  <c r="J297" i="1" s="1"/>
  <c r="D305" i="1"/>
  <c r="I305" i="1" s="1"/>
  <c r="J305" i="1" s="1"/>
  <c r="D313" i="1"/>
  <c r="I313" i="1" s="1"/>
  <c r="J313" i="1" s="1"/>
  <c r="D321" i="1"/>
  <c r="I321" i="1" s="1"/>
  <c r="J321" i="1" s="1"/>
  <c r="D329" i="1"/>
  <c r="I329" i="1" s="1"/>
  <c r="J329" i="1" s="1"/>
  <c r="D337" i="1"/>
  <c r="I337" i="1" s="1"/>
  <c r="J337" i="1" s="1"/>
  <c r="D345" i="1"/>
  <c r="I345" i="1" s="1"/>
  <c r="J345" i="1" s="1"/>
  <c r="D213" i="1"/>
  <c r="I213" i="1" s="1"/>
  <c r="J213" i="1" s="1"/>
  <c r="D237" i="1"/>
  <c r="I237" i="1" s="1"/>
  <c r="D275" i="1"/>
  <c r="I275" i="1" s="1"/>
  <c r="J275" i="1" s="1"/>
  <c r="D299" i="1"/>
  <c r="I299" i="1" s="1"/>
  <c r="J299" i="1" s="1"/>
  <c r="D323" i="1"/>
  <c r="I323" i="1" s="1"/>
  <c r="J323" i="1" s="1"/>
  <c r="D347" i="1"/>
  <c r="I347" i="1" s="1"/>
  <c r="J347" i="1" s="1"/>
  <c r="D261" i="1"/>
  <c r="I261" i="1" s="1"/>
  <c r="J261" i="1" s="1"/>
  <c r="D317" i="1"/>
  <c r="I317" i="1" s="1"/>
  <c r="J317" i="1" s="1"/>
  <c r="D196" i="1"/>
  <c r="I196" i="1" s="1"/>
  <c r="J196" i="1" s="1"/>
  <c r="D212" i="1"/>
  <c r="I212" i="1" s="1"/>
  <c r="J212" i="1" s="1"/>
  <c r="D220" i="1"/>
  <c r="I220" i="1" s="1"/>
  <c r="J220" i="1" s="1"/>
  <c r="D228" i="1"/>
  <c r="I228" i="1" s="1"/>
  <c r="J228" i="1" s="1"/>
  <c r="D236" i="1"/>
  <c r="I236" i="1" s="1"/>
  <c r="D258" i="1"/>
  <c r="I258" i="1" s="1"/>
  <c r="J258" i="1" s="1"/>
  <c r="D266" i="1"/>
  <c r="I266" i="1" s="1"/>
  <c r="J266" i="1" s="1"/>
  <c r="D274" i="1"/>
  <c r="I274" i="1" s="1"/>
  <c r="D282" i="1"/>
  <c r="I282" i="1" s="1"/>
  <c r="J282" i="1" s="1"/>
  <c r="D290" i="1"/>
  <c r="I290" i="1" s="1"/>
  <c r="J290" i="1" s="1"/>
  <c r="D298" i="1"/>
  <c r="I298" i="1" s="1"/>
  <c r="J298" i="1" s="1"/>
  <c r="D306" i="1"/>
  <c r="I306" i="1" s="1"/>
  <c r="J306" i="1" s="1"/>
  <c r="D314" i="1"/>
  <c r="I314" i="1" s="1"/>
  <c r="J314" i="1" s="1"/>
  <c r="D322" i="1"/>
  <c r="I322" i="1" s="1"/>
  <c r="J322" i="1" s="1"/>
  <c r="D330" i="1"/>
  <c r="I330" i="1" s="1"/>
  <c r="J330" i="1" s="1"/>
  <c r="D338" i="1"/>
  <c r="I338" i="1" s="1"/>
  <c r="D346" i="1"/>
  <c r="I346" i="1" s="1"/>
  <c r="J346" i="1" s="1"/>
  <c r="D221" i="1"/>
  <c r="I221" i="1" s="1"/>
  <c r="D259" i="1"/>
  <c r="I259" i="1" s="1"/>
  <c r="J259" i="1" s="1"/>
  <c r="D283" i="1"/>
  <c r="I283" i="1" s="1"/>
  <c r="J283" i="1" s="1"/>
  <c r="D315" i="1"/>
  <c r="I315" i="1" s="1"/>
  <c r="J315" i="1" s="1"/>
  <c r="D339" i="1"/>
  <c r="I339" i="1" s="1"/>
  <c r="J339" i="1" s="1"/>
  <c r="D215" i="1"/>
  <c r="I215" i="1" s="1"/>
  <c r="J215" i="1" s="1"/>
  <c r="D269" i="1"/>
  <c r="I269" i="1" s="1"/>
  <c r="J269" i="1" s="1"/>
  <c r="D325" i="1"/>
  <c r="I325" i="1" s="1"/>
  <c r="J325" i="1" s="1"/>
  <c r="D205" i="1"/>
  <c r="I205" i="1" s="1"/>
  <c r="J205" i="1" s="1"/>
  <c r="D229" i="1"/>
  <c r="I229" i="1" s="1"/>
  <c r="D267" i="1"/>
  <c r="I267" i="1" s="1"/>
  <c r="J267" i="1" s="1"/>
  <c r="D291" i="1"/>
  <c r="I291" i="1" s="1"/>
  <c r="J291" i="1" s="1"/>
  <c r="D307" i="1"/>
  <c r="I307" i="1" s="1"/>
  <c r="J307" i="1" s="1"/>
  <c r="D331" i="1"/>
  <c r="I331" i="1" s="1"/>
  <c r="J331" i="1" s="1"/>
  <c r="D231" i="1"/>
  <c r="I231" i="1" s="1"/>
  <c r="J231" i="1" s="1"/>
  <c r="D293" i="1"/>
  <c r="I293" i="1" s="1"/>
  <c r="J293" i="1" s="1"/>
  <c r="D333" i="1"/>
  <c r="I333" i="1" s="1"/>
  <c r="J333" i="1" s="1"/>
  <c r="D206" i="1"/>
  <c r="I206" i="1" s="1"/>
  <c r="J206" i="1" s="1"/>
  <c r="D214" i="1"/>
  <c r="I214" i="1" s="1"/>
  <c r="J214" i="1" s="1"/>
  <c r="D222" i="1"/>
  <c r="I222" i="1" s="1"/>
  <c r="J222" i="1" s="1"/>
  <c r="D230" i="1"/>
  <c r="I230" i="1" s="1"/>
  <c r="J230" i="1" s="1"/>
  <c r="D238" i="1"/>
  <c r="I238" i="1" s="1"/>
  <c r="J238" i="1" s="1"/>
  <c r="D260" i="1"/>
  <c r="I260" i="1" s="1"/>
  <c r="J260" i="1" s="1"/>
  <c r="D268" i="1"/>
  <c r="I268" i="1" s="1"/>
  <c r="J268" i="1" s="1"/>
  <c r="D276" i="1"/>
  <c r="I276" i="1" s="1"/>
  <c r="J276" i="1" s="1"/>
  <c r="D284" i="1"/>
  <c r="I284" i="1" s="1"/>
  <c r="J284" i="1" s="1"/>
  <c r="D292" i="1"/>
  <c r="I292" i="1" s="1"/>
  <c r="J292" i="1" s="1"/>
  <c r="D300" i="1"/>
  <c r="I300" i="1" s="1"/>
  <c r="J300" i="1" s="1"/>
  <c r="D308" i="1"/>
  <c r="I308" i="1" s="1"/>
  <c r="J308" i="1" s="1"/>
  <c r="D316" i="1"/>
  <c r="I316" i="1" s="1"/>
  <c r="D324" i="1"/>
  <c r="I324" i="1" s="1"/>
  <c r="J324" i="1" s="1"/>
  <c r="D332" i="1"/>
  <c r="I332" i="1" s="1"/>
  <c r="J332" i="1" s="1"/>
  <c r="D340" i="1"/>
  <c r="I340" i="1" s="1"/>
  <c r="J340" i="1" s="1"/>
  <c r="D348" i="1"/>
  <c r="I348" i="1" s="1"/>
  <c r="J348" i="1" s="1"/>
  <c r="D223" i="1"/>
  <c r="I223" i="1" s="1"/>
  <c r="J223" i="1" s="1"/>
  <c r="D301" i="1"/>
  <c r="I301" i="1" s="1"/>
  <c r="J301" i="1" s="1"/>
  <c r="D349" i="1"/>
  <c r="I349" i="1" s="1"/>
  <c r="J349" i="1" s="1"/>
  <c r="AB2" i="5"/>
  <c r="D2" i="63"/>
  <c r="D12" i="63"/>
  <c r="D24" i="63"/>
  <c r="D32" i="63"/>
  <c r="D56" i="63"/>
  <c r="D72" i="63"/>
  <c r="D88" i="63"/>
  <c r="D96" i="63"/>
  <c r="D104" i="63"/>
  <c r="D120" i="63"/>
  <c r="D128" i="63"/>
  <c r="D136" i="63"/>
  <c r="D144" i="63"/>
  <c r="D160" i="63"/>
  <c r="D168" i="63"/>
  <c r="D176" i="63"/>
  <c r="D184" i="63"/>
  <c r="D5" i="63"/>
  <c r="D13" i="63"/>
  <c r="D17" i="63"/>
  <c r="D25" i="63"/>
  <c r="D33" i="63"/>
  <c r="D41" i="63"/>
  <c r="D49" i="63"/>
  <c r="D57" i="63"/>
  <c r="D65" i="63"/>
  <c r="D73" i="63"/>
  <c r="D81" i="63"/>
  <c r="D89" i="63"/>
  <c r="D97" i="63"/>
  <c r="E97" i="1" s="1"/>
  <c r="D105" i="63"/>
  <c r="D113" i="63"/>
  <c r="D121" i="63"/>
  <c r="D129" i="63"/>
  <c r="E129" i="1" s="1"/>
  <c r="D137" i="63"/>
  <c r="D145" i="63"/>
  <c r="E145" i="1" s="1"/>
  <c r="D153" i="63"/>
  <c r="D161" i="63"/>
  <c r="D169" i="63"/>
  <c r="D177" i="63"/>
  <c r="D185" i="63"/>
  <c r="D193" i="63"/>
  <c r="D6" i="63"/>
  <c r="D200" i="63"/>
  <c r="D18" i="63"/>
  <c r="D26" i="63"/>
  <c r="D34" i="63"/>
  <c r="D42" i="63"/>
  <c r="D50" i="63"/>
  <c r="D58" i="63"/>
  <c r="E58" i="1" s="1"/>
  <c r="D66" i="63"/>
  <c r="D74" i="63"/>
  <c r="E74" i="1" s="1"/>
  <c r="D82" i="63"/>
  <c r="D90" i="63"/>
  <c r="E90" i="1" s="1"/>
  <c r="D98" i="63"/>
  <c r="D106" i="63"/>
  <c r="E106" i="1" s="1"/>
  <c r="D114" i="63"/>
  <c r="D122" i="63"/>
  <c r="E122" i="1" s="1"/>
  <c r="D130" i="63"/>
  <c r="D138" i="63"/>
  <c r="E138" i="1" s="1"/>
  <c r="D146" i="63"/>
  <c r="D154" i="63"/>
  <c r="D162" i="63"/>
  <c r="E162" i="1" s="1"/>
  <c r="D170" i="63"/>
  <c r="E170" i="1" s="1"/>
  <c r="D178" i="63"/>
  <c r="E178" i="1" s="1"/>
  <c r="D186" i="63"/>
  <c r="D194" i="63"/>
  <c r="D197" i="63"/>
  <c r="D7" i="63"/>
  <c r="D14" i="63"/>
  <c r="D19" i="63"/>
  <c r="D27" i="63"/>
  <c r="E27" i="1" s="1"/>
  <c r="D35" i="63"/>
  <c r="D43" i="63"/>
  <c r="D51" i="63"/>
  <c r="D59" i="63"/>
  <c r="E59" i="1" s="1"/>
  <c r="D67" i="63"/>
  <c r="E67" i="1" s="1"/>
  <c r="D75" i="63"/>
  <c r="D83" i="63"/>
  <c r="D91" i="63"/>
  <c r="E91" i="1" s="1"/>
  <c r="D99" i="63"/>
  <c r="D107" i="63"/>
  <c r="E107" i="1" s="1"/>
  <c r="D115" i="63"/>
  <c r="D123" i="63"/>
  <c r="E123" i="1" s="1"/>
  <c r="D131" i="63"/>
  <c r="D139" i="63"/>
  <c r="E139" i="1" s="1"/>
  <c r="D147" i="63"/>
  <c r="D155" i="63"/>
  <c r="E155" i="1" s="1"/>
  <c r="D163" i="63"/>
  <c r="D171" i="63"/>
  <c r="E171" i="1" s="1"/>
  <c r="D179" i="63"/>
  <c r="D187" i="63"/>
  <c r="D198" i="63"/>
  <c r="D28" i="63"/>
  <c r="D76" i="63"/>
  <c r="D124" i="63"/>
  <c r="D188" i="63"/>
  <c r="E188" i="1" s="1"/>
  <c r="D52" i="63"/>
  <c r="D8" i="63"/>
  <c r="E8" i="1" s="1"/>
  <c r="D203" i="63"/>
  <c r="D20" i="63"/>
  <c r="D44" i="63"/>
  <c r="E44" i="1" s="1"/>
  <c r="D60" i="63"/>
  <c r="E60" i="1" s="1"/>
  <c r="D68" i="63"/>
  <c r="E68" i="1" s="1"/>
  <c r="D84" i="63"/>
  <c r="E84" i="1" s="1"/>
  <c r="D92" i="63"/>
  <c r="D100" i="63"/>
  <c r="E100" i="1" s="1"/>
  <c r="D108" i="63"/>
  <c r="D116" i="63"/>
  <c r="E116" i="1" s="1"/>
  <c r="D132" i="63"/>
  <c r="D140" i="63"/>
  <c r="E140" i="1" s="1"/>
  <c r="D148" i="63"/>
  <c r="D156" i="63"/>
  <c r="E156" i="1" s="1"/>
  <c r="D164" i="63"/>
  <c r="E164" i="1" s="1"/>
  <c r="D172" i="63"/>
  <c r="E172" i="1" s="1"/>
  <c r="D180" i="63"/>
  <c r="D199" i="63"/>
  <c r="E199" i="1" s="1"/>
  <c r="D9" i="63"/>
  <c r="D204" i="63"/>
  <c r="D21" i="63"/>
  <c r="D29" i="63"/>
  <c r="D37" i="63"/>
  <c r="D45" i="63"/>
  <c r="D53" i="63"/>
  <c r="D61" i="63"/>
  <c r="D69" i="63"/>
  <c r="E69" i="1" s="1"/>
  <c r="D77" i="63"/>
  <c r="D85" i="63"/>
  <c r="D93" i="63"/>
  <c r="D101" i="63"/>
  <c r="D109" i="63"/>
  <c r="D117" i="63"/>
  <c r="D125" i="63"/>
  <c r="D133" i="63"/>
  <c r="E133" i="1" s="1"/>
  <c r="D141" i="63"/>
  <c r="D149" i="63"/>
  <c r="E149" i="1" s="1"/>
  <c r="D157" i="63"/>
  <c r="E157" i="1" s="1"/>
  <c r="D165" i="63"/>
  <c r="E165" i="1" s="1"/>
  <c r="D173" i="63"/>
  <c r="E173" i="1" s="1"/>
  <c r="D181" i="63"/>
  <c r="E181" i="1" s="1"/>
  <c r="D189" i="63"/>
  <c r="E189" i="1" s="1"/>
  <c r="D201" i="63"/>
  <c r="D10" i="63"/>
  <c r="D15" i="63"/>
  <c r="E15" i="1" s="1"/>
  <c r="D22" i="63"/>
  <c r="D30" i="63"/>
  <c r="E30" i="1" s="1"/>
  <c r="D38" i="63"/>
  <c r="D46" i="63"/>
  <c r="D54" i="63"/>
  <c r="D62" i="63"/>
  <c r="D70" i="63"/>
  <c r="E70" i="1" s="1"/>
  <c r="D78" i="63"/>
  <c r="D86" i="63"/>
  <c r="D94" i="63"/>
  <c r="D102" i="63"/>
  <c r="D110" i="63"/>
  <c r="D118" i="63"/>
  <c r="D126" i="63"/>
  <c r="D134" i="63"/>
  <c r="D142" i="63"/>
  <c r="D150" i="63"/>
  <c r="E150" i="1" s="1"/>
  <c r="D158" i="63"/>
  <c r="D166" i="63"/>
  <c r="E166" i="1" s="1"/>
  <c r="D174" i="63"/>
  <c r="D182" i="63"/>
  <c r="E182" i="1" s="1"/>
  <c r="D190" i="63"/>
  <c r="E4" i="5"/>
  <c r="D4" i="63"/>
  <c r="D11" i="63"/>
  <c r="E11" i="1" s="1"/>
  <c r="D16" i="63"/>
  <c r="E16" i="1" s="1"/>
  <c r="D23" i="63"/>
  <c r="E23" i="1" s="1"/>
  <c r="D31" i="63"/>
  <c r="D39" i="63"/>
  <c r="D47" i="63"/>
  <c r="D55" i="63"/>
  <c r="D63" i="63"/>
  <c r="D71" i="63"/>
  <c r="D79" i="63"/>
  <c r="D87" i="63"/>
  <c r="D95" i="63"/>
  <c r="D103" i="63"/>
  <c r="D111" i="63"/>
  <c r="D119" i="63"/>
  <c r="D127" i="63"/>
  <c r="D135" i="63"/>
  <c r="D143" i="63"/>
  <c r="D151" i="63"/>
  <c r="D159" i="63"/>
  <c r="D167" i="63"/>
  <c r="D175" i="63"/>
  <c r="D183" i="63"/>
  <c r="E183" i="1" s="1"/>
  <c r="D191" i="63"/>
  <c r="E191" i="1" s="1"/>
  <c r="D3" i="63"/>
  <c r="E3" i="1" s="1"/>
  <c r="D48" i="63"/>
  <c r="E48" i="1" s="1"/>
  <c r="D80" i="63"/>
  <c r="D112" i="63"/>
  <c r="E112" i="1" s="1"/>
  <c r="D152" i="63"/>
  <c r="D192" i="63"/>
  <c r="D64" i="63"/>
  <c r="D40" i="63"/>
  <c r="E40" i="1" s="1"/>
  <c r="C25" i="5"/>
  <c r="E25" i="5"/>
  <c r="B25" i="5"/>
  <c r="C57" i="5"/>
  <c r="E57" i="5"/>
  <c r="B57" i="5"/>
  <c r="C89" i="5"/>
  <c r="E89" i="5"/>
  <c r="B89" i="5"/>
  <c r="C113" i="5"/>
  <c r="E113" i="5"/>
  <c r="B113" i="5"/>
  <c r="C161" i="5"/>
  <c r="E161" i="5"/>
  <c r="B161" i="5"/>
  <c r="B7" i="5"/>
  <c r="C7" i="5"/>
  <c r="E7" i="5"/>
  <c r="B14" i="5"/>
  <c r="C14" i="5"/>
  <c r="E14" i="5"/>
  <c r="B27" i="5"/>
  <c r="C27" i="5"/>
  <c r="E27" i="5"/>
  <c r="B43" i="5"/>
  <c r="C43" i="5"/>
  <c r="E43" i="5"/>
  <c r="B59" i="5"/>
  <c r="C59" i="5"/>
  <c r="E59" i="5"/>
  <c r="B67" i="5"/>
  <c r="C67" i="5"/>
  <c r="E67" i="5"/>
  <c r="B75" i="5"/>
  <c r="C75" i="5"/>
  <c r="E75" i="5"/>
  <c r="B83" i="5"/>
  <c r="C83" i="5"/>
  <c r="E83" i="5"/>
  <c r="B91" i="5"/>
  <c r="C91" i="5"/>
  <c r="E91" i="5"/>
  <c r="B99" i="5"/>
  <c r="C99" i="5"/>
  <c r="E99" i="5"/>
  <c r="B107" i="5"/>
  <c r="C107" i="5"/>
  <c r="E107" i="5"/>
  <c r="B115" i="5"/>
  <c r="C115" i="5"/>
  <c r="E115" i="5"/>
  <c r="B123" i="5"/>
  <c r="C123" i="5"/>
  <c r="E123" i="5"/>
  <c r="B131" i="5"/>
  <c r="C131" i="5"/>
  <c r="E131" i="5"/>
  <c r="B139" i="5"/>
  <c r="C139" i="5"/>
  <c r="E139" i="5"/>
  <c r="B147" i="5"/>
  <c r="C147" i="5"/>
  <c r="E147" i="5"/>
  <c r="B155" i="5"/>
  <c r="C155" i="5"/>
  <c r="E155" i="5"/>
  <c r="B163" i="5"/>
  <c r="C163" i="5"/>
  <c r="E163" i="5"/>
  <c r="B171" i="5"/>
  <c r="C171" i="5"/>
  <c r="E171" i="5"/>
  <c r="B179" i="5"/>
  <c r="C179" i="5"/>
  <c r="E179" i="5"/>
  <c r="B187" i="5"/>
  <c r="C187" i="5"/>
  <c r="E187" i="5"/>
  <c r="B198" i="5"/>
  <c r="C198" i="5"/>
  <c r="E198" i="5"/>
  <c r="E8" i="5"/>
  <c r="B8" i="5"/>
  <c r="C8" i="5"/>
  <c r="E203" i="5"/>
  <c r="B203" i="5"/>
  <c r="C203" i="5"/>
  <c r="E20" i="5"/>
  <c r="B20" i="5"/>
  <c r="C20" i="5"/>
  <c r="E28" i="5"/>
  <c r="B28" i="5"/>
  <c r="C28" i="5"/>
  <c r="E36" i="5"/>
  <c r="B36" i="5"/>
  <c r="C36" i="5"/>
  <c r="E44" i="5"/>
  <c r="B44" i="5"/>
  <c r="C44" i="5"/>
  <c r="E52" i="5"/>
  <c r="B52" i="5"/>
  <c r="C52" i="5"/>
  <c r="E60" i="5"/>
  <c r="B60" i="5"/>
  <c r="C60" i="5"/>
  <c r="E68" i="5"/>
  <c r="B68" i="5"/>
  <c r="C68" i="5"/>
  <c r="E76" i="5"/>
  <c r="B76" i="5"/>
  <c r="C76" i="5"/>
  <c r="E84" i="5"/>
  <c r="B84" i="5"/>
  <c r="C84" i="5"/>
  <c r="E92" i="5"/>
  <c r="B92" i="5"/>
  <c r="C92" i="5"/>
  <c r="E100" i="5"/>
  <c r="B100" i="5"/>
  <c r="C100" i="5"/>
  <c r="E108" i="5"/>
  <c r="B108" i="5"/>
  <c r="C108" i="5"/>
  <c r="E116" i="5"/>
  <c r="B116" i="5"/>
  <c r="C116" i="5"/>
  <c r="E124" i="5"/>
  <c r="B124" i="5"/>
  <c r="C124" i="5"/>
  <c r="E132" i="5"/>
  <c r="B132" i="5"/>
  <c r="C132" i="5"/>
  <c r="E140" i="5"/>
  <c r="B140" i="5"/>
  <c r="C140" i="5"/>
  <c r="E148" i="5"/>
  <c r="B148" i="5"/>
  <c r="C148" i="5"/>
  <c r="E156" i="5"/>
  <c r="B156" i="5"/>
  <c r="C156" i="5"/>
  <c r="E164" i="5"/>
  <c r="B164" i="5"/>
  <c r="C164" i="5"/>
  <c r="E172" i="5"/>
  <c r="B172" i="5"/>
  <c r="C172" i="5"/>
  <c r="E180" i="5"/>
  <c r="B180" i="5"/>
  <c r="C180" i="5"/>
  <c r="E188" i="5"/>
  <c r="B188" i="5"/>
  <c r="C188" i="5"/>
  <c r="C65" i="5"/>
  <c r="E65" i="5"/>
  <c r="B65" i="5"/>
  <c r="C169" i="5"/>
  <c r="E169" i="5"/>
  <c r="B169" i="5"/>
  <c r="B19" i="5"/>
  <c r="C19" i="5"/>
  <c r="E19" i="5"/>
  <c r="E9" i="5"/>
  <c r="B9" i="5"/>
  <c r="C9" i="5"/>
  <c r="E37" i="5"/>
  <c r="B37" i="5"/>
  <c r="C37" i="5"/>
  <c r="E61" i="5"/>
  <c r="B61" i="5"/>
  <c r="C61" i="5"/>
  <c r="E77" i="5"/>
  <c r="B77" i="5"/>
  <c r="C77" i="5"/>
  <c r="E93" i="5"/>
  <c r="B93" i="5"/>
  <c r="C93" i="5"/>
  <c r="E101" i="5"/>
  <c r="B101" i="5"/>
  <c r="C101" i="5"/>
  <c r="E109" i="5"/>
  <c r="B109" i="5"/>
  <c r="C109" i="5"/>
  <c r="E117" i="5"/>
  <c r="B117" i="5"/>
  <c r="C117" i="5"/>
  <c r="E125" i="5"/>
  <c r="B125" i="5"/>
  <c r="C125" i="5"/>
  <c r="E133" i="5"/>
  <c r="B133" i="5"/>
  <c r="C133" i="5"/>
  <c r="E157" i="5"/>
  <c r="B157" i="5"/>
  <c r="C157" i="5"/>
  <c r="E165" i="5"/>
  <c r="B165" i="5"/>
  <c r="C165" i="5"/>
  <c r="E173" i="5"/>
  <c r="B173" i="5"/>
  <c r="C173" i="5"/>
  <c r="E181" i="5"/>
  <c r="B181" i="5"/>
  <c r="C181" i="5"/>
  <c r="E189" i="5"/>
  <c r="B189" i="5"/>
  <c r="C189" i="5"/>
  <c r="C17" i="5"/>
  <c r="E17" i="5"/>
  <c r="B17" i="5"/>
  <c r="C41" i="5"/>
  <c r="E41" i="5"/>
  <c r="B41" i="5"/>
  <c r="C97" i="5"/>
  <c r="E97" i="5"/>
  <c r="B97" i="5"/>
  <c r="C121" i="5"/>
  <c r="E121" i="5"/>
  <c r="B121" i="5"/>
  <c r="C145" i="5"/>
  <c r="E145" i="5"/>
  <c r="B145" i="5"/>
  <c r="B197" i="5"/>
  <c r="C197" i="5"/>
  <c r="E197" i="5"/>
  <c r="B51" i="5"/>
  <c r="C51" i="5"/>
  <c r="E51" i="5"/>
  <c r="E199" i="5"/>
  <c r="B199" i="5"/>
  <c r="C199" i="5"/>
  <c r="E21" i="5"/>
  <c r="B21" i="5"/>
  <c r="C21" i="5"/>
  <c r="E29" i="5"/>
  <c r="B29" i="5"/>
  <c r="C29" i="5"/>
  <c r="E45" i="5"/>
  <c r="B45" i="5"/>
  <c r="C45" i="5"/>
  <c r="E69" i="5"/>
  <c r="B69" i="5"/>
  <c r="C69" i="5"/>
  <c r="E85" i="5"/>
  <c r="B85" i="5"/>
  <c r="C85" i="5"/>
  <c r="E149" i="5"/>
  <c r="B149" i="5"/>
  <c r="C149" i="5"/>
  <c r="E201" i="5"/>
  <c r="B201" i="5"/>
  <c r="C201" i="5"/>
  <c r="E10" i="5"/>
  <c r="B10" i="5"/>
  <c r="C10" i="5"/>
  <c r="E15" i="5"/>
  <c r="B15" i="5"/>
  <c r="C15" i="5"/>
  <c r="E22" i="5"/>
  <c r="B22" i="5"/>
  <c r="C22" i="5"/>
  <c r="E30" i="5"/>
  <c r="B30" i="5"/>
  <c r="C30" i="5"/>
  <c r="E38" i="5"/>
  <c r="B38" i="5"/>
  <c r="C38" i="5"/>
  <c r="E46" i="5"/>
  <c r="B46" i="5"/>
  <c r="C46" i="5"/>
  <c r="E54" i="5"/>
  <c r="B54" i="5"/>
  <c r="C54" i="5"/>
  <c r="E62" i="5"/>
  <c r="B62" i="5"/>
  <c r="C62" i="5"/>
  <c r="E70" i="5"/>
  <c r="B70" i="5"/>
  <c r="C70" i="5"/>
  <c r="E78" i="5"/>
  <c r="B78" i="5"/>
  <c r="C78" i="5"/>
  <c r="E86" i="5"/>
  <c r="B86" i="5"/>
  <c r="C86" i="5"/>
  <c r="E94" i="5"/>
  <c r="B94" i="5"/>
  <c r="C94" i="5"/>
  <c r="E102" i="5"/>
  <c r="B102" i="5"/>
  <c r="C102" i="5"/>
  <c r="E110" i="5"/>
  <c r="B110" i="5"/>
  <c r="C110" i="5"/>
  <c r="E118" i="5"/>
  <c r="B118" i="5"/>
  <c r="C118" i="5"/>
  <c r="E126" i="5"/>
  <c r="B126" i="5"/>
  <c r="C126" i="5"/>
  <c r="E134" i="5"/>
  <c r="B134" i="5"/>
  <c r="C134" i="5"/>
  <c r="E142" i="5"/>
  <c r="B142" i="5"/>
  <c r="C142" i="5"/>
  <c r="E150" i="5"/>
  <c r="B150" i="5"/>
  <c r="C150" i="5"/>
  <c r="E158" i="5"/>
  <c r="B158" i="5"/>
  <c r="C158" i="5"/>
  <c r="B166" i="5"/>
  <c r="C166" i="5"/>
  <c r="E166" i="5"/>
  <c r="B174" i="5"/>
  <c r="E174" i="5"/>
  <c r="C174" i="5"/>
  <c r="B182" i="5"/>
  <c r="E182" i="5"/>
  <c r="C182" i="5"/>
  <c r="B190" i="5"/>
  <c r="E190" i="5"/>
  <c r="C190" i="5"/>
  <c r="C13" i="5"/>
  <c r="E13" i="5"/>
  <c r="B13" i="5"/>
  <c r="C73" i="5"/>
  <c r="E73" i="5"/>
  <c r="B73" i="5"/>
  <c r="C153" i="5"/>
  <c r="E153" i="5"/>
  <c r="B153" i="5"/>
  <c r="B35" i="5"/>
  <c r="C35" i="5"/>
  <c r="E35" i="5"/>
  <c r="E204" i="5"/>
  <c r="B204" i="5"/>
  <c r="C204" i="5"/>
  <c r="E53" i="5"/>
  <c r="B53" i="5"/>
  <c r="C53" i="5"/>
  <c r="E141" i="5"/>
  <c r="B141" i="5"/>
  <c r="C141" i="5"/>
  <c r="B4" i="5"/>
  <c r="C4" i="5"/>
  <c r="C11" i="5"/>
  <c r="E11" i="5"/>
  <c r="B11" i="5"/>
  <c r="C16" i="5"/>
  <c r="E16" i="5"/>
  <c r="B16" i="5"/>
  <c r="C23" i="5"/>
  <c r="E23" i="5"/>
  <c r="B23" i="5"/>
  <c r="C31" i="5"/>
  <c r="E31" i="5"/>
  <c r="B31" i="5"/>
  <c r="C39" i="5"/>
  <c r="E39" i="5"/>
  <c r="B39" i="5"/>
  <c r="C47" i="5"/>
  <c r="E47" i="5"/>
  <c r="B47" i="5"/>
  <c r="C55" i="5"/>
  <c r="E55" i="5"/>
  <c r="B55" i="5"/>
  <c r="C63" i="5"/>
  <c r="E63" i="5"/>
  <c r="B63" i="5"/>
  <c r="C71" i="5"/>
  <c r="E71" i="5"/>
  <c r="B71" i="5"/>
  <c r="C79" i="5"/>
  <c r="E79" i="5"/>
  <c r="B79" i="5"/>
  <c r="C87" i="5"/>
  <c r="E87" i="5"/>
  <c r="B87" i="5"/>
  <c r="C95" i="5"/>
  <c r="E95" i="5"/>
  <c r="B95" i="5"/>
  <c r="C103" i="5"/>
  <c r="E103" i="5"/>
  <c r="B103" i="5"/>
  <c r="C111" i="5"/>
  <c r="E111" i="5"/>
  <c r="B111" i="5"/>
  <c r="C119" i="5"/>
  <c r="E119" i="5"/>
  <c r="B119" i="5"/>
  <c r="C127" i="5"/>
  <c r="E127" i="5"/>
  <c r="B127" i="5"/>
  <c r="C135" i="5"/>
  <c r="E135" i="5"/>
  <c r="B135" i="5"/>
  <c r="C143" i="5"/>
  <c r="E143" i="5"/>
  <c r="B143" i="5"/>
  <c r="C151" i="5"/>
  <c r="E151" i="5"/>
  <c r="B151" i="5"/>
  <c r="C159" i="5"/>
  <c r="E159" i="5"/>
  <c r="B159" i="5"/>
  <c r="C167" i="5"/>
  <c r="E167" i="5"/>
  <c r="B167" i="5"/>
  <c r="C175" i="5"/>
  <c r="E175" i="5"/>
  <c r="B175" i="5"/>
  <c r="C183" i="5"/>
  <c r="E183" i="5"/>
  <c r="B183" i="5"/>
  <c r="C191" i="5"/>
  <c r="E191" i="5"/>
  <c r="B191" i="5"/>
  <c r="C49" i="5"/>
  <c r="E49" i="5"/>
  <c r="B49" i="5"/>
  <c r="C137" i="5"/>
  <c r="E137" i="5"/>
  <c r="B137" i="5"/>
  <c r="C2" i="5"/>
  <c r="E2" i="5"/>
  <c r="B2" i="5"/>
  <c r="C12" i="5"/>
  <c r="E12" i="5"/>
  <c r="B12" i="5"/>
  <c r="C3" i="5"/>
  <c r="E3" i="5"/>
  <c r="B3" i="5"/>
  <c r="C24" i="5"/>
  <c r="E24" i="5"/>
  <c r="B24" i="5"/>
  <c r="C32" i="5"/>
  <c r="E32" i="5"/>
  <c r="B32" i="5"/>
  <c r="C40" i="5"/>
  <c r="E40" i="5"/>
  <c r="B40" i="5"/>
  <c r="C48" i="5"/>
  <c r="E48" i="5"/>
  <c r="B48" i="5"/>
  <c r="C56" i="5"/>
  <c r="E56" i="5"/>
  <c r="B56" i="5"/>
  <c r="C64" i="5"/>
  <c r="E64" i="5"/>
  <c r="B64" i="5"/>
  <c r="C72" i="5"/>
  <c r="E72" i="5"/>
  <c r="B72" i="5"/>
  <c r="C80" i="5"/>
  <c r="E80" i="5"/>
  <c r="B80" i="5"/>
  <c r="C88" i="5"/>
  <c r="E88" i="5"/>
  <c r="B88" i="5"/>
  <c r="C96" i="5"/>
  <c r="E96" i="5"/>
  <c r="B96" i="5"/>
  <c r="C104" i="5"/>
  <c r="E104" i="5"/>
  <c r="B104" i="5"/>
  <c r="C112" i="5"/>
  <c r="E112" i="5"/>
  <c r="B112" i="5"/>
  <c r="C120" i="5"/>
  <c r="E120" i="5"/>
  <c r="B120" i="5"/>
  <c r="C128" i="5"/>
  <c r="E128" i="5"/>
  <c r="B128" i="5"/>
  <c r="C136" i="5"/>
  <c r="E136" i="5"/>
  <c r="B136" i="5"/>
  <c r="C144" i="5"/>
  <c r="E144" i="5"/>
  <c r="B144" i="5"/>
  <c r="C152" i="5"/>
  <c r="E152" i="5"/>
  <c r="B152" i="5"/>
  <c r="C160" i="5"/>
  <c r="E160" i="5"/>
  <c r="B160" i="5"/>
  <c r="C168" i="5"/>
  <c r="E168" i="5"/>
  <c r="B168" i="5"/>
  <c r="C176" i="5"/>
  <c r="E176" i="5"/>
  <c r="B176" i="5"/>
  <c r="C184" i="5"/>
  <c r="E184" i="5"/>
  <c r="B184" i="5"/>
  <c r="C192" i="5"/>
  <c r="E192" i="5"/>
  <c r="B192" i="5"/>
  <c r="C177" i="5"/>
  <c r="E177" i="5"/>
  <c r="B177" i="5"/>
  <c r="C185" i="5"/>
  <c r="E185" i="5"/>
  <c r="B185" i="5"/>
  <c r="C193" i="5"/>
  <c r="E193" i="5"/>
  <c r="B193" i="5"/>
  <c r="C5" i="5"/>
  <c r="E5" i="5"/>
  <c r="B5" i="5"/>
  <c r="C33" i="5"/>
  <c r="E33" i="5"/>
  <c r="B33" i="5"/>
  <c r="C81" i="5"/>
  <c r="E81" i="5"/>
  <c r="B81" i="5"/>
  <c r="C105" i="5"/>
  <c r="E105" i="5"/>
  <c r="B105" i="5"/>
  <c r="C129" i="5"/>
  <c r="E129" i="5"/>
  <c r="B129" i="5"/>
  <c r="B6" i="5"/>
  <c r="C6" i="5"/>
  <c r="E6" i="5"/>
  <c r="B200" i="5"/>
  <c r="C200" i="5"/>
  <c r="E200" i="5"/>
  <c r="B18" i="5"/>
  <c r="C18" i="5"/>
  <c r="E18" i="5"/>
  <c r="B26" i="5"/>
  <c r="C26" i="5"/>
  <c r="E26" i="5"/>
  <c r="B34" i="5"/>
  <c r="C34" i="5"/>
  <c r="E34" i="5"/>
  <c r="B42" i="5"/>
  <c r="C42" i="5"/>
  <c r="E42" i="5"/>
  <c r="B50" i="5"/>
  <c r="C50" i="5"/>
  <c r="E50" i="5"/>
  <c r="B58" i="5"/>
  <c r="C58" i="5"/>
  <c r="E58" i="5"/>
  <c r="B66" i="5"/>
  <c r="C66" i="5"/>
  <c r="E66" i="5"/>
  <c r="B74" i="5"/>
  <c r="C74" i="5"/>
  <c r="E74" i="5"/>
  <c r="B82" i="5"/>
  <c r="C82" i="5"/>
  <c r="E82" i="5"/>
  <c r="B90" i="5"/>
  <c r="C90" i="5"/>
  <c r="E90" i="5"/>
  <c r="B98" i="5"/>
  <c r="C98" i="5"/>
  <c r="E98" i="5"/>
  <c r="B106" i="5"/>
  <c r="C106" i="5"/>
  <c r="E106" i="5"/>
  <c r="B114" i="5"/>
  <c r="C114" i="5"/>
  <c r="E114" i="5"/>
  <c r="B122" i="5"/>
  <c r="C122" i="5"/>
  <c r="E122" i="5"/>
  <c r="B130" i="5"/>
  <c r="C130" i="5"/>
  <c r="E130" i="5"/>
  <c r="B138" i="5"/>
  <c r="C138" i="5"/>
  <c r="E138" i="5"/>
  <c r="B146" i="5"/>
  <c r="C146" i="5"/>
  <c r="E146" i="5"/>
  <c r="B154" i="5"/>
  <c r="C154" i="5"/>
  <c r="E154" i="5"/>
  <c r="B162" i="5"/>
  <c r="C162" i="5"/>
  <c r="E162" i="5"/>
  <c r="B170" i="5"/>
  <c r="C170" i="5"/>
  <c r="E170" i="5"/>
  <c r="B178" i="5"/>
  <c r="C178" i="5"/>
  <c r="E178" i="5"/>
  <c r="B186" i="5"/>
  <c r="C186" i="5"/>
  <c r="E186" i="5"/>
  <c r="B194" i="5"/>
  <c r="C194" i="5"/>
  <c r="E194" i="5"/>
  <c r="Z29" i="5"/>
  <c r="AA29" i="5"/>
  <c r="X29" i="5"/>
  <c r="Z77" i="5"/>
  <c r="AA77" i="5"/>
  <c r="X77" i="5"/>
  <c r="Z173" i="5"/>
  <c r="AA173" i="5"/>
  <c r="X173" i="5"/>
  <c r="AA198" i="5"/>
  <c r="X198" i="5"/>
  <c r="Z198" i="5"/>
  <c r="Z8" i="5"/>
  <c r="AA8" i="5"/>
  <c r="X8" i="5"/>
  <c r="Z203" i="5"/>
  <c r="AA203" i="5"/>
  <c r="X203" i="5"/>
  <c r="Z20" i="5"/>
  <c r="AA20" i="5"/>
  <c r="X20" i="5"/>
  <c r="Z28" i="5"/>
  <c r="AA28" i="5"/>
  <c r="X28" i="5"/>
  <c r="Z36" i="5"/>
  <c r="AA36" i="5"/>
  <c r="X36" i="5"/>
  <c r="Z44" i="5"/>
  <c r="AA44" i="5"/>
  <c r="X44" i="5"/>
  <c r="Z52" i="5"/>
  <c r="AA52" i="5"/>
  <c r="X52" i="5"/>
  <c r="Z60" i="5"/>
  <c r="AA60" i="5"/>
  <c r="X60" i="5"/>
  <c r="Z68" i="5"/>
  <c r="AA68" i="5"/>
  <c r="X68" i="5"/>
  <c r="Z76" i="5"/>
  <c r="AA76" i="5"/>
  <c r="X76" i="5"/>
  <c r="Z84" i="5"/>
  <c r="AA84" i="5"/>
  <c r="X84" i="5"/>
  <c r="Z92" i="5"/>
  <c r="AA92" i="5"/>
  <c r="X92" i="5"/>
  <c r="Z100" i="5"/>
  <c r="AA100" i="5"/>
  <c r="X100" i="5"/>
  <c r="Z108" i="5"/>
  <c r="AA108" i="5"/>
  <c r="X108" i="5"/>
  <c r="Z116" i="5"/>
  <c r="AA116" i="5"/>
  <c r="X116" i="5"/>
  <c r="Z124" i="5"/>
  <c r="AA124" i="5"/>
  <c r="X124" i="5"/>
  <c r="Z132" i="5"/>
  <c r="AA132" i="5"/>
  <c r="X132" i="5"/>
  <c r="Z140" i="5"/>
  <c r="AA140" i="5"/>
  <c r="X140" i="5"/>
  <c r="Z148" i="5"/>
  <c r="AA148" i="5"/>
  <c r="X148" i="5"/>
  <c r="Z156" i="5"/>
  <c r="AA156" i="5"/>
  <c r="X156" i="5"/>
  <c r="Z164" i="5"/>
  <c r="AA164" i="5"/>
  <c r="X164" i="5"/>
  <c r="Z172" i="5"/>
  <c r="AA172" i="5"/>
  <c r="X172" i="5"/>
  <c r="Z180" i="5"/>
  <c r="AA180" i="5"/>
  <c r="X180" i="5"/>
  <c r="Z188" i="5"/>
  <c r="AA188" i="5"/>
  <c r="X188" i="5"/>
  <c r="Z9" i="5"/>
  <c r="AA9" i="5"/>
  <c r="X9" i="5"/>
  <c r="Z45" i="5"/>
  <c r="X45" i="5"/>
  <c r="AA45" i="5"/>
  <c r="Z61" i="5"/>
  <c r="AA61" i="5"/>
  <c r="X61" i="5"/>
  <c r="Z69" i="5"/>
  <c r="X69" i="5"/>
  <c r="AA69" i="5"/>
  <c r="Z93" i="5"/>
  <c r="AA93" i="5"/>
  <c r="X93" i="5"/>
  <c r="Z101" i="5"/>
  <c r="AA101" i="5"/>
  <c r="X101" i="5"/>
  <c r="Z109" i="5"/>
  <c r="AA109" i="5"/>
  <c r="X109" i="5"/>
  <c r="Z125" i="5"/>
  <c r="AA125" i="5"/>
  <c r="X125" i="5"/>
  <c r="Z133" i="5"/>
  <c r="AA133" i="5"/>
  <c r="X133" i="5"/>
  <c r="Z141" i="5"/>
  <c r="AA141" i="5"/>
  <c r="X141" i="5"/>
  <c r="Z149" i="5"/>
  <c r="X149" i="5"/>
  <c r="AA149" i="5"/>
  <c r="Z165" i="5"/>
  <c r="AA165" i="5"/>
  <c r="X165" i="5"/>
  <c r="Z189" i="5"/>
  <c r="AA189" i="5"/>
  <c r="X189" i="5"/>
  <c r="Z201" i="5"/>
  <c r="AA201" i="5"/>
  <c r="X201" i="5"/>
  <c r="Z10" i="5"/>
  <c r="AA10" i="5"/>
  <c r="X10" i="5"/>
  <c r="Z15" i="5"/>
  <c r="AA15" i="5"/>
  <c r="X15" i="5"/>
  <c r="Z22" i="5"/>
  <c r="AA22" i="5"/>
  <c r="X22" i="5"/>
  <c r="Z30" i="5"/>
  <c r="AA30" i="5"/>
  <c r="X30" i="5"/>
  <c r="Z38" i="5"/>
  <c r="AA38" i="5"/>
  <c r="X38" i="5"/>
  <c r="Z46" i="5"/>
  <c r="X46" i="5"/>
  <c r="AA46" i="5"/>
  <c r="Z54" i="5"/>
  <c r="X54" i="5"/>
  <c r="AA54" i="5"/>
  <c r="Z62" i="5"/>
  <c r="AA62" i="5"/>
  <c r="X62" i="5"/>
  <c r="Z70" i="5"/>
  <c r="AA70" i="5"/>
  <c r="X70" i="5"/>
  <c r="Z78" i="5"/>
  <c r="AA78" i="5"/>
  <c r="X78" i="5"/>
  <c r="Z86" i="5"/>
  <c r="AA86" i="5"/>
  <c r="X86" i="5"/>
  <c r="Z94" i="5"/>
  <c r="X94" i="5"/>
  <c r="AA94" i="5"/>
  <c r="Z102" i="5"/>
  <c r="AA102" i="5"/>
  <c r="X102" i="5"/>
  <c r="Z110" i="5"/>
  <c r="X110" i="5"/>
  <c r="AA110" i="5"/>
  <c r="Z118" i="5"/>
  <c r="AA118" i="5"/>
  <c r="X118" i="5"/>
  <c r="Z126" i="5"/>
  <c r="AA126" i="5"/>
  <c r="X126" i="5"/>
  <c r="Z134" i="5"/>
  <c r="AA134" i="5"/>
  <c r="X134" i="5"/>
  <c r="Z142" i="5"/>
  <c r="AA142" i="5"/>
  <c r="X142" i="5"/>
  <c r="Z150" i="5"/>
  <c r="AA150" i="5"/>
  <c r="X150" i="5"/>
  <c r="Z158" i="5"/>
  <c r="AA158" i="5"/>
  <c r="X158" i="5"/>
  <c r="Z166" i="5"/>
  <c r="AA166" i="5"/>
  <c r="X166" i="5"/>
  <c r="Z174" i="5"/>
  <c r="X174" i="5"/>
  <c r="AA174" i="5"/>
  <c r="Z182" i="5"/>
  <c r="AA182" i="5"/>
  <c r="X182" i="5"/>
  <c r="Z190" i="5"/>
  <c r="AA190" i="5"/>
  <c r="X190" i="5"/>
  <c r="Z21" i="5"/>
  <c r="X21" i="5"/>
  <c r="AA21" i="5"/>
  <c r="Z85" i="5"/>
  <c r="X85" i="5"/>
  <c r="AA85" i="5"/>
  <c r="Z181" i="5"/>
  <c r="AA181" i="5"/>
  <c r="X181" i="5"/>
  <c r="Z4" i="5"/>
  <c r="AA4" i="5"/>
  <c r="X4" i="5"/>
  <c r="Z11" i="5"/>
  <c r="AA11" i="5"/>
  <c r="X11" i="5"/>
  <c r="Z16" i="5"/>
  <c r="X16" i="5"/>
  <c r="AA16" i="5"/>
  <c r="AA23" i="5"/>
  <c r="X23" i="5"/>
  <c r="Z23" i="5"/>
  <c r="Z31" i="5"/>
  <c r="X31" i="5"/>
  <c r="AA31" i="5"/>
  <c r="Z39" i="5"/>
  <c r="AA39" i="5"/>
  <c r="X39" i="5"/>
  <c r="AA47" i="5"/>
  <c r="X47" i="5"/>
  <c r="Z47" i="5"/>
  <c r="X55" i="5"/>
  <c r="Z55" i="5"/>
  <c r="AA55" i="5"/>
  <c r="X63" i="5"/>
  <c r="AA63" i="5"/>
  <c r="Z63" i="5"/>
  <c r="X71" i="5"/>
  <c r="AA71" i="5"/>
  <c r="Z71" i="5"/>
  <c r="X79" i="5"/>
  <c r="Z79" i="5"/>
  <c r="AA79" i="5"/>
  <c r="X87" i="5"/>
  <c r="AA87" i="5"/>
  <c r="Z87" i="5"/>
  <c r="X95" i="5"/>
  <c r="Z95" i="5"/>
  <c r="AA95" i="5"/>
  <c r="Z103" i="5"/>
  <c r="X103" i="5"/>
  <c r="AA103" i="5"/>
  <c r="AA111" i="5"/>
  <c r="X111" i="5"/>
  <c r="Z111" i="5"/>
  <c r="X119" i="5"/>
  <c r="Z119" i="5"/>
  <c r="AA119" i="5"/>
  <c r="X127" i="5"/>
  <c r="AA127" i="5"/>
  <c r="Z127" i="5"/>
  <c r="X135" i="5"/>
  <c r="Z135" i="5"/>
  <c r="AA135" i="5"/>
  <c r="X143" i="5"/>
  <c r="Z143" i="5"/>
  <c r="AA143" i="5"/>
  <c r="X151" i="5"/>
  <c r="AA151" i="5"/>
  <c r="Z151" i="5"/>
  <c r="X159" i="5"/>
  <c r="Z159" i="5"/>
  <c r="AA159" i="5"/>
  <c r="Z167" i="5"/>
  <c r="X167" i="5"/>
  <c r="AA167" i="5"/>
  <c r="AA175" i="5"/>
  <c r="X175" i="5"/>
  <c r="Z175" i="5"/>
  <c r="X183" i="5"/>
  <c r="Z183" i="5"/>
  <c r="AA183" i="5"/>
  <c r="X191" i="5"/>
  <c r="AA191" i="5"/>
  <c r="Z191" i="5"/>
  <c r="Z37" i="5"/>
  <c r="AA37" i="5"/>
  <c r="X37" i="5"/>
  <c r="Z157" i="5"/>
  <c r="AA157" i="5"/>
  <c r="X157" i="5"/>
  <c r="Z3" i="5"/>
  <c r="X3" i="5"/>
  <c r="AA3" i="5"/>
  <c r="AA48" i="5"/>
  <c r="X48" i="5"/>
  <c r="Z48" i="5"/>
  <c r="AA72" i="5"/>
  <c r="X72" i="5"/>
  <c r="Z72" i="5"/>
  <c r="X96" i="5"/>
  <c r="Z96" i="5"/>
  <c r="AA96" i="5"/>
  <c r="AA112" i="5"/>
  <c r="X112" i="5"/>
  <c r="Z112" i="5"/>
  <c r="AA136" i="5"/>
  <c r="X136" i="5"/>
  <c r="Z136" i="5"/>
  <c r="X152" i="5"/>
  <c r="AA152" i="5"/>
  <c r="Z152" i="5"/>
  <c r="AA176" i="5"/>
  <c r="X176" i="5"/>
  <c r="Z176" i="5"/>
  <c r="X5" i="5"/>
  <c r="Z5" i="5"/>
  <c r="AA5" i="5"/>
  <c r="X13" i="5"/>
  <c r="AA13" i="5"/>
  <c r="Z13" i="5"/>
  <c r="X17" i="5"/>
  <c r="Z17" i="5"/>
  <c r="AA17" i="5"/>
  <c r="X25" i="5"/>
  <c r="Z25" i="5"/>
  <c r="AA25" i="5"/>
  <c r="X33" i="5"/>
  <c r="AA33" i="5"/>
  <c r="Z33" i="5"/>
  <c r="X41" i="5"/>
  <c r="Z41" i="5"/>
  <c r="AA41" i="5"/>
  <c r="X49" i="5"/>
  <c r="AA49" i="5"/>
  <c r="Z49" i="5"/>
  <c r="X57" i="5"/>
  <c r="AA57" i="5"/>
  <c r="Z57" i="5"/>
  <c r="Z65" i="5"/>
  <c r="X65" i="5"/>
  <c r="AA65" i="5"/>
  <c r="AA73" i="5"/>
  <c r="X73" i="5"/>
  <c r="Z73" i="5"/>
  <c r="X81" i="5"/>
  <c r="Z81" i="5"/>
  <c r="AA81" i="5"/>
  <c r="Z89" i="5"/>
  <c r="AA89" i="5"/>
  <c r="X89" i="5"/>
  <c r="AA97" i="5"/>
  <c r="X97" i="5"/>
  <c r="Z97" i="5"/>
  <c r="Z105" i="5"/>
  <c r="X105" i="5"/>
  <c r="AA105" i="5"/>
  <c r="AA113" i="5"/>
  <c r="X113" i="5"/>
  <c r="Z113" i="5"/>
  <c r="X121" i="5"/>
  <c r="Z121" i="5"/>
  <c r="AA121" i="5"/>
  <c r="Z129" i="5"/>
  <c r="X129" i="5"/>
  <c r="AA129" i="5"/>
  <c r="AA137" i="5"/>
  <c r="X137" i="5"/>
  <c r="Z137" i="5"/>
  <c r="X145" i="5"/>
  <c r="AA145" i="5"/>
  <c r="Z145" i="5"/>
  <c r="Z153" i="5"/>
  <c r="AA153" i="5"/>
  <c r="X153" i="5"/>
  <c r="AA161" i="5"/>
  <c r="X161" i="5"/>
  <c r="Z161" i="5"/>
  <c r="Z169" i="5"/>
  <c r="X169" i="5"/>
  <c r="AA169" i="5"/>
  <c r="AA177" i="5"/>
  <c r="X177" i="5"/>
  <c r="Z177" i="5"/>
  <c r="X185" i="5"/>
  <c r="AA185" i="5"/>
  <c r="Z185" i="5"/>
  <c r="Z193" i="5"/>
  <c r="X193" i="5"/>
  <c r="AA193" i="5"/>
  <c r="Z204" i="5"/>
  <c r="X204" i="5"/>
  <c r="AA204" i="5"/>
  <c r="AA12" i="5"/>
  <c r="X12" i="5"/>
  <c r="Z12" i="5"/>
  <c r="X32" i="5"/>
  <c r="Z32" i="5"/>
  <c r="AA32" i="5"/>
  <c r="Z64" i="5"/>
  <c r="X64" i="5"/>
  <c r="AA64" i="5"/>
  <c r="X88" i="5"/>
  <c r="AA88" i="5"/>
  <c r="Z88" i="5"/>
  <c r="X120" i="5"/>
  <c r="AA120" i="5"/>
  <c r="Z120" i="5"/>
  <c r="X144" i="5"/>
  <c r="Z144" i="5"/>
  <c r="AA144" i="5"/>
  <c r="Z168" i="5"/>
  <c r="X168" i="5"/>
  <c r="AA168" i="5"/>
  <c r="X184" i="5"/>
  <c r="Z184" i="5"/>
  <c r="AA184" i="5"/>
  <c r="AA6" i="5"/>
  <c r="X6" i="5"/>
  <c r="Z6" i="5"/>
  <c r="AA200" i="5"/>
  <c r="Z200" i="5"/>
  <c r="X200" i="5"/>
  <c r="AA18" i="5"/>
  <c r="Z18" i="5"/>
  <c r="X18" i="5"/>
  <c r="AA26" i="5"/>
  <c r="Z26" i="5"/>
  <c r="X26" i="5"/>
  <c r="AA34" i="5"/>
  <c r="X34" i="5"/>
  <c r="Z34" i="5"/>
  <c r="AA42" i="5"/>
  <c r="X42" i="5"/>
  <c r="Z42" i="5"/>
  <c r="AA50" i="5"/>
  <c r="Z50" i="5"/>
  <c r="X50" i="5"/>
  <c r="AA58" i="5"/>
  <c r="Z58" i="5"/>
  <c r="X58" i="5"/>
  <c r="AA66" i="5"/>
  <c r="Z66" i="5"/>
  <c r="X66" i="5"/>
  <c r="AA74" i="5"/>
  <c r="X74" i="5"/>
  <c r="Z74" i="5"/>
  <c r="AA82" i="5"/>
  <c r="Z82" i="5"/>
  <c r="X82" i="5"/>
  <c r="AA90" i="5"/>
  <c r="Z90" i="5"/>
  <c r="X90" i="5"/>
  <c r="AA98" i="5"/>
  <c r="Z98" i="5"/>
  <c r="X98" i="5"/>
  <c r="AA106" i="5"/>
  <c r="X106" i="5"/>
  <c r="Z106" i="5"/>
  <c r="AA114" i="5"/>
  <c r="Z114" i="5"/>
  <c r="X114" i="5"/>
  <c r="AA122" i="5"/>
  <c r="Z122" i="5"/>
  <c r="X122" i="5"/>
  <c r="AA130" i="5"/>
  <c r="Z130" i="5"/>
  <c r="X130" i="5"/>
  <c r="AA138" i="5"/>
  <c r="X138" i="5"/>
  <c r="Z138" i="5"/>
  <c r="AA146" i="5"/>
  <c r="Z146" i="5"/>
  <c r="X146" i="5"/>
  <c r="AA154" i="5"/>
  <c r="Z154" i="5"/>
  <c r="X154" i="5"/>
  <c r="AA162" i="5"/>
  <c r="Z162" i="5"/>
  <c r="X162" i="5"/>
  <c r="AA170" i="5"/>
  <c r="X170" i="5"/>
  <c r="Z170" i="5"/>
  <c r="AA178" i="5"/>
  <c r="Z178" i="5"/>
  <c r="X178" i="5"/>
  <c r="AA186" i="5"/>
  <c r="X186" i="5"/>
  <c r="Z186" i="5"/>
  <c r="Z199" i="5"/>
  <c r="AA199" i="5"/>
  <c r="X199" i="5"/>
  <c r="Z53" i="5"/>
  <c r="AA53" i="5"/>
  <c r="X53" i="5"/>
  <c r="Z117" i="5"/>
  <c r="AA117" i="5"/>
  <c r="X117" i="5"/>
  <c r="Z2" i="5"/>
  <c r="X2" i="5"/>
  <c r="AA2" i="5"/>
  <c r="AA24" i="5"/>
  <c r="X24" i="5"/>
  <c r="Z24" i="5"/>
  <c r="Z40" i="5"/>
  <c r="AA40" i="5"/>
  <c r="X40" i="5"/>
  <c r="X56" i="5"/>
  <c r="Z56" i="5"/>
  <c r="AA56" i="5"/>
  <c r="X80" i="5"/>
  <c r="Z80" i="5"/>
  <c r="AA80" i="5"/>
  <c r="Z104" i="5"/>
  <c r="X104" i="5"/>
  <c r="AA104" i="5"/>
  <c r="Z128" i="5"/>
  <c r="X128" i="5"/>
  <c r="AA128" i="5"/>
  <c r="X160" i="5"/>
  <c r="AA160" i="5"/>
  <c r="Z160" i="5"/>
  <c r="Z192" i="5"/>
  <c r="AA192" i="5"/>
  <c r="X192" i="5"/>
  <c r="AA197" i="5"/>
  <c r="X197" i="5"/>
  <c r="Z197" i="5"/>
  <c r="AA7" i="5"/>
  <c r="X7" i="5"/>
  <c r="Z7" i="5"/>
  <c r="AA14" i="5"/>
  <c r="X14" i="5"/>
  <c r="Z14" i="5"/>
  <c r="AA19" i="5"/>
  <c r="X19" i="5"/>
  <c r="Z19" i="5"/>
  <c r="AA27" i="5"/>
  <c r="X27" i="5"/>
  <c r="Z27" i="5"/>
  <c r="AA35" i="5"/>
  <c r="X35" i="5"/>
  <c r="Z35" i="5"/>
  <c r="AA43" i="5"/>
  <c r="X43" i="5"/>
  <c r="Z43" i="5"/>
  <c r="AA51" i="5"/>
  <c r="X51" i="5"/>
  <c r="Z51" i="5"/>
  <c r="AA59" i="5"/>
  <c r="Z59" i="5"/>
  <c r="X59" i="5"/>
  <c r="AA67" i="5"/>
  <c r="Z67" i="5"/>
  <c r="X67" i="5"/>
  <c r="AA75" i="5"/>
  <c r="Z75" i="5"/>
  <c r="X75" i="5"/>
  <c r="AA83" i="5"/>
  <c r="Z83" i="5"/>
  <c r="X83" i="5"/>
  <c r="AA91" i="5"/>
  <c r="Z91" i="5"/>
  <c r="X91" i="5"/>
  <c r="AA99" i="5"/>
  <c r="X99" i="5"/>
  <c r="Z99" i="5"/>
  <c r="AA107" i="5"/>
  <c r="Z107" i="5"/>
  <c r="X107" i="5"/>
  <c r="AA115" i="5"/>
  <c r="Z115" i="5"/>
  <c r="X115" i="5"/>
  <c r="AA123" i="5"/>
  <c r="Z123" i="5"/>
  <c r="X123" i="5"/>
  <c r="AA131" i="5"/>
  <c r="X131" i="5"/>
  <c r="Z131" i="5"/>
  <c r="AA139" i="5"/>
  <c r="Z139" i="5"/>
  <c r="X139" i="5"/>
  <c r="AA147" i="5"/>
  <c r="Z147" i="5"/>
  <c r="X147" i="5"/>
  <c r="AA155" i="5"/>
  <c r="Z155" i="5"/>
  <c r="X155" i="5"/>
  <c r="AA163" i="5"/>
  <c r="X163" i="5"/>
  <c r="Z163" i="5"/>
  <c r="AA171" i="5"/>
  <c r="X171" i="5"/>
  <c r="Z171" i="5"/>
  <c r="AA179" i="5"/>
  <c r="Z179" i="5"/>
  <c r="X179" i="5"/>
  <c r="AA187" i="5"/>
  <c r="Z187" i="5"/>
  <c r="X187" i="5"/>
  <c r="AA194" i="5"/>
  <c r="Z194" i="5"/>
  <c r="X194" i="5"/>
  <c r="V28" i="5"/>
  <c r="W28" i="5"/>
  <c r="U28" i="5"/>
  <c r="T28" i="5"/>
  <c r="Y28" i="5"/>
  <c r="P28" i="5"/>
  <c r="Q28" i="5"/>
  <c r="O28" i="5"/>
  <c r="K28" i="5"/>
  <c r="S28" i="5"/>
  <c r="M28" i="5"/>
  <c r="N28" i="5"/>
  <c r="V60" i="5"/>
  <c r="W60" i="5"/>
  <c r="U60" i="5"/>
  <c r="Y60" i="5"/>
  <c r="T60" i="5"/>
  <c r="P60" i="5"/>
  <c r="S60" i="5"/>
  <c r="O60" i="5"/>
  <c r="K60" i="5"/>
  <c r="Q60" i="5"/>
  <c r="N60" i="5"/>
  <c r="M60" i="5"/>
  <c r="V92" i="5"/>
  <c r="W92" i="5"/>
  <c r="U92" i="5"/>
  <c r="T92" i="5"/>
  <c r="Y92" i="5"/>
  <c r="P92" i="5"/>
  <c r="Q92" i="5"/>
  <c r="O92" i="5"/>
  <c r="K92" i="5"/>
  <c r="M92" i="5"/>
  <c r="N92" i="5"/>
  <c r="S92" i="5"/>
  <c r="V108" i="5"/>
  <c r="U108" i="5"/>
  <c r="Y108" i="5"/>
  <c r="W108" i="5"/>
  <c r="T108" i="5"/>
  <c r="P108" i="5"/>
  <c r="S108" i="5"/>
  <c r="O108" i="5"/>
  <c r="K108" i="5"/>
  <c r="Q108" i="5"/>
  <c r="N108" i="5"/>
  <c r="M108" i="5"/>
  <c r="V124" i="5"/>
  <c r="W124" i="5"/>
  <c r="U124" i="5"/>
  <c r="T124" i="5"/>
  <c r="P124" i="5"/>
  <c r="O124" i="5"/>
  <c r="K124" i="5"/>
  <c r="Y124" i="5"/>
  <c r="N124" i="5"/>
  <c r="M124" i="5"/>
  <c r="Q124" i="5"/>
  <c r="S124" i="5"/>
  <c r="W188" i="5"/>
  <c r="V188" i="5"/>
  <c r="U188" i="5"/>
  <c r="Y188" i="5"/>
  <c r="T188" i="5"/>
  <c r="S188" i="5"/>
  <c r="P188" i="5"/>
  <c r="O188" i="5"/>
  <c r="Q188" i="5"/>
  <c r="N188" i="5"/>
  <c r="K188" i="5"/>
  <c r="M188" i="5"/>
  <c r="V199" i="5"/>
  <c r="Y199" i="5"/>
  <c r="W199" i="5"/>
  <c r="U199" i="5"/>
  <c r="T199" i="5"/>
  <c r="Q199" i="5"/>
  <c r="P199" i="5"/>
  <c r="O199" i="5"/>
  <c r="K199" i="5"/>
  <c r="N199" i="5"/>
  <c r="M199" i="5"/>
  <c r="S199" i="5"/>
  <c r="V9" i="5"/>
  <c r="U9" i="5"/>
  <c r="Y9" i="5"/>
  <c r="T9" i="5"/>
  <c r="Q9" i="5"/>
  <c r="S9" i="5"/>
  <c r="W9" i="5"/>
  <c r="O9" i="5"/>
  <c r="N9" i="5"/>
  <c r="M9" i="5"/>
  <c r="K9" i="5"/>
  <c r="P9" i="5"/>
  <c r="V204" i="5"/>
  <c r="Y204" i="5"/>
  <c r="W204" i="5"/>
  <c r="U204" i="5"/>
  <c r="T204" i="5"/>
  <c r="S204" i="5"/>
  <c r="Q204" i="5"/>
  <c r="P204" i="5"/>
  <c r="N204" i="5"/>
  <c r="M204" i="5"/>
  <c r="K204" i="5"/>
  <c r="O204" i="5"/>
  <c r="V21" i="5"/>
  <c r="Y21" i="5"/>
  <c r="W21" i="5"/>
  <c r="T21" i="5"/>
  <c r="P21" i="5"/>
  <c r="S21" i="5"/>
  <c r="N21" i="5"/>
  <c r="U21" i="5"/>
  <c r="M21" i="5"/>
  <c r="K21" i="5"/>
  <c r="Q21" i="5"/>
  <c r="O21" i="5"/>
  <c r="V29" i="5"/>
  <c r="Y29" i="5"/>
  <c r="W29" i="5"/>
  <c r="U29" i="5"/>
  <c r="T29" i="5"/>
  <c r="Q29" i="5"/>
  <c r="S29" i="5"/>
  <c r="P29" i="5"/>
  <c r="O29" i="5"/>
  <c r="K29" i="5"/>
  <c r="M29" i="5"/>
  <c r="N29" i="5"/>
  <c r="V37" i="5"/>
  <c r="T37" i="5"/>
  <c r="Y37" i="5"/>
  <c r="W37" i="5"/>
  <c r="M37" i="5"/>
  <c r="S37" i="5"/>
  <c r="U37" i="5"/>
  <c r="P37" i="5"/>
  <c r="Q37" i="5"/>
  <c r="K37" i="5"/>
  <c r="O37" i="5"/>
  <c r="N37" i="5"/>
  <c r="V45" i="5"/>
  <c r="Y45" i="5"/>
  <c r="W45" i="5"/>
  <c r="U45" i="5"/>
  <c r="T45" i="5"/>
  <c r="P45" i="5"/>
  <c r="Q45" i="5"/>
  <c r="S45" i="5"/>
  <c r="O45" i="5"/>
  <c r="N45" i="5"/>
  <c r="K45" i="5"/>
  <c r="M45" i="5"/>
  <c r="V53" i="5"/>
  <c r="Y53" i="5"/>
  <c r="W53" i="5"/>
  <c r="U53" i="5"/>
  <c r="T53" i="5"/>
  <c r="S53" i="5"/>
  <c r="P53" i="5"/>
  <c r="Q53" i="5"/>
  <c r="O53" i="5"/>
  <c r="N53" i="5"/>
  <c r="M53" i="5"/>
  <c r="K53" i="5"/>
  <c r="V61" i="5"/>
  <c r="Y61" i="5"/>
  <c r="W61" i="5"/>
  <c r="U61" i="5"/>
  <c r="T61" i="5"/>
  <c r="S61" i="5"/>
  <c r="Q61" i="5"/>
  <c r="N61" i="5"/>
  <c r="P61" i="5"/>
  <c r="O61" i="5"/>
  <c r="M61" i="5"/>
  <c r="K61" i="5"/>
  <c r="V69" i="5"/>
  <c r="U69" i="5"/>
  <c r="W69" i="5"/>
  <c r="Y69" i="5"/>
  <c r="T69" i="5"/>
  <c r="Q69" i="5"/>
  <c r="S69" i="5"/>
  <c r="O69" i="5"/>
  <c r="N69" i="5"/>
  <c r="M69" i="5"/>
  <c r="P69" i="5"/>
  <c r="K69" i="5"/>
  <c r="V77" i="5"/>
  <c r="U77" i="5"/>
  <c r="Y77" i="5"/>
  <c r="W77" i="5"/>
  <c r="T77" i="5"/>
  <c r="Q77" i="5"/>
  <c r="P77" i="5"/>
  <c r="M77" i="5"/>
  <c r="K77" i="5"/>
  <c r="S77" i="5"/>
  <c r="O77" i="5"/>
  <c r="N77" i="5"/>
  <c r="V85" i="5"/>
  <c r="Y85" i="5"/>
  <c r="W85" i="5"/>
  <c r="U85" i="5"/>
  <c r="T85" i="5"/>
  <c r="P85" i="5"/>
  <c r="Q85" i="5"/>
  <c r="N85" i="5"/>
  <c r="M85" i="5"/>
  <c r="K85" i="5"/>
  <c r="O85" i="5"/>
  <c r="S85" i="5"/>
  <c r="V93" i="5"/>
  <c r="Y93" i="5"/>
  <c r="W93" i="5"/>
  <c r="U93" i="5"/>
  <c r="T93" i="5"/>
  <c r="S93" i="5"/>
  <c r="Q93" i="5"/>
  <c r="P93" i="5"/>
  <c r="O93" i="5"/>
  <c r="K93" i="5"/>
  <c r="N93" i="5"/>
  <c r="M93" i="5"/>
  <c r="V101" i="5"/>
  <c r="U101" i="5"/>
  <c r="Y101" i="5"/>
  <c r="T101" i="5"/>
  <c r="W101" i="5"/>
  <c r="S101" i="5"/>
  <c r="M101" i="5"/>
  <c r="Q101" i="5"/>
  <c r="P101" i="5"/>
  <c r="O101" i="5"/>
  <c r="N101" i="5"/>
  <c r="K101" i="5"/>
  <c r="V109" i="5"/>
  <c r="U109" i="5"/>
  <c r="Y109" i="5"/>
  <c r="W109" i="5"/>
  <c r="T109" i="5"/>
  <c r="S109" i="5"/>
  <c r="P109" i="5"/>
  <c r="O109" i="5"/>
  <c r="Q109" i="5"/>
  <c r="M109" i="5"/>
  <c r="K109" i="5"/>
  <c r="N109" i="5"/>
  <c r="V117" i="5"/>
  <c r="Y117" i="5"/>
  <c r="W117" i="5"/>
  <c r="U117" i="5"/>
  <c r="T117" i="5"/>
  <c r="P117" i="5"/>
  <c r="Q117" i="5"/>
  <c r="S117" i="5"/>
  <c r="O117" i="5"/>
  <c r="N117" i="5"/>
  <c r="M117" i="5"/>
  <c r="K117" i="5"/>
  <c r="V125" i="5"/>
  <c r="Y125" i="5"/>
  <c r="W125" i="5"/>
  <c r="U125" i="5"/>
  <c r="T125" i="5"/>
  <c r="S125" i="5"/>
  <c r="O125" i="5"/>
  <c r="N125" i="5"/>
  <c r="P125" i="5"/>
  <c r="Q125" i="5"/>
  <c r="K125" i="5"/>
  <c r="M125" i="5"/>
  <c r="V133" i="5"/>
  <c r="U133" i="5"/>
  <c r="Y133" i="5"/>
  <c r="W133" i="5"/>
  <c r="T133" i="5"/>
  <c r="Q133" i="5"/>
  <c r="S133" i="5"/>
  <c r="O133" i="5"/>
  <c r="N133" i="5"/>
  <c r="M133" i="5"/>
  <c r="P133" i="5"/>
  <c r="K133" i="5"/>
  <c r="V141" i="5"/>
  <c r="U141" i="5"/>
  <c r="Y141" i="5"/>
  <c r="T141" i="5"/>
  <c r="W141" i="5"/>
  <c r="S141" i="5"/>
  <c r="P141" i="5"/>
  <c r="O141" i="5"/>
  <c r="Q141" i="5"/>
  <c r="M141" i="5"/>
  <c r="K141" i="5"/>
  <c r="N141" i="5"/>
  <c r="V149" i="5"/>
  <c r="Y149" i="5"/>
  <c r="W149" i="5"/>
  <c r="U149" i="5"/>
  <c r="T149" i="5"/>
  <c r="Q149" i="5"/>
  <c r="S149" i="5"/>
  <c r="P149" i="5"/>
  <c r="N149" i="5"/>
  <c r="M149" i="5"/>
  <c r="K149" i="5"/>
  <c r="O149" i="5"/>
  <c r="V157" i="5"/>
  <c r="Y157" i="5"/>
  <c r="W157" i="5"/>
  <c r="U157" i="5"/>
  <c r="T157" i="5"/>
  <c r="P157" i="5"/>
  <c r="S157" i="5"/>
  <c r="K157" i="5"/>
  <c r="M157" i="5"/>
  <c r="Q157" i="5"/>
  <c r="N157" i="5"/>
  <c r="O157" i="5"/>
  <c r="V165" i="5"/>
  <c r="U165" i="5"/>
  <c r="T165" i="5"/>
  <c r="W165" i="5"/>
  <c r="Q165" i="5"/>
  <c r="P165" i="5"/>
  <c r="Y165" i="5"/>
  <c r="S165" i="5"/>
  <c r="K165" i="5"/>
  <c r="O165" i="5"/>
  <c r="N165" i="5"/>
  <c r="M165" i="5"/>
  <c r="V173" i="5"/>
  <c r="U173" i="5"/>
  <c r="Y173" i="5"/>
  <c r="W173" i="5"/>
  <c r="T173" i="5"/>
  <c r="S173" i="5"/>
  <c r="P173" i="5"/>
  <c r="Q173" i="5"/>
  <c r="K173" i="5"/>
  <c r="O173" i="5"/>
  <c r="M173" i="5"/>
  <c r="N173" i="5"/>
  <c r="V181" i="5"/>
  <c r="Y181" i="5"/>
  <c r="W181" i="5"/>
  <c r="U181" i="5"/>
  <c r="T181" i="5"/>
  <c r="S181" i="5"/>
  <c r="Q181" i="5"/>
  <c r="O181" i="5"/>
  <c r="K181" i="5"/>
  <c r="P181" i="5"/>
  <c r="N181" i="5"/>
  <c r="M181" i="5"/>
  <c r="V189" i="5"/>
  <c r="Y189" i="5"/>
  <c r="W189" i="5"/>
  <c r="U189" i="5"/>
  <c r="T189" i="5"/>
  <c r="S189" i="5"/>
  <c r="Q189" i="5"/>
  <c r="O189" i="5"/>
  <c r="N189" i="5"/>
  <c r="K189" i="5"/>
  <c r="M189" i="5"/>
  <c r="P189" i="5"/>
  <c r="V36" i="5"/>
  <c r="Y36" i="5"/>
  <c r="T36" i="5"/>
  <c r="W36" i="5"/>
  <c r="P36" i="5"/>
  <c r="U36" i="5"/>
  <c r="S36" i="5"/>
  <c r="O36" i="5"/>
  <c r="K36" i="5"/>
  <c r="Q36" i="5"/>
  <c r="N36" i="5"/>
  <c r="M36" i="5"/>
  <c r="V172" i="5"/>
  <c r="U172" i="5"/>
  <c r="Y172" i="5"/>
  <c r="W172" i="5"/>
  <c r="T172" i="5"/>
  <c r="P172" i="5"/>
  <c r="O172" i="5"/>
  <c r="Q172" i="5"/>
  <c r="K172" i="5"/>
  <c r="N172" i="5"/>
  <c r="S172" i="5"/>
  <c r="M172" i="5"/>
  <c r="V201" i="5"/>
  <c r="Y201" i="5"/>
  <c r="W201" i="5"/>
  <c r="U201" i="5"/>
  <c r="T201" i="5"/>
  <c r="Q201" i="5"/>
  <c r="N201" i="5"/>
  <c r="P201" i="5"/>
  <c r="O201" i="5"/>
  <c r="S201" i="5"/>
  <c r="K201" i="5"/>
  <c r="M201" i="5"/>
  <c r="W10" i="5"/>
  <c r="U10" i="5"/>
  <c r="S10" i="5"/>
  <c r="Q10" i="5"/>
  <c r="Y10" i="5"/>
  <c r="T10" i="5"/>
  <c r="V10" i="5"/>
  <c r="P10" i="5"/>
  <c r="O10" i="5"/>
  <c r="N10" i="5"/>
  <c r="M10" i="5"/>
  <c r="K10" i="5"/>
  <c r="U15" i="5"/>
  <c r="Y15" i="5"/>
  <c r="W15" i="5"/>
  <c r="S15" i="5"/>
  <c r="Q15" i="5"/>
  <c r="V15" i="5"/>
  <c r="T15" i="5"/>
  <c r="O15" i="5"/>
  <c r="P15" i="5"/>
  <c r="N15" i="5"/>
  <c r="M15" i="5"/>
  <c r="K15" i="5"/>
  <c r="Y22" i="5"/>
  <c r="V22" i="5"/>
  <c r="W22" i="5"/>
  <c r="U22" i="5"/>
  <c r="S22" i="5"/>
  <c r="Q22" i="5"/>
  <c r="T22" i="5"/>
  <c r="P22" i="5"/>
  <c r="N22" i="5"/>
  <c r="M22" i="5"/>
  <c r="K22" i="5"/>
  <c r="O22" i="5"/>
  <c r="Y30" i="5"/>
  <c r="V30" i="5"/>
  <c r="W30" i="5"/>
  <c r="S30" i="5"/>
  <c r="U30" i="5"/>
  <c r="Q30" i="5"/>
  <c r="T30" i="5"/>
  <c r="P30" i="5"/>
  <c r="N30" i="5"/>
  <c r="O30" i="5"/>
  <c r="M30" i="5"/>
  <c r="K30" i="5"/>
  <c r="W38" i="5"/>
  <c r="U38" i="5"/>
  <c r="S38" i="5"/>
  <c r="Q38" i="5"/>
  <c r="T38" i="5"/>
  <c r="Y38" i="5"/>
  <c r="V38" i="5"/>
  <c r="K38" i="5"/>
  <c r="P38" i="5"/>
  <c r="N38" i="5"/>
  <c r="M38" i="5"/>
  <c r="O38" i="5"/>
  <c r="Y46" i="5"/>
  <c r="S46" i="5"/>
  <c r="U46" i="5"/>
  <c r="Q46" i="5"/>
  <c r="T46" i="5"/>
  <c r="V46" i="5"/>
  <c r="M46" i="5"/>
  <c r="W46" i="5"/>
  <c r="O46" i="5"/>
  <c r="N46" i="5"/>
  <c r="K46" i="5"/>
  <c r="P46" i="5"/>
  <c r="Y54" i="5"/>
  <c r="V54" i="5"/>
  <c r="W54" i="5"/>
  <c r="U54" i="5"/>
  <c r="S54" i="5"/>
  <c r="Q54" i="5"/>
  <c r="T54" i="5"/>
  <c r="P54" i="5"/>
  <c r="O54" i="5"/>
  <c r="N54" i="5"/>
  <c r="M54" i="5"/>
  <c r="K54" i="5"/>
  <c r="Y62" i="5"/>
  <c r="V62" i="5"/>
  <c r="W62" i="5"/>
  <c r="U62" i="5"/>
  <c r="S62" i="5"/>
  <c r="Q62" i="5"/>
  <c r="T62" i="5"/>
  <c r="P62" i="5"/>
  <c r="N62" i="5"/>
  <c r="O62" i="5"/>
  <c r="K62" i="5"/>
  <c r="M62" i="5"/>
  <c r="W70" i="5"/>
  <c r="U70" i="5"/>
  <c r="S70" i="5"/>
  <c r="Q70" i="5"/>
  <c r="Y70" i="5"/>
  <c r="T70" i="5"/>
  <c r="V70" i="5"/>
  <c r="P70" i="5"/>
  <c r="O70" i="5"/>
  <c r="N70" i="5"/>
  <c r="K70" i="5"/>
  <c r="M70" i="5"/>
  <c r="U78" i="5"/>
  <c r="Y78" i="5"/>
  <c r="V78" i="5"/>
  <c r="S78" i="5"/>
  <c r="W78" i="5"/>
  <c r="Q78" i="5"/>
  <c r="T78" i="5"/>
  <c r="O78" i="5"/>
  <c r="P78" i="5"/>
  <c r="N78" i="5"/>
  <c r="M78" i="5"/>
  <c r="K78" i="5"/>
  <c r="Y86" i="5"/>
  <c r="V86" i="5"/>
  <c r="W86" i="5"/>
  <c r="U86" i="5"/>
  <c r="S86" i="5"/>
  <c r="Q86" i="5"/>
  <c r="T86" i="5"/>
  <c r="P86" i="5"/>
  <c r="M86" i="5"/>
  <c r="K86" i="5"/>
  <c r="O86" i="5"/>
  <c r="N86" i="5"/>
  <c r="Y94" i="5"/>
  <c r="V94" i="5"/>
  <c r="W94" i="5"/>
  <c r="U94" i="5"/>
  <c r="S94" i="5"/>
  <c r="Q94" i="5"/>
  <c r="T94" i="5"/>
  <c r="P94" i="5"/>
  <c r="N94" i="5"/>
  <c r="O94" i="5"/>
  <c r="M94" i="5"/>
  <c r="K94" i="5"/>
  <c r="W102" i="5"/>
  <c r="U102" i="5"/>
  <c r="V102" i="5"/>
  <c r="S102" i="5"/>
  <c r="Y102" i="5"/>
  <c r="Q102" i="5"/>
  <c r="T102" i="5"/>
  <c r="K102" i="5"/>
  <c r="P102" i="5"/>
  <c r="M102" i="5"/>
  <c r="O102" i="5"/>
  <c r="N102" i="5"/>
  <c r="U110" i="5"/>
  <c r="Y110" i="5"/>
  <c r="S110" i="5"/>
  <c r="W110" i="5"/>
  <c r="V110" i="5"/>
  <c r="Q110" i="5"/>
  <c r="T110" i="5"/>
  <c r="M110" i="5"/>
  <c r="O110" i="5"/>
  <c r="N110" i="5"/>
  <c r="P110" i="5"/>
  <c r="K110" i="5"/>
  <c r="Y118" i="5"/>
  <c r="V118" i="5"/>
  <c r="W118" i="5"/>
  <c r="U118" i="5"/>
  <c r="S118" i="5"/>
  <c r="Q118" i="5"/>
  <c r="T118" i="5"/>
  <c r="P118" i="5"/>
  <c r="O118" i="5"/>
  <c r="N118" i="5"/>
  <c r="M118" i="5"/>
  <c r="K118" i="5"/>
  <c r="Y126" i="5"/>
  <c r="V126" i="5"/>
  <c r="W126" i="5"/>
  <c r="U126" i="5"/>
  <c r="S126" i="5"/>
  <c r="Q126" i="5"/>
  <c r="T126" i="5"/>
  <c r="P126" i="5"/>
  <c r="O126" i="5"/>
  <c r="N126" i="5"/>
  <c r="M126" i="5"/>
  <c r="K126" i="5"/>
  <c r="W134" i="5"/>
  <c r="U134" i="5"/>
  <c r="S134" i="5"/>
  <c r="Q134" i="5"/>
  <c r="Y134" i="5"/>
  <c r="V134" i="5"/>
  <c r="T134" i="5"/>
  <c r="P134" i="5"/>
  <c r="O134" i="5"/>
  <c r="N134" i="5"/>
  <c r="M134" i="5"/>
  <c r="K134" i="5"/>
  <c r="U142" i="5"/>
  <c r="Y142" i="5"/>
  <c r="S142" i="5"/>
  <c r="W142" i="5"/>
  <c r="V142" i="5"/>
  <c r="Q142" i="5"/>
  <c r="T142" i="5"/>
  <c r="O142" i="5"/>
  <c r="P142" i="5"/>
  <c r="N142" i="5"/>
  <c r="M142" i="5"/>
  <c r="K142" i="5"/>
  <c r="Y150" i="5"/>
  <c r="V150" i="5"/>
  <c r="W150" i="5"/>
  <c r="U150" i="5"/>
  <c r="S150" i="5"/>
  <c r="Q150" i="5"/>
  <c r="T150" i="5"/>
  <c r="P150" i="5"/>
  <c r="O150" i="5"/>
  <c r="K150" i="5"/>
  <c r="M150" i="5"/>
  <c r="N150" i="5"/>
  <c r="Y158" i="5"/>
  <c r="V158" i="5"/>
  <c r="W158" i="5"/>
  <c r="U158" i="5"/>
  <c r="S158" i="5"/>
  <c r="Q158" i="5"/>
  <c r="T158" i="5"/>
  <c r="P158" i="5"/>
  <c r="N158" i="5"/>
  <c r="M158" i="5"/>
  <c r="K158" i="5"/>
  <c r="O158" i="5"/>
  <c r="W166" i="5"/>
  <c r="U166" i="5"/>
  <c r="S166" i="5"/>
  <c r="V166" i="5"/>
  <c r="Q166" i="5"/>
  <c r="T166" i="5"/>
  <c r="P166" i="5"/>
  <c r="Y166" i="5"/>
  <c r="K166" i="5"/>
  <c r="N166" i="5"/>
  <c r="M166" i="5"/>
  <c r="O166" i="5"/>
  <c r="U174" i="5"/>
  <c r="Y174" i="5"/>
  <c r="S174" i="5"/>
  <c r="W174" i="5"/>
  <c r="V174" i="5"/>
  <c r="T174" i="5"/>
  <c r="P174" i="5"/>
  <c r="Q174" i="5"/>
  <c r="K174" i="5"/>
  <c r="O174" i="5"/>
  <c r="N174" i="5"/>
  <c r="M174" i="5"/>
  <c r="Y182" i="5"/>
  <c r="V182" i="5"/>
  <c r="W182" i="5"/>
  <c r="U182" i="5"/>
  <c r="S182" i="5"/>
  <c r="T182" i="5"/>
  <c r="Q182" i="5"/>
  <c r="K182" i="5"/>
  <c r="O182" i="5"/>
  <c r="P182" i="5"/>
  <c r="M182" i="5"/>
  <c r="N182" i="5"/>
  <c r="Y190" i="5"/>
  <c r="W190" i="5"/>
  <c r="V190" i="5"/>
  <c r="U190" i="5"/>
  <c r="S190" i="5"/>
  <c r="T190" i="5"/>
  <c r="Q190" i="5"/>
  <c r="P190" i="5"/>
  <c r="K190" i="5"/>
  <c r="O190" i="5"/>
  <c r="N190" i="5"/>
  <c r="M190" i="5"/>
  <c r="Y198" i="5"/>
  <c r="V198" i="5"/>
  <c r="T198" i="5"/>
  <c r="Q198" i="5"/>
  <c r="U198" i="5"/>
  <c r="W198" i="5"/>
  <c r="S198" i="5"/>
  <c r="O198" i="5"/>
  <c r="N198" i="5"/>
  <c r="M198" i="5"/>
  <c r="P198" i="5"/>
  <c r="K198" i="5"/>
  <c r="V76" i="5"/>
  <c r="U76" i="5"/>
  <c r="Y76" i="5"/>
  <c r="W76" i="5"/>
  <c r="T76" i="5"/>
  <c r="P76" i="5"/>
  <c r="Q76" i="5"/>
  <c r="O76" i="5"/>
  <c r="K76" i="5"/>
  <c r="S76" i="5"/>
  <c r="N76" i="5"/>
  <c r="M76" i="5"/>
  <c r="V148" i="5"/>
  <c r="Y148" i="5"/>
  <c r="W148" i="5"/>
  <c r="U148" i="5"/>
  <c r="T148" i="5"/>
  <c r="P148" i="5"/>
  <c r="S148" i="5"/>
  <c r="O148" i="5"/>
  <c r="K148" i="5"/>
  <c r="Q148" i="5"/>
  <c r="N148" i="5"/>
  <c r="M148" i="5"/>
  <c r="Y4" i="5"/>
  <c r="V4" i="5"/>
  <c r="W4" i="5"/>
  <c r="U4" i="5"/>
  <c r="S4" i="5"/>
  <c r="Q4" i="5"/>
  <c r="T4" i="5"/>
  <c r="P4" i="5"/>
  <c r="N4" i="5"/>
  <c r="O4" i="5"/>
  <c r="M4" i="5"/>
  <c r="K4" i="5"/>
  <c r="W11" i="5"/>
  <c r="Y11" i="5"/>
  <c r="V11" i="5"/>
  <c r="U11" i="5"/>
  <c r="T11" i="5"/>
  <c r="Q11" i="5"/>
  <c r="S11" i="5"/>
  <c r="P11" i="5"/>
  <c r="M11" i="5"/>
  <c r="O11" i="5"/>
  <c r="N11" i="5"/>
  <c r="K11" i="5"/>
  <c r="W16" i="5"/>
  <c r="U16" i="5"/>
  <c r="Y16" i="5"/>
  <c r="S16" i="5"/>
  <c r="Q16" i="5"/>
  <c r="P16" i="5"/>
  <c r="M16" i="5"/>
  <c r="T16" i="5"/>
  <c r="O16" i="5"/>
  <c r="N16" i="5"/>
  <c r="V16" i="5"/>
  <c r="K16" i="5"/>
  <c r="W23" i="5"/>
  <c r="U23" i="5"/>
  <c r="Y23" i="5"/>
  <c r="V23" i="5"/>
  <c r="Q23" i="5"/>
  <c r="S23" i="5"/>
  <c r="P23" i="5"/>
  <c r="M23" i="5"/>
  <c r="T23" i="5"/>
  <c r="N23" i="5"/>
  <c r="K23" i="5"/>
  <c r="O23" i="5"/>
  <c r="W31" i="5"/>
  <c r="Y31" i="5"/>
  <c r="V31" i="5"/>
  <c r="S31" i="5"/>
  <c r="U31" i="5"/>
  <c r="Q31" i="5"/>
  <c r="T31" i="5"/>
  <c r="P31" i="5"/>
  <c r="M31" i="5"/>
  <c r="N31" i="5"/>
  <c r="O31" i="5"/>
  <c r="K31" i="5"/>
  <c r="W39" i="5"/>
  <c r="Y39" i="5"/>
  <c r="V39" i="5"/>
  <c r="Q39" i="5"/>
  <c r="U39" i="5"/>
  <c r="S39" i="5"/>
  <c r="P39" i="5"/>
  <c r="M39" i="5"/>
  <c r="O39" i="5"/>
  <c r="N39" i="5"/>
  <c r="K39" i="5"/>
  <c r="T39" i="5"/>
  <c r="W47" i="5"/>
  <c r="Y47" i="5"/>
  <c r="V47" i="5"/>
  <c r="S47" i="5"/>
  <c r="Q47" i="5"/>
  <c r="T47" i="5"/>
  <c r="P47" i="5"/>
  <c r="U47" i="5"/>
  <c r="M47" i="5"/>
  <c r="K47" i="5"/>
  <c r="O47" i="5"/>
  <c r="N47" i="5"/>
  <c r="W55" i="5"/>
  <c r="Y55" i="5"/>
  <c r="V55" i="5"/>
  <c r="U55" i="5"/>
  <c r="Q55" i="5"/>
  <c r="S55" i="5"/>
  <c r="P55" i="5"/>
  <c r="T55" i="5"/>
  <c r="M55" i="5"/>
  <c r="O55" i="5"/>
  <c r="N55" i="5"/>
  <c r="K55" i="5"/>
  <c r="W63" i="5"/>
  <c r="Y63" i="5"/>
  <c r="V63" i="5"/>
  <c r="S63" i="5"/>
  <c r="U63" i="5"/>
  <c r="Q63" i="5"/>
  <c r="T63" i="5"/>
  <c r="P63" i="5"/>
  <c r="M63" i="5"/>
  <c r="O63" i="5"/>
  <c r="N63" i="5"/>
  <c r="K63" i="5"/>
  <c r="W71" i="5"/>
  <c r="Y71" i="5"/>
  <c r="V71" i="5"/>
  <c r="U71" i="5"/>
  <c r="Q71" i="5"/>
  <c r="S71" i="5"/>
  <c r="P71" i="5"/>
  <c r="M71" i="5"/>
  <c r="O71" i="5"/>
  <c r="N71" i="5"/>
  <c r="T71" i="5"/>
  <c r="K71" i="5"/>
  <c r="W79" i="5"/>
  <c r="S79" i="5"/>
  <c r="Q79" i="5"/>
  <c r="T79" i="5"/>
  <c r="V79" i="5"/>
  <c r="P79" i="5"/>
  <c r="Y79" i="5"/>
  <c r="M79" i="5"/>
  <c r="U79" i="5"/>
  <c r="O79" i="5"/>
  <c r="N79" i="5"/>
  <c r="K79" i="5"/>
  <c r="W87" i="5"/>
  <c r="Y87" i="5"/>
  <c r="V87" i="5"/>
  <c r="U87" i="5"/>
  <c r="Q87" i="5"/>
  <c r="S87" i="5"/>
  <c r="P87" i="5"/>
  <c r="T87" i="5"/>
  <c r="M87" i="5"/>
  <c r="N87" i="5"/>
  <c r="O87" i="5"/>
  <c r="K87" i="5"/>
  <c r="W95" i="5"/>
  <c r="Y95" i="5"/>
  <c r="V95" i="5"/>
  <c r="S95" i="5"/>
  <c r="Q95" i="5"/>
  <c r="T95" i="5"/>
  <c r="U95" i="5"/>
  <c r="P95" i="5"/>
  <c r="M95" i="5"/>
  <c r="K95" i="5"/>
  <c r="O95" i="5"/>
  <c r="N95" i="5"/>
  <c r="W103" i="5"/>
  <c r="Y103" i="5"/>
  <c r="V103" i="5"/>
  <c r="Q103" i="5"/>
  <c r="S103" i="5"/>
  <c r="P103" i="5"/>
  <c r="M103" i="5"/>
  <c r="T103" i="5"/>
  <c r="O103" i="5"/>
  <c r="N103" i="5"/>
  <c r="K103" i="5"/>
  <c r="U103" i="5"/>
  <c r="W111" i="5"/>
  <c r="V111" i="5"/>
  <c r="U111" i="5"/>
  <c r="Y111" i="5"/>
  <c r="S111" i="5"/>
  <c r="Q111" i="5"/>
  <c r="T111" i="5"/>
  <c r="P111" i="5"/>
  <c r="M111" i="5"/>
  <c r="K111" i="5"/>
  <c r="O111" i="5"/>
  <c r="N111" i="5"/>
  <c r="W119" i="5"/>
  <c r="Y119" i="5"/>
  <c r="V119" i="5"/>
  <c r="U119" i="5"/>
  <c r="Q119" i="5"/>
  <c r="S119" i="5"/>
  <c r="P119" i="5"/>
  <c r="M119" i="5"/>
  <c r="T119" i="5"/>
  <c r="O119" i="5"/>
  <c r="K119" i="5"/>
  <c r="N119" i="5"/>
  <c r="W127" i="5"/>
  <c r="Y127" i="5"/>
  <c r="V127" i="5"/>
  <c r="S127" i="5"/>
  <c r="Q127" i="5"/>
  <c r="T127" i="5"/>
  <c r="P127" i="5"/>
  <c r="U127" i="5"/>
  <c r="M127" i="5"/>
  <c r="O127" i="5"/>
  <c r="K127" i="5"/>
  <c r="N127" i="5"/>
  <c r="W135" i="5"/>
  <c r="Y135" i="5"/>
  <c r="V135" i="5"/>
  <c r="U135" i="5"/>
  <c r="Q135" i="5"/>
  <c r="S135" i="5"/>
  <c r="P135" i="5"/>
  <c r="T135" i="5"/>
  <c r="M135" i="5"/>
  <c r="O135" i="5"/>
  <c r="N135" i="5"/>
  <c r="K135" i="5"/>
  <c r="W143" i="5"/>
  <c r="Y143" i="5"/>
  <c r="V143" i="5"/>
  <c r="S143" i="5"/>
  <c r="Q143" i="5"/>
  <c r="T143" i="5"/>
  <c r="U143" i="5"/>
  <c r="M143" i="5"/>
  <c r="O143" i="5"/>
  <c r="P143" i="5"/>
  <c r="N143" i="5"/>
  <c r="K143" i="5"/>
  <c r="W151" i="5"/>
  <c r="Y151" i="5"/>
  <c r="V151" i="5"/>
  <c r="U151" i="5"/>
  <c r="Q151" i="5"/>
  <c r="S151" i="5"/>
  <c r="M151" i="5"/>
  <c r="T151" i="5"/>
  <c r="O151" i="5"/>
  <c r="N151" i="5"/>
  <c r="P151" i="5"/>
  <c r="K151" i="5"/>
  <c r="W159" i="5"/>
  <c r="Y159" i="5"/>
  <c r="V159" i="5"/>
  <c r="U159" i="5"/>
  <c r="S159" i="5"/>
  <c r="Q159" i="5"/>
  <c r="T159" i="5"/>
  <c r="M159" i="5"/>
  <c r="P159" i="5"/>
  <c r="O159" i="5"/>
  <c r="N159" i="5"/>
  <c r="K159" i="5"/>
  <c r="W167" i="5"/>
  <c r="Y167" i="5"/>
  <c r="V167" i="5"/>
  <c r="Q167" i="5"/>
  <c r="U167" i="5"/>
  <c r="S167" i="5"/>
  <c r="P167" i="5"/>
  <c r="M167" i="5"/>
  <c r="N167" i="5"/>
  <c r="T167" i="5"/>
  <c r="K167" i="5"/>
  <c r="O167" i="5"/>
  <c r="W175" i="5"/>
  <c r="Y175" i="5"/>
  <c r="U175" i="5"/>
  <c r="S175" i="5"/>
  <c r="Q175" i="5"/>
  <c r="V175" i="5"/>
  <c r="T175" i="5"/>
  <c r="P175" i="5"/>
  <c r="M175" i="5"/>
  <c r="O175" i="5"/>
  <c r="N175" i="5"/>
  <c r="K175" i="5"/>
  <c r="W183" i="5"/>
  <c r="Y183" i="5"/>
  <c r="V183" i="5"/>
  <c r="U183" i="5"/>
  <c r="Q183" i="5"/>
  <c r="P183" i="5"/>
  <c r="S183" i="5"/>
  <c r="T183" i="5"/>
  <c r="M183" i="5"/>
  <c r="O183" i="5"/>
  <c r="N183" i="5"/>
  <c r="K183" i="5"/>
  <c r="W191" i="5"/>
  <c r="Y191" i="5"/>
  <c r="V191" i="5"/>
  <c r="U191" i="5"/>
  <c r="Q191" i="5"/>
  <c r="T191" i="5"/>
  <c r="M191" i="5"/>
  <c r="S191" i="5"/>
  <c r="P191" i="5"/>
  <c r="O191" i="5"/>
  <c r="N191" i="5"/>
  <c r="K191" i="5"/>
  <c r="V20" i="5"/>
  <c r="Y20" i="5"/>
  <c r="W20" i="5"/>
  <c r="T20" i="5"/>
  <c r="P20" i="5"/>
  <c r="S20" i="5"/>
  <c r="O20" i="5"/>
  <c r="K20" i="5"/>
  <c r="U20" i="5"/>
  <c r="Q20" i="5"/>
  <c r="N20" i="5"/>
  <c r="M20" i="5"/>
  <c r="V52" i="5"/>
  <c r="Y52" i="5"/>
  <c r="W52" i="5"/>
  <c r="U52" i="5"/>
  <c r="T52" i="5"/>
  <c r="P52" i="5"/>
  <c r="S52" i="5"/>
  <c r="Q52" i="5"/>
  <c r="O52" i="5"/>
  <c r="K52" i="5"/>
  <c r="N52" i="5"/>
  <c r="M52" i="5"/>
  <c r="V84" i="5"/>
  <c r="Y84" i="5"/>
  <c r="W84" i="5"/>
  <c r="U84" i="5"/>
  <c r="T84" i="5"/>
  <c r="P84" i="5"/>
  <c r="S84" i="5"/>
  <c r="O84" i="5"/>
  <c r="K84" i="5"/>
  <c r="M84" i="5"/>
  <c r="Q84" i="5"/>
  <c r="N84" i="5"/>
  <c r="V100" i="5"/>
  <c r="U100" i="5"/>
  <c r="Y100" i="5"/>
  <c r="W100" i="5"/>
  <c r="T100" i="5"/>
  <c r="P100" i="5"/>
  <c r="S100" i="5"/>
  <c r="O100" i="5"/>
  <c r="K100" i="5"/>
  <c r="Q100" i="5"/>
  <c r="N100" i="5"/>
  <c r="M100" i="5"/>
  <c r="V116" i="5"/>
  <c r="Y116" i="5"/>
  <c r="W116" i="5"/>
  <c r="U116" i="5"/>
  <c r="T116" i="5"/>
  <c r="P116" i="5"/>
  <c r="S116" i="5"/>
  <c r="Q116" i="5"/>
  <c r="O116" i="5"/>
  <c r="K116" i="5"/>
  <c r="N116" i="5"/>
  <c r="M116" i="5"/>
  <c r="V132" i="5"/>
  <c r="U132" i="5"/>
  <c r="Y132" i="5"/>
  <c r="T132" i="5"/>
  <c r="P132" i="5"/>
  <c r="S132" i="5"/>
  <c r="O132" i="5"/>
  <c r="K132" i="5"/>
  <c r="W132" i="5"/>
  <c r="Q132" i="5"/>
  <c r="M132" i="5"/>
  <c r="N132" i="5"/>
  <c r="V164" i="5"/>
  <c r="U164" i="5"/>
  <c r="Y164" i="5"/>
  <c r="W164" i="5"/>
  <c r="T164" i="5"/>
  <c r="P164" i="5"/>
  <c r="S164" i="5"/>
  <c r="O164" i="5"/>
  <c r="Q164" i="5"/>
  <c r="K164" i="5"/>
  <c r="M164" i="5"/>
  <c r="N164" i="5"/>
  <c r="W2" i="5"/>
  <c r="Y2" i="5"/>
  <c r="V2" i="5"/>
  <c r="S2" i="5"/>
  <c r="U2" i="5"/>
  <c r="Q2" i="5"/>
  <c r="T2" i="5"/>
  <c r="P2" i="5"/>
  <c r="O2" i="5"/>
  <c r="M2" i="5"/>
  <c r="N2" i="5"/>
  <c r="K2" i="5"/>
  <c r="W12" i="5"/>
  <c r="Y12" i="5"/>
  <c r="V12" i="5"/>
  <c r="S12" i="5"/>
  <c r="T12" i="5"/>
  <c r="Q12" i="5"/>
  <c r="U12" i="5"/>
  <c r="P12" i="5"/>
  <c r="O12" i="5"/>
  <c r="N12" i="5"/>
  <c r="K12" i="5"/>
  <c r="M12" i="5"/>
  <c r="W3" i="5"/>
  <c r="U3" i="5"/>
  <c r="V3" i="5"/>
  <c r="T3" i="5"/>
  <c r="S3" i="5"/>
  <c r="Y3" i="5"/>
  <c r="Q3" i="5"/>
  <c r="O3" i="5"/>
  <c r="P3" i="5"/>
  <c r="N3" i="5"/>
  <c r="M3" i="5"/>
  <c r="K3" i="5"/>
  <c r="W24" i="5"/>
  <c r="U24" i="5"/>
  <c r="Y24" i="5"/>
  <c r="S24" i="5"/>
  <c r="Q24" i="5"/>
  <c r="V24" i="5"/>
  <c r="P24" i="5"/>
  <c r="T24" i="5"/>
  <c r="N24" i="5"/>
  <c r="M24" i="5"/>
  <c r="O24" i="5"/>
  <c r="K24" i="5"/>
  <c r="W32" i="5"/>
  <c r="U32" i="5"/>
  <c r="Y32" i="5"/>
  <c r="V32" i="5"/>
  <c r="S32" i="5"/>
  <c r="Q32" i="5"/>
  <c r="P32" i="5"/>
  <c r="N32" i="5"/>
  <c r="T32" i="5"/>
  <c r="M32" i="5"/>
  <c r="O32" i="5"/>
  <c r="K32" i="5"/>
  <c r="W40" i="5"/>
  <c r="Y40" i="5"/>
  <c r="V40" i="5"/>
  <c r="U40" i="5"/>
  <c r="S40" i="5"/>
  <c r="Q40" i="5"/>
  <c r="T40" i="5"/>
  <c r="O40" i="5"/>
  <c r="N40" i="5"/>
  <c r="M40" i="5"/>
  <c r="K40" i="5"/>
  <c r="P40" i="5"/>
  <c r="W48" i="5"/>
  <c r="S48" i="5"/>
  <c r="V48" i="5"/>
  <c r="Q48" i="5"/>
  <c r="Y48" i="5"/>
  <c r="T48" i="5"/>
  <c r="N48" i="5"/>
  <c r="U48" i="5"/>
  <c r="K48" i="5"/>
  <c r="O48" i="5"/>
  <c r="M48" i="5"/>
  <c r="P48" i="5"/>
  <c r="W56" i="5"/>
  <c r="Y56" i="5"/>
  <c r="V56" i="5"/>
  <c r="U56" i="5"/>
  <c r="S56" i="5"/>
  <c r="Q56" i="5"/>
  <c r="T56" i="5"/>
  <c r="P56" i="5"/>
  <c r="M56" i="5"/>
  <c r="K56" i="5"/>
  <c r="O56" i="5"/>
  <c r="N56" i="5"/>
  <c r="W64" i="5"/>
  <c r="Y64" i="5"/>
  <c r="V64" i="5"/>
  <c r="S64" i="5"/>
  <c r="U64" i="5"/>
  <c r="Q64" i="5"/>
  <c r="P64" i="5"/>
  <c r="T64" i="5"/>
  <c r="O64" i="5"/>
  <c r="N64" i="5"/>
  <c r="K64" i="5"/>
  <c r="M64" i="5"/>
  <c r="W72" i="5"/>
  <c r="Y72" i="5"/>
  <c r="V72" i="5"/>
  <c r="S72" i="5"/>
  <c r="U72" i="5"/>
  <c r="Q72" i="5"/>
  <c r="P72" i="5"/>
  <c r="O72" i="5"/>
  <c r="T72" i="5"/>
  <c r="M72" i="5"/>
  <c r="K72" i="5"/>
  <c r="N72" i="5"/>
  <c r="W80" i="5"/>
  <c r="U80" i="5"/>
  <c r="V80" i="5"/>
  <c r="S80" i="5"/>
  <c r="Q80" i="5"/>
  <c r="Y80" i="5"/>
  <c r="O80" i="5"/>
  <c r="P80" i="5"/>
  <c r="N80" i="5"/>
  <c r="T80" i="5"/>
  <c r="M80" i="5"/>
  <c r="K80" i="5"/>
  <c r="W88" i="5"/>
  <c r="Y88" i="5"/>
  <c r="S88" i="5"/>
  <c r="V88" i="5"/>
  <c r="U88" i="5"/>
  <c r="Q88" i="5"/>
  <c r="T88" i="5"/>
  <c r="P88" i="5"/>
  <c r="N88" i="5"/>
  <c r="M88" i="5"/>
  <c r="K88" i="5"/>
  <c r="O88" i="5"/>
  <c r="W96" i="5"/>
  <c r="Y96" i="5"/>
  <c r="V96" i="5"/>
  <c r="U96" i="5"/>
  <c r="S96" i="5"/>
  <c r="Q96" i="5"/>
  <c r="P96" i="5"/>
  <c r="T96" i="5"/>
  <c r="N96" i="5"/>
  <c r="M96" i="5"/>
  <c r="O96" i="5"/>
  <c r="K96" i="5"/>
  <c r="W104" i="5"/>
  <c r="Y104" i="5"/>
  <c r="V104" i="5"/>
  <c r="S104" i="5"/>
  <c r="Q104" i="5"/>
  <c r="T104" i="5"/>
  <c r="O104" i="5"/>
  <c r="M104" i="5"/>
  <c r="K104" i="5"/>
  <c r="U104" i="5"/>
  <c r="P104" i="5"/>
  <c r="N104" i="5"/>
  <c r="W112" i="5"/>
  <c r="S112" i="5"/>
  <c r="V112" i="5"/>
  <c r="U112" i="5"/>
  <c r="Y112" i="5"/>
  <c r="Q112" i="5"/>
  <c r="T112" i="5"/>
  <c r="N112" i="5"/>
  <c r="K112" i="5"/>
  <c r="O112" i="5"/>
  <c r="P112" i="5"/>
  <c r="M112" i="5"/>
  <c r="W120" i="5"/>
  <c r="Y120" i="5"/>
  <c r="S120" i="5"/>
  <c r="V120" i="5"/>
  <c r="Q120" i="5"/>
  <c r="U120" i="5"/>
  <c r="P120" i="5"/>
  <c r="M120" i="5"/>
  <c r="T120" i="5"/>
  <c r="K120" i="5"/>
  <c r="N120" i="5"/>
  <c r="O120" i="5"/>
  <c r="W128" i="5"/>
  <c r="Y128" i="5"/>
  <c r="V128" i="5"/>
  <c r="S128" i="5"/>
  <c r="Q128" i="5"/>
  <c r="U128" i="5"/>
  <c r="T128" i="5"/>
  <c r="P128" i="5"/>
  <c r="O128" i="5"/>
  <c r="N128" i="5"/>
  <c r="M128" i="5"/>
  <c r="K128" i="5"/>
  <c r="W136" i="5"/>
  <c r="Y136" i="5"/>
  <c r="V136" i="5"/>
  <c r="S136" i="5"/>
  <c r="U136" i="5"/>
  <c r="Q136" i="5"/>
  <c r="T136" i="5"/>
  <c r="P136" i="5"/>
  <c r="O136" i="5"/>
  <c r="N136" i="5"/>
  <c r="M136" i="5"/>
  <c r="K136" i="5"/>
  <c r="W144" i="5"/>
  <c r="U144" i="5"/>
  <c r="S144" i="5"/>
  <c r="Y144" i="5"/>
  <c r="V144" i="5"/>
  <c r="T144" i="5"/>
  <c r="Q144" i="5"/>
  <c r="O144" i="5"/>
  <c r="P144" i="5"/>
  <c r="N144" i="5"/>
  <c r="K144" i="5"/>
  <c r="M144" i="5"/>
  <c r="W152" i="5"/>
  <c r="Y152" i="5"/>
  <c r="S152" i="5"/>
  <c r="V152" i="5"/>
  <c r="U152" i="5"/>
  <c r="Q152" i="5"/>
  <c r="O152" i="5"/>
  <c r="T152" i="5"/>
  <c r="N152" i="5"/>
  <c r="M152" i="5"/>
  <c r="K152" i="5"/>
  <c r="P152" i="5"/>
  <c r="W160" i="5"/>
  <c r="Y160" i="5"/>
  <c r="V160" i="5"/>
  <c r="U160" i="5"/>
  <c r="S160" i="5"/>
  <c r="O160" i="5"/>
  <c r="P160" i="5"/>
  <c r="N160" i="5"/>
  <c r="M160" i="5"/>
  <c r="T160" i="5"/>
  <c r="Q160" i="5"/>
  <c r="K160" i="5"/>
  <c r="W168" i="5"/>
  <c r="Y168" i="5"/>
  <c r="V168" i="5"/>
  <c r="S168" i="5"/>
  <c r="T168" i="5"/>
  <c r="Q168" i="5"/>
  <c r="P168" i="5"/>
  <c r="O168" i="5"/>
  <c r="M168" i="5"/>
  <c r="U168" i="5"/>
  <c r="K168" i="5"/>
  <c r="N168" i="5"/>
  <c r="W176" i="5"/>
  <c r="S176" i="5"/>
  <c r="U176" i="5"/>
  <c r="Y176" i="5"/>
  <c r="V176" i="5"/>
  <c r="T176" i="5"/>
  <c r="P176" i="5"/>
  <c r="N176" i="5"/>
  <c r="Q176" i="5"/>
  <c r="M176" i="5"/>
  <c r="K176" i="5"/>
  <c r="O176" i="5"/>
  <c r="W184" i="5"/>
  <c r="Y184" i="5"/>
  <c r="S184" i="5"/>
  <c r="U184" i="5"/>
  <c r="V184" i="5"/>
  <c r="P184" i="5"/>
  <c r="T184" i="5"/>
  <c r="Q184" i="5"/>
  <c r="O184" i="5"/>
  <c r="N184" i="5"/>
  <c r="M184" i="5"/>
  <c r="K184" i="5"/>
  <c r="W192" i="5"/>
  <c r="Y192" i="5"/>
  <c r="V192" i="5"/>
  <c r="U192" i="5"/>
  <c r="S192" i="5"/>
  <c r="P192" i="5"/>
  <c r="Q192" i="5"/>
  <c r="T192" i="5"/>
  <c r="O192" i="5"/>
  <c r="M192" i="5"/>
  <c r="N192" i="5"/>
  <c r="K192" i="5"/>
  <c r="V203" i="5"/>
  <c r="Y203" i="5"/>
  <c r="W203" i="5"/>
  <c r="U203" i="5"/>
  <c r="T203" i="5"/>
  <c r="P203" i="5"/>
  <c r="S203" i="5"/>
  <c r="Q203" i="5"/>
  <c r="O203" i="5"/>
  <c r="K203" i="5"/>
  <c r="N203" i="5"/>
  <c r="M203" i="5"/>
  <c r="V156" i="5"/>
  <c r="W156" i="5"/>
  <c r="U156" i="5"/>
  <c r="T156" i="5"/>
  <c r="P156" i="5"/>
  <c r="Y156" i="5"/>
  <c r="O156" i="5"/>
  <c r="S156" i="5"/>
  <c r="Q156" i="5"/>
  <c r="M156" i="5"/>
  <c r="K156" i="5"/>
  <c r="N156" i="5"/>
  <c r="T5" i="5"/>
  <c r="W5" i="5"/>
  <c r="Y5" i="5"/>
  <c r="V5" i="5"/>
  <c r="S5" i="5"/>
  <c r="U5" i="5"/>
  <c r="Q5" i="5"/>
  <c r="P5" i="5"/>
  <c r="M5" i="5"/>
  <c r="O5" i="5"/>
  <c r="K5" i="5"/>
  <c r="N5" i="5"/>
  <c r="W13" i="5"/>
  <c r="Y13" i="5"/>
  <c r="V13" i="5"/>
  <c r="T13" i="5"/>
  <c r="U13" i="5"/>
  <c r="S13" i="5"/>
  <c r="P13" i="5"/>
  <c r="Q13" i="5"/>
  <c r="N13" i="5"/>
  <c r="O13" i="5"/>
  <c r="K13" i="5"/>
  <c r="M13" i="5"/>
  <c r="Y17" i="5"/>
  <c r="V17" i="5"/>
  <c r="T17" i="5"/>
  <c r="S17" i="5"/>
  <c r="U17" i="5"/>
  <c r="W17" i="5"/>
  <c r="Q17" i="5"/>
  <c r="O17" i="5"/>
  <c r="N17" i="5"/>
  <c r="P17" i="5"/>
  <c r="M17" i="5"/>
  <c r="K17" i="5"/>
  <c r="U25" i="5"/>
  <c r="W25" i="5"/>
  <c r="T25" i="5"/>
  <c r="V25" i="5"/>
  <c r="S25" i="5"/>
  <c r="Y25" i="5"/>
  <c r="O25" i="5"/>
  <c r="N25" i="5"/>
  <c r="Q25" i="5"/>
  <c r="P25" i="5"/>
  <c r="M25" i="5"/>
  <c r="K25" i="5"/>
  <c r="W33" i="5"/>
  <c r="U33" i="5"/>
  <c r="Y33" i="5"/>
  <c r="V33" i="5"/>
  <c r="T33" i="5"/>
  <c r="S33" i="5"/>
  <c r="Q33" i="5"/>
  <c r="P33" i="5"/>
  <c r="N33" i="5"/>
  <c r="M33" i="5"/>
  <c r="O33" i="5"/>
  <c r="K33" i="5"/>
  <c r="W41" i="5"/>
  <c r="Y41" i="5"/>
  <c r="V41" i="5"/>
  <c r="U41" i="5"/>
  <c r="T41" i="5"/>
  <c r="S41" i="5"/>
  <c r="P41" i="5"/>
  <c r="O41" i="5"/>
  <c r="N41" i="5"/>
  <c r="M41" i="5"/>
  <c r="Q41" i="5"/>
  <c r="K41" i="5"/>
  <c r="Y49" i="5"/>
  <c r="V49" i="5"/>
  <c r="T49" i="5"/>
  <c r="S49" i="5"/>
  <c r="W49" i="5"/>
  <c r="U49" i="5"/>
  <c r="Q49" i="5"/>
  <c r="P49" i="5"/>
  <c r="N49" i="5"/>
  <c r="M49" i="5"/>
  <c r="K49" i="5"/>
  <c r="O49" i="5"/>
  <c r="W57" i="5"/>
  <c r="T57" i="5"/>
  <c r="Y57" i="5"/>
  <c r="V57" i="5"/>
  <c r="U57" i="5"/>
  <c r="S57" i="5"/>
  <c r="Q57" i="5"/>
  <c r="N57" i="5"/>
  <c r="P57" i="5"/>
  <c r="K57" i="5"/>
  <c r="O57" i="5"/>
  <c r="M57" i="5"/>
  <c r="W65" i="5"/>
  <c r="Y65" i="5"/>
  <c r="V65" i="5"/>
  <c r="T65" i="5"/>
  <c r="S65" i="5"/>
  <c r="U65" i="5"/>
  <c r="P65" i="5"/>
  <c r="M65" i="5"/>
  <c r="O65" i="5"/>
  <c r="K65" i="5"/>
  <c r="Q65" i="5"/>
  <c r="N65" i="5"/>
  <c r="W73" i="5"/>
  <c r="Y73" i="5"/>
  <c r="V73" i="5"/>
  <c r="T73" i="5"/>
  <c r="S73" i="5"/>
  <c r="U73" i="5"/>
  <c r="P73" i="5"/>
  <c r="Q73" i="5"/>
  <c r="N73" i="5"/>
  <c r="M73" i="5"/>
  <c r="O73" i="5"/>
  <c r="K73" i="5"/>
  <c r="Y81" i="5"/>
  <c r="V81" i="5"/>
  <c r="T81" i="5"/>
  <c r="S81" i="5"/>
  <c r="U81" i="5"/>
  <c r="W81" i="5"/>
  <c r="O81" i="5"/>
  <c r="P81" i="5"/>
  <c r="Q81" i="5"/>
  <c r="N81" i="5"/>
  <c r="K81" i="5"/>
  <c r="M81" i="5"/>
  <c r="W89" i="5"/>
  <c r="Y89" i="5"/>
  <c r="T89" i="5"/>
  <c r="S89" i="5"/>
  <c r="V89" i="5"/>
  <c r="U89" i="5"/>
  <c r="O89" i="5"/>
  <c r="Q89" i="5"/>
  <c r="N89" i="5"/>
  <c r="P89" i="5"/>
  <c r="M89" i="5"/>
  <c r="K89" i="5"/>
  <c r="W97" i="5"/>
  <c r="Y97" i="5"/>
  <c r="V97" i="5"/>
  <c r="T97" i="5"/>
  <c r="U97" i="5"/>
  <c r="S97" i="5"/>
  <c r="Q97" i="5"/>
  <c r="P97" i="5"/>
  <c r="N97" i="5"/>
  <c r="M97" i="5"/>
  <c r="O97" i="5"/>
  <c r="K97" i="5"/>
  <c r="W105" i="5"/>
  <c r="Y105" i="5"/>
  <c r="V105" i="5"/>
  <c r="U105" i="5"/>
  <c r="T105" i="5"/>
  <c r="S105" i="5"/>
  <c r="P105" i="5"/>
  <c r="O105" i="5"/>
  <c r="N105" i="5"/>
  <c r="Q105" i="5"/>
  <c r="M105" i="5"/>
  <c r="K105" i="5"/>
  <c r="Y113" i="5"/>
  <c r="V113" i="5"/>
  <c r="T113" i="5"/>
  <c r="W113" i="5"/>
  <c r="S113" i="5"/>
  <c r="U113" i="5"/>
  <c r="Q113" i="5"/>
  <c r="P113" i="5"/>
  <c r="O113" i="5"/>
  <c r="M113" i="5"/>
  <c r="K113" i="5"/>
  <c r="N113" i="5"/>
  <c r="W121" i="5"/>
  <c r="T121" i="5"/>
  <c r="U121" i="5"/>
  <c r="S121" i="5"/>
  <c r="V121" i="5"/>
  <c r="Y121" i="5"/>
  <c r="Q121" i="5"/>
  <c r="N121" i="5"/>
  <c r="P121" i="5"/>
  <c r="K121" i="5"/>
  <c r="M121" i="5"/>
  <c r="O121" i="5"/>
  <c r="W129" i="5"/>
  <c r="Y129" i="5"/>
  <c r="V129" i="5"/>
  <c r="T129" i="5"/>
  <c r="S129" i="5"/>
  <c r="U129" i="5"/>
  <c r="P129" i="5"/>
  <c r="Q129" i="5"/>
  <c r="M129" i="5"/>
  <c r="K129" i="5"/>
  <c r="N129" i="5"/>
  <c r="O129" i="5"/>
  <c r="W137" i="5"/>
  <c r="Y137" i="5"/>
  <c r="V137" i="5"/>
  <c r="T137" i="5"/>
  <c r="S137" i="5"/>
  <c r="U137" i="5"/>
  <c r="P137" i="5"/>
  <c r="Q137" i="5"/>
  <c r="O137" i="5"/>
  <c r="N137" i="5"/>
  <c r="M137" i="5"/>
  <c r="K137" i="5"/>
  <c r="Y145" i="5"/>
  <c r="V145" i="5"/>
  <c r="T145" i="5"/>
  <c r="W145" i="5"/>
  <c r="S145" i="5"/>
  <c r="U145" i="5"/>
  <c r="O145" i="5"/>
  <c r="Q145" i="5"/>
  <c r="P145" i="5"/>
  <c r="M145" i="5"/>
  <c r="K145" i="5"/>
  <c r="N145" i="5"/>
  <c r="T153" i="5"/>
  <c r="S153" i="5"/>
  <c r="Y153" i="5"/>
  <c r="W153" i="5"/>
  <c r="Q153" i="5"/>
  <c r="U153" i="5"/>
  <c r="P153" i="5"/>
  <c r="O153" i="5"/>
  <c r="N153" i="5"/>
  <c r="V153" i="5"/>
  <c r="M153" i="5"/>
  <c r="K153" i="5"/>
  <c r="W161" i="5"/>
  <c r="Y161" i="5"/>
  <c r="V161" i="5"/>
  <c r="T161" i="5"/>
  <c r="U161" i="5"/>
  <c r="S161" i="5"/>
  <c r="Q161" i="5"/>
  <c r="O161" i="5"/>
  <c r="P161" i="5"/>
  <c r="N161" i="5"/>
  <c r="M161" i="5"/>
  <c r="K161" i="5"/>
  <c r="W169" i="5"/>
  <c r="Y169" i="5"/>
  <c r="V169" i="5"/>
  <c r="U169" i="5"/>
  <c r="T169" i="5"/>
  <c r="S169" i="5"/>
  <c r="Q169" i="5"/>
  <c r="O169" i="5"/>
  <c r="N169" i="5"/>
  <c r="M169" i="5"/>
  <c r="P169" i="5"/>
  <c r="K169" i="5"/>
  <c r="Y177" i="5"/>
  <c r="V177" i="5"/>
  <c r="T177" i="5"/>
  <c r="S177" i="5"/>
  <c r="W177" i="5"/>
  <c r="U177" i="5"/>
  <c r="P177" i="5"/>
  <c r="O177" i="5"/>
  <c r="M177" i="5"/>
  <c r="Q177" i="5"/>
  <c r="N177" i="5"/>
  <c r="K177" i="5"/>
  <c r="T185" i="5"/>
  <c r="Y185" i="5"/>
  <c r="V185" i="5"/>
  <c r="U185" i="5"/>
  <c r="S185" i="5"/>
  <c r="W185" i="5"/>
  <c r="P185" i="5"/>
  <c r="N185" i="5"/>
  <c r="Q185" i="5"/>
  <c r="O185" i="5"/>
  <c r="K185" i="5"/>
  <c r="M185" i="5"/>
  <c r="W193" i="5"/>
  <c r="Y193" i="5"/>
  <c r="T193" i="5"/>
  <c r="S193" i="5"/>
  <c r="V193" i="5"/>
  <c r="U193" i="5"/>
  <c r="P193" i="5"/>
  <c r="Q193" i="5"/>
  <c r="K193" i="5"/>
  <c r="O193" i="5"/>
  <c r="N193" i="5"/>
  <c r="M193" i="5"/>
  <c r="V44" i="5"/>
  <c r="Y44" i="5"/>
  <c r="W44" i="5"/>
  <c r="U44" i="5"/>
  <c r="T44" i="5"/>
  <c r="P44" i="5"/>
  <c r="O44" i="5"/>
  <c r="K44" i="5"/>
  <c r="Q44" i="5"/>
  <c r="S44" i="5"/>
  <c r="N44" i="5"/>
  <c r="M44" i="5"/>
  <c r="V180" i="5"/>
  <c r="Y180" i="5"/>
  <c r="W180" i="5"/>
  <c r="U180" i="5"/>
  <c r="T180" i="5"/>
  <c r="P180" i="5"/>
  <c r="S180" i="5"/>
  <c r="Q180" i="5"/>
  <c r="O180" i="5"/>
  <c r="K180" i="5"/>
  <c r="N180" i="5"/>
  <c r="M180" i="5"/>
  <c r="Y6" i="5"/>
  <c r="U6" i="5"/>
  <c r="T6" i="5"/>
  <c r="W6" i="5"/>
  <c r="V6" i="5"/>
  <c r="S6" i="5"/>
  <c r="O6" i="5"/>
  <c r="N6" i="5"/>
  <c r="P6" i="5"/>
  <c r="Q6" i="5"/>
  <c r="K6" i="5"/>
  <c r="M6" i="5"/>
  <c r="Y200" i="5"/>
  <c r="U200" i="5"/>
  <c r="W200" i="5"/>
  <c r="V200" i="5"/>
  <c r="T200" i="5"/>
  <c r="S200" i="5"/>
  <c r="Q200" i="5"/>
  <c r="O200" i="5"/>
  <c r="P200" i="5"/>
  <c r="N200" i="5"/>
  <c r="M200" i="5"/>
  <c r="K200" i="5"/>
  <c r="Y18" i="5"/>
  <c r="U18" i="5"/>
  <c r="W18" i="5"/>
  <c r="V18" i="5"/>
  <c r="S18" i="5"/>
  <c r="T18" i="5"/>
  <c r="Q18" i="5"/>
  <c r="O18" i="5"/>
  <c r="N18" i="5"/>
  <c r="P18" i="5"/>
  <c r="M18" i="5"/>
  <c r="K18" i="5"/>
  <c r="Y26" i="5"/>
  <c r="U26" i="5"/>
  <c r="W26" i="5"/>
  <c r="V26" i="5"/>
  <c r="S26" i="5"/>
  <c r="T26" i="5"/>
  <c r="Q26" i="5"/>
  <c r="O26" i="5"/>
  <c r="N26" i="5"/>
  <c r="P26" i="5"/>
  <c r="M26" i="5"/>
  <c r="K26" i="5"/>
  <c r="Y34" i="5"/>
  <c r="U34" i="5"/>
  <c r="W34" i="5"/>
  <c r="V34" i="5"/>
  <c r="S34" i="5"/>
  <c r="T34" i="5"/>
  <c r="Q34" i="5"/>
  <c r="O34" i="5"/>
  <c r="N34" i="5"/>
  <c r="P34" i="5"/>
  <c r="M34" i="5"/>
  <c r="K34" i="5"/>
  <c r="Y42" i="5"/>
  <c r="U42" i="5"/>
  <c r="W42" i="5"/>
  <c r="V42" i="5"/>
  <c r="S42" i="5"/>
  <c r="T42" i="5"/>
  <c r="Q42" i="5"/>
  <c r="O42" i="5"/>
  <c r="P42" i="5"/>
  <c r="N42" i="5"/>
  <c r="M42" i="5"/>
  <c r="K42" i="5"/>
  <c r="Y50" i="5"/>
  <c r="U50" i="5"/>
  <c r="W50" i="5"/>
  <c r="V50" i="5"/>
  <c r="S50" i="5"/>
  <c r="T50" i="5"/>
  <c r="Q50" i="5"/>
  <c r="O50" i="5"/>
  <c r="N50" i="5"/>
  <c r="P50" i="5"/>
  <c r="M50" i="5"/>
  <c r="K50" i="5"/>
  <c r="Y58" i="5"/>
  <c r="U58" i="5"/>
  <c r="W58" i="5"/>
  <c r="V58" i="5"/>
  <c r="S58" i="5"/>
  <c r="T58" i="5"/>
  <c r="Q58" i="5"/>
  <c r="O58" i="5"/>
  <c r="N58" i="5"/>
  <c r="M58" i="5"/>
  <c r="P58" i="5"/>
  <c r="K58" i="5"/>
  <c r="Y66" i="5"/>
  <c r="W66" i="5"/>
  <c r="U66" i="5"/>
  <c r="S66" i="5"/>
  <c r="V66" i="5"/>
  <c r="T66" i="5"/>
  <c r="Q66" i="5"/>
  <c r="O66" i="5"/>
  <c r="N66" i="5"/>
  <c r="P66" i="5"/>
  <c r="K66" i="5"/>
  <c r="M66" i="5"/>
  <c r="Y74" i="5"/>
  <c r="W74" i="5"/>
  <c r="V74" i="5"/>
  <c r="S74" i="5"/>
  <c r="T74" i="5"/>
  <c r="Q74" i="5"/>
  <c r="U74" i="5"/>
  <c r="O74" i="5"/>
  <c r="P74" i="5"/>
  <c r="N74" i="5"/>
  <c r="M74" i="5"/>
  <c r="K74" i="5"/>
  <c r="Y82" i="5"/>
  <c r="W82" i="5"/>
  <c r="V82" i="5"/>
  <c r="U82" i="5"/>
  <c r="S82" i="5"/>
  <c r="T82" i="5"/>
  <c r="Q82" i="5"/>
  <c r="O82" i="5"/>
  <c r="N82" i="5"/>
  <c r="P82" i="5"/>
  <c r="M82" i="5"/>
  <c r="K82" i="5"/>
  <c r="Y90" i="5"/>
  <c r="S90" i="5"/>
  <c r="T90" i="5"/>
  <c r="W90" i="5"/>
  <c r="Q90" i="5"/>
  <c r="V90" i="5"/>
  <c r="O90" i="5"/>
  <c r="N90" i="5"/>
  <c r="U90" i="5"/>
  <c r="M90" i="5"/>
  <c r="K90" i="5"/>
  <c r="P90" i="5"/>
  <c r="Y98" i="5"/>
  <c r="W98" i="5"/>
  <c r="U98" i="5"/>
  <c r="S98" i="5"/>
  <c r="T98" i="5"/>
  <c r="Q98" i="5"/>
  <c r="O98" i="5"/>
  <c r="N98" i="5"/>
  <c r="V98" i="5"/>
  <c r="P98" i="5"/>
  <c r="M98" i="5"/>
  <c r="K98" i="5"/>
  <c r="Y106" i="5"/>
  <c r="W106" i="5"/>
  <c r="V106" i="5"/>
  <c r="S106" i="5"/>
  <c r="U106" i="5"/>
  <c r="T106" i="5"/>
  <c r="Q106" i="5"/>
  <c r="O106" i="5"/>
  <c r="P106" i="5"/>
  <c r="N106" i="5"/>
  <c r="M106" i="5"/>
  <c r="K106" i="5"/>
  <c r="Y114" i="5"/>
  <c r="W114" i="5"/>
  <c r="V114" i="5"/>
  <c r="S114" i="5"/>
  <c r="U114" i="5"/>
  <c r="T114" i="5"/>
  <c r="Q114" i="5"/>
  <c r="N114" i="5"/>
  <c r="P114" i="5"/>
  <c r="O114" i="5"/>
  <c r="M114" i="5"/>
  <c r="K114" i="5"/>
  <c r="Y122" i="5"/>
  <c r="U122" i="5"/>
  <c r="W122" i="5"/>
  <c r="S122" i="5"/>
  <c r="T122" i="5"/>
  <c r="V122" i="5"/>
  <c r="Q122" i="5"/>
  <c r="N122" i="5"/>
  <c r="O122" i="5"/>
  <c r="M122" i="5"/>
  <c r="K122" i="5"/>
  <c r="P122" i="5"/>
  <c r="Y130" i="5"/>
  <c r="W130" i="5"/>
  <c r="U130" i="5"/>
  <c r="S130" i="5"/>
  <c r="T130" i="5"/>
  <c r="Q130" i="5"/>
  <c r="N130" i="5"/>
  <c r="P130" i="5"/>
  <c r="K130" i="5"/>
  <c r="V130" i="5"/>
  <c r="O130" i="5"/>
  <c r="M130" i="5"/>
  <c r="Y138" i="5"/>
  <c r="W138" i="5"/>
  <c r="V138" i="5"/>
  <c r="S138" i="5"/>
  <c r="T138" i="5"/>
  <c r="U138" i="5"/>
  <c r="Q138" i="5"/>
  <c r="P138" i="5"/>
  <c r="N138" i="5"/>
  <c r="M138" i="5"/>
  <c r="K138" i="5"/>
  <c r="O138" i="5"/>
  <c r="Y146" i="5"/>
  <c r="W146" i="5"/>
  <c r="V146" i="5"/>
  <c r="U146" i="5"/>
  <c r="S146" i="5"/>
  <c r="T146" i="5"/>
  <c r="Q146" i="5"/>
  <c r="P146" i="5"/>
  <c r="N146" i="5"/>
  <c r="O146" i="5"/>
  <c r="M146" i="5"/>
  <c r="K146" i="5"/>
  <c r="Y154" i="5"/>
  <c r="S154" i="5"/>
  <c r="T154" i="5"/>
  <c r="W154" i="5"/>
  <c r="Q154" i="5"/>
  <c r="N154" i="5"/>
  <c r="U154" i="5"/>
  <c r="V154" i="5"/>
  <c r="P154" i="5"/>
  <c r="O154" i="5"/>
  <c r="K154" i="5"/>
  <c r="M154" i="5"/>
  <c r="Y162" i="5"/>
  <c r="W162" i="5"/>
  <c r="U162" i="5"/>
  <c r="S162" i="5"/>
  <c r="V162" i="5"/>
  <c r="T162" i="5"/>
  <c r="Q162" i="5"/>
  <c r="N162" i="5"/>
  <c r="O162" i="5"/>
  <c r="P162" i="5"/>
  <c r="K162" i="5"/>
  <c r="M162" i="5"/>
  <c r="Y170" i="5"/>
  <c r="W170" i="5"/>
  <c r="V170" i="5"/>
  <c r="T170" i="5"/>
  <c r="U170" i="5"/>
  <c r="Q170" i="5"/>
  <c r="S170" i="5"/>
  <c r="N170" i="5"/>
  <c r="O170" i="5"/>
  <c r="M170" i="5"/>
  <c r="P170" i="5"/>
  <c r="K170" i="5"/>
  <c r="Y178" i="5"/>
  <c r="W178" i="5"/>
  <c r="V178" i="5"/>
  <c r="S178" i="5"/>
  <c r="T178" i="5"/>
  <c r="Q178" i="5"/>
  <c r="N178" i="5"/>
  <c r="U178" i="5"/>
  <c r="O178" i="5"/>
  <c r="P178" i="5"/>
  <c r="M178" i="5"/>
  <c r="K178" i="5"/>
  <c r="Y186" i="5"/>
  <c r="V186" i="5"/>
  <c r="U186" i="5"/>
  <c r="T186" i="5"/>
  <c r="Q186" i="5"/>
  <c r="S186" i="5"/>
  <c r="N186" i="5"/>
  <c r="P186" i="5"/>
  <c r="O186" i="5"/>
  <c r="M186" i="5"/>
  <c r="W186" i="5"/>
  <c r="K186" i="5"/>
  <c r="V8" i="5"/>
  <c r="Y8" i="5"/>
  <c r="P8" i="5"/>
  <c r="W8" i="5"/>
  <c r="U8" i="5"/>
  <c r="S8" i="5"/>
  <c r="Q8" i="5"/>
  <c r="T8" i="5"/>
  <c r="O8" i="5"/>
  <c r="K8" i="5"/>
  <c r="N8" i="5"/>
  <c r="M8" i="5"/>
  <c r="V68" i="5"/>
  <c r="U68" i="5"/>
  <c r="Y68" i="5"/>
  <c r="W68" i="5"/>
  <c r="T68" i="5"/>
  <c r="P68" i="5"/>
  <c r="S68" i="5"/>
  <c r="O68" i="5"/>
  <c r="K68" i="5"/>
  <c r="M68" i="5"/>
  <c r="Q68" i="5"/>
  <c r="N68" i="5"/>
  <c r="V140" i="5"/>
  <c r="U140" i="5"/>
  <c r="Y140" i="5"/>
  <c r="W140" i="5"/>
  <c r="T140" i="5"/>
  <c r="P140" i="5"/>
  <c r="S140" i="5"/>
  <c r="O140" i="5"/>
  <c r="K140" i="5"/>
  <c r="Q140" i="5"/>
  <c r="N140" i="5"/>
  <c r="M140" i="5"/>
  <c r="Y197" i="5"/>
  <c r="U197" i="5"/>
  <c r="T197" i="5"/>
  <c r="V197" i="5"/>
  <c r="W197" i="5"/>
  <c r="S197" i="5"/>
  <c r="Q197" i="5"/>
  <c r="O197" i="5"/>
  <c r="M197" i="5"/>
  <c r="P197" i="5"/>
  <c r="K197" i="5"/>
  <c r="N197" i="5"/>
  <c r="Y7" i="5"/>
  <c r="T7" i="5"/>
  <c r="W7" i="5"/>
  <c r="Q7" i="5"/>
  <c r="V7" i="5"/>
  <c r="U7" i="5"/>
  <c r="S7" i="5"/>
  <c r="O7" i="5"/>
  <c r="N7" i="5"/>
  <c r="M7" i="5"/>
  <c r="K7" i="5"/>
  <c r="P7" i="5"/>
  <c r="Y14" i="5"/>
  <c r="W14" i="5"/>
  <c r="V14" i="5"/>
  <c r="T14" i="5"/>
  <c r="U14" i="5"/>
  <c r="S14" i="5"/>
  <c r="Q14" i="5"/>
  <c r="O14" i="5"/>
  <c r="P14" i="5"/>
  <c r="K14" i="5"/>
  <c r="M14" i="5"/>
  <c r="N14" i="5"/>
  <c r="Y19" i="5"/>
  <c r="W19" i="5"/>
  <c r="V19" i="5"/>
  <c r="T19" i="5"/>
  <c r="S19" i="5"/>
  <c r="U19" i="5"/>
  <c r="Q19" i="5"/>
  <c r="P19" i="5"/>
  <c r="O19" i="5"/>
  <c r="M19" i="5"/>
  <c r="K19" i="5"/>
  <c r="N19" i="5"/>
  <c r="Y27" i="5"/>
  <c r="V27" i="5"/>
  <c r="T27" i="5"/>
  <c r="W27" i="5"/>
  <c r="U27" i="5"/>
  <c r="S27" i="5"/>
  <c r="Q27" i="5"/>
  <c r="O27" i="5"/>
  <c r="P27" i="5"/>
  <c r="N27" i="5"/>
  <c r="M27" i="5"/>
  <c r="K27" i="5"/>
  <c r="Y35" i="5"/>
  <c r="U35" i="5"/>
  <c r="W35" i="5"/>
  <c r="T35" i="5"/>
  <c r="S35" i="5"/>
  <c r="V35" i="5"/>
  <c r="Q35" i="5"/>
  <c r="O35" i="5"/>
  <c r="P35" i="5"/>
  <c r="N35" i="5"/>
  <c r="M35" i="5"/>
  <c r="K35" i="5"/>
  <c r="Y43" i="5"/>
  <c r="W43" i="5"/>
  <c r="U43" i="5"/>
  <c r="V43" i="5"/>
  <c r="T43" i="5"/>
  <c r="S43" i="5"/>
  <c r="Q43" i="5"/>
  <c r="O43" i="5"/>
  <c r="P43" i="5"/>
  <c r="N43" i="5"/>
  <c r="M43" i="5"/>
  <c r="K43" i="5"/>
  <c r="Y51" i="5"/>
  <c r="W51" i="5"/>
  <c r="V51" i="5"/>
  <c r="U51" i="5"/>
  <c r="T51" i="5"/>
  <c r="S51" i="5"/>
  <c r="Q51" i="5"/>
  <c r="P51" i="5"/>
  <c r="O51" i="5"/>
  <c r="N51" i="5"/>
  <c r="M51" i="5"/>
  <c r="K51" i="5"/>
  <c r="Y59" i="5"/>
  <c r="V59" i="5"/>
  <c r="T59" i="5"/>
  <c r="U59" i="5"/>
  <c r="W59" i="5"/>
  <c r="S59" i="5"/>
  <c r="Q59" i="5"/>
  <c r="O59" i="5"/>
  <c r="N59" i="5"/>
  <c r="M59" i="5"/>
  <c r="P59" i="5"/>
  <c r="K59" i="5"/>
  <c r="Y67" i="5"/>
  <c r="W67" i="5"/>
  <c r="T67" i="5"/>
  <c r="S67" i="5"/>
  <c r="V67" i="5"/>
  <c r="U67" i="5"/>
  <c r="Q67" i="5"/>
  <c r="O67" i="5"/>
  <c r="N67" i="5"/>
  <c r="M67" i="5"/>
  <c r="K67" i="5"/>
  <c r="P67" i="5"/>
  <c r="Y75" i="5"/>
  <c r="W75" i="5"/>
  <c r="V75" i="5"/>
  <c r="T75" i="5"/>
  <c r="S75" i="5"/>
  <c r="Q75" i="5"/>
  <c r="O75" i="5"/>
  <c r="U75" i="5"/>
  <c r="P75" i="5"/>
  <c r="K75" i="5"/>
  <c r="N75" i="5"/>
  <c r="M75" i="5"/>
  <c r="Y83" i="5"/>
  <c r="W83" i="5"/>
  <c r="V83" i="5"/>
  <c r="T83" i="5"/>
  <c r="U83" i="5"/>
  <c r="S83" i="5"/>
  <c r="Q83" i="5"/>
  <c r="P83" i="5"/>
  <c r="O83" i="5"/>
  <c r="M83" i="5"/>
  <c r="K83" i="5"/>
  <c r="N83" i="5"/>
  <c r="Y91" i="5"/>
  <c r="V91" i="5"/>
  <c r="U91" i="5"/>
  <c r="T91" i="5"/>
  <c r="S91" i="5"/>
  <c r="Q91" i="5"/>
  <c r="W91" i="5"/>
  <c r="O91" i="5"/>
  <c r="P91" i="5"/>
  <c r="M91" i="5"/>
  <c r="N91" i="5"/>
  <c r="K91" i="5"/>
  <c r="Y99" i="5"/>
  <c r="W99" i="5"/>
  <c r="T99" i="5"/>
  <c r="S99" i="5"/>
  <c r="U99" i="5"/>
  <c r="Q99" i="5"/>
  <c r="O99" i="5"/>
  <c r="V99" i="5"/>
  <c r="P99" i="5"/>
  <c r="N99" i="5"/>
  <c r="M99" i="5"/>
  <c r="K99" i="5"/>
  <c r="Y107" i="5"/>
  <c r="W107" i="5"/>
  <c r="V107" i="5"/>
  <c r="U107" i="5"/>
  <c r="T107" i="5"/>
  <c r="S107" i="5"/>
  <c r="Q107" i="5"/>
  <c r="P107" i="5"/>
  <c r="O107" i="5"/>
  <c r="N107" i="5"/>
  <c r="K107" i="5"/>
  <c r="M107" i="5"/>
  <c r="Y115" i="5"/>
  <c r="W115" i="5"/>
  <c r="V115" i="5"/>
  <c r="T115" i="5"/>
  <c r="S115" i="5"/>
  <c r="Q115" i="5"/>
  <c r="P115" i="5"/>
  <c r="O115" i="5"/>
  <c r="N115" i="5"/>
  <c r="M115" i="5"/>
  <c r="U115" i="5"/>
  <c r="K115" i="5"/>
  <c r="Y123" i="5"/>
  <c r="V123" i="5"/>
  <c r="T123" i="5"/>
  <c r="U123" i="5"/>
  <c r="W123" i="5"/>
  <c r="S123" i="5"/>
  <c r="Q123" i="5"/>
  <c r="O123" i="5"/>
  <c r="M123" i="5"/>
  <c r="P123" i="5"/>
  <c r="N123" i="5"/>
  <c r="K123" i="5"/>
  <c r="Y131" i="5"/>
  <c r="V131" i="5"/>
  <c r="T131" i="5"/>
  <c r="U131" i="5"/>
  <c r="S131" i="5"/>
  <c r="Q131" i="5"/>
  <c r="W131" i="5"/>
  <c r="O131" i="5"/>
  <c r="N131" i="5"/>
  <c r="M131" i="5"/>
  <c r="K131" i="5"/>
  <c r="P131" i="5"/>
  <c r="Y139" i="5"/>
  <c r="W139" i="5"/>
  <c r="V139" i="5"/>
  <c r="T139" i="5"/>
  <c r="U139" i="5"/>
  <c r="S139" i="5"/>
  <c r="Q139" i="5"/>
  <c r="P139" i="5"/>
  <c r="K139" i="5"/>
  <c r="M139" i="5"/>
  <c r="N139" i="5"/>
  <c r="O139" i="5"/>
  <c r="Y147" i="5"/>
  <c r="W147" i="5"/>
  <c r="V147" i="5"/>
  <c r="T147" i="5"/>
  <c r="U147" i="5"/>
  <c r="S147" i="5"/>
  <c r="Q147" i="5"/>
  <c r="P147" i="5"/>
  <c r="M147" i="5"/>
  <c r="K147" i="5"/>
  <c r="O147" i="5"/>
  <c r="N147" i="5"/>
  <c r="Y155" i="5"/>
  <c r="V155" i="5"/>
  <c r="U155" i="5"/>
  <c r="T155" i="5"/>
  <c r="W155" i="5"/>
  <c r="S155" i="5"/>
  <c r="Q155" i="5"/>
  <c r="P155" i="5"/>
  <c r="O155" i="5"/>
  <c r="N155" i="5"/>
  <c r="K155" i="5"/>
  <c r="M155" i="5"/>
  <c r="Y163" i="5"/>
  <c r="V163" i="5"/>
  <c r="T163" i="5"/>
  <c r="U163" i="5"/>
  <c r="S163" i="5"/>
  <c r="Q163" i="5"/>
  <c r="W163" i="5"/>
  <c r="O163" i="5"/>
  <c r="N163" i="5"/>
  <c r="P163" i="5"/>
  <c r="M163" i="5"/>
  <c r="K163" i="5"/>
  <c r="Y171" i="5"/>
  <c r="W171" i="5"/>
  <c r="V171" i="5"/>
  <c r="U171" i="5"/>
  <c r="T171" i="5"/>
  <c r="Q171" i="5"/>
  <c r="P171" i="5"/>
  <c r="O171" i="5"/>
  <c r="N171" i="5"/>
  <c r="S171" i="5"/>
  <c r="M171" i="5"/>
  <c r="K171" i="5"/>
  <c r="Y179" i="5"/>
  <c r="W179" i="5"/>
  <c r="V179" i="5"/>
  <c r="T179" i="5"/>
  <c r="Q179" i="5"/>
  <c r="S179" i="5"/>
  <c r="U179" i="5"/>
  <c r="O179" i="5"/>
  <c r="N179" i="5"/>
  <c r="P179" i="5"/>
  <c r="M179" i="5"/>
  <c r="K179" i="5"/>
  <c r="Y187" i="5"/>
  <c r="T187" i="5"/>
  <c r="V187" i="5"/>
  <c r="U187" i="5"/>
  <c r="S187" i="5"/>
  <c r="O187" i="5"/>
  <c r="M187" i="5"/>
  <c r="W187" i="5"/>
  <c r="Q187" i="5"/>
  <c r="K187" i="5"/>
  <c r="N187" i="5"/>
  <c r="P187" i="5"/>
  <c r="Y194" i="5"/>
  <c r="W194" i="5"/>
  <c r="U194" i="5"/>
  <c r="T194" i="5"/>
  <c r="Q194" i="5"/>
  <c r="S194" i="5"/>
  <c r="V194" i="5"/>
  <c r="P194" i="5"/>
  <c r="N194" i="5"/>
  <c r="O194" i="5"/>
  <c r="M194" i="5"/>
  <c r="K194" i="5"/>
  <c r="R44" i="5"/>
  <c r="L44" i="5"/>
  <c r="R198" i="5"/>
  <c r="L198" i="5"/>
  <c r="R8" i="5"/>
  <c r="L8" i="5"/>
  <c r="R203" i="5"/>
  <c r="L203" i="5"/>
  <c r="R20" i="5"/>
  <c r="L20" i="5"/>
  <c r="R28" i="5"/>
  <c r="L28" i="5"/>
  <c r="R36" i="5"/>
  <c r="L36" i="5"/>
  <c r="R52" i="5"/>
  <c r="L52" i="5"/>
  <c r="R60" i="5"/>
  <c r="L60" i="5"/>
  <c r="R68" i="5"/>
  <c r="L68" i="5"/>
  <c r="R76" i="5"/>
  <c r="L76" i="5"/>
  <c r="R84" i="5"/>
  <c r="L84" i="5"/>
  <c r="R92" i="5"/>
  <c r="L92" i="5"/>
  <c r="R100" i="5"/>
  <c r="L100" i="5"/>
  <c r="R108" i="5"/>
  <c r="L108" i="5"/>
  <c r="R116" i="5"/>
  <c r="L116" i="5"/>
  <c r="R124" i="5"/>
  <c r="L124" i="5"/>
  <c r="R132" i="5"/>
  <c r="L132" i="5"/>
  <c r="R140" i="5"/>
  <c r="L140" i="5"/>
  <c r="R148" i="5"/>
  <c r="L148" i="5"/>
  <c r="R156" i="5"/>
  <c r="L156" i="5"/>
  <c r="R164" i="5"/>
  <c r="L164" i="5"/>
  <c r="R172" i="5"/>
  <c r="L172" i="5"/>
  <c r="R180" i="5"/>
  <c r="L180" i="5"/>
  <c r="R188" i="5"/>
  <c r="L188" i="5"/>
  <c r="R199" i="5"/>
  <c r="L199" i="5"/>
  <c r="R9" i="5"/>
  <c r="L9" i="5"/>
  <c r="R204" i="5"/>
  <c r="L204" i="5"/>
  <c r="R21" i="5"/>
  <c r="L21" i="5"/>
  <c r="R29" i="5"/>
  <c r="L29" i="5"/>
  <c r="R37" i="5"/>
  <c r="L37" i="5"/>
  <c r="R45" i="5"/>
  <c r="L45" i="5"/>
  <c r="R53" i="5"/>
  <c r="L53" i="5"/>
  <c r="R61" i="5"/>
  <c r="L61" i="5"/>
  <c r="R69" i="5"/>
  <c r="L69" i="5"/>
  <c r="R77" i="5"/>
  <c r="L77" i="5"/>
  <c r="R85" i="5"/>
  <c r="L85" i="5"/>
  <c r="R93" i="5"/>
  <c r="L93" i="5"/>
  <c r="R101" i="5"/>
  <c r="L101" i="5"/>
  <c r="R109" i="5"/>
  <c r="L109" i="5"/>
  <c r="R117" i="5"/>
  <c r="L117" i="5"/>
  <c r="R125" i="5"/>
  <c r="L125" i="5"/>
  <c r="R133" i="5"/>
  <c r="L133" i="5"/>
  <c r="R141" i="5"/>
  <c r="L141" i="5"/>
  <c r="R149" i="5"/>
  <c r="L149" i="5"/>
  <c r="R157" i="5"/>
  <c r="L157" i="5"/>
  <c r="R165" i="5"/>
  <c r="L165" i="5"/>
  <c r="R173" i="5"/>
  <c r="L173" i="5"/>
  <c r="R181" i="5"/>
  <c r="L181" i="5"/>
  <c r="R189" i="5"/>
  <c r="L189" i="5"/>
  <c r="R10" i="5"/>
  <c r="L10" i="5"/>
  <c r="R38" i="5"/>
  <c r="L38" i="5"/>
  <c r="R62" i="5"/>
  <c r="L62" i="5"/>
  <c r="R94" i="5"/>
  <c r="L94" i="5"/>
  <c r="R118" i="5"/>
  <c r="L118" i="5"/>
  <c r="R158" i="5"/>
  <c r="L158" i="5"/>
  <c r="R190" i="5"/>
  <c r="L190" i="5"/>
  <c r="R4" i="5"/>
  <c r="L4" i="5"/>
  <c r="L11" i="5"/>
  <c r="R11" i="5"/>
  <c r="L16" i="5"/>
  <c r="R16" i="5"/>
  <c r="L23" i="5"/>
  <c r="R23" i="5"/>
  <c r="L31" i="5"/>
  <c r="R31" i="5"/>
  <c r="L39" i="5"/>
  <c r="R39" i="5"/>
  <c r="L47" i="5"/>
  <c r="R47" i="5"/>
  <c r="L55" i="5"/>
  <c r="R55" i="5"/>
  <c r="L63" i="5"/>
  <c r="R63" i="5"/>
  <c r="L71" i="5"/>
  <c r="R71" i="5"/>
  <c r="L79" i="5"/>
  <c r="R79" i="5"/>
  <c r="L87" i="5"/>
  <c r="R87" i="5"/>
  <c r="L95" i="5"/>
  <c r="R95" i="5"/>
  <c r="L103" i="5"/>
  <c r="R103" i="5"/>
  <c r="L111" i="5"/>
  <c r="R111" i="5"/>
  <c r="L119" i="5"/>
  <c r="R119" i="5"/>
  <c r="L127" i="5"/>
  <c r="R127" i="5"/>
  <c r="L135" i="5"/>
  <c r="R135" i="5"/>
  <c r="L143" i="5"/>
  <c r="R143" i="5"/>
  <c r="L151" i="5"/>
  <c r="R151" i="5"/>
  <c r="L159" i="5"/>
  <c r="R159" i="5"/>
  <c r="L167" i="5"/>
  <c r="R167" i="5"/>
  <c r="L175" i="5"/>
  <c r="R175" i="5"/>
  <c r="L183" i="5"/>
  <c r="R183" i="5"/>
  <c r="L191" i="5"/>
  <c r="R191" i="5"/>
  <c r="R15" i="5"/>
  <c r="L15" i="5"/>
  <c r="R30" i="5"/>
  <c r="L30" i="5"/>
  <c r="R54" i="5"/>
  <c r="L54" i="5"/>
  <c r="R86" i="5"/>
  <c r="L86" i="5"/>
  <c r="R110" i="5"/>
  <c r="L110" i="5"/>
  <c r="R134" i="5"/>
  <c r="L134" i="5"/>
  <c r="R142" i="5"/>
  <c r="L142" i="5"/>
  <c r="R166" i="5"/>
  <c r="L166" i="5"/>
  <c r="R182" i="5"/>
  <c r="L182" i="5"/>
  <c r="L2" i="5"/>
  <c r="R2" i="5"/>
  <c r="L12" i="5"/>
  <c r="R12" i="5"/>
  <c r="L3" i="5"/>
  <c r="R3" i="5"/>
  <c r="L24" i="5"/>
  <c r="R24" i="5"/>
  <c r="L32" i="5"/>
  <c r="R32" i="5"/>
  <c r="L40" i="5"/>
  <c r="R40" i="5"/>
  <c r="L48" i="5"/>
  <c r="R48" i="5"/>
  <c r="L56" i="5"/>
  <c r="R56" i="5"/>
  <c r="L64" i="5"/>
  <c r="R64" i="5"/>
  <c r="L72" i="5"/>
  <c r="R72" i="5"/>
  <c r="L80" i="5"/>
  <c r="R80" i="5"/>
  <c r="L88" i="5"/>
  <c r="R88" i="5"/>
  <c r="L96" i="5"/>
  <c r="R96" i="5"/>
  <c r="L104" i="5"/>
  <c r="R104" i="5"/>
  <c r="L112" i="5"/>
  <c r="R112" i="5"/>
  <c r="L120" i="5"/>
  <c r="R120" i="5"/>
  <c r="L128" i="5"/>
  <c r="R128" i="5"/>
  <c r="L136" i="5"/>
  <c r="R136" i="5"/>
  <c r="L144" i="5"/>
  <c r="R144" i="5"/>
  <c r="L152" i="5"/>
  <c r="R152" i="5"/>
  <c r="L160" i="5"/>
  <c r="R160" i="5"/>
  <c r="L168" i="5"/>
  <c r="R168" i="5"/>
  <c r="L176" i="5"/>
  <c r="R176" i="5"/>
  <c r="L184" i="5"/>
  <c r="R184" i="5"/>
  <c r="L192" i="5"/>
  <c r="R192" i="5"/>
  <c r="R201" i="5"/>
  <c r="L201" i="5"/>
  <c r="R22" i="5"/>
  <c r="L22" i="5"/>
  <c r="R46" i="5"/>
  <c r="L46" i="5"/>
  <c r="R70" i="5"/>
  <c r="L70" i="5"/>
  <c r="R78" i="5"/>
  <c r="L78" i="5"/>
  <c r="R102" i="5"/>
  <c r="L102" i="5"/>
  <c r="R126" i="5"/>
  <c r="L126" i="5"/>
  <c r="R150" i="5"/>
  <c r="L150" i="5"/>
  <c r="R174" i="5"/>
  <c r="L174" i="5"/>
  <c r="L5" i="5"/>
  <c r="R5" i="5"/>
  <c r="L13" i="5"/>
  <c r="R13" i="5"/>
  <c r="L17" i="5"/>
  <c r="R17" i="5"/>
  <c r="L25" i="5"/>
  <c r="R25" i="5"/>
  <c r="L33" i="5"/>
  <c r="R33" i="5"/>
  <c r="L41" i="5"/>
  <c r="R41" i="5"/>
  <c r="L49" i="5"/>
  <c r="R49" i="5"/>
  <c r="L57" i="5"/>
  <c r="R57" i="5"/>
  <c r="L65" i="5"/>
  <c r="R65" i="5"/>
  <c r="L73" i="5"/>
  <c r="R73" i="5"/>
  <c r="L81" i="5"/>
  <c r="R81" i="5"/>
  <c r="L89" i="5"/>
  <c r="R89" i="5"/>
  <c r="L97" i="5"/>
  <c r="R97" i="5"/>
  <c r="L105" i="5"/>
  <c r="R105" i="5"/>
  <c r="L113" i="5"/>
  <c r="R113" i="5"/>
  <c r="L121" i="5"/>
  <c r="R121" i="5"/>
  <c r="L129" i="5"/>
  <c r="R129" i="5"/>
  <c r="L137" i="5"/>
  <c r="R137" i="5"/>
  <c r="L145" i="5"/>
  <c r="R145" i="5"/>
  <c r="L153" i="5"/>
  <c r="R153" i="5"/>
  <c r="L161" i="5"/>
  <c r="R161" i="5"/>
  <c r="L169" i="5"/>
  <c r="R169" i="5"/>
  <c r="L177" i="5"/>
  <c r="R177" i="5"/>
  <c r="L185" i="5"/>
  <c r="R185" i="5"/>
  <c r="L193" i="5"/>
  <c r="R193" i="5"/>
  <c r="R6" i="5"/>
  <c r="L6" i="5"/>
  <c r="R200" i="5"/>
  <c r="L200" i="5"/>
  <c r="R18" i="5"/>
  <c r="L18" i="5"/>
  <c r="R26" i="5"/>
  <c r="L26" i="5"/>
  <c r="R34" i="5"/>
  <c r="L34" i="5"/>
  <c r="R42" i="5"/>
  <c r="L42" i="5"/>
  <c r="R50" i="5"/>
  <c r="L50" i="5"/>
  <c r="R58" i="5"/>
  <c r="L58" i="5"/>
  <c r="R66" i="5"/>
  <c r="L66" i="5"/>
  <c r="R74" i="5"/>
  <c r="L74" i="5"/>
  <c r="R82" i="5"/>
  <c r="L82" i="5"/>
  <c r="R90" i="5"/>
  <c r="L90" i="5"/>
  <c r="R98" i="5"/>
  <c r="L98" i="5"/>
  <c r="R106" i="5"/>
  <c r="L106" i="5"/>
  <c r="R114" i="5"/>
  <c r="L114" i="5"/>
  <c r="R122" i="5"/>
  <c r="L122" i="5"/>
  <c r="R130" i="5"/>
  <c r="L130" i="5"/>
  <c r="R138" i="5"/>
  <c r="L138" i="5"/>
  <c r="R146" i="5"/>
  <c r="L146" i="5"/>
  <c r="R154" i="5"/>
  <c r="L154" i="5"/>
  <c r="R162" i="5"/>
  <c r="L162" i="5"/>
  <c r="R170" i="5"/>
  <c r="L170" i="5"/>
  <c r="R178" i="5"/>
  <c r="L178" i="5"/>
  <c r="R186" i="5"/>
  <c r="L186" i="5"/>
  <c r="R197" i="5"/>
  <c r="L197" i="5"/>
  <c r="R7" i="5"/>
  <c r="L7" i="5"/>
  <c r="L14" i="5"/>
  <c r="R14" i="5"/>
  <c r="R19" i="5"/>
  <c r="L19" i="5"/>
  <c r="R27" i="5"/>
  <c r="L27" i="5"/>
  <c r="R35" i="5"/>
  <c r="L35" i="5"/>
  <c r="L43" i="5"/>
  <c r="R43" i="5"/>
  <c r="R51" i="5"/>
  <c r="L51" i="5"/>
  <c r="R59" i="5"/>
  <c r="L59" i="5"/>
  <c r="R67" i="5"/>
  <c r="L67" i="5"/>
  <c r="L75" i="5"/>
  <c r="R75" i="5"/>
  <c r="R83" i="5"/>
  <c r="L83" i="5"/>
  <c r="R91" i="5"/>
  <c r="L91" i="5"/>
  <c r="L99" i="5"/>
  <c r="R99" i="5"/>
  <c r="R107" i="5"/>
  <c r="L107" i="5"/>
  <c r="R115" i="5"/>
  <c r="L115" i="5"/>
  <c r="R123" i="5"/>
  <c r="L123" i="5"/>
  <c r="L131" i="5"/>
  <c r="R131" i="5"/>
  <c r="R139" i="5"/>
  <c r="L139" i="5"/>
  <c r="R147" i="5"/>
  <c r="L147" i="5"/>
  <c r="R155" i="5"/>
  <c r="L155" i="5"/>
  <c r="L163" i="5"/>
  <c r="R163" i="5"/>
  <c r="R171" i="5"/>
  <c r="L171" i="5"/>
  <c r="R179" i="5"/>
  <c r="L179" i="5"/>
  <c r="R187" i="5"/>
  <c r="L187" i="5"/>
  <c r="R194" i="5"/>
  <c r="L194" i="5"/>
  <c r="J8" i="5"/>
  <c r="I8" i="5"/>
  <c r="J36" i="5"/>
  <c r="I36" i="5"/>
  <c r="J68" i="5"/>
  <c r="I68" i="5"/>
  <c r="J116" i="5"/>
  <c r="I116" i="5"/>
  <c r="J172" i="5"/>
  <c r="I172" i="5"/>
  <c r="J9" i="5"/>
  <c r="I9" i="5"/>
  <c r="J37" i="5"/>
  <c r="I37" i="5"/>
  <c r="J69" i="5"/>
  <c r="I69" i="5"/>
  <c r="J101" i="5"/>
  <c r="I101" i="5"/>
  <c r="J181" i="5"/>
  <c r="I181" i="5"/>
  <c r="J201" i="5"/>
  <c r="I201" i="5"/>
  <c r="J10" i="5"/>
  <c r="I10" i="5"/>
  <c r="J15" i="5"/>
  <c r="I15" i="5"/>
  <c r="J22" i="5"/>
  <c r="I22" i="5"/>
  <c r="J30" i="5"/>
  <c r="I30" i="5"/>
  <c r="J38" i="5"/>
  <c r="I38" i="5"/>
  <c r="J46" i="5"/>
  <c r="I46" i="5"/>
  <c r="J54" i="5"/>
  <c r="I54" i="5"/>
  <c r="J62" i="5"/>
  <c r="I62" i="5"/>
  <c r="J70" i="5"/>
  <c r="I70" i="5"/>
  <c r="J78" i="5"/>
  <c r="I78" i="5"/>
  <c r="J86" i="5"/>
  <c r="I86" i="5"/>
  <c r="J94" i="5"/>
  <c r="I94" i="5"/>
  <c r="J102" i="5"/>
  <c r="I102" i="5"/>
  <c r="J110" i="5"/>
  <c r="I110" i="5"/>
  <c r="J118" i="5"/>
  <c r="I118" i="5"/>
  <c r="J126" i="5"/>
  <c r="I126" i="5"/>
  <c r="J134" i="5"/>
  <c r="I134" i="5"/>
  <c r="J142" i="5"/>
  <c r="I142" i="5"/>
  <c r="J150" i="5"/>
  <c r="I150" i="5"/>
  <c r="J158" i="5"/>
  <c r="I158" i="5"/>
  <c r="J166" i="5"/>
  <c r="I166" i="5"/>
  <c r="J174" i="5"/>
  <c r="I174" i="5"/>
  <c r="J182" i="5"/>
  <c r="I182" i="5"/>
  <c r="J190" i="5"/>
  <c r="I190" i="5"/>
  <c r="J203" i="5"/>
  <c r="I203" i="5"/>
  <c r="J52" i="5"/>
  <c r="I52" i="5"/>
  <c r="J92" i="5"/>
  <c r="I92" i="5"/>
  <c r="J164" i="5"/>
  <c r="I164" i="5"/>
  <c r="J204" i="5"/>
  <c r="I204" i="5"/>
  <c r="J53" i="5"/>
  <c r="I53" i="5"/>
  <c r="J93" i="5"/>
  <c r="I93" i="5"/>
  <c r="J125" i="5"/>
  <c r="I125" i="5"/>
  <c r="J133" i="5"/>
  <c r="I133" i="5"/>
  <c r="J141" i="5"/>
  <c r="I141" i="5"/>
  <c r="J149" i="5"/>
  <c r="I149" i="5"/>
  <c r="J157" i="5"/>
  <c r="I157" i="5"/>
  <c r="J189" i="5"/>
  <c r="I189" i="5"/>
  <c r="J4" i="5"/>
  <c r="I4" i="5"/>
  <c r="I11" i="5"/>
  <c r="J11" i="5"/>
  <c r="I16" i="5"/>
  <c r="J16" i="5"/>
  <c r="I23" i="5"/>
  <c r="J23" i="5"/>
  <c r="I31" i="5"/>
  <c r="J31" i="5"/>
  <c r="I39" i="5"/>
  <c r="J39" i="5"/>
  <c r="I47" i="5"/>
  <c r="J47" i="5"/>
  <c r="I55" i="5"/>
  <c r="J55" i="5"/>
  <c r="I63" i="5"/>
  <c r="J63" i="5"/>
  <c r="I71" i="5"/>
  <c r="J71" i="5"/>
  <c r="I79" i="5"/>
  <c r="J79" i="5"/>
  <c r="I87" i="5"/>
  <c r="J87" i="5"/>
  <c r="I95" i="5"/>
  <c r="J95" i="5"/>
  <c r="I103" i="5"/>
  <c r="J103" i="5"/>
  <c r="I111" i="5"/>
  <c r="J111" i="5"/>
  <c r="I119" i="5"/>
  <c r="J119" i="5"/>
  <c r="I127" i="5"/>
  <c r="J127" i="5"/>
  <c r="I135" i="5"/>
  <c r="J135" i="5"/>
  <c r="I143" i="5"/>
  <c r="J143" i="5"/>
  <c r="I151" i="5"/>
  <c r="J151" i="5"/>
  <c r="I159" i="5"/>
  <c r="J159" i="5"/>
  <c r="I167" i="5"/>
  <c r="J167" i="5"/>
  <c r="I175" i="5"/>
  <c r="J175" i="5"/>
  <c r="I183" i="5"/>
  <c r="J183" i="5"/>
  <c r="I191" i="5"/>
  <c r="J191" i="5"/>
  <c r="J20" i="5"/>
  <c r="I20" i="5"/>
  <c r="J44" i="5"/>
  <c r="I44" i="5"/>
  <c r="J76" i="5"/>
  <c r="I76" i="5"/>
  <c r="J108" i="5"/>
  <c r="I108" i="5"/>
  <c r="J180" i="5"/>
  <c r="I180" i="5"/>
  <c r="J199" i="5"/>
  <c r="I199" i="5"/>
  <c r="J21" i="5"/>
  <c r="I21" i="5"/>
  <c r="J45" i="5"/>
  <c r="I45" i="5"/>
  <c r="J77" i="5"/>
  <c r="I77" i="5"/>
  <c r="J109" i="5"/>
  <c r="I109" i="5"/>
  <c r="J173" i="5"/>
  <c r="I173" i="5"/>
  <c r="I2" i="5"/>
  <c r="J2" i="5"/>
  <c r="I12" i="5"/>
  <c r="J12" i="5"/>
  <c r="I3" i="5"/>
  <c r="J3" i="5"/>
  <c r="I24" i="5"/>
  <c r="J24" i="5"/>
  <c r="I32" i="5"/>
  <c r="J32" i="5"/>
  <c r="I40" i="5"/>
  <c r="J40" i="5"/>
  <c r="I48" i="5"/>
  <c r="J48" i="5"/>
  <c r="I56" i="5"/>
  <c r="J56" i="5"/>
  <c r="I64" i="5"/>
  <c r="J64" i="5"/>
  <c r="I72" i="5"/>
  <c r="J72" i="5"/>
  <c r="I80" i="5"/>
  <c r="J80" i="5"/>
  <c r="I88" i="5"/>
  <c r="J88" i="5"/>
  <c r="I96" i="5"/>
  <c r="J96" i="5"/>
  <c r="I104" i="5"/>
  <c r="J104" i="5"/>
  <c r="I112" i="5"/>
  <c r="J112" i="5"/>
  <c r="I120" i="5"/>
  <c r="J120" i="5"/>
  <c r="I128" i="5"/>
  <c r="J128" i="5"/>
  <c r="I136" i="5"/>
  <c r="J136" i="5"/>
  <c r="I144" i="5"/>
  <c r="J144" i="5"/>
  <c r="I152" i="5"/>
  <c r="J152" i="5"/>
  <c r="I160" i="5"/>
  <c r="J160" i="5"/>
  <c r="I168" i="5"/>
  <c r="J168" i="5"/>
  <c r="I176" i="5"/>
  <c r="J176" i="5"/>
  <c r="I184" i="5"/>
  <c r="J184" i="5"/>
  <c r="I192" i="5"/>
  <c r="J192" i="5"/>
  <c r="J198" i="5"/>
  <c r="I198" i="5"/>
  <c r="J28" i="5"/>
  <c r="I28" i="5"/>
  <c r="J60" i="5"/>
  <c r="I60" i="5"/>
  <c r="J84" i="5"/>
  <c r="I84" i="5"/>
  <c r="J100" i="5"/>
  <c r="I100" i="5"/>
  <c r="J124" i="5"/>
  <c r="I124" i="5"/>
  <c r="J132" i="5"/>
  <c r="I132" i="5"/>
  <c r="J140" i="5"/>
  <c r="I140" i="5"/>
  <c r="J148" i="5"/>
  <c r="I148" i="5"/>
  <c r="J156" i="5"/>
  <c r="I156" i="5"/>
  <c r="J188" i="5"/>
  <c r="I188" i="5"/>
  <c r="J29" i="5"/>
  <c r="I29" i="5"/>
  <c r="J61" i="5"/>
  <c r="I61" i="5"/>
  <c r="J85" i="5"/>
  <c r="I85" i="5"/>
  <c r="J117" i="5"/>
  <c r="I117" i="5"/>
  <c r="J165" i="5"/>
  <c r="I165" i="5"/>
  <c r="I5" i="5"/>
  <c r="J5" i="5"/>
  <c r="I13" i="5"/>
  <c r="J13" i="5"/>
  <c r="I17" i="5"/>
  <c r="J17" i="5"/>
  <c r="I25" i="5"/>
  <c r="J25" i="5"/>
  <c r="I33" i="5"/>
  <c r="J33" i="5"/>
  <c r="I41" i="5"/>
  <c r="J41" i="5"/>
  <c r="I49" i="5"/>
  <c r="J49" i="5"/>
  <c r="I57" i="5"/>
  <c r="J57" i="5"/>
  <c r="I65" i="5"/>
  <c r="J65" i="5"/>
  <c r="I73" i="5"/>
  <c r="J73" i="5"/>
  <c r="I81" i="5"/>
  <c r="J81" i="5"/>
  <c r="I89" i="5"/>
  <c r="J89" i="5"/>
  <c r="I97" i="5"/>
  <c r="J97" i="5"/>
  <c r="I105" i="5"/>
  <c r="J105" i="5"/>
  <c r="I113" i="5"/>
  <c r="J113" i="5"/>
  <c r="I121" i="5"/>
  <c r="J121" i="5"/>
  <c r="I129" i="5"/>
  <c r="J129" i="5"/>
  <c r="I137" i="5"/>
  <c r="J137" i="5"/>
  <c r="I145" i="5"/>
  <c r="J145" i="5"/>
  <c r="I153" i="5"/>
  <c r="J153" i="5"/>
  <c r="I161" i="5"/>
  <c r="J161" i="5"/>
  <c r="I169" i="5"/>
  <c r="J169" i="5"/>
  <c r="I177" i="5"/>
  <c r="J177" i="5"/>
  <c r="I185" i="5"/>
  <c r="J185" i="5"/>
  <c r="I193" i="5"/>
  <c r="J193" i="5"/>
  <c r="J6" i="5"/>
  <c r="I6" i="5"/>
  <c r="J200" i="5"/>
  <c r="I200" i="5"/>
  <c r="J18" i="5"/>
  <c r="I18" i="5"/>
  <c r="J26" i="5"/>
  <c r="I26" i="5"/>
  <c r="J34" i="5"/>
  <c r="I34" i="5"/>
  <c r="J42" i="5"/>
  <c r="I42" i="5"/>
  <c r="J50" i="5"/>
  <c r="I50" i="5"/>
  <c r="J58" i="5"/>
  <c r="I58" i="5"/>
  <c r="J66" i="5"/>
  <c r="I66" i="5"/>
  <c r="J74" i="5"/>
  <c r="I74" i="5"/>
  <c r="J82" i="5"/>
  <c r="I82" i="5"/>
  <c r="J90" i="5"/>
  <c r="I90" i="5"/>
  <c r="J98" i="5"/>
  <c r="I98" i="5"/>
  <c r="J106" i="5"/>
  <c r="I106" i="5"/>
  <c r="J114" i="5"/>
  <c r="I114" i="5"/>
  <c r="J122" i="5"/>
  <c r="I122" i="5"/>
  <c r="J130" i="5"/>
  <c r="I130" i="5"/>
  <c r="J138" i="5"/>
  <c r="I138" i="5"/>
  <c r="J146" i="5"/>
  <c r="I146" i="5"/>
  <c r="J154" i="5"/>
  <c r="I154" i="5"/>
  <c r="J162" i="5"/>
  <c r="I162" i="5"/>
  <c r="J170" i="5"/>
  <c r="I170" i="5"/>
  <c r="J178" i="5"/>
  <c r="I178" i="5"/>
  <c r="J186" i="5"/>
  <c r="I186" i="5"/>
  <c r="J197" i="5"/>
  <c r="I197" i="5"/>
  <c r="I7" i="5"/>
  <c r="J7" i="5"/>
  <c r="J14" i="5"/>
  <c r="I14" i="5"/>
  <c r="J19" i="5"/>
  <c r="I19" i="5"/>
  <c r="I27" i="5"/>
  <c r="J27" i="5"/>
  <c r="J35" i="5"/>
  <c r="I35" i="5"/>
  <c r="J43" i="5"/>
  <c r="I43" i="5"/>
  <c r="I51" i="5"/>
  <c r="J51" i="5"/>
  <c r="J59" i="5"/>
  <c r="I59" i="5"/>
  <c r="J67" i="5"/>
  <c r="I67" i="5"/>
  <c r="J75" i="5"/>
  <c r="I75" i="5"/>
  <c r="J83" i="5"/>
  <c r="I83" i="5"/>
  <c r="J91" i="5"/>
  <c r="I91" i="5"/>
  <c r="J99" i="5"/>
  <c r="I99" i="5"/>
  <c r="J107" i="5"/>
  <c r="I107" i="5"/>
  <c r="J115" i="5"/>
  <c r="I115" i="5"/>
  <c r="J123" i="5"/>
  <c r="I123" i="5"/>
  <c r="J131" i="5"/>
  <c r="I131" i="5"/>
  <c r="J139" i="5"/>
  <c r="I139" i="5"/>
  <c r="J147" i="5"/>
  <c r="I147" i="5"/>
  <c r="J155" i="5"/>
  <c r="I155" i="5"/>
  <c r="J163" i="5"/>
  <c r="I163" i="5"/>
  <c r="J171" i="5"/>
  <c r="I171" i="5"/>
  <c r="J179" i="5"/>
  <c r="I179" i="5"/>
  <c r="J187" i="5"/>
  <c r="I187" i="5"/>
  <c r="J194" i="5"/>
  <c r="I194" i="5"/>
  <c r="F198" i="5"/>
  <c r="H198" i="5"/>
  <c r="G198" i="5"/>
  <c r="F8" i="5"/>
  <c r="G8" i="5"/>
  <c r="H8" i="5"/>
  <c r="G203" i="5"/>
  <c r="H203" i="5"/>
  <c r="G20" i="5"/>
  <c r="H20" i="5"/>
  <c r="F28" i="5"/>
  <c r="G28" i="5"/>
  <c r="H28" i="5"/>
  <c r="G36" i="5"/>
  <c r="H36" i="5"/>
  <c r="G44" i="5"/>
  <c r="H44" i="5"/>
  <c r="F52" i="5"/>
  <c r="G52" i="5"/>
  <c r="H52" i="5"/>
  <c r="G60" i="5"/>
  <c r="H60" i="5"/>
  <c r="G68" i="5"/>
  <c r="H68" i="5"/>
  <c r="F76" i="5"/>
  <c r="G76" i="5"/>
  <c r="H76" i="5"/>
  <c r="F84" i="5"/>
  <c r="G84" i="5"/>
  <c r="H84" i="5"/>
  <c r="F92" i="5"/>
  <c r="G92" i="5"/>
  <c r="H92" i="5"/>
  <c r="G100" i="5"/>
  <c r="H100" i="5"/>
  <c r="G108" i="5"/>
  <c r="H108" i="5"/>
  <c r="F116" i="5"/>
  <c r="G116" i="5"/>
  <c r="H116" i="5"/>
  <c r="F124" i="5"/>
  <c r="G124" i="5"/>
  <c r="H124" i="5"/>
  <c r="F132" i="5"/>
  <c r="G132" i="5"/>
  <c r="H132" i="5"/>
  <c r="F140" i="5"/>
  <c r="G140" i="5"/>
  <c r="H140" i="5"/>
  <c r="F148" i="5"/>
  <c r="G148" i="5"/>
  <c r="H148" i="5"/>
  <c r="F156" i="5"/>
  <c r="G156" i="5"/>
  <c r="H156" i="5"/>
  <c r="G164" i="5"/>
  <c r="H164" i="5"/>
  <c r="G172" i="5"/>
  <c r="H172" i="5"/>
  <c r="G180" i="5"/>
  <c r="H180" i="5"/>
  <c r="G188" i="5"/>
  <c r="H188" i="5"/>
  <c r="F199" i="5"/>
  <c r="H199" i="5"/>
  <c r="G199" i="5"/>
  <c r="F9" i="5"/>
  <c r="H9" i="5"/>
  <c r="G9" i="5"/>
  <c r="F204" i="5"/>
  <c r="H204" i="5"/>
  <c r="G204" i="5"/>
  <c r="F21" i="5"/>
  <c r="H21" i="5"/>
  <c r="G21" i="5"/>
  <c r="F29" i="5"/>
  <c r="H29" i="5"/>
  <c r="G29" i="5"/>
  <c r="F37" i="5"/>
  <c r="H37" i="5"/>
  <c r="G37" i="5"/>
  <c r="F45" i="5"/>
  <c r="H45" i="5"/>
  <c r="G45" i="5"/>
  <c r="F53" i="5"/>
  <c r="H53" i="5"/>
  <c r="G53" i="5"/>
  <c r="F61" i="5"/>
  <c r="H61" i="5"/>
  <c r="G61" i="5"/>
  <c r="F69" i="5"/>
  <c r="H69" i="5"/>
  <c r="G69" i="5"/>
  <c r="F77" i="5"/>
  <c r="H77" i="5"/>
  <c r="G77" i="5"/>
  <c r="F85" i="5"/>
  <c r="H85" i="5"/>
  <c r="G85" i="5"/>
  <c r="F93" i="5"/>
  <c r="H93" i="5"/>
  <c r="G93" i="5"/>
  <c r="F101" i="5"/>
  <c r="H101" i="5"/>
  <c r="G101" i="5"/>
  <c r="F109" i="5"/>
  <c r="H109" i="5"/>
  <c r="G109" i="5"/>
  <c r="F117" i="5"/>
  <c r="H117" i="5"/>
  <c r="G117" i="5"/>
  <c r="F125" i="5"/>
  <c r="H125" i="5"/>
  <c r="G125" i="5"/>
  <c r="F133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F201" i="5"/>
  <c r="H201" i="5"/>
  <c r="G201" i="5"/>
  <c r="F10" i="5"/>
  <c r="H10" i="5"/>
  <c r="G10" i="5"/>
  <c r="H15" i="5"/>
  <c r="G15" i="5"/>
  <c r="F22" i="5"/>
  <c r="H22" i="5"/>
  <c r="G22" i="5"/>
  <c r="F30" i="5"/>
  <c r="H30" i="5"/>
  <c r="G30" i="5"/>
  <c r="F38" i="5"/>
  <c r="H38" i="5"/>
  <c r="G38" i="5"/>
  <c r="F46" i="5"/>
  <c r="H46" i="5"/>
  <c r="G46" i="5"/>
  <c r="F54" i="5"/>
  <c r="H54" i="5"/>
  <c r="G54" i="5"/>
  <c r="F62" i="5"/>
  <c r="H62" i="5"/>
  <c r="G62" i="5"/>
  <c r="F70" i="5"/>
  <c r="H70" i="5"/>
  <c r="G70" i="5"/>
  <c r="F78" i="5"/>
  <c r="H78" i="5"/>
  <c r="G78" i="5"/>
  <c r="F86" i="5"/>
  <c r="H86" i="5"/>
  <c r="G86" i="5"/>
  <c r="H94" i="5"/>
  <c r="G94" i="5"/>
  <c r="F102" i="5"/>
  <c r="H102" i="5"/>
  <c r="G102" i="5"/>
  <c r="F110" i="5"/>
  <c r="H110" i="5"/>
  <c r="G110" i="5"/>
  <c r="F118" i="5"/>
  <c r="H118" i="5"/>
  <c r="G118" i="5"/>
  <c r="H126" i="5"/>
  <c r="G126" i="5"/>
  <c r="F134" i="5"/>
  <c r="H134" i="5"/>
  <c r="G134" i="5"/>
  <c r="F142" i="5"/>
  <c r="H142" i="5"/>
  <c r="G142" i="5"/>
  <c r="H150" i="5"/>
  <c r="G150" i="5"/>
  <c r="H158" i="5"/>
  <c r="G158" i="5"/>
  <c r="H166" i="5"/>
  <c r="G166" i="5"/>
  <c r="H174" i="5"/>
  <c r="G174" i="5"/>
  <c r="H182" i="5"/>
  <c r="G182" i="5"/>
  <c r="H190" i="5"/>
  <c r="G190" i="5"/>
  <c r="H4" i="5"/>
  <c r="G4" i="5"/>
  <c r="H11" i="5"/>
  <c r="G11" i="5"/>
  <c r="F16" i="5"/>
  <c r="H16" i="5"/>
  <c r="G16" i="5"/>
  <c r="F23" i="5"/>
  <c r="H23" i="5"/>
  <c r="G23" i="5"/>
  <c r="F31" i="5"/>
  <c r="H31" i="5"/>
  <c r="G31" i="5"/>
  <c r="F39" i="5"/>
  <c r="H39" i="5"/>
  <c r="G39" i="5"/>
  <c r="F47" i="5"/>
  <c r="H47" i="5"/>
  <c r="G47" i="5"/>
  <c r="F55" i="5"/>
  <c r="H55" i="5"/>
  <c r="G55" i="5"/>
  <c r="F63" i="5"/>
  <c r="H63" i="5"/>
  <c r="G63" i="5"/>
  <c r="F71" i="5"/>
  <c r="H71" i="5"/>
  <c r="G71" i="5"/>
  <c r="F79" i="5"/>
  <c r="H79" i="5"/>
  <c r="G79" i="5"/>
  <c r="F87" i="5"/>
  <c r="H87" i="5"/>
  <c r="G87" i="5"/>
  <c r="F95" i="5"/>
  <c r="H95" i="5"/>
  <c r="G95" i="5"/>
  <c r="F103" i="5"/>
  <c r="G103" i="5"/>
  <c r="H103" i="5"/>
  <c r="F111" i="5"/>
  <c r="G111" i="5"/>
  <c r="H111" i="5"/>
  <c r="F119" i="5"/>
  <c r="G119" i="5"/>
  <c r="H119" i="5"/>
  <c r="F127" i="5"/>
  <c r="G127" i="5"/>
  <c r="H127" i="5"/>
  <c r="F135" i="5"/>
  <c r="G135" i="5"/>
  <c r="H135" i="5"/>
  <c r="G143" i="5"/>
  <c r="H143" i="5"/>
  <c r="G151" i="5"/>
  <c r="H151" i="5"/>
  <c r="G159" i="5"/>
  <c r="H159" i="5"/>
  <c r="G167" i="5"/>
  <c r="H167" i="5"/>
  <c r="G175" i="5"/>
  <c r="H175" i="5"/>
  <c r="G183" i="5"/>
  <c r="H183" i="5"/>
  <c r="G191" i="5"/>
  <c r="H191" i="5"/>
  <c r="F2" i="5"/>
  <c r="G2" i="5"/>
  <c r="H2" i="5"/>
  <c r="F12" i="5"/>
  <c r="H12" i="5"/>
  <c r="G12" i="5"/>
  <c r="F3" i="5"/>
  <c r="H3" i="5"/>
  <c r="G3" i="5"/>
  <c r="F24" i="5"/>
  <c r="H24" i="5"/>
  <c r="G24" i="5"/>
  <c r="F32" i="5"/>
  <c r="H32" i="5"/>
  <c r="G32" i="5"/>
  <c r="F40" i="5"/>
  <c r="H40" i="5"/>
  <c r="G40" i="5"/>
  <c r="F48" i="5"/>
  <c r="H48" i="5"/>
  <c r="G48" i="5"/>
  <c r="F56" i="5"/>
  <c r="H56" i="5"/>
  <c r="G56" i="5"/>
  <c r="F64" i="5"/>
  <c r="H64" i="5"/>
  <c r="G64" i="5"/>
  <c r="F72" i="5"/>
  <c r="H72" i="5"/>
  <c r="G72" i="5"/>
  <c r="F80" i="5"/>
  <c r="H80" i="5"/>
  <c r="G80" i="5"/>
  <c r="F88" i="5"/>
  <c r="H88" i="5"/>
  <c r="G88" i="5"/>
  <c r="F96" i="5"/>
  <c r="H96" i="5"/>
  <c r="G96" i="5"/>
  <c r="F104" i="5"/>
  <c r="H104" i="5"/>
  <c r="G104" i="5"/>
  <c r="F112" i="5"/>
  <c r="H112" i="5"/>
  <c r="G112" i="5"/>
  <c r="F120" i="5"/>
  <c r="H120" i="5"/>
  <c r="G120" i="5"/>
  <c r="F128" i="5"/>
  <c r="H128" i="5"/>
  <c r="G128" i="5"/>
  <c r="F136" i="5"/>
  <c r="H136" i="5"/>
  <c r="G136" i="5"/>
  <c r="H144" i="5"/>
  <c r="G144" i="5"/>
  <c r="H152" i="5"/>
  <c r="G152" i="5"/>
  <c r="H160" i="5"/>
  <c r="G160" i="5"/>
  <c r="H168" i="5"/>
  <c r="G168" i="5"/>
  <c r="H176" i="5"/>
  <c r="G176" i="5"/>
  <c r="H184" i="5"/>
  <c r="G184" i="5"/>
  <c r="H192" i="5"/>
  <c r="G192" i="5"/>
  <c r="F5" i="5"/>
  <c r="H5" i="5"/>
  <c r="G5" i="5"/>
  <c r="F13" i="5"/>
  <c r="G13" i="5"/>
  <c r="H13" i="5"/>
  <c r="F17" i="5"/>
  <c r="G17" i="5"/>
  <c r="H17" i="5"/>
  <c r="F25" i="5"/>
  <c r="G25" i="5"/>
  <c r="H25" i="5"/>
  <c r="G33" i="5"/>
  <c r="H33" i="5"/>
  <c r="F41" i="5"/>
  <c r="G41" i="5"/>
  <c r="H41" i="5"/>
  <c r="G49" i="5"/>
  <c r="H49" i="5"/>
  <c r="F57" i="5"/>
  <c r="G57" i="5"/>
  <c r="H57" i="5"/>
  <c r="F65" i="5"/>
  <c r="G65" i="5"/>
  <c r="H65" i="5"/>
  <c r="G73" i="5"/>
  <c r="H73" i="5"/>
  <c r="F81" i="5"/>
  <c r="G81" i="5"/>
  <c r="H81" i="5"/>
  <c r="F89" i="5"/>
  <c r="G89" i="5"/>
  <c r="H89" i="5"/>
  <c r="F97" i="5"/>
  <c r="G97" i="5"/>
  <c r="H97" i="5"/>
  <c r="F105" i="5"/>
  <c r="G105" i="5"/>
  <c r="H105" i="5"/>
  <c r="F113" i="5"/>
  <c r="G113" i="5"/>
  <c r="H113" i="5"/>
  <c r="F121" i="5"/>
  <c r="G121" i="5"/>
  <c r="H121" i="5"/>
  <c r="F129" i="5"/>
  <c r="G129" i="5"/>
  <c r="H129" i="5"/>
  <c r="F137" i="5"/>
  <c r="G137" i="5"/>
  <c r="H137" i="5"/>
  <c r="F145" i="5"/>
  <c r="G145" i="5"/>
  <c r="H145" i="5"/>
  <c r="F153" i="5"/>
  <c r="G153" i="5"/>
  <c r="H153" i="5"/>
  <c r="G161" i="5"/>
  <c r="H161" i="5"/>
  <c r="G169" i="5"/>
  <c r="H169" i="5"/>
  <c r="G177" i="5"/>
  <c r="H177" i="5"/>
  <c r="G185" i="5"/>
  <c r="H185" i="5"/>
  <c r="G193" i="5"/>
  <c r="H193" i="5"/>
  <c r="F6" i="5"/>
  <c r="H6" i="5"/>
  <c r="G6" i="5"/>
  <c r="H200" i="5"/>
  <c r="G200" i="5"/>
  <c r="F18" i="5"/>
  <c r="H18" i="5"/>
  <c r="G18" i="5"/>
  <c r="H26" i="5"/>
  <c r="G26" i="5"/>
  <c r="H34" i="5"/>
  <c r="G34" i="5"/>
  <c r="H42" i="5"/>
  <c r="G42" i="5"/>
  <c r="F50" i="5"/>
  <c r="H50" i="5"/>
  <c r="G50" i="5"/>
  <c r="F58" i="5"/>
  <c r="H58" i="5"/>
  <c r="G58" i="5"/>
  <c r="F66" i="5"/>
  <c r="H66" i="5"/>
  <c r="G66" i="5"/>
  <c r="F74" i="5"/>
  <c r="H74" i="5"/>
  <c r="G74" i="5"/>
  <c r="H82" i="5"/>
  <c r="G82" i="5"/>
  <c r="F90" i="5"/>
  <c r="H90" i="5"/>
  <c r="G90" i="5"/>
  <c r="F98" i="5"/>
  <c r="H98" i="5"/>
  <c r="G98" i="5"/>
  <c r="F106" i="5"/>
  <c r="H106" i="5"/>
  <c r="G106" i="5"/>
  <c r="F114" i="5"/>
  <c r="H114" i="5"/>
  <c r="G114" i="5"/>
  <c r="F122" i="5"/>
  <c r="H122" i="5"/>
  <c r="G122" i="5"/>
  <c r="F130" i="5"/>
  <c r="H130" i="5"/>
  <c r="G130" i="5"/>
  <c r="F138" i="5"/>
  <c r="H138" i="5"/>
  <c r="G138" i="5"/>
  <c r="F146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7" i="5"/>
  <c r="G197" i="5"/>
  <c r="F7" i="5"/>
  <c r="H7" i="5"/>
  <c r="G7" i="5"/>
  <c r="F14" i="5"/>
  <c r="H14" i="5"/>
  <c r="G14" i="5"/>
  <c r="F19" i="5"/>
  <c r="H19" i="5"/>
  <c r="G19" i="5"/>
  <c r="F27" i="5"/>
  <c r="H27" i="5"/>
  <c r="G27" i="5"/>
  <c r="F35" i="5"/>
  <c r="H35" i="5"/>
  <c r="G35" i="5"/>
  <c r="F43" i="5"/>
  <c r="H43" i="5"/>
  <c r="G43" i="5"/>
  <c r="F51" i="5"/>
  <c r="H51" i="5"/>
  <c r="G51" i="5"/>
  <c r="F59" i="5"/>
  <c r="H59" i="5"/>
  <c r="G59" i="5"/>
  <c r="F67" i="5"/>
  <c r="H67" i="5"/>
  <c r="G67" i="5"/>
  <c r="F75" i="5"/>
  <c r="H75" i="5"/>
  <c r="G75" i="5"/>
  <c r="F83" i="5"/>
  <c r="H83" i="5"/>
  <c r="G83" i="5"/>
  <c r="F91" i="5"/>
  <c r="H91" i="5"/>
  <c r="G91" i="5"/>
  <c r="F99" i="5"/>
  <c r="H99" i="5"/>
  <c r="G99" i="5"/>
  <c r="F107" i="5"/>
  <c r="H107" i="5"/>
  <c r="G107" i="5"/>
  <c r="H115" i="5"/>
  <c r="G115" i="5"/>
  <c r="F123" i="5"/>
  <c r="H123" i="5"/>
  <c r="G123" i="5"/>
  <c r="F131" i="5"/>
  <c r="H131" i="5"/>
  <c r="G131" i="5"/>
  <c r="F139" i="5"/>
  <c r="H139" i="5"/>
  <c r="G139" i="5"/>
  <c r="F147" i="5"/>
  <c r="H147" i="5"/>
  <c r="G147" i="5"/>
  <c r="F155" i="5"/>
  <c r="H155" i="5"/>
  <c r="G155" i="5"/>
  <c r="H163" i="5"/>
  <c r="G163" i="5"/>
  <c r="H171" i="5"/>
  <c r="G171" i="5"/>
  <c r="H179" i="5"/>
  <c r="G179" i="5"/>
  <c r="H187" i="5"/>
  <c r="G187" i="5"/>
  <c r="H194" i="5"/>
  <c r="G194" i="5"/>
  <c r="F141" i="5"/>
  <c r="F149" i="5"/>
  <c r="F157" i="5"/>
  <c r="F165" i="5"/>
  <c r="F173" i="5"/>
  <c r="F181" i="5"/>
  <c r="F189" i="5"/>
  <c r="F100" i="5"/>
  <c r="F108" i="5"/>
  <c r="F15" i="5"/>
  <c r="F94" i="5"/>
  <c r="F126" i="5"/>
  <c r="F150" i="5"/>
  <c r="F158" i="5"/>
  <c r="F166" i="5"/>
  <c r="F174" i="5"/>
  <c r="F182" i="5"/>
  <c r="F190" i="5"/>
  <c r="F36" i="5"/>
  <c r="F44" i="5"/>
  <c r="F68" i="5"/>
  <c r="F164" i="5"/>
  <c r="F4" i="5"/>
  <c r="F11" i="5"/>
  <c r="F143" i="5"/>
  <c r="F151" i="5"/>
  <c r="F159" i="5"/>
  <c r="F167" i="5"/>
  <c r="F175" i="5"/>
  <c r="F183" i="5"/>
  <c r="F191" i="5"/>
  <c r="F60" i="5"/>
  <c r="F188" i="5"/>
  <c r="F144" i="5"/>
  <c r="F152" i="5"/>
  <c r="F160" i="5"/>
  <c r="F168" i="5"/>
  <c r="F176" i="5"/>
  <c r="F184" i="5"/>
  <c r="F192" i="5"/>
  <c r="F172" i="5"/>
  <c r="F33" i="5"/>
  <c r="F49" i="5"/>
  <c r="F73" i="5"/>
  <c r="F161" i="5"/>
  <c r="F169" i="5"/>
  <c r="F177" i="5"/>
  <c r="F185" i="5"/>
  <c r="F193" i="5"/>
  <c r="F180" i="5"/>
  <c r="F200" i="5"/>
  <c r="F26" i="5"/>
  <c r="F34" i="5"/>
  <c r="F42" i="5"/>
  <c r="F82" i="5"/>
  <c r="F154" i="5"/>
  <c r="F162" i="5"/>
  <c r="F170" i="5"/>
  <c r="F178" i="5"/>
  <c r="F186" i="5"/>
  <c r="F203" i="5"/>
  <c r="F20" i="5"/>
  <c r="F197" i="5"/>
  <c r="F115" i="5"/>
  <c r="F163" i="5"/>
  <c r="F171" i="5"/>
  <c r="F179" i="5"/>
  <c r="F187" i="5"/>
  <c r="F194" i="5"/>
  <c r="Y79" i="25"/>
  <c r="X79" i="25"/>
  <c r="T79" i="25"/>
  <c r="S79" i="25"/>
  <c r="U79" i="25" s="1"/>
  <c r="O79" i="25"/>
  <c r="N79" i="25"/>
  <c r="J79" i="25"/>
  <c r="I79" i="25"/>
  <c r="Y78" i="25"/>
  <c r="X78" i="25"/>
  <c r="T78" i="25"/>
  <c r="S78" i="25"/>
  <c r="U78" i="25" s="1"/>
  <c r="O78" i="25"/>
  <c r="N78" i="25"/>
  <c r="J78" i="25"/>
  <c r="I78" i="25"/>
  <c r="Y77" i="25"/>
  <c r="X77" i="25"/>
  <c r="T77" i="25"/>
  <c r="S77" i="25"/>
  <c r="U77" i="25" s="1"/>
  <c r="O77" i="25"/>
  <c r="N77" i="25"/>
  <c r="J77" i="25"/>
  <c r="I77" i="25"/>
  <c r="Y76" i="25"/>
  <c r="X76" i="25"/>
  <c r="T76" i="25"/>
  <c r="S76" i="25"/>
  <c r="U76" i="25" s="1"/>
  <c r="O76" i="25"/>
  <c r="N76" i="25"/>
  <c r="J76" i="25"/>
  <c r="I76" i="25"/>
  <c r="Y75" i="25"/>
  <c r="X75" i="25"/>
  <c r="T75" i="25"/>
  <c r="S75" i="25"/>
  <c r="U75" i="25" s="1"/>
  <c r="O75" i="25"/>
  <c r="N75" i="25"/>
  <c r="J75" i="25"/>
  <c r="I75" i="25"/>
  <c r="Y74" i="25"/>
  <c r="X74" i="25"/>
  <c r="T74" i="25"/>
  <c r="S74" i="25"/>
  <c r="U74" i="25" s="1"/>
  <c r="O74" i="25"/>
  <c r="N74" i="25"/>
  <c r="J74" i="25"/>
  <c r="I74" i="25"/>
  <c r="Y73" i="25"/>
  <c r="X73" i="25"/>
  <c r="T73" i="25"/>
  <c r="S73" i="25"/>
  <c r="U73" i="25" s="1"/>
  <c r="O73" i="25"/>
  <c r="N73" i="25"/>
  <c r="J73" i="25"/>
  <c r="I73" i="25"/>
  <c r="Y72" i="25"/>
  <c r="X72" i="25"/>
  <c r="T72" i="25"/>
  <c r="S72" i="25"/>
  <c r="U72" i="25" s="1"/>
  <c r="O72" i="25"/>
  <c r="N72" i="25"/>
  <c r="J72" i="25"/>
  <c r="I72" i="25"/>
  <c r="Y71" i="25"/>
  <c r="X71" i="25"/>
  <c r="T71" i="25"/>
  <c r="S71" i="25"/>
  <c r="U71" i="25" s="1"/>
  <c r="O71" i="25"/>
  <c r="N71" i="25"/>
  <c r="J71" i="25"/>
  <c r="I71" i="25"/>
  <c r="Y70" i="25"/>
  <c r="X70" i="25"/>
  <c r="T70" i="25"/>
  <c r="S70" i="25"/>
  <c r="U70" i="25" s="1"/>
  <c r="O70" i="25"/>
  <c r="N70" i="25"/>
  <c r="J70" i="25"/>
  <c r="I70" i="25"/>
  <c r="Y69" i="25"/>
  <c r="X69" i="25"/>
  <c r="T69" i="25"/>
  <c r="S69" i="25"/>
  <c r="U69" i="25" s="1"/>
  <c r="O69" i="25"/>
  <c r="N69" i="25"/>
  <c r="J69" i="25"/>
  <c r="I69" i="25"/>
  <c r="Y68" i="25"/>
  <c r="X68" i="25"/>
  <c r="T68" i="25"/>
  <c r="S68" i="25"/>
  <c r="U68" i="25" s="1"/>
  <c r="O68" i="25"/>
  <c r="N68" i="25"/>
  <c r="J68" i="25"/>
  <c r="I68" i="25"/>
  <c r="Y67" i="25"/>
  <c r="X67" i="25"/>
  <c r="T67" i="25"/>
  <c r="S67" i="25"/>
  <c r="U67" i="25" s="1"/>
  <c r="O67" i="25"/>
  <c r="N67" i="25"/>
  <c r="J67" i="25"/>
  <c r="I67" i="25"/>
  <c r="Y66" i="25"/>
  <c r="X66" i="25"/>
  <c r="T66" i="25"/>
  <c r="S66" i="25"/>
  <c r="U66" i="25" s="1"/>
  <c r="O66" i="25"/>
  <c r="N66" i="25"/>
  <c r="J66" i="25"/>
  <c r="I66" i="25"/>
  <c r="Y65" i="25"/>
  <c r="X65" i="25"/>
  <c r="T65" i="25"/>
  <c r="S65" i="25"/>
  <c r="U65" i="25" s="1"/>
  <c r="O65" i="25"/>
  <c r="N65" i="25"/>
  <c r="J65" i="25"/>
  <c r="I65" i="25"/>
  <c r="Y64" i="25"/>
  <c r="X64" i="25"/>
  <c r="T64" i="25"/>
  <c r="S64" i="25"/>
  <c r="U64" i="25" s="1"/>
  <c r="O64" i="25"/>
  <c r="N64" i="25"/>
  <c r="J64" i="25"/>
  <c r="I64" i="25"/>
  <c r="Y63" i="25"/>
  <c r="X63" i="25"/>
  <c r="T63" i="25"/>
  <c r="S63" i="25"/>
  <c r="U63" i="25" s="1"/>
  <c r="O63" i="25"/>
  <c r="N63" i="25"/>
  <c r="J63" i="25"/>
  <c r="I63" i="25"/>
  <c r="Y62" i="25"/>
  <c r="X62" i="25"/>
  <c r="T62" i="25"/>
  <c r="S62" i="25"/>
  <c r="U62" i="25" s="1"/>
  <c r="O62" i="25"/>
  <c r="N62" i="25"/>
  <c r="J62" i="25"/>
  <c r="I62" i="25"/>
  <c r="Y59" i="25"/>
  <c r="X59" i="25"/>
  <c r="T59" i="25"/>
  <c r="S59" i="25"/>
  <c r="U59" i="25" s="1"/>
  <c r="O59" i="25"/>
  <c r="N59" i="25"/>
  <c r="J59" i="25"/>
  <c r="I59" i="25"/>
  <c r="Y58" i="25"/>
  <c r="X58" i="25"/>
  <c r="T58" i="25"/>
  <c r="S58" i="25"/>
  <c r="U58" i="25" s="1"/>
  <c r="O58" i="25"/>
  <c r="N58" i="25"/>
  <c r="J58" i="25"/>
  <c r="I58" i="25"/>
  <c r="Y57" i="25"/>
  <c r="X57" i="25"/>
  <c r="T57" i="25"/>
  <c r="S57" i="25"/>
  <c r="U57" i="25" s="1"/>
  <c r="O57" i="25"/>
  <c r="N57" i="25"/>
  <c r="J57" i="25"/>
  <c r="I57" i="25"/>
  <c r="Y56" i="25"/>
  <c r="X56" i="25"/>
  <c r="T56" i="25"/>
  <c r="S56" i="25"/>
  <c r="U56" i="25" s="1"/>
  <c r="O56" i="25"/>
  <c r="N56" i="25"/>
  <c r="J56" i="25"/>
  <c r="I56" i="25"/>
  <c r="Y55" i="25"/>
  <c r="X55" i="25"/>
  <c r="T55" i="25"/>
  <c r="S55" i="25"/>
  <c r="U55" i="25" s="1"/>
  <c r="O55" i="25"/>
  <c r="N55" i="25"/>
  <c r="J55" i="25"/>
  <c r="I55" i="25"/>
  <c r="Y54" i="25"/>
  <c r="X54" i="25"/>
  <c r="T54" i="25"/>
  <c r="S54" i="25"/>
  <c r="U54" i="25" s="1"/>
  <c r="O54" i="25"/>
  <c r="N54" i="25"/>
  <c r="J54" i="25"/>
  <c r="I54" i="25"/>
  <c r="Y53" i="25"/>
  <c r="X53" i="25"/>
  <c r="T53" i="25"/>
  <c r="S53" i="25"/>
  <c r="U53" i="25" s="1"/>
  <c r="O53" i="25"/>
  <c r="N53" i="25"/>
  <c r="J53" i="25"/>
  <c r="I53" i="25"/>
  <c r="Y52" i="25"/>
  <c r="X52" i="25"/>
  <c r="T52" i="25"/>
  <c r="S52" i="25"/>
  <c r="U52" i="25" s="1"/>
  <c r="O52" i="25"/>
  <c r="N52" i="25"/>
  <c r="J52" i="25"/>
  <c r="I52" i="25"/>
  <c r="Y51" i="25"/>
  <c r="X51" i="25"/>
  <c r="T51" i="25"/>
  <c r="S51" i="25"/>
  <c r="U51" i="25" s="1"/>
  <c r="O51" i="25"/>
  <c r="N51" i="25"/>
  <c r="J51" i="25"/>
  <c r="I51" i="25"/>
  <c r="Y50" i="25"/>
  <c r="X50" i="25"/>
  <c r="T50" i="25"/>
  <c r="S50" i="25"/>
  <c r="U50" i="25" s="1"/>
  <c r="O50" i="25"/>
  <c r="N50" i="25"/>
  <c r="J50" i="25"/>
  <c r="I50" i="25"/>
  <c r="Y49" i="25"/>
  <c r="X49" i="25"/>
  <c r="T49" i="25"/>
  <c r="S49" i="25"/>
  <c r="U49" i="25" s="1"/>
  <c r="O49" i="25"/>
  <c r="N49" i="25"/>
  <c r="J49" i="25"/>
  <c r="I49" i="25"/>
  <c r="Y48" i="25"/>
  <c r="X48" i="25"/>
  <c r="T48" i="25"/>
  <c r="S48" i="25"/>
  <c r="U48" i="25" s="1"/>
  <c r="O48" i="25"/>
  <c r="N48" i="25"/>
  <c r="J48" i="25"/>
  <c r="I48" i="25"/>
  <c r="Y47" i="25"/>
  <c r="X47" i="25"/>
  <c r="T47" i="25"/>
  <c r="S47" i="25"/>
  <c r="U47" i="25" s="1"/>
  <c r="O47" i="25"/>
  <c r="N47" i="25"/>
  <c r="J47" i="25"/>
  <c r="I47" i="25"/>
  <c r="Y46" i="25"/>
  <c r="X46" i="25"/>
  <c r="T46" i="25"/>
  <c r="S46" i="25"/>
  <c r="U46" i="25" s="1"/>
  <c r="O46" i="25"/>
  <c r="N46" i="25"/>
  <c r="J46" i="25"/>
  <c r="I46" i="25"/>
  <c r="Y45" i="25"/>
  <c r="X45" i="25"/>
  <c r="T45" i="25"/>
  <c r="S45" i="25"/>
  <c r="U45" i="25" s="1"/>
  <c r="O45" i="25"/>
  <c r="N45" i="25"/>
  <c r="J45" i="25"/>
  <c r="I45" i="25"/>
  <c r="Y44" i="25"/>
  <c r="X44" i="25"/>
  <c r="T44" i="25"/>
  <c r="S44" i="25"/>
  <c r="U44" i="25" s="1"/>
  <c r="O44" i="25"/>
  <c r="N44" i="25"/>
  <c r="J44" i="25"/>
  <c r="I44" i="25"/>
  <c r="Y43" i="25"/>
  <c r="X43" i="25"/>
  <c r="T43" i="25"/>
  <c r="S43" i="25"/>
  <c r="U43" i="25" s="1"/>
  <c r="O43" i="25"/>
  <c r="N43" i="25"/>
  <c r="J43" i="25"/>
  <c r="I43" i="25"/>
  <c r="Y42" i="25"/>
  <c r="X42" i="25"/>
  <c r="T42" i="25"/>
  <c r="S42" i="25"/>
  <c r="U42" i="25" s="1"/>
  <c r="O42" i="25"/>
  <c r="N42" i="25"/>
  <c r="J42" i="25"/>
  <c r="I42" i="25"/>
  <c r="Y39" i="25"/>
  <c r="X39" i="25"/>
  <c r="T39" i="25"/>
  <c r="S39" i="25"/>
  <c r="U39" i="25" s="1"/>
  <c r="O39" i="25"/>
  <c r="N39" i="25"/>
  <c r="J39" i="25"/>
  <c r="I39" i="25"/>
  <c r="Y38" i="25"/>
  <c r="X38" i="25"/>
  <c r="T38" i="25"/>
  <c r="S38" i="25"/>
  <c r="U38" i="25" s="1"/>
  <c r="O38" i="25"/>
  <c r="N38" i="25"/>
  <c r="J38" i="25"/>
  <c r="I38" i="25"/>
  <c r="F38" i="25"/>
  <c r="D38" i="25"/>
  <c r="E38" i="25" s="1"/>
  <c r="Y37" i="25"/>
  <c r="X37" i="25"/>
  <c r="T37" i="25"/>
  <c r="S37" i="25"/>
  <c r="O37" i="25"/>
  <c r="N37" i="25"/>
  <c r="J37" i="25"/>
  <c r="I37" i="25"/>
  <c r="F37" i="25"/>
  <c r="D37" i="25"/>
  <c r="E37" i="25" s="1"/>
  <c r="Y36" i="25"/>
  <c r="X36" i="25"/>
  <c r="T36" i="25"/>
  <c r="S36" i="25"/>
  <c r="O36" i="25"/>
  <c r="N36" i="25"/>
  <c r="J36" i="25"/>
  <c r="I36" i="25"/>
  <c r="F36" i="25"/>
  <c r="D36" i="25"/>
  <c r="E36" i="25" s="1"/>
  <c r="Y35" i="25"/>
  <c r="X35" i="25"/>
  <c r="T35" i="25"/>
  <c r="S35" i="25"/>
  <c r="O35" i="25"/>
  <c r="N35" i="25"/>
  <c r="J35" i="25"/>
  <c r="I35" i="25"/>
  <c r="F35" i="25"/>
  <c r="D35" i="25"/>
  <c r="E35" i="25" s="1"/>
  <c r="Y34" i="25"/>
  <c r="X34" i="25"/>
  <c r="T34" i="25"/>
  <c r="S34" i="25"/>
  <c r="O34" i="25"/>
  <c r="N34" i="25"/>
  <c r="J34" i="25"/>
  <c r="I34" i="25"/>
  <c r="F34" i="25"/>
  <c r="D34" i="25"/>
  <c r="E34" i="25" s="1"/>
  <c r="Y33" i="25"/>
  <c r="X33" i="25"/>
  <c r="T33" i="25"/>
  <c r="S33" i="25"/>
  <c r="O33" i="25"/>
  <c r="N33" i="25"/>
  <c r="J33" i="25"/>
  <c r="I33" i="25"/>
  <c r="F33" i="25"/>
  <c r="D33" i="25"/>
  <c r="E33" i="25" s="1"/>
  <c r="Y32" i="25"/>
  <c r="X32" i="25"/>
  <c r="T32" i="25"/>
  <c r="S32" i="25"/>
  <c r="O32" i="25"/>
  <c r="N32" i="25"/>
  <c r="J32" i="25"/>
  <c r="I32" i="25"/>
  <c r="F32" i="25"/>
  <c r="D32" i="25"/>
  <c r="E32" i="25" s="1"/>
  <c r="Y31" i="25"/>
  <c r="X31" i="25"/>
  <c r="Z31" i="25" s="1"/>
  <c r="T31" i="25"/>
  <c r="S31" i="25"/>
  <c r="O31" i="25"/>
  <c r="N31" i="25"/>
  <c r="P31" i="25" s="1"/>
  <c r="J31" i="25"/>
  <c r="I31" i="25"/>
  <c r="F31" i="25"/>
  <c r="D31" i="25"/>
  <c r="E31" i="25" s="1"/>
  <c r="Y30" i="25"/>
  <c r="X30" i="25"/>
  <c r="T30" i="25"/>
  <c r="S30" i="25"/>
  <c r="U30" i="25" s="1"/>
  <c r="O30" i="25"/>
  <c r="N30" i="25"/>
  <c r="J30" i="25"/>
  <c r="I30" i="25"/>
  <c r="K30" i="25" s="1"/>
  <c r="F30" i="25"/>
  <c r="D30" i="25"/>
  <c r="E30" i="25" s="1"/>
  <c r="Y29" i="25"/>
  <c r="X29" i="25"/>
  <c r="T29" i="25"/>
  <c r="S29" i="25"/>
  <c r="O29" i="25"/>
  <c r="N29" i="25"/>
  <c r="J29" i="25"/>
  <c r="I29" i="25"/>
  <c r="F29" i="25"/>
  <c r="D29" i="25"/>
  <c r="E29" i="25" s="1"/>
  <c r="Y28" i="25"/>
  <c r="X28" i="25"/>
  <c r="T28" i="25"/>
  <c r="S28" i="25"/>
  <c r="O28" i="25"/>
  <c r="N28" i="25"/>
  <c r="J28" i="25"/>
  <c r="I28" i="25"/>
  <c r="F28" i="25"/>
  <c r="D28" i="25"/>
  <c r="E28" i="25" s="1"/>
  <c r="Y27" i="25"/>
  <c r="X27" i="25"/>
  <c r="T27" i="25"/>
  <c r="S27" i="25"/>
  <c r="O27" i="25"/>
  <c r="N27" i="25"/>
  <c r="J27" i="25"/>
  <c r="I27" i="25"/>
  <c r="F27" i="25"/>
  <c r="D27" i="25"/>
  <c r="E27" i="25" s="1"/>
  <c r="Y26" i="25"/>
  <c r="X26" i="25"/>
  <c r="T26" i="25"/>
  <c r="S26" i="25"/>
  <c r="O26" i="25"/>
  <c r="N26" i="25"/>
  <c r="J26" i="25"/>
  <c r="I26" i="25"/>
  <c r="F26" i="25"/>
  <c r="D26" i="25"/>
  <c r="E26" i="25" s="1"/>
  <c r="Y25" i="25"/>
  <c r="X25" i="25"/>
  <c r="T25" i="25"/>
  <c r="S25" i="25"/>
  <c r="O25" i="25"/>
  <c r="N25" i="25"/>
  <c r="J25" i="25"/>
  <c r="I25" i="25"/>
  <c r="F25" i="25"/>
  <c r="D25" i="25"/>
  <c r="E25" i="25" s="1"/>
  <c r="Y24" i="25"/>
  <c r="X24" i="25"/>
  <c r="T24" i="25"/>
  <c r="S24" i="25"/>
  <c r="O24" i="25"/>
  <c r="N24" i="25"/>
  <c r="J24" i="25"/>
  <c r="I24" i="25"/>
  <c r="F24" i="25"/>
  <c r="D24" i="25"/>
  <c r="E24" i="25" s="1"/>
  <c r="Y23" i="25"/>
  <c r="X23" i="25"/>
  <c r="T23" i="25"/>
  <c r="S23" i="25"/>
  <c r="O23" i="25"/>
  <c r="N23" i="25"/>
  <c r="J23" i="25"/>
  <c r="I23" i="25"/>
  <c r="F23" i="25"/>
  <c r="D23" i="25"/>
  <c r="E23" i="25" s="1"/>
  <c r="Y22" i="25"/>
  <c r="X22" i="25"/>
  <c r="T22" i="25"/>
  <c r="S22" i="25"/>
  <c r="O22" i="25"/>
  <c r="N22" i="25"/>
  <c r="J22" i="25"/>
  <c r="I22" i="25"/>
  <c r="F22" i="25"/>
  <c r="D22" i="25"/>
  <c r="E22" i="25" s="1"/>
  <c r="F21" i="25"/>
  <c r="E21" i="25"/>
  <c r="D21" i="25"/>
  <c r="F20" i="25"/>
  <c r="D20" i="25"/>
  <c r="E20" i="25" s="1"/>
  <c r="X19" i="25"/>
  <c r="Z19" i="25" s="1"/>
  <c r="V19" i="25"/>
  <c r="S19" i="25"/>
  <c r="U19" i="25" s="1"/>
  <c r="Q19" i="25"/>
  <c r="AA19" i="25" s="1"/>
  <c r="N19" i="25"/>
  <c r="P19" i="25" s="1"/>
  <c r="I19" i="25"/>
  <c r="K19" i="25" s="1"/>
  <c r="F19" i="25"/>
  <c r="D19" i="25"/>
  <c r="E19" i="25" s="1"/>
  <c r="X18" i="25"/>
  <c r="Z18" i="25" s="1"/>
  <c r="V18" i="25"/>
  <c r="S18" i="25"/>
  <c r="U18" i="25" s="1"/>
  <c r="Q18" i="25"/>
  <c r="AA18" i="25" s="1"/>
  <c r="N18" i="25"/>
  <c r="P18" i="25" s="1"/>
  <c r="I18" i="25"/>
  <c r="K18" i="25" s="1"/>
  <c r="F18" i="25"/>
  <c r="D18" i="25"/>
  <c r="E18" i="25" s="1"/>
  <c r="X17" i="25"/>
  <c r="Z17" i="25" s="1"/>
  <c r="V17" i="25"/>
  <c r="S17" i="25"/>
  <c r="U17" i="25" s="1"/>
  <c r="Q17" i="25"/>
  <c r="AA17" i="25" s="1"/>
  <c r="N17" i="25"/>
  <c r="P17" i="25" s="1"/>
  <c r="I17" i="25"/>
  <c r="K17" i="25" s="1"/>
  <c r="F17" i="25"/>
  <c r="D17" i="25"/>
  <c r="E17" i="25" s="1"/>
  <c r="Z16" i="25"/>
  <c r="X16" i="25"/>
  <c r="V16" i="25"/>
  <c r="S16" i="25"/>
  <c r="U16" i="25" s="1"/>
  <c r="Q16" i="25"/>
  <c r="AA16" i="25" s="1"/>
  <c r="N16" i="25"/>
  <c r="P16" i="25" s="1"/>
  <c r="I16" i="25"/>
  <c r="K16" i="25" s="1"/>
  <c r="F16" i="25"/>
  <c r="D16" i="25"/>
  <c r="E16" i="25" s="1"/>
  <c r="X15" i="25"/>
  <c r="Z15" i="25" s="1"/>
  <c r="V15" i="25"/>
  <c r="S15" i="25"/>
  <c r="U15" i="25" s="1"/>
  <c r="Q15" i="25"/>
  <c r="AA15" i="25" s="1"/>
  <c r="N15" i="25"/>
  <c r="P15" i="25" s="1"/>
  <c r="I15" i="25"/>
  <c r="K15" i="25" s="1"/>
  <c r="F15" i="25"/>
  <c r="D15" i="25"/>
  <c r="E15" i="25" s="1"/>
  <c r="X14" i="25"/>
  <c r="Z14" i="25" s="1"/>
  <c r="V14" i="25"/>
  <c r="S14" i="25"/>
  <c r="U14" i="25" s="1"/>
  <c r="Q14" i="25"/>
  <c r="AA14" i="25" s="1"/>
  <c r="N14" i="25"/>
  <c r="P14" i="25" s="1"/>
  <c r="I14" i="25"/>
  <c r="K14" i="25" s="1"/>
  <c r="F14" i="25"/>
  <c r="D14" i="25"/>
  <c r="E14" i="25" s="1"/>
  <c r="X13" i="25"/>
  <c r="Z13" i="25" s="1"/>
  <c r="V13" i="25"/>
  <c r="S13" i="25"/>
  <c r="U13" i="25" s="1"/>
  <c r="Q13" i="25"/>
  <c r="AA13" i="25" s="1"/>
  <c r="N13" i="25"/>
  <c r="P13" i="25" s="1"/>
  <c r="I13" i="25"/>
  <c r="K13" i="25" s="1"/>
  <c r="F13" i="25"/>
  <c r="D13" i="25"/>
  <c r="E13" i="25" s="1"/>
  <c r="X12" i="25"/>
  <c r="Z12" i="25" s="1"/>
  <c r="V12" i="25"/>
  <c r="S12" i="25"/>
  <c r="U12" i="25" s="1"/>
  <c r="Q12" i="25"/>
  <c r="AA12" i="25" s="1"/>
  <c r="N12" i="25"/>
  <c r="P12" i="25" s="1"/>
  <c r="I12" i="25"/>
  <c r="K12" i="25" s="1"/>
  <c r="F12" i="25"/>
  <c r="D12" i="25"/>
  <c r="E12" i="25" s="1"/>
  <c r="X11" i="25"/>
  <c r="Z11" i="25" s="1"/>
  <c r="V11" i="25"/>
  <c r="S11" i="25"/>
  <c r="U11" i="25" s="1"/>
  <c r="Q11" i="25"/>
  <c r="AA11" i="25" s="1"/>
  <c r="N11" i="25"/>
  <c r="P11" i="25" s="1"/>
  <c r="I11" i="25"/>
  <c r="K11" i="25" s="1"/>
  <c r="F11" i="25"/>
  <c r="D11" i="25"/>
  <c r="E11" i="25" s="1"/>
  <c r="X10" i="25"/>
  <c r="Z10" i="25" s="1"/>
  <c r="V10" i="25"/>
  <c r="S10" i="25"/>
  <c r="U10" i="25" s="1"/>
  <c r="Q10" i="25"/>
  <c r="AA10" i="25" s="1"/>
  <c r="P10" i="25"/>
  <c r="N10" i="25"/>
  <c r="I10" i="25"/>
  <c r="K10" i="25" s="1"/>
  <c r="F10" i="25"/>
  <c r="D10" i="25"/>
  <c r="E10" i="25" s="1"/>
  <c r="Z9" i="25"/>
  <c r="X9" i="25"/>
  <c r="V9" i="25"/>
  <c r="S9" i="25"/>
  <c r="U9" i="25" s="1"/>
  <c r="Q9" i="25"/>
  <c r="AA9" i="25" s="1"/>
  <c r="N9" i="25"/>
  <c r="P9" i="25" s="1"/>
  <c r="I9" i="25"/>
  <c r="K9" i="25" s="1"/>
  <c r="F9" i="25"/>
  <c r="D9" i="25"/>
  <c r="E9" i="25" s="1"/>
  <c r="X8" i="25"/>
  <c r="Z8" i="25" s="1"/>
  <c r="V8" i="25"/>
  <c r="S8" i="25"/>
  <c r="U8" i="25" s="1"/>
  <c r="Q8" i="25"/>
  <c r="AA8" i="25" s="1"/>
  <c r="N8" i="25"/>
  <c r="P8" i="25" s="1"/>
  <c r="I8" i="25"/>
  <c r="K8" i="25" s="1"/>
  <c r="F8" i="25"/>
  <c r="D8" i="25"/>
  <c r="E8" i="25" s="1"/>
  <c r="X7" i="25"/>
  <c r="Z7" i="25" s="1"/>
  <c r="V7" i="25"/>
  <c r="S7" i="25"/>
  <c r="U7" i="25" s="1"/>
  <c r="Q7" i="25"/>
  <c r="AA7" i="25" s="1"/>
  <c r="N7" i="25"/>
  <c r="P7" i="25" s="1"/>
  <c r="I7" i="25"/>
  <c r="K7" i="25" s="1"/>
  <c r="F7" i="25"/>
  <c r="D7" i="25"/>
  <c r="E7" i="25" s="1"/>
  <c r="X6" i="25"/>
  <c r="Z6" i="25" s="1"/>
  <c r="V6" i="25"/>
  <c r="S6" i="25"/>
  <c r="U6" i="25" s="1"/>
  <c r="Q6" i="25"/>
  <c r="AA6" i="25" s="1"/>
  <c r="N6" i="25"/>
  <c r="P6" i="25" s="1"/>
  <c r="K6" i="25"/>
  <c r="I6" i="25"/>
  <c r="F6" i="25"/>
  <c r="D6" i="25"/>
  <c r="E6" i="25" s="1"/>
  <c r="X5" i="25"/>
  <c r="Z5" i="25" s="1"/>
  <c r="V5" i="25"/>
  <c r="S5" i="25"/>
  <c r="U5" i="25" s="1"/>
  <c r="Q5" i="25"/>
  <c r="AA5" i="25" s="1"/>
  <c r="N5" i="25"/>
  <c r="P5" i="25" s="1"/>
  <c r="K5" i="25"/>
  <c r="I5" i="25"/>
  <c r="F5" i="25"/>
  <c r="D5" i="25"/>
  <c r="E5" i="25" s="1"/>
  <c r="X4" i="25"/>
  <c r="Z4" i="25" s="1"/>
  <c r="V4" i="25"/>
  <c r="S4" i="25"/>
  <c r="U4" i="25" s="1"/>
  <c r="Q4" i="25"/>
  <c r="AA4" i="25" s="1"/>
  <c r="P4" i="25"/>
  <c r="N4" i="25"/>
  <c r="I4" i="25"/>
  <c r="K4" i="25" s="1"/>
  <c r="F4" i="25"/>
  <c r="D4" i="25"/>
  <c r="E4" i="25" s="1"/>
  <c r="X3" i="25"/>
  <c r="Z3" i="25" s="1"/>
  <c r="V3" i="25"/>
  <c r="S3" i="25"/>
  <c r="U3" i="25" s="1"/>
  <c r="Q3" i="25"/>
  <c r="AA3" i="25" s="1"/>
  <c r="N3" i="25"/>
  <c r="P3" i="25" s="1"/>
  <c r="I3" i="25"/>
  <c r="K3" i="25" s="1"/>
  <c r="F3" i="25"/>
  <c r="D3" i="25"/>
  <c r="E3" i="25" s="1"/>
  <c r="X2" i="25"/>
  <c r="Z2" i="25" s="1"/>
  <c r="V2" i="25"/>
  <c r="S2" i="25"/>
  <c r="U2" i="25" s="1"/>
  <c r="Q2" i="25"/>
  <c r="AA2" i="25" s="1"/>
  <c r="N2" i="25"/>
  <c r="P2" i="25" s="1"/>
  <c r="I2" i="25"/>
  <c r="K2" i="25" s="1"/>
  <c r="F2" i="25"/>
  <c r="D2" i="25"/>
  <c r="E2" i="25" s="1"/>
  <c r="P34" i="25" l="1"/>
  <c r="U22" i="25"/>
  <c r="U37" i="25"/>
  <c r="P38" i="25"/>
  <c r="P39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U31" i="25"/>
  <c r="P22" i="25"/>
  <c r="P37" i="25"/>
  <c r="K71" i="25"/>
  <c r="K72" i="25"/>
  <c r="K73" i="25"/>
  <c r="K74" i="25"/>
  <c r="K75" i="25"/>
  <c r="K76" i="25"/>
  <c r="K77" i="25"/>
  <c r="K78" i="25"/>
  <c r="K79" i="25"/>
  <c r="U34" i="25"/>
  <c r="K22" i="25"/>
  <c r="Z34" i="25"/>
  <c r="K25" i="25"/>
  <c r="P25" i="25"/>
  <c r="U25" i="25"/>
  <c r="K26" i="25"/>
  <c r="P26" i="25"/>
  <c r="U27" i="25"/>
  <c r="Z27" i="25"/>
  <c r="E111" i="1"/>
  <c r="E79" i="1"/>
  <c r="E187" i="1"/>
  <c r="E64" i="1"/>
  <c r="E80" i="1"/>
  <c r="E190" i="1"/>
  <c r="E174" i="1"/>
  <c r="E158" i="1"/>
  <c r="E142" i="1"/>
  <c r="E126" i="1"/>
  <c r="E62" i="1"/>
  <c r="E46" i="1"/>
  <c r="E117" i="1"/>
  <c r="E85" i="1"/>
  <c r="E53" i="1"/>
  <c r="E180" i="1"/>
  <c r="E163" i="1"/>
  <c r="E152" i="1"/>
  <c r="E167" i="1"/>
  <c r="E151" i="1"/>
  <c r="E103" i="1"/>
  <c r="E39" i="1"/>
  <c r="E94" i="1"/>
  <c r="E101" i="1"/>
  <c r="E37" i="1"/>
  <c r="E21" i="1"/>
  <c r="E9" i="1"/>
  <c r="E214" i="1"/>
  <c r="E148" i="1"/>
  <c r="E132" i="1"/>
  <c r="E108" i="1"/>
  <c r="E92" i="1"/>
  <c r="E76" i="1"/>
  <c r="E179" i="1"/>
  <c r="E147" i="1"/>
  <c r="E131" i="1"/>
  <c r="E115" i="1"/>
  <c r="E99" i="1"/>
  <c r="E83" i="1"/>
  <c r="E51" i="1"/>
  <c r="E35" i="1"/>
  <c r="E19" i="1"/>
  <c r="E7" i="1"/>
  <c r="E303" i="1"/>
  <c r="E146" i="1"/>
  <c r="E130" i="1"/>
  <c r="E114" i="1"/>
  <c r="E98" i="1"/>
  <c r="E82" i="1"/>
  <c r="E66" i="1"/>
  <c r="E50" i="1"/>
  <c r="E34" i="1"/>
  <c r="E18" i="1"/>
  <c r="E6" i="1"/>
  <c r="E257" i="1"/>
  <c r="E137" i="1"/>
  <c r="E121" i="1"/>
  <c r="E105" i="1"/>
  <c r="E89" i="1"/>
  <c r="E73" i="1"/>
  <c r="E57" i="1"/>
  <c r="E41" i="1"/>
  <c r="E25" i="1"/>
  <c r="E24" i="1"/>
  <c r="E2" i="1"/>
  <c r="E110" i="1"/>
  <c r="E13" i="1"/>
  <c r="E175" i="1"/>
  <c r="E159" i="1"/>
  <c r="E31" i="1"/>
  <c r="E4" i="1"/>
  <c r="E341" i="1"/>
  <c r="E134" i="1"/>
  <c r="E118" i="1"/>
  <c r="E86" i="1"/>
  <c r="E54" i="1"/>
  <c r="E38" i="1"/>
  <c r="E22" i="1"/>
  <c r="E10" i="1"/>
  <c r="E337" i="1"/>
  <c r="E141" i="1"/>
  <c r="E125" i="1"/>
  <c r="E93" i="1"/>
  <c r="E77" i="1"/>
  <c r="E61" i="1"/>
  <c r="E45" i="1"/>
  <c r="E36" i="1"/>
  <c r="E29" i="1"/>
  <c r="E20" i="1"/>
  <c r="E52" i="1"/>
  <c r="E124" i="1"/>
  <c r="E28" i="1"/>
  <c r="E43" i="1"/>
  <c r="E14" i="1"/>
  <c r="E197" i="1"/>
  <c r="E42" i="1"/>
  <c r="E26" i="1"/>
  <c r="E33" i="1"/>
  <c r="E17" i="1"/>
  <c r="E32" i="1"/>
  <c r="E12" i="1"/>
  <c r="E75" i="1"/>
  <c r="E5" i="1"/>
  <c r="E135" i="1"/>
  <c r="E119" i="1"/>
  <c r="E87" i="1"/>
  <c r="E71" i="1"/>
  <c r="E55" i="1"/>
  <c r="E109" i="1"/>
  <c r="E102" i="1"/>
  <c r="E203" i="1"/>
  <c r="E207" i="1"/>
  <c r="E198" i="1"/>
  <c r="E202" i="1"/>
  <c r="E185" i="1"/>
  <c r="E169" i="1"/>
  <c r="E153" i="1"/>
  <c r="E168" i="1"/>
  <c r="E144" i="1"/>
  <c r="E128" i="1"/>
  <c r="E104" i="1"/>
  <c r="E88" i="1"/>
  <c r="E56" i="1"/>
  <c r="E78" i="1"/>
  <c r="E201" i="1"/>
  <c r="E205" i="1"/>
  <c r="E194" i="1"/>
  <c r="E184" i="1"/>
  <c r="E192" i="1"/>
  <c r="E195" i="1"/>
  <c r="E143" i="1"/>
  <c r="E127" i="1"/>
  <c r="E95" i="1"/>
  <c r="E63" i="1"/>
  <c r="E47" i="1"/>
  <c r="E204" i="1"/>
  <c r="E208" i="1"/>
  <c r="E186" i="1"/>
  <c r="E154" i="1"/>
  <c r="E200" i="1"/>
  <c r="E193" i="1"/>
  <c r="E196" i="1"/>
  <c r="E177" i="1"/>
  <c r="E161" i="1"/>
  <c r="E113" i="1"/>
  <c r="E81" i="1"/>
  <c r="E65" i="1"/>
  <c r="E49" i="1"/>
  <c r="E176" i="1"/>
  <c r="E160" i="1"/>
  <c r="E136" i="1"/>
  <c r="E120" i="1"/>
  <c r="E96" i="1"/>
  <c r="E72" i="1"/>
  <c r="D4" i="5"/>
  <c r="D4" i="1" s="1"/>
  <c r="I4" i="1" s="1"/>
  <c r="J4" i="1" s="1"/>
  <c r="D194" i="5"/>
  <c r="D194" i="1" s="1"/>
  <c r="I194" i="1" s="1"/>
  <c r="J194" i="1" s="1"/>
  <c r="D178" i="5"/>
  <c r="D178" i="1" s="1"/>
  <c r="I178" i="1" s="1"/>
  <c r="J178" i="1" s="1"/>
  <c r="D162" i="5"/>
  <c r="D162" i="1" s="1"/>
  <c r="I162" i="1" s="1"/>
  <c r="J162" i="1" s="1"/>
  <c r="D146" i="5"/>
  <c r="D146" i="1" s="1"/>
  <c r="I146" i="1" s="1"/>
  <c r="J146" i="1" s="1"/>
  <c r="D130" i="5"/>
  <c r="D130" i="1" s="1"/>
  <c r="I130" i="1" s="1"/>
  <c r="J130" i="1" s="1"/>
  <c r="D114" i="5"/>
  <c r="D114" i="1" s="1"/>
  <c r="I114" i="1" s="1"/>
  <c r="J114" i="1" s="1"/>
  <c r="D98" i="5"/>
  <c r="D98" i="1" s="1"/>
  <c r="I98" i="1" s="1"/>
  <c r="J98" i="1" s="1"/>
  <c r="D82" i="5"/>
  <c r="D82" i="1" s="1"/>
  <c r="I82" i="1" s="1"/>
  <c r="J82" i="1" s="1"/>
  <c r="D66" i="5"/>
  <c r="D66" i="1" s="1"/>
  <c r="I66" i="1" s="1"/>
  <c r="J66" i="1" s="1"/>
  <c r="D50" i="5"/>
  <c r="D50" i="1" s="1"/>
  <c r="I50" i="1" s="1"/>
  <c r="J50" i="1" s="1"/>
  <c r="D34" i="5"/>
  <c r="D34" i="1" s="1"/>
  <c r="I34" i="1" s="1"/>
  <c r="J34" i="1" s="1"/>
  <c r="D18" i="5"/>
  <c r="D18" i="1" s="1"/>
  <c r="I18" i="1" s="1"/>
  <c r="J18" i="1" s="1"/>
  <c r="D6" i="5"/>
  <c r="D6" i="1" s="1"/>
  <c r="I6" i="1" s="1"/>
  <c r="J6" i="1" s="1"/>
  <c r="D73" i="5"/>
  <c r="D73" i="1" s="1"/>
  <c r="I73" i="1" s="1"/>
  <c r="J73" i="1" s="1"/>
  <c r="D190" i="5"/>
  <c r="D190" i="1" s="1"/>
  <c r="I190" i="1" s="1"/>
  <c r="J190" i="1" s="1"/>
  <c r="D174" i="5"/>
  <c r="D174" i="1" s="1"/>
  <c r="I174" i="1" s="1"/>
  <c r="J174" i="1" s="1"/>
  <c r="D145" i="5"/>
  <c r="D145" i="1" s="1"/>
  <c r="I145" i="1" s="1"/>
  <c r="D97" i="5"/>
  <c r="D97" i="1" s="1"/>
  <c r="I97" i="1" s="1"/>
  <c r="J97" i="1" s="1"/>
  <c r="D17" i="5"/>
  <c r="D17" i="1" s="1"/>
  <c r="I17" i="1" s="1"/>
  <c r="J17" i="1" s="1"/>
  <c r="D65" i="5"/>
  <c r="D65" i="1" s="1"/>
  <c r="I65" i="1" s="1"/>
  <c r="D113" i="5"/>
  <c r="D113" i="1" s="1"/>
  <c r="I113" i="1" s="1"/>
  <c r="J113" i="1" s="1"/>
  <c r="D57" i="5"/>
  <c r="D57" i="1" s="1"/>
  <c r="I57" i="1" s="1"/>
  <c r="J57" i="1" s="1"/>
  <c r="D105" i="5"/>
  <c r="D105" i="1" s="1"/>
  <c r="I105" i="1" s="1"/>
  <c r="J105" i="1" s="1"/>
  <c r="D33" i="5"/>
  <c r="D33" i="1" s="1"/>
  <c r="I33" i="1" s="1"/>
  <c r="J33" i="1" s="1"/>
  <c r="D193" i="5"/>
  <c r="D193" i="1" s="1"/>
  <c r="I193" i="1" s="1"/>
  <c r="J193" i="1" s="1"/>
  <c r="D177" i="5"/>
  <c r="D177" i="1" s="1"/>
  <c r="I177" i="1" s="1"/>
  <c r="J177" i="1" s="1"/>
  <c r="D184" i="5"/>
  <c r="D184" i="1" s="1"/>
  <c r="I184" i="1" s="1"/>
  <c r="J184" i="1" s="1"/>
  <c r="D168" i="5"/>
  <c r="D168" i="1" s="1"/>
  <c r="I168" i="1" s="1"/>
  <c r="J168" i="1" s="1"/>
  <c r="D152" i="5"/>
  <c r="D152" i="1" s="1"/>
  <c r="I152" i="1" s="1"/>
  <c r="J152" i="1" s="1"/>
  <c r="D136" i="5"/>
  <c r="D136" i="1" s="1"/>
  <c r="I136" i="1" s="1"/>
  <c r="J136" i="1" s="1"/>
  <c r="D120" i="5"/>
  <c r="D120" i="1" s="1"/>
  <c r="I120" i="1" s="1"/>
  <c r="J120" i="1" s="1"/>
  <c r="D104" i="5"/>
  <c r="D104" i="1" s="1"/>
  <c r="I104" i="1" s="1"/>
  <c r="J104" i="1" s="1"/>
  <c r="D88" i="5"/>
  <c r="D88" i="1" s="1"/>
  <c r="I88" i="1" s="1"/>
  <c r="D72" i="5"/>
  <c r="D72" i="1" s="1"/>
  <c r="I72" i="1" s="1"/>
  <c r="J72" i="1" s="1"/>
  <c r="D56" i="5"/>
  <c r="D56" i="1" s="1"/>
  <c r="I56" i="1" s="1"/>
  <c r="J56" i="1" s="1"/>
  <c r="D40" i="5"/>
  <c r="D40" i="1" s="1"/>
  <c r="I40" i="1" s="1"/>
  <c r="J40" i="1" s="1"/>
  <c r="D24" i="5"/>
  <c r="D24" i="1" s="1"/>
  <c r="I24" i="1" s="1"/>
  <c r="J24" i="1" s="1"/>
  <c r="D12" i="5"/>
  <c r="D12" i="1" s="1"/>
  <c r="I12" i="1" s="1"/>
  <c r="J12" i="1" s="1"/>
  <c r="D137" i="5"/>
  <c r="D137" i="1" s="1"/>
  <c r="I137" i="1" s="1"/>
  <c r="J137" i="1" s="1"/>
  <c r="D191" i="5"/>
  <c r="D191" i="1" s="1"/>
  <c r="I191" i="1" s="1"/>
  <c r="J191" i="1" s="1"/>
  <c r="D175" i="5"/>
  <c r="D175" i="1" s="1"/>
  <c r="I175" i="1" s="1"/>
  <c r="J175" i="1" s="1"/>
  <c r="D159" i="5"/>
  <c r="D159" i="1" s="1"/>
  <c r="I159" i="1" s="1"/>
  <c r="J159" i="1" s="1"/>
  <c r="D143" i="5"/>
  <c r="D143" i="1" s="1"/>
  <c r="I143" i="1" s="1"/>
  <c r="J143" i="1" s="1"/>
  <c r="D127" i="5"/>
  <c r="D127" i="1" s="1"/>
  <c r="I127" i="1" s="1"/>
  <c r="D111" i="5"/>
  <c r="D111" i="1" s="1"/>
  <c r="I111" i="1" s="1"/>
  <c r="J111" i="1" s="1"/>
  <c r="D95" i="5"/>
  <c r="D95" i="1" s="1"/>
  <c r="I95" i="1" s="1"/>
  <c r="J95" i="1" s="1"/>
  <c r="D79" i="5"/>
  <c r="D79" i="1" s="1"/>
  <c r="I79" i="1" s="1"/>
  <c r="J79" i="1" s="1"/>
  <c r="D63" i="5"/>
  <c r="D63" i="1" s="1"/>
  <c r="I63" i="1" s="1"/>
  <c r="J63" i="1" s="1"/>
  <c r="D47" i="5"/>
  <c r="D47" i="1" s="1"/>
  <c r="I47" i="1" s="1"/>
  <c r="J47" i="1" s="1"/>
  <c r="D31" i="5"/>
  <c r="D31" i="1" s="1"/>
  <c r="I31" i="1" s="1"/>
  <c r="J31" i="1" s="1"/>
  <c r="D16" i="5"/>
  <c r="D16" i="1" s="1"/>
  <c r="I16" i="1" s="1"/>
  <c r="J16" i="1" s="1"/>
  <c r="D53" i="5"/>
  <c r="D53" i="1" s="1"/>
  <c r="I53" i="1" s="1"/>
  <c r="J53" i="1" s="1"/>
  <c r="D158" i="5"/>
  <c r="D158" i="1" s="1"/>
  <c r="I158" i="1" s="1"/>
  <c r="J158" i="1" s="1"/>
  <c r="D142" i="5"/>
  <c r="D142" i="1" s="1"/>
  <c r="I142" i="1" s="1"/>
  <c r="J142" i="1" s="1"/>
  <c r="D126" i="5"/>
  <c r="D126" i="1" s="1"/>
  <c r="I126" i="1" s="1"/>
  <c r="J126" i="1" s="1"/>
  <c r="D110" i="5"/>
  <c r="D110" i="1" s="1"/>
  <c r="I110" i="1" s="1"/>
  <c r="J110" i="1" s="1"/>
  <c r="D94" i="5"/>
  <c r="D94" i="1" s="1"/>
  <c r="I94" i="1" s="1"/>
  <c r="J94" i="1" s="1"/>
  <c r="D78" i="5"/>
  <c r="D78" i="1" s="1"/>
  <c r="I78" i="1" s="1"/>
  <c r="J78" i="1" s="1"/>
  <c r="D62" i="5"/>
  <c r="D62" i="1" s="1"/>
  <c r="I62" i="1" s="1"/>
  <c r="J62" i="1" s="1"/>
  <c r="D46" i="5"/>
  <c r="D46" i="1" s="1"/>
  <c r="I46" i="1" s="1"/>
  <c r="D30" i="5"/>
  <c r="D30" i="1" s="1"/>
  <c r="I30" i="1" s="1"/>
  <c r="J30" i="1" s="1"/>
  <c r="D15" i="5"/>
  <c r="D15" i="1" s="1"/>
  <c r="I15" i="1" s="1"/>
  <c r="J15" i="1" s="1"/>
  <c r="D201" i="5"/>
  <c r="D201" i="1" s="1"/>
  <c r="I201" i="1" s="1"/>
  <c r="J201" i="1" s="1"/>
  <c r="D85" i="5"/>
  <c r="D85" i="1" s="1"/>
  <c r="I85" i="1" s="1"/>
  <c r="J85" i="1" s="1"/>
  <c r="D45" i="5"/>
  <c r="D45" i="1" s="1"/>
  <c r="I45" i="1" s="1"/>
  <c r="J45" i="1" s="1"/>
  <c r="D21" i="5"/>
  <c r="D21" i="1" s="1"/>
  <c r="I21" i="1" s="1"/>
  <c r="J21" i="1" s="1"/>
  <c r="D181" i="5"/>
  <c r="D181" i="1" s="1"/>
  <c r="I181" i="1" s="1"/>
  <c r="J181" i="1" s="1"/>
  <c r="D165" i="5"/>
  <c r="D165" i="1" s="1"/>
  <c r="I165" i="1" s="1"/>
  <c r="J165" i="1" s="1"/>
  <c r="D133" i="5"/>
  <c r="D133" i="1" s="1"/>
  <c r="I133" i="1" s="1"/>
  <c r="J133" i="1" s="1"/>
  <c r="D117" i="5"/>
  <c r="D117" i="1" s="1"/>
  <c r="I117" i="1" s="1"/>
  <c r="J117" i="1" s="1"/>
  <c r="D101" i="5"/>
  <c r="D101" i="1" s="1"/>
  <c r="I101" i="1" s="1"/>
  <c r="J101" i="1" s="1"/>
  <c r="D77" i="5"/>
  <c r="D77" i="1" s="1"/>
  <c r="I77" i="1" s="1"/>
  <c r="J77" i="1" s="1"/>
  <c r="D37" i="5"/>
  <c r="D37" i="1" s="1"/>
  <c r="I37" i="1" s="1"/>
  <c r="J37" i="1" s="1"/>
  <c r="D180" i="5"/>
  <c r="D180" i="1" s="1"/>
  <c r="I180" i="1" s="1"/>
  <c r="J180" i="1" s="1"/>
  <c r="D164" i="5"/>
  <c r="D164" i="1" s="1"/>
  <c r="I164" i="1" s="1"/>
  <c r="J164" i="1" s="1"/>
  <c r="D148" i="5"/>
  <c r="D148" i="1" s="1"/>
  <c r="I148" i="1" s="1"/>
  <c r="J148" i="1" s="1"/>
  <c r="D132" i="5"/>
  <c r="D132" i="1" s="1"/>
  <c r="I132" i="1" s="1"/>
  <c r="J132" i="1" s="1"/>
  <c r="D116" i="5"/>
  <c r="D116" i="1" s="1"/>
  <c r="I116" i="1" s="1"/>
  <c r="J116" i="1" s="1"/>
  <c r="D100" i="5"/>
  <c r="D100" i="1" s="1"/>
  <c r="I100" i="1" s="1"/>
  <c r="J100" i="1" s="1"/>
  <c r="D84" i="5"/>
  <c r="D84" i="1" s="1"/>
  <c r="I84" i="1" s="1"/>
  <c r="J84" i="1" s="1"/>
  <c r="D68" i="5"/>
  <c r="D68" i="1" s="1"/>
  <c r="I68" i="1" s="1"/>
  <c r="J68" i="1" s="1"/>
  <c r="D52" i="5"/>
  <c r="D52" i="1" s="1"/>
  <c r="I52" i="1" s="1"/>
  <c r="J52" i="1" s="1"/>
  <c r="D36" i="5"/>
  <c r="D36" i="1" s="1"/>
  <c r="I36" i="1" s="1"/>
  <c r="J36" i="1" s="1"/>
  <c r="D20" i="5"/>
  <c r="D20" i="1" s="1"/>
  <c r="I20" i="1" s="1"/>
  <c r="J20" i="1" s="1"/>
  <c r="D8" i="5"/>
  <c r="D8" i="1" s="1"/>
  <c r="I8" i="1" s="1"/>
  <c r="J8" i="1" s="1"/>
  <c r="D166" i="5"/>
  <c r="D166" i="1" s="1"/>
  <c r="I166" i="1" s="1"/>
  <c r="J166" i="1" s="1"/>
  <c r="D197" i="5"/>
  <c r="D197" i="1" s="1"/>
  <c r="I197" i="1" s="1"/>
  <c r="J197" i="1" s="1"/>
  <c r="D198" i="5"/>
  <c r="D198" i="1" s="1"/>
  <c r="I198" i="1" s="1"/>
  <c r="J198" i="1" s="1"/>
  <c r="D179" i="5"/>
  <c r="D179" i="1" s="1"/>
  <c r="I179" i="1" s="1"/>
  <c r="J179" i="1" s="1"/>
  <c r="D163" i="5"/>
  <c r="D163" i="1" s="1"/>
  <c r="I163" i="1" s="1"/>
  <c r="J163" i="1" s="1"/>
  <c r="D147" i="5"/>
  <c r="D147" i="1" s="1"/>
  <c r="I147" i="1" s="1"/>
  <c r="J147" i="1" s="1"/>
  <c r="D131" i="5"/>
  <c r="D131" i="1" s="1"/>
  <c r="I131" i="1" s="1"/>
  <c r="J131" i="1" s="1"/>
  <c r="D115" i="5"/>
  <c r="D115" i="1" s="1"/>
  <c r="I115" i="1" s="1"/>
  <c r="J115" i="1" s="1"/>
  <c r="D99" i="5"/>
  <c r="D99" i="1" s="1"/>
  <c r="I99" i="1" s="1"/>
  <c r="J99" i="1" s="1"/>
  <c r="D83" i="5"/>
  <c r="D83" i="1" s="1"/>
  <c r="I83" i="1" s="1"/>
  <c r="J83" i="1" s="1"/>
  <c r="D67" i="5"/>
  <c r="D67" i="1" s="1"/>
  <c r="I67" i="1" s="1"/>
  <c r="J67" i="1" s="1"/>
  <c r="D43" i="5"/>
  <c r="D43" i="1" s="1"/>
  <c r="I43" i="1" s="1"/>
  <c r="J43" i="1" s="1"/>
  <c r="D14" i="5"/>
  <c r="D14" i="1" s="1"/>
  <c r="I14" i="1" s="1"/>
  <c r="J14" i="1" s="1"/>
  <c r="D186" i="5"/>
  <c r="D186" i="1" s="1"/>
  <c r="I186" i="1" s="1"/>
  <c r="J186" i="1" s="1"/>
  <c r="D170" i="5"/>
  <c r="D170" i="1" s="1"/>
  <c r="I170" i="1" s="1"/>
  <c r="J170" i="1" s="1"/>
  <c r="D154" i="5"/>
  <c r="D154" i="1" s="1"/>
  <c r="I154" i="1" s="1"/>
  <c r="J154" i="1" s="1"/>
  <c r="D138" i="5"/>
  <c r="D138" i="1" s="1"/>
  <c r="I138" i="1" s="1"/>
  <c r="J138" i="1" s="1"/>
  <c r="D122" i="5"/>
  <c r="D122" i="1" s="1"/>
  <c r="I122" i="1" s="1"/>
  <c r="J122" i="1" s="1"/>
  <c r="D106" i="5"/>
  <c r="D106" i="1" s="1"/>
  <c r="I106" i="1" s="1"/>
  <c r="J106" i="1" s="1"/>
  <c r="D90" i="5"/>
  <c r="D90" i="1" s="1"/>
  <c r="I90" i="1" s="1"/>
  <c r="J90" i="1" s="1"/>
  <c r="D74" i="5"/>
  <c r="D74" i="1" s="1"/>
  <c r="I74" i="1" s="1"/>
  <c r="J74" i="1" s="1"/>
  <c r="D58" i="5"/>
  <c r="D58" i="1" s="1"/>
  <c r="I58" i="1" s="1"/>
  <c r="J58" i="1" s="1"/>
  <c r="D42" i="5"/>
  <c r="D42" i="1" s="1"/>
  <c r="I42" i="1" s="1"/>
  <c r="J42" i="1" s="1"/>
  <c r="D26" i="5"/>
  <c r="D26" i="1" s="1"/>
  <c r="I26" i="1" s="1"/>
  <c r="D200" i="5"/>
  <c r="D200" i="1" s="1"/>
  <c r="I200" i="1" s="1"/>
  <c r="J200" i="1" s="1"/>
  <c r="D153" i="5"/>
  <c r="D153" i="1" s="1"/>
  <c r="I153" i="1" s="1"/>
  <c r="J153" i="1" s="1"/>
  <c r="D13" i="5"/>
  <c r="D13" i="1" s="1"/>
  <c r="I13" i="1" s="1"/>
  <c r="J13" i="1" s="1"/>
  <c r="D182" i="5"/>
  <c r="D182" i="1" s="1"/>
  <c r="I182" i="1" s="1"/>
  <c r="J182" i="1" s="1"/>
  <c r="D121" i="5"/>
  <c r="D121" i="1" s="1"/>
  <c r="I121" i="1" s="1"/>
  <c r="J121" i="1" s="1"/>
  <c r="D41" i="5"/>
  <c r="D41" i="1" s="1"/>
  <c r="I41" i="1" s="1"/>
  <c r="D169" i="5"/>
  <c r="D169" i="1" s="1"/>
  <c r="I169" i="1" s="1"/>
  <c r="J169" i="1" s="1"/>
  <c r="D161" i="5"/>
  <c r="D161" i="1" s="1"/>
  <c r="I161" i="1" s="1"/>
  <c r="J161" i="1" s="1"/>
  <c r="D89" i="5"/>
  <c r="D89" i="1" s="1"/>
  <c r="I89" i="1" s="1"/>
  <c r="J89" i="1" s="1"/>
  <c r="D25" i="5"/>
  <c r="D25" i="1" s="1"/>
  <c r="I25" i="1" s="1"/>
  <c r="J25" i="1" s="1"/>
  <c r="D129" i="5"/>
  <c r="D129" i="1" s="1"/>
  <c r="I129" i="1" s="1"/>
  <c r="J129" i="1" s="1"/>
  <c r="D81" i="5"/>
  <c r="D81" i="1" s="1"/>
  <c r="I81" i="1" s="1"/>
  <c r="J81" i="1" s="1"/>
  <c r="D5" i="5"/>
  <c r="D5" i="1" s="1"/>
  <c r="I5" i="1" s="1"/>
  <c r="D185" i="5"/>
  <c r="D185" i="1" s="1"/>
  <c r="I185" i="1" s="1"/>
  <c r="J185" i="1" s="1"/>
  <c r="D192" i="5"/>
  <c r="D192" i="1" s="1"/>
  <c r="I192" i="1" s="1"/>
  <c r="J192" i="1" s="1"/>
  <c r="D176" i="5"/>
  <c r="D176" i="1" s="1"/>
  <c r="I176" i="1" s="1"/>
  <c r="J176" i="1" s="1"/>
  <c r="D160" i="5"/>
  <c r="D160" i="1" s="1"/>
  <c r="I160" i="1" s="1"/>
  <c r="J160" i="1" s="1"/>
  <c r="D144" i="5"/>
  <c r="D144" i="1" s="1"/>
  <c r="I144" i="1" s="1"/>
  <c r="J144" i="1" s="1"/>
  <c r="D128" i="5"/>
  <c r="D128" i="1" s="1"/>
  <c r="I128" i="1" s="1"/>
  <c r="J128" i="1" s="1"/>
  <c r="D112" i="5"/>
  <c r="D112" i="1" s="1"/>
  <c r="I112" i="1" s="1"/>
  <c r="J112" i="1" s="1"/>
  <c r="D96" i="5"/>
  <c r="D96" i="1" s="1"/>
  <c r="I96" i="1" s="1"/>
  <c r="J96" i="1" s="1"/>
  <c r="D80" i="5"/>
  <c r="D80" i="1" s="1"/>
  <c r="I80" i="1" s="1"/>
  <c r="J80" i="1" s="1"/>
  <c r="D64" i="5"/>
  <c r="D64" i="1" s="1"/>
  <c r="I64" i="1" s="1"/>
  <c r="J64" i="1" s="1"/>
  <c r="D48" i="5"/>
  <c r="D48" i="1" s="1"/>
  <c r="I48" i="1" s="1"/>
  <c r="D32" i="5"/>
  <c r="D32" i="1" s="1"/>
  <c r="I32" i="1" s="1"/>
  <c r="J32" i="1" s="1"/>
  <c r="D3" i="5"/>
  <c r="D3" i="1" s="1"/>
  <c r="I3" i="1" s="1"/>
  <c r="J3" i="1" s="1"/>
  <c r="D2" i="5"/>
  <c r="D2" i="1" s="1"/>
  <c r="I2" i="1" s="1"/>
  <c r="J207" i="1" s="1"/>
  <c r="D49" i="5"/>
  <c r="D49" i="1" s="1"/>
  <c r="I49" i="1" s="1"/>
  <c r="J49" i="1" s="1"/>
  <c r="D183" i="5"/>
  <c r="D183" i="1" s="1"/>
  <c r="I183" i="1" s="1"/>
  <c r="J183" i="1" s="1"/>
  <c r="D167" i="5"/>
  <c r="D167" i="1" s="1"/>
  <c r="I167" i="1" s="1"/>
  <c r="J167" i="1" s="1"/>
  <c r="D151" i="5"/>
  <c r="D151" i="1" s="1"/>
  <c r="I151" i="1" s="1"/>
  <c r="J151" i="1" s="1"/>
  <c r="D135" i="5"/>
  <c r="D135" i="1" s="1"/>
  <c r="I135" i="1" s="1"/>
  <c r="D119" i="5"/>
  <c r="D119" i="1" s="1"/>
  <c r="I119" i="1" s="1"/>
  <c r="D103" i="5"/>
  <c r="D103" i="1" s="1"/>
  <c r="I103" i="1" s="1"/>
  <c r="J103" i="1" s="1"/>
  <c r="D87" i="5"/>
  <c r="D87" i="1" s="1"/>
  <c r="I87" i="1" s="1"/>
  <c r="J87" i="1" s="1"/>
  <c r="D71" i="5"/>
  <c r="D71" i="1" s="1"/>
  <c r="I71" i="1" s="1"/>
  <c r="J71" i="1" s="1"/>
  <c r="D55" i="5"/>
  <c r="D55" i="1" s="1"/>
  <c r="I55" i="1" s="1"/>
  <c r="J55" i="1" s="1"/>
  <c r="D39" i="5"/>
  <c r="D39" i="1" s="1"/>
  <c r="I39" i="1" s="1"/>
  <c r="J39" i="1" s="1"/>
  <c r="D23" i="5"/>
  <c r="D23" i="1" s="1"/>
  <c r="I23" i="1" s="1"/>
  <c r="D11" i="5"/>
  <c r="D11" i="1" s="1"/>
  <c r="I11" i="1" s="1"/>
  <c r="D141" i="5"/>
  <c r="D141" i="1" s="1"/>
  <c r="I141" i="1" s="1"/>
  <c r="D204" i="5"/>
  <c r="D204" i="1" s="1"/>
  <c r="I204" i="1" s="1"/>
  <c r="J204" i="1" s="1"/>
  <c r="D150" i="5"/>
  <c r="D150" i="1" s="1"/>
  <c r="I150" i="1" s="1"/>
  <c r="D134" i="5"/>
  <c r="D134" i="1" s="1"/>
  <c r="I134" i="1" s="1"/>
  <c r="J134" i="1" s="1"/>
  <c r="D118" i="5"/>
  <c r="D118" i="1" s="1"/>
  <c r="I118" i="1" s="1"/>
  <c r="J118" i="1" s="1"/>
  <c r="D102" i="5"/>
  <c r="D102" i="1" s="1"/>
  <c r="I102" i="1" s="1"/>
  <c r="J102" i="1" s="1"/>
  <c r="D86" i="5"/>
  <c r="D86" i="1" s="1"/>
  <c r="I86" i="1" s="1"/>
  <c r="J86" i="1" s="1"/>
  <c r="D70" i="5"/>
  <c r="D70" i="1" s="1"/>
  <c r="I70" i="1" s="1"/>
  <c r="J70" i="1" s="1"/>
  <c r="D54" i="5"/>
  <c r="D54" i="1" s="1"/>
  <c r="I54" i="1" s="1"/>
  <c r="J54" i="1" s="1"/>
  <c r="D38" i="5"/>
  <c r="D38" i="1" s="1"/>
  <c r="I38" i="1" s="1"/>
  <c r="J38" i="1" s="1"/>
  <c r="D22" i="5"/>
  <c r="D22" i="1" s="1"/>
  <c r="I22" i="1" s="1"/>
  <c r="D10" i="5"/>
  <c r="D10" i="1" s="1"/>
  <c r="I10" i="1" s="1"/>
  <c r="J10" i="1" s="1"/>
  <c r="D149" i="5"/>
  <c r="D149" i="1" s="1"/>
  <c r="I149" i="1" s="1"/>
  <c r="J149" i="1" s="1"/>
  <c r="D69" i="5"/>
  <c r="D69" i="1" s="1"/>
  <c r="I69" i="1" s="1"/>
  <c r="J69" i="1" s="1"/>
  <c r="D29" i="5"/>
  <c r="D29" i="1" s="1"/>
  <c r="I29" i="1" s="1"/>
  <c r="J29" i="1" s="1"/>
  <c r="D199" i="5"/>
  <c r="D199" i="1" s="1"/>
  <c r="I199" i="1" s="1"/>
  <c r="J199" i="1" s="1"/>
  <c r="D189" i="5"/>
  <c r="D189" i="1" s="1"/>
  <c r="I189" i="1" s="1"/>
  <c r="J189" i="1" s="1"/>
  <c r="D173" i="5"/>
  <c r="D173" i="1" s="1"/>
  <c r="I173" i="1" s="1"/>
  <c r="J173" i="1" s="1"/>
  <c r="D157" i="5"/>
  <c r="D157" i="1" s="1"/>
  <c r="I157" i="1" s="1"/>
  <c r="J157" i="1" s="1"/>
  <c r="D125" i="5"/>
  <c r="D125" i="1" s="1"/>
  <c r="I125" i="1" s="1"/>
  <c r="J125" i="1" s="1"/>
  <c r="D109" i="5"/>
  <c r="D109" i="1" s="1"/>
  <c r="I109" i="1" s="1"/>
  <c r="J109" i="1" s="1"/>
  <c r="D93" i="5"/>
  <c r="D93" i="1" s="1"/>
  <c r="I93" i="1" s="1"/>
  <c r="J93" i="1" s="1"/>
  <c r="D61" i="5"/>
  <c r="D61" i="1" s="1"/>
  <c r="I61" i="1" s="1"/>
  <c r="J61" i="1" s="1"/>
  <c r="D9" i="5"/>
  <c r="D9" i="1" s="1"/>
  <c r="I9" i="1" s="1"/>
  <c r="J9" i="1" s="1"/>
  <c r="D188" i="5"/>
  <c r="D188" i="1" s="1"/>
  <c r="I188" i="1" s="1"/>
  <c r="J188" i="1" s="1"/>
  <c r="D172" i="5"/>
  <c r="D172" i="1" s="1"/>
  <c r="I172" i="1" s="1"/>
  <c r="J172" i="1" s="1"/>
  <c r="D156" i="5"/>
  <c r="D156" i="1" s="1"/>
  <c r="I156" i="1" s="1"/>
  <c r="J156" i="1" s="1"/>
  <c r="D140" i="5"/>
  <c r="D140" i="1" s="1"/>
  <c r="I140" i="1" s="1"/>
  <c r="J140" i="1" s="1"/>
  <c r="D124" i="5"/>
  <c r="D124" i="1" s="1"/>
  <c r="I124" i="1" s="1"/>
  <c r="J124" i="1" s="1"/>
  <c r="D108" i="5"/>
  <c r="D108" i="1" s="1"/>
  <c r="I108" i="1" s="1"/>
  <c r="J108" i="1" s="1"/>
  <c r="D92" i="5"/>
  <c r="D92" i="1" s="1"/>
  <c r="I92" i="1" s="1"/>
  <c r="J92" i="1" s="1"/>
  <c r="D76" i="5"/>
  <c r="D76" i="1" s="1"/>
  <c r="I76" i="1" s="1"/>
  <c r="J76" i="1" s="1"/>
  <c r="D60" i="5"/>
  <c r="D60" i="1" s="1"/>
  <c r="I60" i="1" s="1"/>
  <c r="J60" i="1" s="1"/>
  <c r="D44" i="5"/>
  <c r="D44" i="1" s="1"/>
  <c r="I44" i="1" s="1"/>
  <c r="J44" i="1" s="1"/>
  <c r="D28" i="5"/>
  <c r="D28" i="1" s="1"/>
  <c r="I28" i="1" s="1"/>
  <c r="D203" i="5"/>
  <c r="D203" i="1" s="1"/>
  <c r="I203" i="1" s="1"/>
  <c r="D35" i="5"/>
  <c r="D35" i="1" s="1"/>
  <c r="I35" i="1" s="1"/>
  <c r="J35" i="1" s="1"/>
  <c r="D51" i="5"/>
  <c r="D51" i="1" s="1"/>
  <c r="I51" i="1" s="1"/>
  <c r="J51" i="1" s="1"/>
  <c r="D19" i="5"/>
  <c r="D19" i="1" s="1"/>
  <c r="I19" i="1" s="1"/>
  <c r="J19" i="1" s="1"/>
  <c r="D187" i="5"/>
  <c r="D187" i="1" s="1"/>
  <c r="I187" i="1" s="1"/>
  <c r="J187" i="1" s="1"/>
  <c r="D171" i="5"/>
  <c r="D171" i="1" s="1"/>
  <c r="I171" i="1" s="1"/>
  <c r="J171" i="1" s="1"/>
  <c r="D155" i="5"/>
  <c r="D155" i="1" s="1"/>
  <c r="I155" i="1" s="1"/>
  <c r="J155" i="1" s="1"/>
  <c r="D139" i="5"/>
  <c r="D139" i="1" s="1"/>
  <c r="I139" i="1" s="1"/>
  <c r="J139" i="1" s="1"/>
  <c r="D123" i="5"/>
  <c r="D123" i="1" s="1"/>
  <c r="I123" i="1" s="1"/>
  <c r="J123" i="1" s="1"/>
  <c r="D107" i="5"/>
  <c r="D107" i="1" s="1"/>
  <c r="I107" i="1" s="1"/>
  <c r="J107" i="1" s="1"/>
  <c r="D91" i="5"/>
  <c r="D91" i="1" s="1"/>
  <c r="I91" i="1" s="1"/>
  <c r="J91" i="1" s="1"/>
  <c r="D75" i="5"/>
  <c r="D75" i="1" s="1"/>
  <c r="I75" i="1" s="1"/>
  <c r="J75" i="1" s="1"/>
  <c r="D59" i="5"/>
  <c r="D59" i="1" s="1"/>
  <c r="I59" i="1" s="1"/>
  <c r="J59" i="1" s="1"/>
  <c r="D27" i="5"/>
  <c r="D27" i="1" s="1"/>
  <c r="I27" i="1" s="1"/>
  <c r="J27" i="1" s="1"/>
  <c r="D7" i="5"/>
  <c r="D7" i="1" s="1"/>
  <c r="I7" i="1" s="1"/>
  <c r="U23" i="25"/>
  <c r="P24" i="25"/>
  <c r="K28" i="25"/>
  <c r="Z29" i="25"/>
  <c r="Z32" i="25"/>
  <c r="Z35" i="25"/>
  <c r="Z23" i="25"/>
  <c r="U24" i="25"/>
  <c r="K29" i="25"/>
  <c r="K32" i="25"/>
  <c r="Z33" i="25"/>
  <c r="K35" i="25"/>
  <c r="Z36" i="25"/>
  <c r="K23" i="25"/>
  <c r="Z24" i="25"/>
  <c r="U28" i="25"/>
  <c r="P29" i="25"/>
  <c r="K33" i="25"/>
  <c r="K36" i="25"/>
  <c r="P23" i="25"/>
  <c r="K24" i="25"/>
  <c r="Z28" i="25"/>
  <c r="U32" i="25"/>
  <c r="P33" i="25"/>
  <c r="U35" i="25"/>
  <c r="P36" i="25"/>
  <c r="Z22" i="25"/>
  <c r="Z25" i="25"/>
  <c r="U26" i="25"/>
  <c r="P27" i="25"/>
  <c r="P30" i="25"/>
  <c r="K34" i="25"/>
  <c r="K37" i="25"/>
  <c r="Z38" i="25"/>
  <c r="Z39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26" i="25"/>
  <c r="K27" i="25"/>
  <c r="P28" i="25"/>
  <c r="U29" i="25"/>
  <c r="Z30" i="25"/>
  <c r="K31" i="25"/>
  <c r="P32" i="25"/>
  <c r="U33" i="25"/>
  <c r="P35" i="25"/>
  <c r="U36" i="25"/>
  <c r="Z37" i="25"/>
  <c r="K38" i="25"/>
  <c r="K39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2" i="25"/>
  <c r="K63" i="25"/>
  <c r="K64" i="25"/>
  <c r="K65" i="25"/>
  <c r="K66" i="25"/>
  <c r="K67" i="25"/>
  <c r="K68" i="25"/>
  <c r="K69" i="25"/>
  <c r="K70" i="25"/>
  <c r="J11" i="1" l="1"/>
  <c r="J23" i="1"/>
  <c r="J119" i="1"/>
  <c r="J41" i="1"/>
  <c r="J240" i="1"/>
  <c r="J135" i="1"/>
  <c r="J236" i="1"/>
  <c r="J141" i="1"/>
  <c r="J28" i="1"/>
  <c r="J145" i="1"/>
  <c r="J46" i="1"/>
  <c r="J202" i="1"/>
  <c r="J241" i="1"/>
  <c r="J295" i="1"/>
  <c r="J88" i="1"/>
  <c r="J237" i="1"/>
  <c r="J221" i="1"/>
  <c r="J287" i="1"/>
  <c r="J242" i="1"/>
  <c r="J229" i="1"/>
  <c r="J247" i="1"/>
  <c r="J250" i="1"/>
  <c r="J248" i="1"/>
  <c r="J251" i="1"/>
  <c r="J249" i="1"/>
  <c r="J252" i="1"/>
  <c r="J253" i="1"/>
  <c r="J256" i="1"/>
  <c r="J254" i="1"/>
  <c r="J255" i="1"/>
  <c r="J243" i="1"/>
  <c r="J244" i="1"/>
  <c r="J245" i="1"/>
  <c r="J246" i="1"/>
  <c r="J203" i="1"/>
  <c r="J264" i="1"/>
  <c r="J5" i="1"/>
  <c r="J22" i="1"/>
  <c r="J316" i="1"/>
  <c r="J48" i="1"/>
  <c r="J127" i="1"/>
  <c r="J274" i="1"/>
  <c r="J338" i="1"/>
  <c r="J7" i="1"/>
  <c r="J65" i="1"/>
  <c r="J26" i="1"/>
  <c r="J150" i="1"/>
  <c r="J2" i="1"/>
  <c r="G5" i="35"/>
  <c r="H5" i="35" l="1"/>
  <c r="H36" i="35" s="1"/>
  <c r="G36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N1" authorId="0" shapeId="0" xr:uid="{47B8D1F3-7BF2-4CC8-996E-CDC9DC1194CD}">
      <text>
        <r>
          <rPr>
            <sz val="12"/>
            <color rgb="FF000000"/>
            <rFont val="游ゴシック"/>
            <family val="3"/>
            <charset val="128"/>
          </rPr>
          <t>atsushi:
西暦を入力
例：「2020年」として表示したい場合は「2020」を入力する</t>
        </r>
      </text>
    </comment>
    <comment ref="O1" authorId="0" shapeId="0" xr:uid="{874591B4-D101-48C8-9CC0-6BE980E4E1C9}">
      <text>
        <r>
          <rPr>
            <sz val="12"/>
            <color rgb="FF000000"/>
            <rFont val="游ゴシック"/>
            <family val="3"/>
            <charset val="128"/>
          </rPr>
          <t xml:space="preserve">atsushi:
</t>
        </r>
        <r>
          <rPr>
            <sz val="12"/>
            <color rgb="FF000000"/>
            <rFont val="游ゴシック"/>
            <family val="3"/>
            <charset val="128"/>
          </rPr>
          <t>月を入力</t>
        </r>
        <r>
          <rPr>
            <sz val="12"/>
            <color rgb="FF000000"/>
            <rFont val="游ゴシック"/>
            <family val="3"/>
            <charset val="128"/>
          </rPr>
          <t xml:space="preserve">
</t>
        </r>
        <r>
          <rPr>
            <sz val="12"/>
            <color rgb="FF000000"/>
            <rFont val="游ゴシック"/>
            <family val="3"/>
            <charset val="128"/>
          </rPr>
          <t>例：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月を表示したい場合は「</t>
        </r>
        <r>
          <rPr>
            <sz val="12"/>
            <color rgb="FF000000"/>
            <rFont val="游ゴシック"/>
            <family val="3"/>
            <charset val="128"/>
          </rPr>
          <t>1</t>
        </r>
        <r>
          <rPr>
            <sz val="12"/>
            <color rgb="FF000000"/>
            <rFont val="游ゴシック"/>
            <family val="3"/>
            <charset val="128"/>
          </rPr>
          <t>」を入力する</t>
        </r>
      </text>
    </comment>
  </commentList>
</comments>
</file>

<file path=xl/sharedStrings.xml><?xml version="1.0" encoding="utf-8"?>
<sst xmlns="http://schemas.openxmlformats.org/spreadsheetml/2006/main" count="1408" uniqueCount="566">
  <si>
    <t>氏名</t>
  </si>
  <si>
    <t>ゆうき</t>
  </si>
  <si>
    <t>いしだ　ゆうき</t>
  </si>
  <si>
    <t>あしゅ</t>
  </si>
  <si>
    <t>中村　郁斗</t>
  </si>
  <si>
    <t>佐藤　涼</t>
  </si>
  <si>
    <t>うちのませい</t>
  </si>
  <si>
    <t>あつし</t>
  </si>
  <si>
    <t>山本　惇史</t>
  </si>
  <si>
    <t>しばた</t>
  </si>
  <si>
    <t>柴田　正紀</t>
  </si>
  <si>
    <t>コバン</t>
  </si>
  <si>
    <t>小林　優太</t>
  </si>
  <si>
    <t>出流</t>
  </si>
  <si>
    <t>福山　出流</t>
  </si>
  <si>
    <t>吉野　翔</t>
  </si>
  <si>
    <t>makoto</t>
  </si>
  <si>
    <t>中川　誠</t>
  </si>
  <si>
    <t>足立　迅</t>
  </si>
  <si>
    <t>kenshi</t>
  </si>
  <si>
    <t>脇田　健史</t>
  </si>
  <si>
    <t>syota</t>
  </si>
  <si>
    <t>三宅　将太</t>
  </si>
  <si>
    <t>りゅうすけ</t>
  </si>
  <si>
    <t>大路　龍佑</t>
  </si>
  <si>
    <t>名倉静香</t>
  </si>
  <si>
    <t>名倉　静香</t>
  </si>
  <si>
    <t>寺田翔太</t>
  </si>
  <si>
    <t>寺田　翔太</t>
  </si>
  <si>
    <t>さあや</t>
  </si>
  <si>
    <t>門口　沙彩</t>
  </si>
  <si>
    <t>tt</t>
  </si>
  <si>
    <t>田中　達也</t>
  </si>
  <si>
    <t>あきら</t>
  </si>
  <si>
    <t>藤田　瑛</t>
  </si>
  <si>
    <t>児島　優樹</t>
  </si>
  <si>
    <t>貴裕</t>
  </si>
  <si>
    <t>辻　貴裕</t>
  </si>
  <si>
    <t>katsu</t>
  </si>
  <si>
    <t>鈴木　勝時</t>
  </si>
  <si>
    <t>中田篤史</t>
  </si>
  <si>
    <t>中田　篤史</t>
  </si>
  <si>
    <t>祐介</t>
  </si>
  <si>
    <t>中野　祐介</t>
  </si>
  <si>
    <t>ヒョウタ</t>
  </si>
  <si>
    <t>タナカ　ヒョウタ</t>
  </si>
  <si>
    <t>石原優介</t>
  </si>
  <si>
    <t>石原　優介</t>
  </si>
  <si>
    <t>森田裕也</t>
  </si>
  <si>
    <t>森田　裕也</t>
  </si>
  <si>
    <t>さとう</t>
  </si>
  <si>
    <t>佐藤　頼知</t>
  </si>
  <si>
    <t>セイゴ</t>
  </si>
  <si>
    <t>近藤　靖吾</t>
  </si>
  <si>
    <t>そーたろー</t>
  </si>
  <si>
    <t>廣垣　奏太郎</t>
  </si>
  <si>
    <t>AYAKA</t>
  </si>
  <si>
    <t>池田　彩夏</t>
  </si>
  <si>
    <t>まるや〜ま</t>
  </si>
  <si>
    <t>鈴木　貴雅</t>
  </si>
  <si>
    <t>さかぐちゆうや</t>
  </si>
  <si>
    <t>坂口　裕也</t>
  </si>
  <si>
    <t>c,m,s</t>
  </si>
  <si>
    <t>赤井　千奈</t>
  </si>
  <si>
    <t>前川かつき</t>
  </si>
  <si>
    <t>前川　克樹</t>
  </si>
  <si>
    <t>kantaro</t>
  </si>
  <si>
    <t>森畠　勘太郎</t>
  </si>
  <si>
    <t>きだ　ひろし</t>
  </si>
  <si>
    <t>貴田　洋史</t>
  </si>
  <si>
    <t>丹祐希</t>
  </si>
  <si>
    <t>丹　祐希</t>
  </si>
  <si>
    <t>なかたにしょうへい</t>
  </si>
  <si>
    <t>中谷　昌平</t>
  </si>
  <si>
    <t>片山　善斗</t>
  </si>
  <si>
    <t>長谷川　直人</t>
  </si>
  <si>
    <t>けいちゃんYDK</t>
  </si>
  <si>
    <t>イケダ　ケイタ</t>
  </si>
  <si>
    <t>まみ</t>
  </si>
  <si>
    <t>中山　茉美</t>
  </si>
  <si>
    <t>平本　悠馬</t>
  </si>
  <si>
    <t>山田隆生</t>
  </si>
  <si>
    <t>山田　隆生</t>
  </si>
  <si>
    <t>なかじま</t>
  </si>
  <si>
    <t>中嶋　一輝</t>
  </si>
  <si>
    <t>WATARU</t>
  </si>
  <si>
    <t>熊谷　航</t>
  </si>
  <si>
    <t>亜美</t>
  </si>
  <si>
    <t>南原　亜美</t>
  </si>
  <si>
    <t>kamitani</t>
  </si>
  <si>
    <t>紙谷　莉央</t>
  </si>
  <si>
    <t>hyoma</t>
  </si>
  <si>
    <t>庄司　彪真</t>
  </si>
  <si>
    <t>きのしたこうき</t>
  </si>
  <si>
    <t>木下　光樹</t>
  </si>
  <si>
    <t>tamaki</t>
  </si>
  <si>
    <t>玉木　祐</t>
  </si>
  <si>
    <t>さや</t>
  </si>
  <si>
    <t>藤田　彩椰</t>
  </si>
  <si>
    <t>図子涼太</t>
  </si>
  <si>
    <t>図子　涼太</t>
  </si>
  <si>
    <t>じおん</t>
  </si>
  <si>
    <t>友原　慈恩</t>
  </si>
  <si>
    <t>高橋だいき</t>
  </si>
  <si>
    <t>高橋　大喜</t>
  </si>
  <si>
    <t>若江祐香</t>
  </si>
  <si>
    <t>若江　祐香</t>
  </si>
  <si>
    <t>ゆり</t>
  </si>
  <si>
    <t>羽坂　友里</t>
  </si>
  <si>
    <t>たなかもとひで</t>
  </si>
  <si>
    <t>田中　元秀</t>
  </si>
  <si>
    <t>藤井康裕</t>
  </si>
  <si>
    <t>藤井　康裕</t>
  </si>
  <si>
    <t>あおこう</t>
  </si>
  <si>
    <t>青地　耕平</t>
  </si>
  <si>
    <t>近藤智樹</t>
  </si>
  <si>
    <t>近藤　智樹</t>
  </si>
  <si>
    <t>金子心</t>
  </si>
  <si>
    <t>金子　心</t>
  </si>
  <si>
    <t>田中弦</t>
  </si>
  <si>
    <t>田中　弦</t>
  </si>
  <si>
    <t>りな</t>
  </si>
  <si>
    <t>水田　里奈</t>
  </si>
  <si>
    <t>山本裕介</t>
  </si>
  <si>
    <t>山本　裕介</t>
  </si>
  <si>
    <t>久元昭人</t>
  </si>
  <si>
    <t>久元　昭人</t>
  </si>
  <si>
    <t>白水　祐太</t>
  </si>
  <si>
    <t>水津直樹</t>
  </si>
  <si>
    <t>水津　直樹</t>
  </si>
  <si>
    <t>のさかりょうすけ</t>
  </si>
  <si>
    <t>野坂　亮介</t>
  </si>
  <si>
    <t>いしだともみ</t>
  </si>
  <si>
    <t>石田　智美</t>
  </si>
  <si>
    <t>ひが</t>
  </si>
  <si>
    <t>比嘉　健太</t>
  </si>
  <si>
    <t>yuukuki</t>
  </si>
  <si>
    <t>大山　優樹</t>
  </si>
  <si>
    <t>池田裕哉</t>
  </si>
  <si>
    <t>池田　裕哉</t>
  </si>
  <si>
    <t>辰己隆一郎</t>
  </si>
  <si>
    <t>辰己　隆一郎</t>
  </si>
  <si>
    <t>chihiro</t>
  </si>
  <si>
    <t>井上　千裕</t>
  </si>
  <si>
    <t>キムラ</t>
  </si>
  <si>
    <t>木村　慎一郎</t>
  </si>
  <si>
    <t>ゆうや</t>
  </si>
  <si>
    <t>大野　裕哉</t>
  </si>
  <si>
    <t>新宅玄基</t>
  </si>
  <si>
    <t>岩崎ゆうや</t>
  </si>
  <si>
    <t>なるちさん</t>
  </si>
  <si>
    <t>アリックスさん</t>
  </si>
  <si>
    <t>のぞみ</t>
  </si>
  <si>
    <t>竹隈　望</t>
  </si>
  <si>
    <t>おっかー</t>
  </si>
  <si>
    <t>岡部　将人</t>
  </si>
  <si>
    <t>金崎竜</t>
  </si>
  <si>
    <t>金崎　竜</t>
  </si>
  <si>
    <t>井上将吾</t>
  </si>
  <si>
    <t>井上　将吾</t>
  </si>
  <si>
    <t>押川</t>
  </si>
  <si>
    <t>おっしー</t>
  </si>
  <si>
    <t>ともや</t>
  </si>
  <si>
    <t>日下勝</t>
  </si>
  <si>
    <t>日下　勝</t>
  </si>
  <si>
    <t>谷田雄哉</t>
  </si>
  <si>
    <t>谷田　雄哉</t>
  </si>
  <si>
    <t>まっすー</t>
  </si>
  <si>
    <t>いつき</t>
  </si>
  <si>
    <t>植田　樹</t>
  </si>
  <si>
    <t>中野さん</t>
  </si>
  <si>
    <t>森田健太郎</t>
  </si>
  <si>
    <t>モリヤコウキ</t>
  </si>
  <si>
    <t>佐藤　諄治</t>
  </si>
  <si>
    <t>平岡京</t>
  </si>
  <si>
    <t>浅田翔平</t>
  </si>
  <si>
    <t>ヒガシモト　ヨウヘイ</t>
  </si>
  <si>
    <t>田中隼平</t>
  </si>
  <si>
    <t>南よしき</t>
  </si>
  <si>
    <t>足立たけまさ</t>
  </si>
  <si>
    <t>高橋けいご</t>
  </si>
  <si>
    <t>やまなこうすけ</t>
  </si>
  <si>
    <t>みなみりょうすけ</t>
  </si>
  <si>
    <t>よしのりゆうすけ</t>
  </si>
  <si>
    <t>たけもとゆうき</t>
  </si>
  <si>
    <t>たけむらゆうき</t>
  </si>
  <si>
    <t>こうのけんと</t>
  </si>
  <si>
    <t>はやしたつき</t>
  </si>
  <si>
    <t>たさかこうき</t>
  </si>
  <si>
    <t>あらきさん</t>
  </si>
  <si>
    <t>オカダさん</t>
  </si>
  <si>
    <t>池田　大輝</t>
  </si>
  <si>
    <t>ジンエロン</t>
  </si>
  <si>
    <t>フクモトヨシキ</t>
  </si>
  <si>
    <t>ヒノハラシン</t>
  </si>
  <si>
    <t>ヤマシタ セイナ</t>
  </si>
  <si>
    <t>カミセ　タイキ</t>
  </si>
  <si>
    <t>LINE名</t>
    <rPh sb="4" eb="5">
      <t>メイ</t>
    </rPh>
    <phoneticPr fontId="5"/>
  </si>
  <si>
    <t>氏名</t>
    <rPh sb="0" eb="2">
      <t>シメイ</t>
    </rPh>
    <phoneticPr fontId="5"/>
  </si>
  <si>
    <t>キャンプ</t>
    <phoneticPr fontId="5"/>
  </si>
  <si>
    <t>パンプキン</t>
    <phoneticPr fontId="5"/>
  </si>
  <si>
    <t>aiai</t>
    <phoneticPr fontId="5"/>
  </si>
  <si>
    <t>ファイブ（堀江）</t>
    <rPh sb="5" eb="7">
      <t>ホリエ</t>
    </rPh>
    <phoneticPr fontId="5"/>
  </si>
  <si>
    <t>ファイブ（北新地）</t>
    <rPh sb="5" eb="8">
      <t>キタシンティ</t>
    </rPh>
    <phoneticPr fontId="5"/>
  </si>
  <si>
    <t>あん</t>
    <phoneticPr fontId="5"/>
  </si>
  <si>
    <t>日付</t>
    <rPh sb="0" eb="2">
      <t>ヒヅ</t>
    </rPh>
    <phoneticPr fontId="5"/>
  </si>
  <si>
    <t>件数</t>
    <rPh sb="0" eb="2">
      <t>ケンスウ</t>
    </rPh>
    <phoneticPr fontId="5"/>
  </si>
  <si>
    <t>イベンター予約名</t>
    <rPh sb="5" eb="8">
      <t>ヨヤク</t>
    </rPh>
    <phoneticPr fontId="5"/>
  </si>
  <si>
    <t>人数</t>
    <rPh sb="0" eb="2">
      <t>ニンズウ</t>
    </rPh>
    <phoneticPr fontId="5"/>
  </si>
  <si>
    <t>ゆうき取りに行く</t>
    <rPh sb="3" eb="4">
      <t>トリニ</t>
    </rPh>
    <phoneticPr fontId="5"/>
  </si>
  <si>
    <t>イベンターへ</t>
    <phoneticPr fontId="5"/>
  </si>
  <si>
    <t>合計</t>
    <rPh sb="0" eb="2">
      <t>ゴウケイ</t>
    </rPh>
    <phoneticPr fontId="5"/>
  </si>
  <si>
    <t>単価</t>
    <rPh sb="0" eb="2">
      <t>タンカ</t>
    </rPh>
    <phoneticPr fontId="5"/>
  </si>
  <si>
    <t>店　単価</t>
    <rPh sb="0" eb="1">
      <t>ミセ</t>
    </rPh>
    <rPh sb="2" eb="4">
      <t>タンカ</t>
    </rPh>
    <phoneticPr fontId="5"/>
  </si>
  <si>
    <t>①　2500</t>
    <phoneticPr fontId="5"/>
  </si>
  <si>
    <t>店</t>
    <rPh sb="0" eb="1">
      <t>MIS</t>
    </rPh>
    <phoneticPr fontId="5"/>
  </si>
  <si>
    <t>ゆうき取りに行く</t>
    <rPh sb="3" eb="4">
      <t>トリニイク</t>
    </rPh>
    <phoneticPr fontId="5"/>
  </si>
  <si>
    <t>幹事</t>
    <rPh sb="0" eb="2">
      <t xml:space="preserve">カンジ </t>
    </rPh>
    <phoneticPr fontId="5"/>
  </si>
  <si>
    <t>①</t>
    <phoneticPr fontId="5"/>
  </si>
  <si>
    <t>②</t>
    <phoneticPr fontId="5"/>
  </si>
  <si>
    <t>①2300</t>
    <phoneticPr fontId="5"/>
  </si>
  <si>
    <t>店</t>
    <rPh sb="0" eb="1">
      <t>ミセ</t>
    </rPh>
    <phoneticPr fontId="5"/>
  </si>
  <si>
    <t>②2300</t>
    <phoneticPr fontId="5"/>
  </si>
  <si>
    <t>①2200</t>
    <phoneticPr fontId="5"/>
  </si>
  <si>
    <t>②2200</t>
    <phoneticPr fontId="5"/>
  </si>
  <si>
    <t>①2000</t>
  </si>
  <si>
    <t>②2000</t>
  </si>
  <si>
    <t>safari</t>
    <phoneticPr fontId="5"/>
  </si>
  <si>
    <t>3e BAR</t>
    <phoneticPr fontId="5"/>
  </si>
  <si>
    <t>ラプロメッサ</t>
    <phoneticPr fontId="5"/>
  </si>
  <si>
    <t>M &amp;M</t>
    <phoneticPr fontId="5"/>
  </si>
  <si>
    <t>CSB</t>
    <phoneticPr fontId="5"/>
  </si>
  <si>
    <t>予約番号</t>
    <rPh sb="0" eb="4">
      <t>ヨヤク</t>
    </rPh>
    <phoneticPr fontId="5"/>
  </si>
  <si>
    <t>日付</t>
    <phoneticPr fontId="5"/>
  </si>
  <si>
    <t>管理番号</t>
    <rPh sb="0" eb="2">
      <t>カンリ</t>
    </rPh>
    <rPh sb="2" eb="4">
      <t>バンゴウ</t>
    </rPh>
    <phoneticPr fontId="2"/>
  </si>
  <si>
    <t>月入力</t>
    <rPh sb="0" eb="1">
      <t>ツキ</t>
    </rPh>
    <rPh sb="1" eb="3">
      <t>ニュウリョク</t>
    </rPh>
    <phoneticPr fontId="2"/>
  </si>
  <si>
    <t>件数</t>
    <rPh sb="0" eb="2">
      <t>ケンスウ</t>
    </rPh>
    <phoneticPr fontId="2"/>
  </si>
  <si>
    <t>人数</t>
    <rPh sb="0" eb="2">
      <t>ニンズウ</t>
    </rPh>
    <phoneticPr fontId="2"/>
  </si>
  <si>
    <t>天王寺　キャンパス</t>
    <rPh sb="0" eb="3">
      <t>テンノウジ</t>
    </rPh>
    <phoneticPr fontId="2"/>
  </si>
  <si>
    <t>梅田　キャンプ</t>
    <rPh sb="0" eb="2">
      <t>ウメダ</t>
    </rPh>
    <phoneticPr fontId="2"/>
  </si>
  <si>
    <t>梅田　パンプキン</t>
    <rPh sb="0" eb="2">
      <t>ウメダ</t>
    </rPh>
    <phoneticPr fontId="2"/>
  </si>
  <si>
    <t>堀江　aiai</t>
    <rPh sb="0" eb="2">
      <t>ホリエ</t>
    </rPh>
    <phoneticPr fontId="2"/>
  </si>
  <si>
    <t>堀江　ファイブ</t>
    <rPh sb="0" eb="2">
      <t>ホリエ</t>
    </rPh>
    <phoneticPr fontId="2"/>
  </si>
  <si>
    <t>北新地　ファイブ</t>
    <rPh sb="0" eb="3">
      <t>キタシn</t>
    </rPh>
    <phoneticPr fontId="2"/>
  </si>
  <si>
    <t>梅田　石狩</t>
    <rPh sb="0" eb="2">
      <t>ウメダ</t>
    </rPh>
    <rPh sb="3" eb="5">
      <t>イシカリ</t>
    </rPh>
    <phoneticPr fontId="2"/>
  </si>
  <si>
    <t>梅田　あん</t>
    <rPh sb="0" eb="2">
      <t>ウメダ</t>
    </rPh>
    <phoneticPr fontId="2"/>
  </si>
  <si>
    <t>梅田　煙</t>
    <rPh sb="0" eb="2">
      <t>ウメダ</t>
    </rPh>
    <rPh sb="3" eb="4">
      <t>ケムリ</t>
    </rPh>
    <phoneticPr fontId="2"/>
  </si>
  <si>
    <t>心斎橋　サファリ</t>
    <rPh sb="0" eb="3">
      <t>シンサイ</t>
    </rPh>
    <phoneticPr fontId="2"/>
  </si>
  <si>
    <t>心斎橋　３e BAR</t>
    <rPh sb="0" eb="3">
      <t>シンサイ</t>
    </rPh>
    <phoneticPr fontId="2"/>
  </si>
  <si>
    <t>心斎橋　ラプロメッサ</t>
    <rPh sb="0" eb="3">
      <t>シンサイ</t>
    </rPh>
    <phoneticPr fontId="2"/>
  </si>
  <si>
    <t>心斎橋　M &amp;M</t>
    <rPh sb="0" eb="3">
      <t>シンサイバセィ</t>
    </rPh>
    <phoneticPr fontId="2"/>
  </si>
  <si>
    <t>心斎橋　CSB</t>
    <rPh sb="0" eb="3">
      <t>シンサイ</t>
    </rPh>
    <phoneticPr fontId="2"/>
  </si>
  <si>
    <t>難波　煙</t>
    <rPh sb="0" eb="2">
      <t>ナンバ</t>
    </rPh>
    <rPh sb="3" eb="4">
      <t>ケムリ</t>
    </rPh>
    <phoneticPr fontId="2"/>
  </si>
  <si>
    <t>三ノ宮　多味庵</t>
    <rPh sb="0" eb="1">
      <t>サンノミヤ</t>
    </rPh>
    <rPh sb="4" eb="7">
      <t>タミアn</t>
    </rPh>
    <phoneticPr fontId="2"/>
  </si>
  <si>
    <t>三ノ宮　琥珀の泉</t>
    <rPh sb="0" eb="1">
      <t>サンノミヤ</t>
    </rPh>
    <rPh sb="4" eb="6">
      <t>コハク</t>
    </rPh>
    <rPh sb="7" eb="8">
      <t>イズミ</t>
    </rPh>
    <phoneticPr fontId="2"/>
  </si>
  <si>
    <t>三ノ宮　旬家</t>
    <rPh sb="0" eb="1">
      <t>サンノミヤ</t>
    </rPh>
    <rPh sb="4" eb="5">
      <t>シュn</t>
    </rPh>
    <rPh sb="5" eb="6">
      <t>イエ</t>
    </rPh>
    <phoneticPr fontId="2"/>
  </si>
  <si>
    <t>三ノ宮　きさらぎ</t>
    <rPh sb="0" eb="1">
      <t>サンノミヤ</t>
    </rPh>
    <phoneticPr fontId="2"/>
  </si>
  <si>
    <t>三ノ宮　肉バルしょうじ</t>
    <rPh sb="0" eb="1">
      <t>サンノミヤ</t>
    </rPh>
    <rPh sb="4" eb="5">
      <t>ニクバル</t>
    </rPh>
    <phoneticPr fontId="2"/>
  </si>
  <si>
    <t>京都　パンプキン</t>
    <rPh sb="0" eb="2">
      <t>キョウ</t>
    </rPh>
    <phoneticPr fontId="2"/>
  </si>
  <si>
    <t>京都　a55</t>
    <rPh sb="0" eb="2">
      <t>キョウ</t>
    </rPh>
    <phoneticPr fontId="10"/>
  </si>
  <si>
    <t>オダ　マサト</t>
    <phoneticPr fontId="2"/>
  </si>
  <si>
    <t>タナカ　タカヒロ</t>
    <phoneticPr fontId="2"/>
  </si>
  <si>
    <t>キタムラ　テッペイ</t>
    <phoneticPr fontId="2"/>
  </si>
  <si>
    <t>カワシマ　トモヒロ</t>
    <phoneticPr fontId="2"/>
  </si>
  <si>
    <t>ヤマモト　コウヘイ</t>
    <phoneticPr fontId="2"/>
  </si>
  <si>
    <t>ヤマモト　イッセイ</t>
    <phoneticPr fontId="2"/>
  </si>
  <si>
    <t>キタヤマ　リョウメイ</t>
    <phoneticPr fontId="2"/>
  </si>
  <si>
    <t>シオミ　ヒナコ</t>
    <phoneticPr fontId="2"/>
  </si>
  <si>
    <t>ニシヤマ　ヒロタカ</t>
    <phoneticPr fontId="2"/>
  </si>
  <si>
    <t>ヤマグチ　マサキ</t>
    <phoneticPr fontId="2"/>
  </si>
  <si>
    <t>ジンノ　ナナト</t>
    <phoneticPr fontId="2"/>
  </si>
  <si>
    <t>アメヤマ　タツヤ</t>
    <phoneticPr fontId="2"/>
  </si>
  <si>
    <t>タメス　トモアキ</t>
    <phoneticPr fontId="2"/>
  </si>
  <si>
    <t>イマナカ　ショウヤ</t>
    <phoneticPr fontId="2"/>
  </si>
  <si>
    <t>マスモリ　サヤカ</t>
    <phoneticPr fontId="2"/>
  </si>
  <si>
    <t>ワタナベ　コウセイ</t>
    <phoneticPr fontId="2"/>
  </si>
  <si>
    <t>クボ　ミユキ</t>
    <phoneticPr fontId="2"/>
  </si>
  <si>
    <t>マツダ　コウタ</t>
    <phoneticPr fontId="2"/>
  </si>
  <si>
    <t>マルオ　ショウジ</t>
    <phoneticPr fontId="2"/>
  </si>
  <si>
    <t>ユキ　ダイキ</t>
    <phoneticPr fontId="2"/>
  </si>
  <si>
    <t>梅田　ここから</t>
    <rPh sb="0" eb="2">
      <t>ウメダ</t>
    </rPh>
    <phoneticPr fontId="2"/>
  </si>
  <si>
    <t>タニグチ ヒロキ</t>
    <phoneticPr fontId="2"/>
  </si>
  <si>
    <t>カマイ　ユウスケ</t>
    <phoneticPr fontId="2"/>
  </si>
  <si>
    <t>ゴトウ　タケト</t>
    <phoneticPr fontId="2"/>
  </si>
  <si>
    <t>サイトウ　マサト</t>
    <phoneticPr fontId="2"/>
  </si>
  <si>
    <t>アズマ　リクト</t>
    <phoneticPr fontId="2"/>
  </si>
  <si>
    <t>ヒガシモト　ヨウヘイ</t>
    <phoneticPr fontId="2"/>
  </si>
  <si>
    <t>ハナイ ショウゴ</t>
  </si>
  <si>
    <t>ウオズミ　ソウイチロウ</t>
  </si>
  <si>
    <t>モリサカ マヒロ</t>
  </si>
  <si>
    <t>ニシカワサヤカ</t>
  </si>
  <si>
    <t>マルヤマ　ヒロユキ</t>
  </si>
  <si>
    <t>カキイチ　トモキ</t>
  </si>
  <si>
    <t>ウエシバ　タツヤ</t>
    <phoneticPr fontId="2"/>
  </si>
  <si>
    <t>ウエシバ　タツヤ</t>
  </si>
  <si>
    <t>オオハラショウゴ</t>
    <phoneticPr fontId="2"/>
  </si>
  <si>
    <t>オオハラショウゴ</t>
  </si>
  <si>
    <t>マツナガ　カズヤ</t>
    <phoneticPr fontId="2"/>
  </si>
  <si>
    <t>マツナガ　カズヤ</t>
  </si>
  <si>
    <t>コジマ　カエデ</t>
    <phoneticPr fontId="2"/>
  </si>
  <si>
    <t>コジマ　カエデ</t>
  </si>
  <si>
    <t>アヤハラ　ハヤト</t>
    <phoneticPr fontId="2"/>
  </si>
  <si>
    <t>アヤハラ　ハヤト</t>
  </si>
  <si>
    <t>ナンバカズキ</t>
    <phoneticPr fontId="2"/>
  </si>
  <si>
    <t>ナンバカズキ</t>
  </si>
  <si>
    <t>ヒラタリュウキ</t>
    <phoneticPr fontId="2"/>
  </si>
  <si>
    <t>ヒラタリュウキ</t>
  </si>
  <si>
    <t>コガ　ヨシキ</t>
    <phoneticPr fontId="2"/>
  </si>
  <si>
    <t>コガ　ヨシキ</t>
  </si>
  <si>
    <t>ナンカイカズキ</t>
    <phoneticPr fontId="2"/>
  </si>
  <si>
    <t>ナンカイカズキ</t>
  </si>
  <si>
    <t>サカモト シンペイ</t>
    <phoneticPr fontId="2"/>
  </si>
  <si>
    <t>サカモト シンペイ</t>
  </si>
  <si>
    <t>ダイコクケイシュウ</t>
    <phoneticPr fontId="2"/>
  </si>
  <si>
    <t>ダイコクケイシュウ</t>
  </si>
  <si>
    <t>ヨシトモ　ハルヤ</t>
    <phoneticPr fontId="2"/>
  </si>
  <si>
    <t>ヨシトモ　ハルヤ</t>
  </si>
  <si>
    <t>多味庵</t>
    <rPh sb="0" eb="1">
      <t>オオ</t>
    </rPh>
    <rPh sb="1" eb="2">
      <t>アジ</t>
    </rPh>
    <rPh sb="2" eb="3">
      <t>アン</t>
    </rPh>
    <phoneticPr fontId="2"/>
  </si>
  <si>
    <t>キャンパス</t>
    <phoneticPr fontId="5"/>
  </si>
  <si>
    <t>琥珀の泉</t>
    <rPh sb="0" eb="2">
      <t>コハク</t>
    </rPh>
    <rPh sb="3" eb="4">
      <t>イズミ</t>
    </rPh>
    <phoneticPr fontId="5"/>
  </si>
  <si>
    <t>旬家</t>
    <rPh sb="0" eb="1">
      <t>シュン</t>
    </rPh>
    <rPh sb="1" eb="2">
      <t>イエ</t>
    </rPh>
    <phoneticPr fontId="5"/>
  </si>
  <si>
    <t>しょうじ</t>
    <phoneticPr fontId="5"/>
  </si>
  <si>
    <t>石狩</t>
    <rPh sb="0" eb="2">
      <t>イシカリ</t>
    </rPh>
    <phoneticPr fontId="2"/>
  </si>
  <si>
    <t>合計</t>
    <rPh sb="0" eb="2">
      <t>ゴウケイ</t>
    </rPh>
    <phoneticPr fontId="2"/>
  </si>
  <si>
    <t>バック金額</t>
    <rPh sb="3" eb="5">
      <t>キンガク</t>
    </rPh>
    <phoneticPr fontId="2"/>
  </si>
  <si>
    <t>ここからCafé</t>
    <phoneticPr fontId="2"/>
  </si>
  <si>
    <t>パンプキ</t>
    <phoneticPr fontId="2"/>
  </si>
  <si>
    <t>きさらぎ</t>
    <phoneticPr fontId="2"/>
  </si>
  <si>
    <t>A55</t>
    <phoneticPr fontId="2"/>
  </si>
  <si>
    <t>バック金額合計</t>
    <rPh sb="3" eb="5">
      <t>キンガク</t>
    </rPh>
    <rPh sb="5" eb="7">
      <t>ゴウケイ</t>
    </rPh>
    <phoneticPr fontId="2"/>
  </si>
  <si>
    <t>スズキ　ダイスケ</t>
    <phoneticPr fontId="2"/>
  </si>
  <si>
    <t>モリカワ　ヒロユキ</t>
    <phoneticPr fontId="2"/>
  </si>
  <si>
    <t>ヤマモトマサヒロ</t>
    <phoneticPr fontId="2"/>
  </si>
  <si>
    <t>クワタ　ヒデヤ</t>
    <phoneticPr fontId="2"/>
  </si>
  <si>
    <t>ウエハラ　フェリペ</t>
    <phoneticPr fontId="2"/>
  </si>
  <si>
    <t>フルカワナオヒロ</t>
    <phoneticPr fontId="2"/>
  </si>
  <si>
    <t>カワイ　トクヒサ</t>
    <phoneticPr fontId="2"/>
  </si>
  <si>
    <t>カワタニ　ツバサ</t>
    <phoneticPr fontId="2"/>
  </si>
  <si>
    <t>フカタ　シュウタ</t>
    <phoneticPr fontId="2"/>
  </si>
  <si>
    <t>カワサキ　ヨシキ</t>
    <phoneticPr fontId="2"/>
  </si>
  <si>
    <t>オオシマ　ライ</t>
    <phoneticPr fontId="2"/>
  </si>
  <si>
    <r>
      <t>キベさん</t>
    </r>
    <r>
      <rPr>
        <sz val="12"/>
        <color rgb="FF000000"/>
        <rFont val="Segoe UI Emoji"/>
        <family val="3"/>
      </rPr>
      <t>⭐️</t>
    </r>
    <phoneticPr fontId="2"/>
  </si>
  <si>
    <t>ウエノリュウセイ</t>
    <phoneticPr fontId="2"/>
  </si>
  <si>
    <t>順位</t>
    <rPh sb="0" eb="2">
      <t>ジュンイ</t>
    </rPh>
    <phoneticPr fontId="2"/>
  </si>
  <si>
    <t>合計件数</t>
    <rPh sb="0" eb="2">
      <t>ゴウケイ</t>
    </rPh>
    <rPh sb="2" eb="4">
      <t>ケンスウ</t>
    </rPh>
    <phoneticPr fontId="2"/>
  </si>
  <si>
    <t>キタガワヒデノリ</t>
  </si>
  <si>
    <t>イシオカ　ヨツスケ</t>
  </si>
  <si>
    <t>ヤマモト　オウジ</t>
  </si>
  <si>
    <t>ニシオカ　コウヘイ</t>
  </si>
  <si>
    <t>アタラシ　ダイキチ</t>
  </si>
  <si>
    <t>サカイ　カンジ</t>
  </si>
  <si>
    <t>コニシ　ホノカ</t>
  </si>
  <si>
    <t>イノウエ リナ</t>
    <phoneticPr fontId="2"/>
  </si>
  <si>
    <t>タカハシ　アンジュ</t>
    <phoneticPr fontId="2"/>
  </si>
  <si>
    <t>ミヤギ　タツキ</t>
    <phoneticPr fontId="2"/>
  </si>
  <si>
    <t>ホリ　ショウイチロウ</t>
    <phoneticPr fontId="2"/>
  </si>
  <si>
    <t>カネダ　カホ</t>
    <phoneticPr fontId="2"/>
  </si>
  <si>
    <t>ヨシダ　トウマ</t>
  </si>
  <si>
    <t>ヨシダ　トウマ</t>
    <phoneticPr fontId="2"/>
  </si>
  <si>
    <t>ヤスオカ　ダイキ</t>
    <phoneticPr fontId="2"/>
  </si>
  <si>
    <t>タニガキ　リサコ</t>
    <phoneticPr fontId="2"/>
  </si>
  <si>
    <t>コウノ　ユウダイ</t>
  </si>
  <si>
    <t>ウツミ　ユウキ</t>
  </si>
  <si>
    <t>ヨコタ　ショウ</t>
  </si>
  <si>
    <t>モリタ　コウダイ</t>
  </si>
  <si>
    <t>モリヤマアキヒサ</t>
  </si>
  <si>
    <t>佐藤　涼</t>
    <phoneticPr fontId="2"/>
  </si>
  <si>
    <t>内野　真静</t>
    <phoneticPr fontId="2"/>
  </si>
  <si>
    <t>金曜日と土曜日は幹事無料なし</t>
    <rPh sb="0" eb="3">
      <t>キンヨウビ</t>
    </rPh>
    <rPh sb="4" eb="7">
      <t>ドヨウビ</t>
    </rPh>
    <rPh sb="8" eb="10">
      <t>カンジ</t>
    </rPh>
    <rPh sb="10" eb="12">
      <t>ムリョウ</t>
    </rPh>
    <phoneticPr fontId="2"/>
  </si>
  <si>
    <t>幹事無料</t>
    <rPh sb="0" eb="2">
      <t>カンジ</t>
    </rPh>
    <rPh sb="2" eb="4">
      <t>ムリョウ</t>
    </rPh>
    <phoneticPr fontId="2"/>
  </si>
  <si>
    <t>キャンセル人数</t>
    <rPh sb="5" eb="7">
      <t>ニンズウ</t>
    </rPh>
    <phoneticPr fontId="2"/>
  </si>
  <si>
    <t>単価</t>
    <rPh sb="0" eb="2">
      <t>タンカ</t>
    </rPh>
    <phoneticPr fontId="2"/>
  </si>
  <si>
    <t>キャンセル料金</t>
    <rPh sb="5" eb="7">
      <t>リョウキン</t>
    </rPh>
    <phoneticPr fontId="2"/>
  </si>
  <si>
    <t>単価合計</t>
    <rPh sb="0" eb="2">
      <t>タンカ</t>
    </rPh>
    <rPh sb="2" eb="4">
      <t>ゴウケイ</t>
    </rPh>
    <phoneticPr fontId="5"/>
  </si>
  <si>
    <t>集金</t>
    <rPh sb="0" eb="2">
      <t>シュウキン</t>
    </rPh>
    <phoneticPr fontId="2"/>
  </si>
  <si>
    <t>Aパターン</t>
    <phoneticPr fontId="2"/>
  </si>
  <si>
    <t>集金</t>
    <rPh sb="0" eb="2">
      <t>シュウキン</t>
    </rPh>
    <phoneticPr fontId="5"/>
  </si>
  <si>
    <t>幹事無料</t>
    <phoneticPr fontId="2"/>
  </si>
  <si>
    <t>キャンセル人数</t>
    <phoneticPr fontId="2"/>
  </si>
  <si>
    <t>曜日</t>
    <rPh sb="0" eb="2">
      <t>ヨウビ</t>
    </rPh>
    <phoneticPr fontId="2"/>
  </si>
  <si>
    <t>①</t>
    <phoneticPr fontId="2"/>
  </si>
  <si>
    <t>②</t>
    <phoneticPr fontId="2"/>
  </si>
  <si>
    <t>セイケ　クルミ</t>
  </si>
  <si>
    <t>イシマル　タダユキ</t>
  </si>
  <si>
    <t>コレカネ　ユウ</t>
  </si>
  <si>
    <t>ワタナベ　ユウタ</t>
  </si>
  <si>
    <t>イワカ　タクミ</t>
  </si>
  <si>
    <t>クニミ　タカト</t>
  </si>
  <si>
    <t>タネダ　ジュリ</t>
  </si>
  <si>
    <t>ナカジマ　ケイワ</t>
  </si>
  <si>
    <t>バック金額（飲み会）</t>
    <rPh sb="3" eb="5">
      <t>キンガク</t>
    </rPh>
    <rPh sb="6" eb="7">
      <t>ノ</t>
    </rPh>
    <rPh sb="8" eb="9">
      <t>カイ</t>
    </rPh>
    <phoneticPr fontId="2"/>
  </si>
  <si>
    <t>合計件数（飲み会）</t>
    <rPh sb="0" eb="2">
      <t>ゴウケイ</t>
    </rPh>
    <rPh sb="2" eb="4">
      <t>ケンスウ</t>
    </rPh>
    <rPh sb="5" eb="6">
      <t>ノ</t>
    </rPh>
    <rPh sb="7" eb="8">
      <t>カイ</t>
    </rPh>
    <phoneticPr fontId="2"/>
  </si>
  <si>
    <t>Bパターン</t>
    <phoneticPr fontId="2"/>
  </si>
  <si>
    <t>バック総合計</t>
    <rPh sb="3" eb="4">
      <t>ソウ</t>
    </rPh>
    <rPh sb="4" eb="6">
      <t>ゴウケイ</t>
    </rPh>
    <phoneticPr fontId="2"/>
  </si>
  <si>
    <t>Barバック</t>
    <phoneticPr fontId="2"/>
  </si>
  <si>
    <t>Aパターン（飲み会）</t>
    <rPh sb="6" eb="7">
      <t>ノ</t>
    </rPh>
    <rPh sb="8" eb="9">
      <t>カイ</t>
    </rPh>
    <phoneticPr fontId="2"/>
  </si>
  <si>
    <t>B件数</t>
    <rPh sb="1" eb="3">
      <t>ケンスウ</t>
    </rPh>
    <phoneticPr fontId="2"/>
  </si>
  <si>
    <t>バック合計金額</t>
    <rPh sb="3" eb="5">
      <t>ゴウケイ</t>
    </rPh>
    <rPh sb="5" eb="7">
      <t>キンガク</t>
    </rPh>
    <phoneticPr fontId="2"/>
  </si>
  <si>
    <t>管理番号</t>
    <rPh sb="0" eb="2">
      <t>カンリ</t>
    </rPh>
    <phoneticPr fontId="2"/>
  </si>
  <si>
    <t>足立　迅（わたる）</t>
    <phoneticPr fontId="2"/>
  </si>
  <si>
    <t>ウメダ　ユウキ</t>
  </si>
  <si>
    <t>ウメダ　ユウキ</t>
    <phoneticPr fontId="2"/>
  </si>
  <si>
    <t>タダ　ミチヨ</t>
  </si>
  <si>
    <t>タダ　ミチヨ</t>
    <phoneticPr fontId="2"/>
  </si>
  <si>
    <t>スギマチ　タクミ</t>
  </si>
  <si>
    <t>スギマチ　タクミ</t>
    <phoneticPr fontId="2"/>
  </si>
  <si>
    <t>モリタ　ヒデキ</t>
    <phoneticPr fontId="2"/>
  </si>
  <si>
    <t>ハナイ   ギンガ</t>
  </si>
  <si>
    <t>スエヒロ　リュウジ</t>
  </si>
  <si>
    <t>サカタ  アユミ</t>
  </si>
  <si>
    <t>サイキ　タカラ</t>
  </si>
  <si>
    <t>ナカムラ　リョウタ</t>
  </si>
  <si>
    <t>タケモト　リオ</t>
  </si>
  <si>
    <t>ヒライ　ヒサキ</t>
  </si>
  <si>
    <t>マツダ　カオ</t>
  </si>
  <si>
    <t>サワダ     サヤカ</t>
  </si>
  <si>
    <t>キムラ　コウキ</t>
  </si>
  <si>
    <t>ヤマダ　ナオ</t>
  </si>
  <si>
    <t>カネモト　ナナ</t>
  </si>
  <si>
    <t>フクモト リキ</t>
  </si>
  <si>
    <t>エグチ　ダイキ</t>
  </si>
  <si>
    <t>チュウマン　シュン</t>
  </si>
  <si>
    <t>ヤマトヤ　ミク</t>
  </si>
  <si>
    <t>ハシモト　リュウヤ</t>
  </si>
  <si>
    <t>タハラ　タイセイ</t>
  </si>
  <si>
    <t>タカクワ　アヤカ</t>
  </si>
  <si>
    <t>マツエ　ハルナ</t>
  </si>
  <si>
    <t>イタワキ リオ</t>
  </si>
  <si>
    <t>サダモリ ユウサク</t>
  </si>
  <si>
    <t>ヤマシタ フウカ</t>
  </si>
  <si>
    <t>ハヤシ　ユウダイ</t>
  </si>
  <si>
    <t>ナカイ　リノ</t>
  </si>
  <si>
    <t>ヨコヤマ　ソウタ</t>
  </si>
  <si>
    <t>トク　ソウマ</t>
  </si>
  <si>
    <t>オオトモ コウスケ</t>
  </si>
  <si>
    <t>サガ　トモカズ</t>
  </si>
  <si>
    <t>ヒラノ　キョウスケ</t>
  </si>
  <si>
    <t>シゲトシ　ナオキ</t>
  </si>
  <si>
    <t>ツジ　テツヤ</t>
  </si>
  <si>
    <t>シマモト　カズキ</t>
  </si>
  <si>
    <t>オクノ  リル</t>
  </si>
  <si>
    <t>ヨコヤマ リキヤ</t>
  </si>
  <si>
    <t>コタケ　ケンタ</t>
  </si>
  <si>
    <t>コニシ　リョウヘイ</t>
  </si>
  <si>
    <t>クスイ　ユウヤ</t>
  </si>
  <si>
    <t>タナカ　ソウタ</t>
  </si>
  <si>
    <t>ヨシオカ　ユウキ</t>
  </si>
  <si>
    <t>シミズ  リュウイチ</t>
  </si>
  <si>
    <t>カトウ マサト</t>
  </si>
  <si>
    <t>マツダイラ　ナオヤ</t>
  </si>
  <si>
    <t>イデノ    ショウタ</t>
  </si>
  <si>
    <t>カミモト マコ</t>
  </si>
  <si>
    <t>ヤマサカ　ツヨシ</t>
  </si>
  <si>
    <t>ミズイ　カンタ</t>
  </si>
  <si>
    <t>カキウチ ダイスケ</t>
  </si>
  <si>
    <t>タイラ　ユウマ</t>
  </si>
  <si>
    <t>マエダ　ケイト</t>
  </si>
  <si>
    <t>シマ　カズアキ</t>
  </si>
  <si>
    <t>イシハラ　チズゴ</t>
  </si>
  <si>
    <t>フクトミ　ダイスケ</t>
  </si>
  <si>
    <t>クワハラ　ジュンマ</t>
  </si>
  <si>
    <t>オバタ　ユミ</t>
  </si>
  <si>
    <t>シチジョウ　タクミ</t>
  </si>
  <si>
    <t>ヤノ　コウキ</t>
  </si>
  <si>
    <t>ミヨシ　ユウダイ</t>
  </si>
  <si>
    <t>ヤマモト　ハヤテ</t>
  </si>
  <si>
    <t>ナカニシ　コウキ</t>
  </si>
  <si>
    <t>ヨシカワ ケンシン</t>
  </si>
  <si>
    <t>サカウエ　ハルキ</t>
  </si>
  <si>
    <t>オダ　テッペイ</t>
  </si>
  <si>
    <t>ヤマグチ　マリ</t>
  </si>
  <si>
    <t>タキガワ　アヤネ</t>
  </si>
  <si>
    <t>ニシダ　マナ</t>
  </si>
  <si>
    <t>フジヨシ　カゼヒロ</t>
  </si>
  <si>
    <t>ホリタ コウガ</t>
  </si>
  <si>
    <t>ナカタ　モモ</t>
  </si>
  <si>
    <t>ホシバ　モモカ</t>
  </si>
  <si>
    <t>ツジハラ　タクヤ</t>
  </si>
  <si>
    <t>ハジメ　トモヤ</t>
  </si>
  <si>
    <t>ウエダ　ショウブ</t>
  </si>
  <si>
    <t>サノ ジュンコ</t>
  </si>
  <si>
    <t>ミチノ　ナツキ</t>
  </si>
  <si>
    <t>ヤマグチ　マサト</t>
  </si>
  <si>
    <t>クボ　ヒヨリ</t>
  </si>
  <si>
    <t>ナガイ　タツキ</t>
  </si>
  <si>
    <t>タニマ　ショウタ</t>
  </si>
  <si>
    <t>コバヤシ　ユウタ</t>
  </si>
  <si>
    <t>フルモト　ダイキ</t>
  </si>
  <si>
    <t>ミチネ　アンナ</t>
  </si>
  <si>
    <t>イケダ　アキヒロ</t>
  </si>
  <si>
    <t>タケムラ　マヤ</t>
  </si>
  <si>
    <t>ツジ　カスミ</t>
  </si>
  <si>
    <t>ムラオカ　ナナ</t>
  </si>
  <si>
    <t>オノ　リンタロウ</t>
  </si>
  <si>
    <t>ハヤシ サヤカ</t>
  </si>
  <si>
    <t>3500円は500×人数をイベンター取り分から差引</t>
    <rPh sb="4" eb="5">
      <t>エン</t>
    </rPh>
    <rPh sb="10" eb="12">
      <t>ニンズ</t>
    </rPh>
    <rPh sb="18" eb="19">
      <t>ト</t>
    </rPh>
    <rPh sb="20" eb="21">
      <t>ブン</t>
    </rPh>
    <rPh sb="23" eb="25">
      <t>サシヒキ</t>
    </rPh>
    <phoneticPr fontId="2"/>
  </si>
  <si>
    <t>3500円差引</t>
    <rPh sb="4" eb="5">
      <t>エン</t>
    </rPh>
    <rPh sb="5" eb="7">
      <t>サシヒキ</t>
    </rPh>
    <phoneticPr fontId="2"/>
  </si>
  <si>
    <t>3500円の場合人数×500円をイベンター取り分から差引</t>
    <rPh sb="4" eb="5">
      <t>エン</t>
    </rPh>
    <rPh sb="6" eb="8">
      <t>バアイ</t>
    </rPh>
    <rPh sb="8" eb="10">
      <t>ニンズウ</t>
    </rPh>
    <rPh sb="14" eb="15">
      <t>エン</t>
    </rPh>
    <rPh sb="21" eb="22">
      <t>ト</t>
    </rPh>
    <rPh sb="23" eb="24">
      <t>ブン</t>
    </rPh>
    <rPh sb="26" eb="28">
      <t>サシヒキ</t>
    </rPh>
    <phoneticPr fontId="2"/>
  </si>
  <si>
    <t>差引額</t>
    <rPh sb="0" eb="2">
      <t>サシヒキ</t>
    </rPh>
    <rPh sb="2" eb="3">
      <t>ガク</t>
    </rPh>
    <phoneticPr fontId="2"/>
  </si>
  <si>
    <t>フジタ　リク</t>
    <phoneticPr fontId="2"/>
  </si>
  <si>
    <t>タカハラ　ハルカ</t>
  </si>
  <si>
    <t>ヒロオカ　ナツミ</t>
  </si>
  <si>
    <t>カサタニ　レイヤ</t>
  </si>
  <si>
    <t>ウラ　レオト</t>
  </si>
  <si>
    <t>カメイ　コウキ</t>
  </si>
  <si>
    <t>カワゴエ　ショウキ</t>
  </si>
  <si>
    <t>ナカガマ ウタナ</t>
  </si>
  <si>
    <t>マツモト ナナ</t>
  </si>
  <si>
    <t>スズキ　チハル</t>
    <phoneticPr fontId="2"/>
  </si>
  <si>
    <t>ヤギュウ　リコ</t>
  </si>
  <si>
    <t>VIP料金：ひとりあたり500円チャージ</t>
    <rPh sb="3" eb="5">
      <t>リョウキン</t>
    </rPh>
    <rPh sb="15" eb="16">
      <t>エン</t>
    </rPh>
    <phoneticPr fontId="10"/>
  </si>
  <si>
    <t>前日、当日キャンセル料金は1100円が発生</t>
    <rPh sb="0" eb="2">
      <t>ゼンジツ</t>
    </rPh>
    <rPh sb="3" eb="5">
      <t>トウジツ</t>
    </rPh>
    <rPh sb="10" eb="12">
      <t>リョウキン</t>
    </rPh>
    <rPh sb="17" eb="18">
      <t>エン</t>
    </rPh>
    <rPh sb="19" eb="21">
      <t>ハッセイ</t>
    </rPh>
    <phoneticPr fontId="2"/>
  </si>
  <si>
    <t>ヤマナカ　アツシ</t>
  </si>
  <si>
    <t>モウリ　ケンゴ</t>
  </si>
  <si>
    <t>ナイトウ　コウヘイ</t>
  </si>
  <si>
    <t>3500円集金差引</t>
    <rPh sb="4" eb="5">
      <t>エン</t>
    </rPh>
    <rPh sb="5" eb="7">
      <t>シュウキン</t>
    </rPh>
    <rPh sb="7" eb="9">
      <t>サシヒキ</t>
    </rPh>
    <phoneticPr fontId="10"/>
  </si>
  <si>
    <t>3500円集金差引</t>
    <rPh sb="4" eb="5">
      <t>エン</t>
    </rPh>
    <rPh sb="5" eb="7">
      <t>シュウキン</t>
    </rPh>
    <rPh sb="7" eb="9">
      <t>サシヒキ</t>
    </rPh>
    <phoneticPr fontId="2"/>
  </si>
  <si>
    <t>ニックネーム</t>
    <phoneticPr fontId="2"/>
  </si>
  <si>
    <t>たくま</t>
    <phoneticPr fontId="2"/>
  </si>
  <si>
    <t>三ノ宮　Bar　さんかく</t>
    <rPh sb="0" eb="1">
      <t>サンノミヤ</t>
    </rPh>
    <phoneticPr fontId="2"/>
  </si>
  <si>
    <t>Bar　さんかく</t>
    <phoneticPr fontId="2"/>
  </si>
  <si>
    <t>Barさんかく</t>
    <phoneticPr fontId="2"/>
  </si>
  <si>
    <t>個々の予約で領収書を貰うではなく、月末にまとめて貰う感じ！</t>
    <rPh sb="0" eb="2">
      <t>ココ</t>
    </rPh>
    <rPh sb="3" eb="5">
      <t>ヨヤク</t>
    </rPh>
    <rPh sb="6" eb="9">
      <t>リョウシュウショ</t>
    </rPh>
    <rPh sb="10" eb="11">
      <t>モラ</t>
    </rPh>
    <rPh sb="17" eb="19">
      <t>ゲツマツ</t>
    </rPh>
    <rPh sb="24" eb="25">
      <t>モラ</t>
    </rPh>
    <rPh sb="26" eb="27">
      <t>カン</t>
    </rPh>
    <phoneticPr fontId="2"/>
  </si>
  <si>
    <t>モリタ　マミ</t>
  </si>
  <si>
    <t>オオモリ　リョウヘイ</t>
  </si>
  <si>
    <t>モリナガ　ユウスケ</t>
  </si>
  <si>
    <t>ワタナベ　チサコ</t>
  </si>
  <si>
    <t>カネイ　ユウキ</t>
  </si>
  <si>
    <t>コンドウ　ウララ</t>
  </si>
  <si>
    <t>ヒライ　タカフミ</t>
  </si>
  <si>
    <t>アマコ　ユウキ</t>
  </si>
  <si>
    <t>タナカ　ヨシユキ</t>
  </si>
  <si>
    <t>ミノダ　タクミ</t>
  </si>
  <si>
    <t>ホシゴエマサト</t>
  </si>
  <si>
    <t>イチヤナギ　ノリフミ</t>
  </si>
  <si>
    <t>クボ　コウタ</t>
  </si>
  <si>
    <t>オオツカ　コウヘイ</t>
  </si>
  <si>
    <t>ヤマモト　ユウヤ</t>
  </si>
  <si>
    <t>ヒサシ　タカヒロ</t>
    <phoneticPr fontId="2"/>
  </si>
  <si>
    <t>ヤマシタ　タカユキ</t>
  </si>
  <si>
    <t>スズキ　アンドレイ</t>
  </si>
  <si>
    <t>オオタ　タカシ</t>
  </si>
  <si>
    <t>広告費、コンサルタント費、業務委託費のいずれかで記載</t>
    <rPh sb="0" eb="3">
      <t>コウコクヒ</t>
    </rPh>
    <rPh sb="11" eb="12">
      <t>ヒ</t>
    </rPh>
    <rPh sb="13" eb="15">
      <t>ギョウム</t>
    </rPh>
    <rPh sb="15" eb="17">
      <t>イタク</t>
    </rPh>
    <rPh sb="17" eb="18">
      <t>ヒ</t>
    </rPh>
    <rPh sb="24" eb="26">
      <t>キサイ</t>
    </rPh>
    <phoneticPr fontId="2"/>
  </si>
  <si>
    <t>バックは振込で行う（口座反映まで3日営業日がかかる）</t>
    <rPh sb="4" eb="6">
      <t>フリコミ</t>
    </rPh>
    <rPh sb="7" eb="8">
      <t>オコナ</t>
    </rPh>
    <rPh sb="10" eb="12">
      <t>コウザ</t>
    </rPh>
    <rPh sb="12" eb="14">
      <t>ハンエイ</t>
    </rPh>
    <rPh sb="17" eb="18">
      <t>ニチ</t>
    </rPh>
    <rPh sb="18" eb="21">
      <t>エイギョウビ</t>
    </rPh>
    <phoneticPr fontId="2"/>
  </si>
  <si>
    <t>ワタナベ　ユキノスケ</t>
  </si>
  <si>
    <t>トクナガ　チヒロ</t>
  </si>
  <si>
    <t>ヤマモト　ヤスアキ</t>
  </si>
  <si>
    <t>マエカワ　ナツキ</t>
  </si>
  <si>
    <t>ヨシムラ　カズヤ　3e</t>
  </si>
  <si>
    <t>サガワ　　チカ</t>
  </si>
  <si>
    <t>アカサカ　サトシ</t>
  </si>
  <si>
    <t>スガムラ　ダイチ</t>
  </si>
  <si>
    <t>アシダ　カズマ</t>
  </si>
  <si>
    <t>タナカ　ユウセイ</t>
  </si>
  <si>
    <t>カゲヤマ　ユウタロウ</t>
  </si>
  <si>
    <t>ノボル　ユウキ</t>
  </si>
  <si>
    <t>クボ　　イッセイ</t>
  </si>
  <si>
    <t>サキサカ　ユメホ</t>
  </si>
  <si>
    <t>以下バックから差引金額</t>
  </si>
  <si>
    <t>総計：787円</t>
  </si>
  <si>
    <t>シャンパン代：759円</t>
    <phoneticPr fontId="2"/>
  </si>
  <si>
    <t>ポッキー代：162円</t>
    <phoneticPr fontId="2"/>
  </si>
  <si>
    <t>領収書記載金額</t>
    <rPh sb="0" eb="7">
      <t>リョウシュウショキサイキンガク</t>
    </rPh>
    <phoneticPr fontId="2"/>
  </si>
  <si>
    <t>領収書記載金額：</t>
    <rPh sb="0" eb="7">
      <t>リョウシュウショキサイキンガク</t>
    </rPh>
    <phoneticPr fontId="2"/>
  </si>
  <si>
    <t>個室の予約は10人で1名で無料計算</t>
    <rPh sb="0" eb="2">
      <t>コシツ</t>
    </rPh>
    <rPh sb="3" eb="5">
      <t>ヨヤク</t>
    </rPh>
    <rPh sb="8" eb="9">
      <t>ニン</t>
    </rPh>
    <rPh sb="11" eb="12">
      <t>メイ</t>
    </rPh>
    <rPh sb="13" eb="15">
      <t>ムリョウ</t>
    </rPh>
    <rPh sb="15" eb="17">
      <t>ケイサン</t>
    </rPh>
    <phoneticPr fontId="2"/>
  </si>
  <si>
    <t>サファリ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</si>
</sst>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[$-F800]dddd\,\ mmmm\ dd\,\ yyyy"/>
    <numFmt numFmtId="177" formatCode="#&quot;年&quot;"/>
    <numFmt numFmtId="178" formatCode="#&quot;月&quot;"/>
  </numFmts>
  <fonts count="17">
    <font>
      <sz val="12"/>
      <color rgb="FF000000"/>
      <name val="游ゴシック"/>
    </font>
    <font>
      <sz val="12"/>
      <color theme="1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1.15"/>
      <color rgb="FF000000"/>
      <name val="Yu Gothic"/>
      <family val="3"/>
      <charset val="128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8"/>
      <color theme="1"/>
      <name val="游ゴシック Light"/>
      <family val="3"/>
      <charset val="128"/>
    </font>
    <font>
      <sz val="12"/>
      <name val="游ゴシック"/>
      <family val="3"/>
      <charset val="128"/>
    </font>
    <font>
      <sz val="6"/>
      <name val="Tsukushi A Round Gothic Bold"/>
      <family val="3"/>
      <charset val="128"/>
    </font>
    <font>
      <sz val="12"/>
      <color theme="1"/>
      <name val="游ゴシック"/>
      <family val="3"/>
      <charset val="128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2"/>
      <color rgb="FF000000"/>
      <name val="Segoe UI Emoji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2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/>
      <top/>
      <bottom/>
      <diagonal style="thin">
        <color auto="1"/>
      </diagonal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</borders>
  <cellStyleXfs count="8">
    <xf numFmtId="0" fontId="0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/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148"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 shrinkToFit="1"/>
    </xf>
    <xf numFmtId="0" fontId="0" fillId="0" borderId="6" xfId="0" applyBorder="1" applyAlignment="1">
      <alignment vertical="center"/>
    </xf>
    <xf numFmtId="0" fontId="4" fillId="0" borderId="7" xfId="1" applyBorder="1">
      <alignment vertical="center"/>
    </xf>
    <xf numFmtId="38" fontId="0" fillId="0" borderId="7" xfId="2" applyFont="1" applyBorder="1">
      <alignment vertical="center"/>
    </xf>
    <xf numFmtId="0" fontId="4" fillId="0" borderId="0" xfId="1">
      <alignment vertical="center"/>
    </xf>
    <xf numFmtId="38" fontId="0" fillId="0" borderId="0" xfId="2" applyFont="1">
      <alignment vertical="center"/>
    </xf>
    <xf numFmtId="0" fontId="4" fillId="0" borderId="10" xfId="1" applyBorder="1">
      <alignment vertical="center"/>
    </xf>
    <xf numFmtId="0" fontId="4" fillId="0" borderId="11" xfId="1" applyBorder="1">
      <alignment vertical="center"/>
    </xf>
    <xf numFmtId="0" fontId="4" fillId="0" borderId="12" xfId="1" applyBorder="1">
      <alignment vertical="center"/>
    </xf>
    <xf numFmtId="0" fontId="4" fillId="3" borderId="13" xfId="1" applyFill="1" applyBorder="1">
      <alignment vertical="center"/>
    </xf>
    <xf numFmtId="0" fontId="4" fillId="3" borderId="7" xfId="1" applyFill="1" applyBorder="1">
      <alignment vertical="center"/>
    </xf>
    <xf numFmtId="0" fontId="4" fillId="3" borderId="8" xfId="1" applyFill="1" applyBorder="1">
      <alignment vertical="center"/>
    </xf>
    <xf numFmtId="38" fontId="0" fillId="0" borderId="7" xfId="2" applyFont="1" applyFill="1" applyBorder="1">
      <alignment vertical="center"/>
    </xf>
    <xf numFmtId="0" fontId="4" fillId="3" borderId="14" xfId="1" applyFill="1" applyBorder="1">
      <alignment vertical="center"/>
    </xf>
    <xf numFmtId="0" fontId="4" fillId="3" borderId="15" xfId="1" applyFill="1" applyBorder="1">
      <alignment vertical="center"/>
    </xf>
    <xf numFmtId="0" fontId="4" fillId="3" borderId="16" xfId="1" applyFill="1" applyBorder="1">
      <alignment vertical="center"/>
    </xf>
    <xf numFmtId="0" fontId="4" fillId="0" borderId="13" xfId="1" applyBorder="1">
      <alignment vertical="center"/>
    </xf>
    <xf numFmtId="0" fontId="4" fillId="0" borderId="8" xfId="1" applyBorder="1">
      <alignment vertical="center"/>
    </xf>
    <xf numFmtId="0" fontId="4" fillId="3" borderId="17" xfId="1" applyFill="1" applyBorder="1">
      <alignment vertical="center"/>
    </xf>
    <xf numFmtId="0" fontId="4" fillId="3" borderId="9" xfId="1" applyFill="1" applyBorder="1">
      <alignment vertical="center"/>
    </xf>
    <xf numFmtId="38" fontId="6" fillId="0" borderId="0" xfId="2" applyFont="1">
      <alignment vertical="center"/>
    </xf>
    <xf numFmtId="38" fontId="4" fillId="0" borderId="0" xfId="1" applyNumberFormat="1">
      <alignment vertical="center"/>
    </xf>
    <xf numFmtId="0" fontId="4" fillId="0" borderId="15" xfId="1" applyBorder="1">
      <alignment vertical="center"/>
    </xf>
    <xf numFmtId="0" fontId="4" fillId="0" borderId="16" xfId="1" applyBorder="1">
      <alignment vertical="center"/>
    </xf>
    <xf numFmtId="31" fontId="0" fillId="0" borderId="19" xfId="0" applyNumberFormat="1" applyBorder="1" applyAlignment="1">
      <alignment horizontal="right" vertical="center"/>
    </xf>
    <xf numFmtId="0" fontId="1" fillId="0" borderId="0" xfId="4">
      <alignment vertical="center"/>
    </xf>
    <xf numFmtId="38" fontId="0" fillId="0" borderId="0" xfId="5" applyFont="1">
      <alignment vertical="center"/>
    </xf>
    <xf numFmtId="0" fontId="1" fillId="0" borderId="7" xfId="4" applyBorder="1">
      <alignment vertical="center"/>
    </xf>
    <xf numFmtId="0" fontId="1" fillId="0" borderId="13" xfId="4" applyBorder="1">
      <alignment vertical="center"/>
    </xf>
    <xf numFmtId="0" fontId="1" fillId="0" borderId="8" xfId="4" applyBorder="1">
      <alignment vertical="center"/>
    </xf>
    <xf numFmtId="38" fontId="0" fillId="0" borderId="7" xfId="5" applyFont="1" applyBorder="1">
      <alignment vertical="center"/>
    </xf>
    <xf numFmtId="0" fontId="1" fillId="0" borderId="10" xfId="4" applyBorder="1">
      <alignment vertical="center"/>
    </xf>
    <xf numFmtId="0" fontId="1" fillId="0" borderId="11" xfId="4" applyBorder="1">
      <alignment vertical="center"/>
    </xf>
    <xf numFmtId="0" fontId="1" fillId="0" borderId="12" xfId="4" applyBorder="1">
      <alignment vertical="center"/>
    </xf>
    <xf numFmtId="176" fontId="1" fillId="0" borderId="7" xfId="4" applyNumberFormat="1" applyBorder="1">
      <alignment vertical="center"/>
    </xf>
    <xf numFmtId="0" fontId="1" fillId="3" borderId="13" xfId="4" applyFill="1" applyBorder="1">
      <alignment vertical="center"/>
    </xf>
    <xf numFmtId="0" fontId="1" fillId="3" borderId="7" xfId="4" applyFill="1" applyBorder="1">
      <alignment vertical="center"/>
    </xf>
    <xf numFmtId="0" fontId="1" fillId="3" borderId="8" xfId="4" applyFill="1" applyBorder="1">
      <alignment vertical="center"/>
    </xf>
    <xf numFmtId="38" fontId="0" fillId="0" borderId="7" xfId="5" applyFont="1" applyFill="1" applyBorder="1">
      <alignment vertical="center"/>
    </xf>
    <xf numFmtId="0" fontId="1" fillId="3" borderId="14" xfId="4" applyFill="1" applyBorder="1">
      <alignment vertical="center"/>
    </xf>
    <xf numFmtId="0" fontId="1" fillId="3" borderId="15" xfId="4" applyFill="1" applyBorder="1">
      <alignment vertical="center"/>
    </xf>
    <xf numFmtId="0" fontId="1" fillId="3" borderId="16" xfId="4" applyFill="1" applyBorder="1">
      <alignment vertical="center"/>
    </xf>
    <xf numFmtId="0" fontId="1" fillId="0" borderId="0" xfId="1" applyFont="1">
      <alignment vertical="center"/>
    </xf>
    <xf numFmtId="0" fontId="7" fillId="0" borderId="4" xfId="0" applyFont="1" applyBorder="1" applyAlignment="1">
      <alignment vertical="center" shrinkToFit="1"/>
    </xf>
    <xf numFmtId="38" fontId="7" fillId="0" borderId="7" xfId="2" applyFont="1" applyBorder="1">
      <alignment vertical="center"/>
    </xf>
    <xf numFmtId="3" fontId="4" fillId="3" borderId="7" xfId="1" applyNumberFormat="1" applyFill="1" applyBorder="1">
      <alignment vertical="center"/>
    </xf>
    <xf numFmtId="0" fontId="1" fillId="3" borderId="8" xfId="1" applyFont="1" applyFill="1" applyBorder="1">
      <alignment vertical="center"/>
    </xf>
    <xf numFmtId="38" fontId="0" fillId="0" borderId="9" xfId="2" applyFont="1" applyBorder="1">
      <alignment vertical="center"/>
    </xf>
    <xf numFmtId="38" fontId="0" fillId="0" borderId="13" xfId="2" applyFont="1" applyBorder="1">
      <alignment vertical="center"/>
    </xf>
    <xf numFmtId="0" fontId="1" fillId="3" borderId="7" xfId="1" applyFont="1" applyFill="1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/>
    </xf>
    <xf numFmtId="0" fontId="0" fillId="2" borderId="4" xfId="0" applyFill="1" applyBorder="1" applyAlignment="1">
      <alignment vertical="center" shrinkToFit="1"/>
    </xf>
    <xf numFmtId="0" fontId="0" fillId="2" borderId="4" xfId="0" applyFill="1" applyBorder="1" applyAlignment="1">
      <alignment vertical="center"/>
    </xf>
    <xf numFmtId="0" fontId="7" fillId="0" borderId="6" xfId="0" applyFont="1" applyBorder="1" applyAlignment="1">
      <alignment vertical="center" shrinkToFit="1"/>
    </xf>
    <xf numFmtId="38" fontId="7" fillId="0" borderId="15" xfId="2" applyFont="1" applyBorder="1">
      <alignment vertical="center"/>
    </xf>
    <xf numFmtId="38" fontId="7" fillId="0" borderId="11" xfId="2" applyFont="1" applyBorder="1">
      <alignment vertical="center"/>
    </xf>
    <xf numFmtId="38" fontId="7" fillId="0" borderId="13" xfId="2" applyFont="1" applyBorder="1">
      <alignment vertical="center"/>
    </xf>
    <xf numFmtId="38" fontId="7" fillId="0" borderId="9" xfId="2" applyFont="1" applyBorder="1">
      <alignment vertical="center"/>
    </xf>
    <xf numFmtId="31" fontId="11" fillId="0" borderId="20" xfId="0" applyNumberFormat="1" applyFont="1" applyBorder="1" applyAlignment="1">
      <alignment horizontal="right" vertical="center"/>
    </xf>
    <xf numFmtId="31" fontId="7" fillId="0" borderId="19" xfId="0" applyNumberFormat="1" applyFont="1" applyBorder="1" applyAlignment="1">
      <alignment horizontal="left" vertical="center"/>
    </xf>
    <xf numFmtId="0" fontId="12" fillId="4" borderId="0" xfId="1" applyFont="1" applyFill="1">
      <alignment vertical="center"/>
    </xf>
    <xf numFmtId="0" fontId="13" fillId="4" borderId="18" xfId="1" applyFont="1" applyFill="1" applyBorder="1">
      <alignment vertical="center"/>
    </xf>
    <xf numFmtId="0" fontId="13" fillId="4" borderId="22" xfId="1" applyFont="1" applyFill="1" applyBorder="1">
      <alignment vertical="center"/>
    </xf>
    <xf numFmtId="31" fontId="11" fillId="0" borderId="21" xfId="0" applyNumberFormat="1" applyFont="1" applyBorder="1" applyAlignment="1">
      <alignment horizontal="left" vertical="center"/>
    </xf>
    <xf numFmtId="31" fontId="7" fillId="0" borderId="7" xfId="0" applyNumberFormat="1" applyFont="1" applyBorder="1" applyAlignment="1">
      <alignment horizontal="left" vertical="center"/>
    </xf>
    <xf numFmtId="38" fontId="0" fillId="3" borderId="7" xfId="2" applyFont="1" applyFill="1" applyBorder="1">
      <alignment vertical="center"/>
    </xf>
    <xf numFmtId="31" fontId="11" fillId="0" borderId="7" xfId="0" applyNumberFormat="1" applyFont="1" applyBorder="1" applyAlignment="1">
      <alignment horizontal="left" vertical="center"/>
    </xf>
    <xf numFmtId="38" fontId="11" fillId="0" borderId="7" xfId="2" applyFont="1" applyFill="1" applyBorder="1">
      <alignment vertical="center"/>
    </xf>
    <xf numFmtId="0" fontId="14" fillId="0" borderId="7" xfId="1" applyFont="1" applyBorder="1">
      <alignment vertical="center"/>
    </xf>
    <xf numFmtId="31" fontId="11" fillId="0" borderId="23" xfId="0" applyNumberFormat="1" applyFont="1" applyBorder="1" applyAlignment="1">
      <alignment horizontal="right" vertical="center"/>
    </xf>
    <xf numFmtId="0" fontId="1" fillId="0" borderId="7" xfId="1" applyFont="1" applyBorder="1">
      <alignment vertical="center"/>
    </xf>
    <xf numFmtId="38" fontId="4" fillId="0" borderId="7" xfId="1" applyNumberFormat="1" applyBorder="1">
      <alignment vertical="center"/>
    </xf>
    <xf numFmtId="0" fontId="1" fillId="0" borderId="10" xfId="1" applyFont="1" applyBorder="1">
      <alignment vertical="center"/>
    </xf>
    <xf numFmtId="0" fontId="1" fillId="0" borderId="24" xfId="1" applyFont="1" applyBorder="1">
      <alignment vertical="center"/>
    </xf>
    <xf numFmtId="38" fontId="4" fillId="0" borderId="8" xfId="1" applyNumberFormat="1" applyBorder="1">
      <alignment vertical="center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shrinkToFit="1"/>
    </xf>
    <xf numFmtId="38" fontId="0" fillId="0" borderId="15" xfId="2" applyFont="1" applyBorder="1">
      <alignment vertical="center"/>
    </xf>
    <xf numFmtId="0" fontId="7" fillId="0" borderId="0" xfId="0" applyFont="1" applyAlignment="1">
      <alignment horizontal="center" vertical="center"/>
    </xf>
    <xf numFmtId="38" fontId="0" fillId="0" borderId="0" xfId="6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25" xfId="0" applyFont="1" applyBorder="1" applyAlignment="1">
      <alignment horizontal="center" vertical="center"/>
    </xf>
    <xf numFmtId="38" fontId="0" fillId="0" borderId="26" xfId="0" applyNumberFormat="1" applyBorder="1" applyAlignment="1">
      <alignment vertical="center"/>
    </xf>
    <xf numFmtId="38" fontId="0" fillId="0" borderId="13" xfId="6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15" xfId="0" applyBorder="1" applyAlignment="1">
      <alignment vertical="center" shrinkToFit="1"/>
    </xf>
    <xf numFmtId="0" fontId="7" fillId="0" borderId="6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38" fontId="7" fillId="0" borderId="0" xfId="2" applyFont="1">
      <alignment vertical="center"/>
    </xf>
    <xf numFmtId="38" fontId="0" fillId="0" borderId="0" xfId="2" applyFont="1" applyBorder="1">
      <alignment vertical="center"/>
    </xf>
    <xf numFmtId="38" fontId="0" fillId="0" borderId="0" xfId="2" applyFont="1" applyFill="1" applyBorder="1">
      <alignment vertical="center"/>
    </xf>
    <xf numFmtId="38" fontId="7" fillId="0" borderId="9" xfId="2" applyFont="1" applyBorder="1" applyAlignment="1">
      <alignment horizontal="left" vertical="center"/>
    </xf>
    <xf numFmtId="38" fontId="0" fillId="3" borderId="15" xfId="2" applyFont="1" applyFill="1" applyBorder="1">
      <alignment vertical="center"/>
    </xf>
    <xf numFmtId="0" fontId="4" fillId="0" borderId="24" xfId="1" applyBorder="1">
      <alignment vertical="center"/>
    </xf>
    <xf numFmtId="31" fontId="0" fillId="0" borderId="27" xfId="0" applyNumberFormat="1" applyBorder="1" applyAlignment="1">
      <alignment horizontal="right" vertical="center"/>
    </xf>
    <xf numFmtId="31" fontId="7" fillId="0" borderId="27" xfId="0" applyNumberFormat="1" applyFont="1" applyBorder="1" applyAlignment="1">
      <alignment horizontal="right" vertical="center"/>
    </xf>
    <xf numFmtId="31" fontId="7" fillId="0" borderId="28" xfId="0" applyNumberFormat="1" applyFont="1" applyBorder="1" applyAlignment="1">
      <alignment horizontal="right" vertical="center"/>
    </xf>
    <xf numFmtId="0" fontId="4" fillId="0" borderId="29" xfId="1" applyBorder="1">
      <alignment vertical="center"/>
    </xf>
    <xf numFmtId="31" fontId="7" fillId="0" borderId="29" xfId="0" applyNumberFormat="1" applyFont="1" applyBorder="1" applyAlignment="1">
      <alignment horizontal="left" vertical="center"/>
    </xf>
    <xf numFmtId="0" fontId="4" fillId="0" borderId="9" xfId="1" applyBorder="1">
      <alignment vertical="center"/>
    </xf>
    <xf numFmtId="31" fontId="0" fillId="0" borderId="7" xfId="0" applyNumberFormat="1" applyBorder="1" applyAlignment="1">
      <alignment horizontal="center" vertical="center"/>
    </xf>
    <xf numFmtId="0" fontId="1" fillId="0" borderId="11" xfId="1" applyFont="1" applyBorder="1">
      <alignment vertical="center"/>
    </xf>
    <xf numFmtId="38" fontId="0" fillId="0" borderId="11" xfId="2" applyFont="1" applyBorder="1">
      <alignment vertical="center"/>
    </xf>
    <xf numFmtId="0" fontId="1" fillId="0" borderId="12" xfId="1" applyFont="1" applyBorder="1">
      <alignment vertical="center"/>
    </xf>
    <xf numFmtId="0" fontId="4" fillId="0" borderId="14" xfId="1" applyBorder="1">
      <alignment vertical="center"/>
    </xf>
    <xf numFmtId="38" fontId="4" fillId="0" borderId="15" xfId="1" applyNumberFormat="1" applyBorder="1">
      <alignment vertical="center"/>
    </xf>
    <xf numFmtId="0" fontId="0" fillId="0" borderId="13" xfId="0" applyBorder="1" applyAlignment="1">
      <alignment vertical="center"/>
    </xf>
    <xf numFmtId="38" fontId="7" fillId="0" borderId="7" xfId="2" applyFont="1" applyBorder="1" applyAlignment="1">
      <alignment vertical="center"/>
    </xf>
    <xf numFmtId="0" fontId="7" fillId="0" borderId="30" xfId="0" applyFont="1" applyBorder="1" applyAlignment="1">
      <alignment vertical="center"/>
    </xf>
    <xf numFmtId="38" fontId="7" fillId="0" borderId="7" xfId="2" applyFont="1" applyFill="1" applyBorder="1">
      <alignment vertical="center"/>
    </xf>
    <xf numFmtId="0" fontId="7" fillId="3" borderId="8" xfId="1" applyFont="1" applyFill="1" applyBorder="1">
      <alignment vertical="center"/>
    </xf>
    <xf numFmtId="38" fontId="1" fillId="0" borderId="13" xfId="1" applyNumberFormat="1" applyFont="1" applyBorder="1">
      <alignment vertical="center"/>
    </xf>
    <xf numFmtId="38" fontId="1" fillId="0" borderId="11" xfId="1" applyNumberFormat="1" applyFont="1" applyBorder="1">
      <alignment vertical="center"/>
    </xf>
    <xf numFmtId="38" fontId="1" fillId="0" borderId="10" xfId="1" applyNumberFormat="1" applyFont="1" applyBorder="1">
      <alignment vertical="center"/>
    </xf>
    <xf numFmtId="0" fontId="7" fillId="0" borderId="11" xfId="0" applyFont="1" applyBorder="1" applyAlignment="1">
      <alignment vertical="center"/>
    </xf>
    <xf numFmtId="38" fontId="0" fillId="0" borderId="13" xfId="0" applyNumberFormat="1" applyBorder="1" applyAlignment="1">
      <alignment vertical="center"/>
    </xf>
    <xf numFmtId="38" fontId="0" fillId="0" borderId="0" xfId="6" applyFont="1" applyAlignment="1">
      <alignment vertical="center"/>
    </xf>
    <xf numFmtId="0" fontId="0" fillId="0" borderId="16" xfId="0" applyBorder="1" applyAlignment="1">
      <alignment vertical="center"/>
    </xf>
    <xf numFmtId="0" fontId="0" fillId="0" borderId="7" xfId="0" applyBorder="1"/>
    <xf numFmtId="0" fontId="0" fillId="0" borderId="24" xfId="0" applyBorder="1"/>
    <xf numFmtId="0" fontId="7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0" fillId="0" borderId="9" xfId="0" applyBorder="1"/>
    <xf numFmtId="0" fontId="0" fillId="0" borderId="15" xfId="0" applyBorder="1"/>
    <xf numFmtId="0" fontId="7" fillId="0" borderId="2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7" fillId="0" borderId="15" xfId="0" applyFont="1" applyBorder="1"/>
    <xf numFmtId="0" fontId="7" fillId="0" borderId="17" xfId="0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8" xfId="0" applyBorder="1" applyAlignment="1">
      <alignment vertical="center"/>
    </xf>
    <xf numFmtId="0" fontId="7" fillId="0" borderId="3" xfId="0" applyFont="1" applyBorder="1" applyAlignment="1">
      <alignment horizontal="center" vertical="center" shrinkToFit="1"/>
    </xf>
    <xf numFmtId="0" fontId="7" fillId="0" borderId="7" xfId="3" applyBorder="1" applyAlignment="1">
      <alignment vertical="center"/>
    </xf>
    <xf numFmtId="38" fontId="7" fillId="0" borderId="13" xfId="6" applyFont="1" applyFill="1" applyBorder="1" applyAlignment="1">
      <alignment vertical="center"/>
    </xf>
    <xf numFmtId="31" fontId="11" fillId="0" borderId="31" xfId="0" applyNumberFormat="1" applyFont="1" applyBorder="1" applyAlignment="1">
      <alignment horizontal="right" vertical="center"/>
    </xf>
    <xf numFmtId="38" fontId="7" fillId="0" borderId="15" xfId="2" applyFont="1" applyFill="1" applyBorder="1">
      <alignment vertical="center"/>
    </xf>
    <xf numFmtId="0" fontId="7" fillId="3" borderId="16" xfId="1" applyFont="1" applyFill="1" applyBorder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38" fontId="7" fillId="3" borderId="7" xfId="2" applyFont="1" applyFill="1" applyBorder="1">
      <alignment vertical="center"/>
    </xf>
  </cellXfs>
  <cellStyles count="8">
    <cellStyle name="桁区切り" xfId="6" builtinId="6"/>
    <cellStyle name="桁区切り 2" xfId="2" xr:uid="{61DB6D1D-1416-4615-89AA-7AB65002D594}"/>
    <cellStyle name="桁区切り 3" xfId="5" xr:uid="{409AB6EF-3E7A-3749-AA89-0301DFC6FEF5}"/>
    <cellStyle name="桁区切り 4" xfId="7" xr:uid="{71997EC8-E3CD-4087-859D-3191255AE8BE}"/>
    <cellStyle name="標準" xfId="0" builtinId="0"/>
    <cellStyle name="標準 2" xfId="1" xr:uid="{EF856FB9-1515-4C8B-9D14-22E6F0FF64F0}"/>
    <cellStyle name="標準 3" xfId="3" xr:uid="{3B4A1A8F-7230-4B88-AB65-986723DEBD38}"/>
    <cellStyle name="標準 4" xfId="4" xr:uid="{EE727339-3688-4D4F-8DB3-B44502DE7B58}"/>
  </cellStyles>
  <dxfs count="8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1"/>
        <family val="2"/>
        <charset val="128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6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3"/>
        <charset val="128"/>
        <scheme val="none"/>
      </font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6" formatCode="[$-F800]dddd\,\ mmmm\ dd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41" formatCode="yyyy&quot;年&quot;m&quot;月&quot;d&quot;日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1" formatCode="yyyy&quot;年&quot;m&quot;月&quot;d&quot;日&quot;"/>
      <alignment horizontal="right" vertical="center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indexed="64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6" formatCode="#,##0;[Red]\-#,##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6" formatCode="#,##0;[Red]\-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游ゴシック"/>
        <family val="2"/>
        <charset val="128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rgb="FFED7D31"/>
          <bgColor rgb="FFED7D31"/>
        </patternFill>
      </fill>
    </dxf>
  </dxfs>
  <tableStyles count="3" defaultTableStyle="TableStyleMedium2" defaultPivotStyle="PivotStyleLight16">
    <tableStyle name="名前リスト-style" pivot="0" count="3" xr9:uid="{00000000-0011-0000-FFFF-FFFF00000000}">
      <tableStyleElement type="headerRow" dxfId="856"/>
      <tableStyleElement type="firstRowStripe" dxfId="855"/>
      <tableStyleElement type="secondRowStripe" dxfId="854"/>
    </tableStyle>
    <tableStyle name="各店舗件数-style" pivot="0" count="3" xr9:uid="{00000000-0011-0000-FFFF-FFFF01000000}">
      <tableStyleElement type="headerRow" dxfId="853"/>
      <tableStyleElement type="firstRowStripe" dxfId="852"/>
      <tableStyleElement type="secondRowStripe" dxfId="851"/>
    </tableStyle>
    <tableStyle name="店舗名集-style" pivot="0" count="3" xr9:uid="{00000000-0011-0000-FFFF-FFFF02000000}">
      <tableStyleElement type="headerRow" dxfId="850"/>
      <tableStyleElement type="firstRowStripe" dxfId="849"/>
      <tableStyleElement type="secondRowStripe" dxfId="84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</xdr:row>
          <xdr:rowOff>152400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84583" name="Button 615" hidden="1">
              <a:extLst>
                <a:ext uri="{63B3BB69-23CF-44E3-9099-C40C66FF867C}">
                  <a14:compatExt spid="_x0000_s84583"/>
                </a:ext>
                <a:ext uri="{FF2B5EF4-FFF2-40B4-BE49-F238E27FC236}">
                  <a16:creationId xmlns:a16="http://schemas.microsoft.com/office/drawing/2014/main" id="{00000000-0008-0000-0000-0000674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順位抽出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C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D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3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7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7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B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C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55649" name="Button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1D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76200</xdr:rowOff>
        </xdr:from>
        <xdr:to>
          <xdr:col>10</xdr:col>
          <xdr:colOff>590550</xdr:colOff>
          <xdr:row>6</xdr:row>
          <xdr:rowOff>85725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F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15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戻る</a:t>
              </a: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  <a:p>
              <a:pPr algn="ctr" rtl="0">
                <a:defRPr sz="1000"/>
              </a:pPr>
              <a:endParaRPr lang="ja-JP" altLang="en-US" sz="1115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名前リスト" displayName="名前リスト" ref="A1:J351">
  <autoFilter ref="A1:J351" xr:uid="{ABCB4464-4DD5-4E5A-9C97-073D04745A09}"/>
  <tableColumns count="10">
    <tableColumn id="1" xr3:uid="{00000000-0010-0000-0000-000001000000}" name="管理番号"/>
    <tableColumn id="2" xr3:uid="{00000000-0010-0000-0000-000002000000}" name="ニックネーム"/>
    <tableColumn id="3" xr3:uid="{00000000-0010-0000-0000-000003000000}" name="氏名"/>
    <tableColumn id="4" xr3:uid="{00000000-0010-0000-0000-000004000000}" name="バック金額（飲み会）" dataDxfId="847">
      <calculatedColumnFormula>VLOOKUP(名前リスト[[#This Row],[管理番号]],まとめ表_バック金額[[#All],[管理番号]:[バック金額合計]],4,FALSE)</calculatedColumnFormula>
    </tableColumn>
    <tableColumn id="6" xr3:uid="{CDEBA6E9-E07A-46DE-A228-9F806F0F74AF}" name="合計件数（飲み会）" dataDxfId="846">
      <calculatedColumnFormula>VLOOKUP(名前リスト[[#This Row],[管理番号]],まとめ表_各店舗件数[[#All],[管理番号]:[合計件数]],4,FALSE)</calculatedColumnFormula>
    </tableColumn>
    <tableColumn id="7" xr3:uid="{52A78938-E397-4A3C-95CA-82C920EFB033}" name="Aパターン（飲み会）" dataDxfId="845">
      <calculatedColumnFormula>VLOOKUP(名前リスト[[#This Row],[管理番号]],まとめ表_各Aパターン件数[[#All],[管理番号]:[Aパターン]],4,FALSE)</calculatedColumnFormula>
    </tableColumn>
    <tableColumn id="10" xr3:uid="{B47F796D-5FBA-4B12-877A-98B047E14DAE}" name="Barバック" dataDxfId="844"/>
    <tableColumn id="11" xr3:uid="{D07885CD-345A-41E3-8854-9D6C28ABE6D8}" name="Bパターン" dataDxfId="843">
      <calculatedColumnFormula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calculatedColumnFormula>
    </tableColumn>
    <tableColumn id="9" xr3:uid="{7090767F-02BA-4240-8D96-F2A7F0F185F6}" name="バック総合計" dataDxfId="842">
      <calculatedColumnFormula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calculatedColumnFormula>
    </tableColumn>
    <tableColumn id="5" xr3:uid="{0E1476E4-43C1-4537-B113-E166C7889438}" name="順位" dataDxfId="841" dataCellStyle="桁区切り">
      <calculatedColumnFormula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calculatedColumnFormula>
    </tableColumn>
  </tableColumns>
  <tableStyleInfo name="名前リスト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B896285-E1E0-4F8A-901B-9D7F27230697}" name="Bパターン" displayName="Bパターン" ref="A2:C15" totalsRowShown="0" headerRowDxfId="840" headerRowBorderDxfId="839" tableBorderDxfId="838" totalsRowBorderDxfId="837">
  <autoFilter ref="A2:C15" xr:uid="{AB2EB2CF-299B-4598-990D-D745775F2350}"/>
  <tableColumns count="3">
    <tableColumn id="1" xr3:uid="{CB412B2B-5596-4A33-AD3C-88415E3CE5A1}" name="管理番号" dataDxfId="836"/>
    <tableColumn id="2" xr3:uid="{9A7B09FC-E8EF-4F7A-A624-EB9B76267B13}" name="B件数" dataDxfId="835"/>
    <tableColumn id="3" xr3:uid="{637D4B54-0388-4C03-B793-68763C5D9D72}" name="バック合計金額" dataDxfId="834">
      <calculatedColumnFormula>SUM(Bパターン[[#This Row],[B件数]]*Bバック金額)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B3CCED-B13D-4966-A5B4-2571A8055A2E}" name="まとめ表_各店舗件数" displayName="まとめ表_各店舗件数" ref="A1:AB351" headerRowBorderDxfId="833" tableBorderDxfId="832" totalsRowBorderDxfId="831">
  <autoFilter ref="A1:AB351" xr:uid="{FDF9656E-70CD-4812-818B-4AF32C6765D8}"/>
  <sortState xmlns:xlrd2="http://schemas.microsoft.com/office/spreadsheetml/2017/richdata2" ref="A2:AA204">
    <sortCondition ref="D1:D204"/>
  </sortState>
  <tableColumns count="28">
    <tableColumn id="1" xr3:uid="{A08C09F0-455F-40DD-B8F2-A7786E52C8D5}" name="管理番号" totalsRowFunction="custom" dataDxfId="830" totalsRowDxfId="829" dataCellStyle="標準 2">
      <calculatedColumnFormula>名前リスト[[#This Row],[管理番号]]</calculatedColumnFormula>
      <totalsRowFormula>名前リスト[[#This Row],[管理番号]]</totalsRowFormula>
    </tableColumn>
    <tableColumn id="2" xr3:uid="{B01CA205-A15E-473D-A6DC-4D0FD7FE87EF}" name="LINE名" dataDxfId="828" totalsRowDxfId="827" dataCellStyle="標準 2">
      <calculatedColumnFormula>IF(NOT(まとめ表_各店舗件数[[#This Row],[管理番号]]=""),VLOOKUP(まとめ表_各店舗件数[[#This Row],[管理番号]],名前リスト[[#All],[管理番号]:[氏名]],2,TRUE),"")</calculatedColumnFormula>
    </tableColumn>
    <tableColumn id="3" xr3:uid="{E3056C32-6AC1-43B0-AA03-D7A97B1F632D}" name="氏名" dataDxfId="826" totalsRowDxfId="825" dataCellStyle="標準 2">
      <calculatedColumnFormula>IF(NOT(まとめ表_各店舗件数[[#This Row],[管理番号]]=""),VLOOKUP(まとめ表_各店舗件数[[#This Row],[管理番号]],名前リスト[[#All],[管理番号]:[氏名]],3,TRUE),"")</calculatedColumnFormula>
    </tableColumn>
    <tableColumn id="4" xr3:uid="{FFD37463-969E-432D-8CEB-0A424A58C6A9}" name="合計件数" dataDxfId="824" totalsRowDxfId="823" dataCellStyle="標準 2">
      <calculatedColumnFormula>IF(SUM(E2:XFD2)=0,"",SUM(E2:XFD2))</calculatedColumnFormula>
    </tableColumn>
    <tableColumn id="5" xr3:uid="{802613F8-2CBB-4F45-AAE8-34F38D6DECCD}" name="キャンプ" dataDxfId="822" totalsRowDxfId="821" dataCellStyle="桁区切り 2">
      <calculatedColumnFormula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calculatedColumnFormula>
    </tableColumn>
    <tableColumn id="6" xr3:uid="{05D216BF-C23E-4D3B-BFF3-F436C454A661}" name="パンプキン" dataDxfId="820" totalsRowDxfId="819" dataCellStyle="桁区切り 2">
      <calculatedColumnFormula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calculatedColumnFormula>
    </tableColumn>
    <tableColumn id="7" xr3:uid="{288E07F9-0751-4B2D-AFFE-89175CB26C1F}" name="aiai" dataDxfId="818" totalsRowDxfId="817" dataCellStyle="桁区切り 2">
      <calculatedColumnFormula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calculatedColumnFormula>
    </tableColumn>
    <tableColumn id="8" xr3:uid="{E2A2B981-0AC5-44FD-9F92-9D7840B83CE0}" name="ファイブ（堀江）" dataDxfId="816" totalsRowDxfId="815" dataCellStyle="桁区切り 2">
      <calculatedColumnFormula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calculatedColumnFormula>
    </tableColumn>
    <tableColumn id="9" xr3:uid="{D92BD43A-8216-48BF-A3EB-80E7B410FBF1}" name="ファイブ（北新地）" dataDxfId="814" totalsRowDxfId="813" dataCellStyle="桁区切り 2">
      <calculatedColumnFormula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calculatedColumnFormula>
    </tableColumn>
    <tableColumn id="10" xr3:uid="{181B32C4-770B-4AFF-B071-F4668EB2F61D}" name="ここからCafé" dataDxfId="812" totalsRowDxfId="811" dataCellStyle="桁区切り 2">
      <calculatedColumnFormula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calculatedColumnFormula>
    </tableColumn>
    <tableColumn id="15" xr3:uid="{51FE4B7A-5649-448D-8044-BFA6DEE23CBC}" name="石狩" dataDxfId="810" totalsRowDxfId="809" dataCellStyle="桁区切り 2">
      <calculatedColumnFormula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calculatedColumnFormula>
    </tableColumn>
    <tableColumn id="11" xr3:uid="{2A3472E8-2560-46D8-8EE1-5365921AB5C7}" name="あん" dataDxfId="808" totalsRowDxfId="807" dataCellStyle="桁区切り 2">
      <calculatedColumnFormula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calculatedColumnFormula>
    </tableColumn>
    <tableColumn id="13" xr3:uid="{416507BB-3572-4C8B-A4DF-A751D39F3BD2}" name="safari" dataDxfId="806" totalsRowDxfId="805" dataCellStyle="桁区切り 2">
      <calculatedColumnFormula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calculatedColumnFormula>
    </tableColumn>
    <tableColumn id="16" xr3:uid="{A19CF2B5-1774-467E-92D4-1747C475E6D3}" name="3e BAR" dataDxfId="804" totalsRowDxfId="803" dataCellStyle="桁区切り 2">
      <calculatedColumnFormula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calculatedColumnFormula>
    </tableColumn>
    <tableColumn id="17" xr3:uid="{33CB3C2D-BB25-4DF9-8CFB-7B9FDD0EB524}" name="ラプロメッサ" dataDxfId="802" totalsRowDxfId="801" dataCellStyle="桁区切り 2">
      <calculatedColumnFormula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calculatedColumnFormula>
    </tableColumn>
    <tableColumn id="19" xr3:uid="{B5E5448B-D9C1-4946-B469-04C04EC1844D}" name="M &amp;M" dataDxfId="800" totalsRowDxfId="799" dataCellStyle="桁区切り 2">
      <calculatedColumnFormula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calculatedColumnFormula>
    </tableColumn>
    <tableColumn id="20" xr3:uid="{E0A54586-AA9E-43E0-92F9-7892CE5574CF}" name="CSB" dataDxfId="798" totalsRowDxfId="797" dataCellStyle="桁区切り 2">
      <calculatedColumnFormula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calculatedColumnFormula>
    </tableColumn>
    <tableColumn id="21" xr3:uid="{850C538F-8203-4BD0-B497-3BCA7703D7D8}" name="梅田　煙" dataDxfId="796" totalsRowDxfId="795" dataCellStyle="桁区切り 2">
      <calculatedColumnFormula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calculatedColumnFormula>
    </tableColumn>
    <tableColumn id="12" xr3:uid="{8C1C5A18-A692-44F4-BEBD-15E36A2B586B}" name="難波　煙" dataDxfId="794" totalsRowDxfId="793" dataCellStyle="桁区切り 2">
      <calculatedColumnFormula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calculatedColumnFormula>
    </tableColumn>
    <tableColumn id="22" xr3:uid="{6003D834-E1F1-469F-8B91-386DED67F264}" name="多味庵" dataDxfId="792" totalsRowDxfId="791" dataCellStyle="桁区切り 2">
      <calculatedColumnFormula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calculatedColumnFormula>
    </tableColumn>
    <tableColumn id="23" xr3:uid="{13EB29C2-26D8-47E6-BB62-F783427FE818}" name="キャンパス" dataDxfId="790" totalsRowDxfId="789" dataCellStyle="桁区切り 2">
      <calculatedColumnFormula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calculatedColumnFormula>
    </tableColumn>
    <tableColumn id="24" xr3:uid="{4DBD3719-676E-4742-91A7-04572FDEA6B5}" name="琥珀の泉" dataDxfId="788" totalsRowDxfId="787" dataCellStyle="桁区切り 2">
      <calculatedColumnFormula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calculatedColumnFormula>
    </tableColumn>
    <tableColumn id="25" xr3:uid="{23B43C38-6C68-4BC0-B0CB-219A51E59C43}" name="旬家" dataDxfId="786" totalsRowDxfId="785" dataCellStyle="桁区切り 2">
      <calculatedColumnFormula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calculatedColumnFormula>
    </tableColumn>
    <tableColumn id="29" xr3:uid="{772AED22-1582-48DC-87F5-C0A59C2CFED2}" name="きさらぎ" dataDxfId="784" totalsRowDxfId="783" dataCellStyle="桁区切り 2">
      <calculatedColumnFormula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calculatedColumnFormula>
    </tableColumn>
    <tableColumn id="26" xr3:uid="{82FC3D34-1D5D-497A-96F7-33B12946E342}" name="しょうじ" dataDxfId="782" totalsRowDxfId="781" dataCellStyle="桁区切り 2">
      <calculatedColumnFormula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calculatedColumnFormula>
    </tableColumn>
    <tableColumn id="28" xr3:uid="{F86BF58E-8D3A-4EA2-9266-D428D3263E7E}" name="パンプキ" dataDxfId="780" totalsRowDxfId="779" dataCellStyle="桁区切り 2">
      <calculatedColumnFormula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calculatedColumnFormula>
    </tableColumn>
    <tableColumn id="30" xr3:uid="{4844D0D7-0A11-4B8D-95A0-0D6D30FD3FFB}" name="A55" dataDxfId="778" totalsRowDxfId="777" dataCellStyle="標準 2">
      <calculatedColumnFormula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calculatedColumnFormula>
    </tableColumn>
    <tableColumn id="33" xr3:uid="{54BCAE61-A264-4F66-BC7C-CAE27C575902}" name="Bar　さんかく" dataDxfId="776" totalsRowDxfId="775" dataCellStyle="標準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4B59DD-E038-4C7F-9295-A34074A77171}" name="まとめ表_各Aパターン件数" displayName="まとめ表_各Aパターン件数" ref="A1:AB351" headerRowDxfId="774" totalsRowDxfId="771" headerRowBorderDxfId="773" tableBorderDxfId="772" totalsRowBorderDxfId="770">
  <sortState xmlns:xlrd2="http://schemas.microsoft.com/office/spreadsheetml/2017/richdata2" ref="A2:AA204">
    <sortCondition ref="D1:D204"/>
  </sortState>
  <tableColumns count="28">
    <tableColumn id="1" xr3:uid="{1709F304-241E-4946-8664-E602BFBB8199}" name="管理番号" totalsRowFunction="custom" dataDxfId="769" totalsRowDxfId="768" dataCellStyle="標準 2">
      <calculatedColumnFormula>名前リスト[[#This Row],[管理番号]]</calculatedColumnFormula>
      <totalsRowFormula>名前リスト[[#This Row],[管理番号]]</totalsRowFormula>
    </tableColumn>
    <tableColumn id="2" xr3:uid="{E1216060-ECF6-4E9C-81D6-F3380B96F869}" name="LINE名" dataDxfId="767" totalsRowDxfId="766" dataCellStyle="標準 2">
      <calculatedColumnFormula>IF(NOT(まとめ表_各Aパターン件数[[#This Row],[管理番号]]=""),VLOOKUP(まとめ表_各Aパターン件数[[#This Row],[管理番号]],名前リスト[[#All],[管理番号]:[氏名]],2,TRUE),"")</calculatedColumnFormula>
    </tableColumn>
    <tableColumn id="3" xr3:uid="{CBD392E2-6690-43C5-81DE-30295B262290}" name="氏名" dataDxfId="765" totalsRowDxfId="764" dataCellStyle="標準 2">
      <calculatedColumnFormula>IF(NOT(まとめ表_各Aパターン件数[[#This Row],[管理番号]]=""),VLOOKUP(まとめ表_各Aパターン件数[[#This Row],[管理番号]],名前リスト[[#All],[管理番号]:[氏名]],3,TRUE),"")</calculatedColumnFormula>
    </tableColumn>
    <tableColumn id="4" xr3:uid="{FD839C64-4771-42B3-AC82-CDE702EC2DC8}" name="Aパターン" dataDxfId="763" totalsRowDxfId="762" dataCellStyle="標準 2">
      <calculatedColumnFormula>IF(SUM(E2:XFD2)=0,"",SUM(E2:XFD2))</calculatedColumnFormula>
    </tableColumn>
    <tableColumn id="5" xr3:uid="{F3F9E92F-DBE9-4C91-A3D6-1FC8488B488D}" name="キャンプ" dataDxfId="761" totalsRowDxfId="760" dataCellStyle="桁区切り 2">
      <calculatedColumnFormula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calculatedColumnFormula>
    </tableColumn>
    <tableColumn id="6" xr3:uid="{700F4535-BFC9-4890-88CC-28AD7B27390D}" name="パンプキン" dataDxfId="759" totalsRowDxfId="758" dataCellStyle="桁区切り 2">
      <calculatedColumnFormula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calculatedColumnFormula>
    </tableColumn>
    <tableColumn id="7" xr3:uid="{AE8EDA48-F5C4-49AD-AE20-8A7D6F254164}" name="aiai" dataDxfId="757" totalsRowDxfId="756" dataCellStyle="桁区切り 2">
      <calculatedColumnFormula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calculatedColumnFormula>
    </tableColumn>
    <tableColumn id="8" xr3:uid="{D999069C-CB24-4A17-9FD3-1D136401DCB3}" name="ファイブ（堀江）" dataDxfId="755" totalsRowDxfId="754" dataCellStyle="桁区切り 2">
      <calculatedColumnFormula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calculatedColumnFormula>
    </tableColumn>
    <tableColumn id="9" xr3:uid="{84EAAFBE-65B0-4892-9E18-33F89A1C0810}" name="ファイブ（北新地）" dataDxfId="753" totalsRowDxfId="752" dataCellStyle="桁区切り 2">
      <calculatedColumnFormula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calculatedColumnFormula>
    </tableColumn>
    <tableColumn id="10" xr3:uid="{04BAA3C0-C979-441B-BEC2-61457901C0DC}" name="ここからCafé" dataDxfId="751" totalsRowDxfId="750" dataCellStyle="桁区切り 2">
      <calculatedColumnFormula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calculatedColumnFormula>
    </tableColumn>
    <tableColumn id="15" xr3:uid="{F301EE54-C810-4048-8F07-AFF2CA67B0C0}" name="石狩" dataDxfId="749" totalsRowDxfId="748" dataCellStyle="桁区切り 2">
      <calculatedColumnFormula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calculatedColumnFormula>
    </tableColumn>
    <tableColumn id="11" xr3:uid="{99F8988D-B5B8-412E-BF69-86418094B31F}" name="あん" dataDxfId="747" totalsRowDxfId="746" dataCellStyle="桁区切り 2">
      <calculatedColumnFormula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calculatedColumnFormula>
    </tableColumn>
    <tableColumn id="13" xr3:uid="{475724B7-FDEE-48C3-9249-45E26BB2EB89}" name="safari" dataDxfId="745" totalsRowDxfId="744" dataCellStyle="桁区切り 2">
      <calculatedColumnFormula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calculatedColumnFormula>
    </tableColumn>
    <tableColumn id="16" xr3:uid="{62400C4B-74FA-40CA-A2EA-F6B8D29C4FA4}" name="3e BAR" dataDxfId="743" totalsRowDxfId="742" dataCellStyle="桁区切り 2">
      <calculatedColumnFormula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calculatedColumnFormula>
    </tableColumn>
    <tableColumn id="17" xr3:uid="{D9BE2BFE-BB2E-4761-AC80-87AABE25C658}" name="ラプロメッサ" dataDxfId="741" totalsRowDxfId="740" dataCellStyle="桁区切り 2">
      <calculatedColumnFormula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calculatedColumnFormula>
    </tableColumn>
    <tableColumn id="19" xr3:uid="{F8B6C324-9B62-4426-844D-7A81F0EE0821}" name="M &amp;M" dataDxfId="739" totalsRowDxfId="738" dataCellStyle="桁区切り 2">
      <calculatedColumnFormula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calculatedColumnFormula>
    </tableColumn>
    <tableColumn id="20" xr3:uid="{EB1EF31A-C2DA-4863-98E0-F0E2DDF964C9}" name="CSB" dataDxfId="737" totalsRowDxfId="736" dataCellStyle="桁区切り 2">
      <calculatedColumnFormula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calculatedColumnFormula>
    </tableColumn>
    <tableColumn id="21" xr3:uid="{CFF7CEEA-4AA2-4350-8CC0-2ADF0E83621E}" name="梅田　煙" dataDxfId="735" totalsRowDxfId="734" dataCellStyle="桁区切り 2">
      <calculatedColumnFormula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calculatedColumnFormula>
    </tableColumn>
    <tableColumn id="12" xr3:uid="{6AA358F4-FDFE-4175-9B9C-46FC93242808}" name="難波　煙" dataDxfId="733" totalsRowDxfId="732" dataCellStyle="桁区切り 2">
      <calculatedColumnFormula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calculatedColumnFormula>
    </tableColumn>
    <tableColumn id="22" xr3:uid="{4DD72B98-19E4-4030-8658-AB39979821C8}" name="多味庵" dataDxfId="731" totalsRowDxfId="730" dataCellStyle="桁区切り 2">
      <calculatedColumnFormula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calculatedColumnFormula>
    </tableColumn>
    <tableColumn id="23" xr3:uid="{2E220EFF-C890-465F-94A5-A2EC1EFEB58C}" name="キャンパス" dataDxfId="729" totalsRowDxfId="728" dataCellStyle="桁区切り 2">
      <calculatedColumnFormula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calculatedColumnFormula>
    </tableColumn>
    <tableColumn id="24" xr3:uid="{3B94ED7D-A8E2-4786-8DA0-6552ECA58AD5}" name="琥珀の泉" dataDxfId="727" totalsRowDxfId="726" dataCellStyle="桁区切り 2">
      <calculatedColumnFormula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calculatedColumnFormula>
    </tableColumn>
    <tableColumn id="25" xr3:uid="{7B8F705D-21B4-4893-8D1F-F285084FF525}" name="旬家" dataDxfId="725" totalsRowDxfId="724" dataCellStyle="桁区切り 2">
      <calculatedColumnFormula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calculatedColumnFormula>
    </tableColumn>
    <tableColumn id="29" xr3:uid="{87611EFC-F0E9-4E6F-AC71-04C4E5EAD839}" name="きさらぎ" dataDxfId="723" totalsRowDxfId="722" dataCellStyle="桁区切り 2">
      <calculatedColumnFormula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calculatedColumnFormula>
    </tableColumn>
    <tableColumn id="26" xr3:uid="{85A26902-DDE2-4044-BF74-5A441912BA49}" name="しょうじ" dataDxfId="721" totalsRowDxfId="720" dataCellStyle="桁区切り 2">
      <calculatedColumnFormula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calculatedColumnFormula>
    </tableColumn>
    <tableColumn id="28" xr3:uid="{F3FF387E-4642-48CF-9F1F-A52640F0746E}" name="パンプキ" dataDxfId="719" totalsRowDxfId="718" dataCellStyle="桁区切り 2">
      <calculatedColumnFormula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calculatedColumnFormula>
    </tableColumn>
    <tableColumn id="30" xr3:uid="{8A70F9E2-86EE-43E1-957C-5D79C853AD2E}" name="A55" dataDxfId="717" totalsRowDxfId="716" dataCellStyle="標準 2">
      <calculatedColumnFormula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calculatedColumnFormula>
    </tableColumn>
    <tableColumn id="32" xr3:uid="{D1C58698-8F3C-42B8-978A-851E419386F9}" name="Bar　さんかく" dataDxfId="715" totalsRowDxfId="714" dataCellStyle="標準 2">
      <calculatedColumnFormula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B0B447B-EF70-4071-ABBA-BA4F9AEFAD20}" name="まとめ表_バック金額" displayName="まとめ表_バック金額" ref="A1:AB351" headerRowBorderDxfId="713" tableBorderDxfId="712" totalsRowBorderDxfId="711">
  <autoFilter ref="A1:AB351" xr:uid="{F98C3F13-A84C-4BAE-81A4-A62689BBD719}"/>
  <sortState xmlns:xlrd2="http://schemas.microsoft.com/office/spreadsheetml/2017/richdata2" ref="A2:AA204">
    <sortCondition ref="D1:D204"/>
  </sortState>
  <tableColumns count="28">
    <tableColumn id="1" xr3:uid="{FF3FBA7D-CD35-4408-8410-9194801D6AB8}" name="管理番号" totalsRowFunction="custom" dataDxfId="710" totalsRowDxfId="709" dataCellStyle="標準 2">
      <totalsRowFormula>名前リスト[[#This Row],[管理番号]]</totalsRowFormula>
    </tableColumn>
    <tableColumn id="2" xr3:uid="{E00F0DDB-8B63-4E1E-B01B-7BE68F79A001}" name="LINE名" dataDxfId="708" totalsRowDxfId="707" dataCellStyle="標準 2">
      <calculatedColumnFormula>IF(NOT(まとめ表_バック金額[[#This Row],[管理番号]]=""),VLOOKUP(まとめ表_バック金額[[#This Row],[管理番号]],名前リスト[[#All],[管理番号]:[氏名]],2,TRUE),"")</calculatedColumnFormula>
    </tableColumn>
    <tableColumn id="3" xr3:uid="{6B8F110F-DF35-4CBB-AB1A-11F1EEA6A887}" name="氏名" dataDxfId="706" totalsRowDxfId="705" dataCellStyle="標準 2">
      <calculatedColumnFormula>IF(NOT(まとめ表_バック金額[[#This Row],[管理番号]]=""),VLOOKUP(まとめ表_バック金額[[#This Row],[管理番号]],名前リスト[[#All],[管理番号]:[氏名]],3,TRUE),"")</calculatedColumnFormula>
    </tableColumn>
    <tableColumn id="4" xr3:uid="{B2497ACD-0207-4D2C-90EC-DFD67159DC17}" name="バック金額合計" dataDxfId="704" totalsRowDxfId="703" dataCellStyle="標準 2">
      <calculatedColumnFormula>IF(SUM(E2:XFD2)=0,"",SUM(E2:XFD2))</calculatedColumnFormula>
    </tableColumn>
    <tableColumn id="5" xr3:uid="{4A102B82-2720-4325-8037-0E5518D460F7}" name="キャンプ" dataDxfId="702" totalsRowDxfId="701" dataCellStyle="桁区切り 2"/>
    <tableColumn id="6" xr3:uid="{9C26370B-D29B-41B4-8909-F547A75A1753}" name="パンプキン" dataDxfId="700" totalsRowDxfId="699" dataCellStyle="桁区切り 2">
      <calculatedColumnFormula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calculatedColumnFormula>
    </tableColumn>
    <tableColumn id="7" xr3:uid="{B81F27A2-F7E1-4199-BDC0-2EF183C971B7}" name="aiai" dataDxfId="698" totalsRowDxfId="697" dataCellStyle="桁区切り 2">
      <calculatedColumnFormula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calculatedColumnFormula>
    </tableColumn>
    <tableColumn id="8" xr3:uid="{E59F3F89-A859-4582-8EAE-DBEE064F8E43}" name="ファイブ（堀江）" dataDxfId="696" totalsRowDxfId="695" dataCellStyle="桁区切り 2">
      <calculatedColumnFormula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calculatedColumnFormula>
    </tableColumn>
    <tableColumn id="9" xr3:uid="{71C95FB8-A298-4CC9-B4E3-2F339779B1F4}" name="ファイブ（北新地）" dataDxfId="694" totalsRowDxfId="693" dataCellStyle="桁区切り 2">
      <calculatedColumnFormula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calculatedColumnFormula>
    </tableColumn>
    <tableColumn id="10" xr3:uid="{AEE0F5BE-8F88-40F1-B980-87D0F3236354}" name="ここからCafé" dataDxfId="692" totalsRowDxfId="691" dataCellStyle="桁区切り 2">
      <calculatedColumnFormula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calculatedColumnFormula>
    </tableColumn>
    <tableColumn id="15" xr3:uid="{F5C2AC68-5615-4C37-9DDC-7D6A31F60373}" name="石狩" dataDxfId="690" totalsRowDxfId="689" dataCellStyle="桁区切り 2">
      <calculatedColumnFormula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calculatedColumnFormula>
    </tableColumn>
    <tableColumn id="11" xr3:uid="{80C3F3E6-F26F-4798-9F29-7B5019A9E7ED}" name="あん" dataDxfId="688" totalsRowDxfId="687" dataCellStyle="桁区切り 2">
      <calculatedColumnFormula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calculatedColumnFormula>
    </tableColumn>
    <tableColumn id="13" xr3:uid="{6E2CA1E1-3B07-42DA-BB23-99121BFBF6EF}" name="safari" dataDxfId="686" totalsRowDxfId="685" dataCellStyle="桁区切り 2">
      <calculatedColumnFormula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calculatedColumnFormula>
    </tableColumn>
    <tableColumn id="16" xr3:uid="{C002CB19-4F3A-487C-BF9D-2FA8FD694FF4}" name="3e BAR" dataDxfId="684" totalsRowDxfId="683" dataCellStyle="桁区切り 2">
      <calculatedColumnFormula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calculatedColumnFormula>
    </tableColumn>
    <tableColumn id="17" xr3:uid="{2A4C3F59-EF04-43DB-B07D-16CEE19EC262}" name="ラプロメッサ" dataDxfId="682" totalsRowDxfId="681" dataCellStyle="桁区切り 2">
      <calculatedColumnFormula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calculatedColumnFormula>
    </tableColumn>
    <tableColumn id="19" xr3:uid="{75DE8F6F-B3D3-4026-A685-E06674EF5320}" name="M &amp;M" dataDxfId="680" totalsRowDxfId="679" dataCellStyle="桁区切り 2">
      <calculatedColumnFormula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calculatedColumnFormula>
    </tableColumn>
    <tableColumn id="20" xr3:uid="{0352349D-83D7-4764-87BB-E0AFDB25E524}" name="CSB" dataDxfId="678" totalsRowDxfId="677" dataCellStyle="桁区切り 2">
      <calculatedColumnFormula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calculatedColumnFormula>
    </tableColumn>
    <tableColumn id="21" xr3:uid="{3C82BD24-600B-418A-B27F-20927863ADE7}" name="梅田　煙" dataDxfId="676" totalsRowDxfId="675" dataCellStyle="桁区切り 2">
      <calculatedColumnFormula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calculatedColumnFormula>
    </tableColumn>
    <tableColumn id="12" xr3:uid="{593D159B-9322-4EB8-A703-7A8215BD62EC}" name="難波　煙" dataDxfId="674" totalsRowDxfId="673" dataCellStyle="桁区切り 2">
      <calculatedColumnFormula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calculatedColumnFormula>
    </tableColumn>
    <tableColumn id="22" xr3:uid="{C0A12BB9-EC51-448E-A86B-CDB772F370A8}" name="多味庵" dataDxfId="672" totalsRowDxfId="671" dataCellStyle="桁区切り 2">
      <calculatedColumnFormula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calculatedColumnFormula>
    </tableColumn>
    <tableColumn id="23" xr3:uid="{C20334E2-76B4-40D5-952A-EAF61C729E16}" name="キャンパス" dataDxfId="670" totalsRowDxfId="669" dataCellStyle="桁区切り 2">
      <calculatedColumnFormula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calculatedColumnFormula>
    </tableColumn>
    <tableColumn id="24" xr3:uid="{6E3963C3-3AD0-4E4D-B9B4-50BA78C3B217}" name="琥珀の泉" dataDxfId="668" totalsRowDxfId="667" dataCellStyle="桁区切り 2">
      <calculatedColumnFormula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calculatedColumnFormula>
    </tableColumn>
    <tableColumn id="25" xr3:uid="{A779FD92-6008-4AFC-B208-177C0695A792}" name="旬家" dataDxfId="666" totalsRowDxfId="665" dataCellStyle="桁区切り 2">
      <calculatedColumnFormula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calculatedColumnFormula>
    </tableColumn>
    <tableColumn id="29" xr3:uid="{D35CF986-1520-408C-ADB7-B379DE2D1403}" name="きさらぎ" dataDxfId="664" totalsRowDxfId="663" dataCellStyle="桁区切り 2">
      <calculatedColumnFormula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calculatedColumnFormula>
    </tableColumn>
    <tableColumn id="26" xr3:uid="{638BE53F-0839-42BD-B90D-7E040BE98545}" name="しょうじ" dataDxfId="662" totalsRowDxfId="661" dataCellStyle="桁区切り 2">
      <calculatedColumnFormula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calculatedColumnFormula>
    </tableColumn>
    <tableColumn id="28" xr3:uid="{911A8EA3-625A-442A-B77E-34B3C8E1308C}" name="パンプキ" dataDxfId="660" totalsRowDxfId="659" dataCellStyle="桁区切り 2">
      <calculatedColumnFormula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calculatedColumnFormula>
    </tableColumn>
    <tableColumn id="30" xr3:uid="{8C19E680-643B-47EB-B66E-B18102230F62}" name="A55" dataDxfId="658" totalsRowDxfId="657" dataCellStyle="標準 2">
      <calculatedColumnFormula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calculatedColumnFormula>
    </tableColumn>
    <tableColumn id="32" xr3:uid="{8652C092-5F55-4079-9A8D-8FC969373DF2}" name="Barさんかく" dataDxfId="656" totalsRowDxfId="655" dataCellStyle="標準 2">
      <calculatedColumnFormula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1DE6112-E299-4FDF-994B-5F06EB9CBCCC}" name="バック金額①" displayName="バック金額①" ref="A1:B49" totalsRowShown="0">
  <autoFilter ref="A1:B49" xr:uid="{8718766B-08CE-4F59-BE6B-9974924C4219}"/>
  <tableColumns count="2">
    <tableColumn id="1" xr3:uid="{1203544A-BCA4-4713-9238-F40A387DFB73}" name="①"/>
    <tableColumn id="2" xr3:uid="{262E97C2-E0C9-41B9-BB98-2CED01AF115B}" name="バック金額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0FBC14-059F-4B78-8B5F-5AB24646EE0C}" name="バック金額②" displayName="バック金額②" ref="E1:F49" totalsRowShown="0">
  <autoFilter ref="E1:F49" xr:uid="{DC56BCFD-9C86-47D7-A93B-ED5270DFFD62}"/>
  <tableColumns count="2">
    <tableColumn id="1" xr3:uid="{57A1E289-449A-47A9-BB1A-75421BDDD19F}" name="②"/>
    <tableColumn id="2" xr3:uid="{7D45471E-380C-4AEC-8A6B-09F2D06E54CA}" name="バック金額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8E9EBD-AAD3-41F0-8E57-D57F0DCB9D5D}" name="梅田キャンプ4000" displayName="梅田キャンプ4000" ref="A4:K35" totalsRowShown="0" headerRowBorderDxfId="654" tableBorderDxfId="653" totalsRowBorderDxfId="652">
  <autoFilter ref="A4:K35" xr:uid="{1C819D62-6B3E-FF4E-B390-0F457A3E12CA}"/>
  <tableColumns count="11">
    <tableColumn id="5" xr3:uid="{0AF8CF28-69E4-4707-A8E2-BA8FAAE40241}" name="日付" dataDxfId="651"/>
    <tableColumn id="11" xr3:uid="{53E4264F-ECDA-4F8C-A073-3A349CF30892}" name="曜日" dataDxfId="650">
      <calculatedColumnFormula>TEXT(DATE(名前リスト!$N$1,名前リスト!$O$1,ROW()-4),"aaa")</calculatedColumnFormula>
    </tableColumn>
    <tableColumn id="1" xr3:uid="{54EF7B02-B46E-B449-8BC6-8AE73D296814}" name="件数" dataDxfId="649"/>
    <tableColumn id="2" xr3:uid="{F598C703-5ACC-5E4E-AEDA-02A6A3FCF484}" name="イベンター予約名" dataDxfId="648"/>
    <tableColumn id="3" xr3:uid="{C0EE1808-3110-1C40-8D7C-5526EFFF07A5}" name="人数" dataDxfId="647"/>
    <tableColumn id="4" xr3:uid="{985FA722-FC50-438E-8B5B-A12627543BAA}" name="Aパターン" dataDxfId="646" dataCellStyle="標準 2"/>
    <tableColumn id="6" xr3:uid="{5958ACCD-BACA-4C11-BE88-96B71C8857EB}" name="単価合計" dataDxfId="645" dataCellStyle="桁区切り 2">
      <calculatedColumnFormula>IF(梅田キャンプ4000[[#This Row],[人数]]="","",IF(梅田キャンプ4000[[#This Row],[人数]]&lt;=7,$B$1*梅田キャンプ4000[[#This Row],[人数]],$B$1*梅田キャンプ4000[[#This Row],[人数]]-梅田キャンプ4000[[#This Row],[幹事無料]]))</calculatedColumnFormula>
    </tableColumn>
    <tableColumn id="7" xr3:uid="{E53680E3-49DC-4FE2-ABB5-44E179721A3F}" name="ゆうき取りに行く" dataDxfId="644" dataCellStyle="桁区切り 2">
      <calculatedColumnFormula>IFERROR(($B$3*梅田キャンプ4000[[#This Row],[人数]])-梅田キャンプ4000[[#This Row],[単価合計]]-(梅田キャンプ4000[[#This Row],[キャンセル人数]]*$B$2),"")</calculatedColumnFormula>
    </tableColumn>
    <tableColumn id="10" xr3:uid="{64BE7A1C-7EC4-4A6E-ABBA-469A2B0F50EA}" name="幹事無料" dataDxfId="643" dataCellStyle="桁区切り 2">
      <calculatedColumnFormula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calculatedColumnFormula>
    </tableColumn>
    <tableColumn id="9" xr3:uid="{4B52FCBD-4195-497A-80A4-2A82B04420E1}" name="キャンセル人数" dataDxfId="642" dataCellStyle="桁区切り 2"/>
    <tableColumn id="8" xr3:uid="{58D5C86F-F9D6-48F5-9C2E-05153EBDE039}" name="イベンターへ" dataDxfId="641" dataCellStyle="桁区切り 2">
      <calculatedColumnFormula>IF(梅田キャンプ4000[[#This Row],[人数]]="","",VLOOKUP(梅田キャンプ4000[[#This Row],[人数]],バック金額①[#All],2,TRUE)-(梅田キャンプ4000[[#This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3190A-D6D3-4989-839B-38FFE52A7F25}" name="梅田キャンプ3500" displayName="梅田キャンプ3500" ref="N4:X35" totalsRowShown="0" headerRowBorderDxfId="640" tableBorderDxfId="639" totalsRowBorderDxfId="638">
  <autoFilter ref="N4:X35" xr:uid="{A57C9AC2-FAEA-414A-8B7A-12BE15CF477A}"/>
  <tableColumns count="11">
    <tableColumn id="5" xr3:uid="{E8E3E8AD-D130-4D59-887F-D5E507E98DB1}" name="日付" dataDxfId="637" dataCellStyle="標準 2">
      <calculatedColumnFormula>IF(DAY(DATE(名前リスト!$N$1,名前リスト!$O$1,ROW()-2))=ROW()-2,DATE(名前リスト!$N$1,名前リスト!$O$1,ROW()-2),"")</calculatedColumnFormula>
    </tableColumn>
    <tableColumn id="11" xr3:uid="{09150C93-767D-416E-AB16-5E5F1F523C8B}" name="曜日" dataDxfId="636">
      <calculatedColumnFormula>TEXT(DATE(名前リスト!$N$1,名前リスト!$O$1,ROW()-4),"aaa")</calculatedColumnFormula>
    </tableColumn>
    <tableColumn id="1" xr3:uid="{C0F1D673-B511-4B44-A484-A4BB499D78B8}" name="件数" dataDxfId="635"/>
    <tableColumn id="2" xr3:uid="{C94A4F89-4012-A449-9569-C4413BBE2B7E}" name="イベンター予約名" dataDxfId="634"/>
    <tableColumn id="3" xr3:uid="{B07AB96B-BAFF-5E49-8839-20C6E628EF2A}" name="人数" dataDxfId="633"/>
    <tableColumn id="10" xr3:uid="{40E201B1-4362-4411-A900-D1C1C6B9DCF6}" name="Aパターン" dataDxfId="632" dataCellStyle="標準 2"/>
    <tableColumn id="6" xr3:uid="{6DB5BF60-8A57-4E1A-9E7C-A80611B203DB}" name="単価合計" dataDxfId="631" dataCellStyle="桁区切り 2">
      <calculatedColumnFormula>IF(梅田キャンプ3500[[#This Row],[人数]]="","",IF(梅田キャンプ3500[[#This Row],[人数]]&lt;=7,$B$1*梅田キャンプ3500[[#This Row],[人数]],$B$1*梅田キャンプ3500[[#This Row],[人数]]-梅田キャンプ3500[[#This Row],[幹事無料]]))</calculatedColumnFormula>
    </tableColumn>
    <tableColumn id="7" xr3:uid="{1EB109D0-1635-45C2-BB5F-773EBE3028F9}" name="ゆうき取りに行く" dataDxfId="630" dataCellStyle="桁区切り 2">
      <calculatedColumnFormula>IFERROR(($O$3*梅田キャンプ3500[[#This Row],[人数]])-梅田キャンプ3500[[#This Row],[単価合計]]-(梅田キャンプ3500[[#This Row],[キャンセル人数]]*$B$2),"")</calculatedColumnFormula>
    </tableColumn>
    <tableColumn id="9" xr3:uid="{17E247EE-B78E-4A6A-B11B-91A95CB4573A}" name="幹事無料" dataDxfId="629" dataCellStyle="桁区切り 2">
      <calculatedColumnFormula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calculatedColumnFormula>
    </tableColumn>
    <tableColumn id="4" xr3:uid="{31ABE268-7598-467A-82FF-998175FECAE9}" name="キャンセル人数" dataDxfId="628" dataCellStyle="桁区切り 2"/>
    <tableColumn id="8" xr3:uid="{92E3588D-686A-4D42-A1F2-40A5DD760394}" name="イベンターへ" dataDxfId="627" dataCellStyle="桁区切り 2">
      <calculatedColumnFormula>IF(梅田キャンプ3500[[#This Row],[人数]]="","",VLOOKUP(梅田キャンプ3500[[#This Row],[人数]],バック金額①[#All],2,TRUE)-(梅田キャンプ3500[[#This Row],[キャンセル人数]]*$B$2)-($O$2*梅田キャンプ3500[[#This Row],[人数]]))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424CD-7A57-4EC1-9F4B-8ED5635DACE7}" name="梅田パンプキン4000" displayName="梅田パンプキン4000" ref="A4:J35" totalsRowShown="0" headerRowBorderDxfId="626" tableBorderDxfId="625" totalsRowBorderDxfId="624">
  <autoFilter ref="A4:J35" xr:uid="{AC98DDB4-C99F-804D-8BB2-05BACB46A2B6}"/>
  <tableColumns count="10">
    <tableColumn id="4" xr3:uid="{34159E48-3150-4D24-ACB5-C536C0DCD0B2}" name="日付" dataDxfId="623"/>
    <tableColumn id="1" xr3:uid="{85FF0C8C-1EE4-1143-B6E9-EE4764778A88}" name="件数" dataDxfId="622"/>
    <tableColumn id="2" xr3:uid="{E3E95BD7-4AEF-174A-9AE9-DED974BB4C02}" name="イベンター予約名" dataDxfId="621"/>
    <tableColumn id="3" xr3:uid="{1103A459-F480-7148-B304-A43C04DC809E}" name="人数" dataDxfId="620"/>
    <tableColumn id="8" xr3:uid="{ACA56ADB-02D5-4294-B38E-385A8A7E2744}" name="Aパターン" dataDxfId="619" dataCellStyle="標準 2"/>
    <tableColumn id="5" xr3:uid="{C0A03C70-B519-4312-B11D-572A3B67E99F}" name="単価合計" dataDxfId="618" dataCellStyle="桁区切り 2">
      <calculatedColumnFormula>IF(梅田パンプキン4000[[#This Row],[人数]]="","",IF(梅田パンプキン4000[[#This Row],[人数]]&lt;=7,$B$1*梅田パンプキン4000[[#This Row],[人数]],$B$1*梅田パンプキン4000[[#This Row],[人数]]-梅田パンプキン4000[[#This Row],[幹事無料]]))</calculatedColumnFormula>
    </tableColumn>
    <tableColumn id="6" xr3:uid="{CC7B9DFB-00EB-43AB-81D8-99E356CC01AC}" name="ゆうき取りに行く" dataDxfId="617" dataCellStyle="桁区切り 2">
      <calculatedColumnFormula>IFERROR(($B$3*梅田パンプキン4000[[#This Row],[人数]])-梅田パンプキン4000[[#This Row],[単価合計]]-(梅田パンプキン4000[[#This Row],[キャンセル人数]]*$B$2),"")</calculatedColumnFormula>
    </tableColumn>
    <tableColumn id="11" xr3:uid="{EEB3880A-2338-4600-90A6-B45E0F14B29A}" name="幹事無料" dataDxfId="616" dataCellStyle="桁区切り 2">
      <calculatedColumnFormula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calculatedColumnFormula>
    </tableColumn>
    <tableColumn id="10" xr3:uid="{F17E5BB7-FAD8-4129-B3AC-949AA49DD52F}" name="キャンセル人数" dataDxfId="615" dataCellStyle="桁区切り 2"/>
    <tableColumn id="7" xr3:uid="{ECA27F94-51C3-4E96-90EC-7A345F4909E3}" name="イベンターへ" dataDxfId="614" dataCellStyle="桁区切り 2">
      <calculatedColumnFormula>IF(梅田パンプキン4000[[#This Row],[人数]]="","",VLOOKUP(梅田パンプキン4000[[#This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390E83-6550-4146-B62A-6E54C6E28861}" name="梅田パンプキン3500" displayName="梅田パンプキン3500" ref="L4:U35" totalsRowShown="0" headerRowBorderDxfId="613" tableBorderDxfId="612" totalsRowBorderDxfId="611">
  <autoFilter ref="L4:U35" xr:uid="{3E57F02E-592A-3348-A18A-D5DD432C963B}"/>
  <tableColumns count="10">
    <tableColumn id="4" xr3:uid="{D473D240-9DE6-425E-AB65-4311D496F778}" name="日付" dataDxfId="610"/>
    <tableColumn id="1" xr3:uid="{55538ED1-D224-3145-A903-F1CC95B58C65}" name="件数" dataDxfId="609"/>
    <tableColumn id="2" xr3:uid="{ACA63795-775C-934B-96A5-B00F83841BEA}" name="イベンター予約名" dataDxfId="608"/>
    <tableColumn id="3" xr3:uid="{86E14928-98E4-C841-8D34-F7AE7446A904}" name="人数" dataDxfId="607"/>
    <tableColumn id="8" xr3:uid="{C1843680-C7F5-41FF-9AB9-5D4368D03C9E}" name="Aパターン" dataDxfId="606" dataCellStyle="標準 2"/>
    <tableColumn id="5" xr3:uid="{08630C1F-BB61-4382-B9DC-70F7A4054F05}" name="単価合計" dataDxfId="605" dataCellStyle="桁区切り 2">
      <calculatedColumnFormula>IF(梅田パンプキン3500[[#This Row],[人数]]="","",IF(梅田パンプキン3500[[#This Row],[人数]]&lt;=7,$B$1*梅田パンプキン3500[[#This Row],[人数]],$B$1*梅田パンプキン3500[[#This Row],[人数]]-梅田パンプキン3500[[#This Row],[幹事無料]]))</calculatedColumnFormula>
    </tableColumn>
    <tableColumn id="6" xr3:uid="{13DEC4E7-D167-40A5-800D-5A86ABA46A67}" name="ゆうき取りに行く" dataDxfId="604" dataCellStyle="桁区切り 2">
      <calculatedColumnFormula>IFERROR(($M$3*梅田パンプキン3500[[#This Row],[人数]])-梅田パンプキン3500[[#This Row],[単価合計]]-(梅田パンプキン3500[[#This Row],[キャンセル人数]]*$B$2),"")</calculatedColumnFormula>
    </tableColumn>
    <tableColumn id="10" xr3:uid="{18B7CCA5-83EC-4B69-B1BF-B1F572DC73B1}" name="幹事無料" dataDxfId="603" dataCellStyle="桁区切り 2">
      <calculatedColumnFormula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calculatedColumnFormula>
    </tableColumn>
    <tableColumn id="9" xr3:uid="{4C4799A7-601A-425A-B5BF-053BFDE5B23D}" name="キャンセル人数" dataDxfId="602" dataCellStyle="桁区切り 2"/>
    <tableColumn id="7" xr3:uid="{EB388A81-07F0-406A-9417-7A9CB7892D21}" name="イベンターへ" dataDxfId="601" dataCellStyle="桁区切り 2">
      <calculatedColumnFormula>IF(梅田パンプキン3500[[#This Row],[人数]]="","",VLOOKUP(梅田パンプキン3500[[#This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F84A04-4F22-4F2E-8E1E-485323656168}" name="堀江あいあい4000" displayName="堀江あいあい4000" ref="A4:J35" totalsRowShown="0" headerRowBorderDxfId="600" tableBorderDxfId="599" totalsRowBorderDxfId="598">
  <autoFilter ref="A4:J35" xr:uid="{D374D742-2137-914C-8A19-F9253E8E1D5A}"/>
  <tableColumns count="10">
    <tableColumn id="4" xr3:uid="{537C21FC-009E-420E-846B-37D142E1F85D}" name="日付" dataDxfId="597"/>
    <tableColumn id="1" xr3:uid="{E3332CAE-9C9A-2A45-9DD8-E91B4F8689DA}" name="件数" dataDxfId="596"/>
    <tableColumn id="2" xr3:uid="{AC0B30D4-9965-514F-BD99-9729C95979A0}" name="イベンター予約名" dataDxfId="595"/>
    <tableColumn id="3" xr3:uid="{8CDE216A-E62A-614B-8E9F-15837328291A}" name="人数" dataDxfId="594"/>
    <tableColumn id="8" xr3:uid="{D9D0C3C8-9692-4051-9F55-EF48DDB1A1CF}" name="Aパターン" dataDxfId="593" dataCellStyle="標準 2"/>
    <tableColumn id="5" xr3:uid="{35DF3688-E833-4755-B4C5-C93B0FAEC171}" name="単価合計" dataDxfId="592" dataCellStyle="桁区切り 2">
      <calculatedColumnFormula>IF(堀江あいあい4000[[#This Row],[人数]]="","",IF(堀江あいあい4000[[#This Row],[人数]]&lt;=7,$B$1*堀江あいあい4000[[#This Row],[人数]],$B$1*堀江あいあい4000[[#This Row],[人数]]-堀江あいあい4000[[#This Row],[幹事無料]]))</calculatedColumnFormula>
    </tableColumn>
    <tableColumn id="6" xr3:uid="{A91BD265-EF78-46EB-94FE-3D2303D5DA9F}" name="ゆうき取りに行く" dataDxfId="591" dataCellStyle="桁区切り 2">
      <calculatedColumnFormula>IFERROR(($B$3*堀江あいあい4000[[#This Row],[人数]])-堀江あいあい4000[[#This Row],[単価合計]]-(堀江あいあい4000[[#This Row],[キャンセル人数]]*$B$2),"")</calculatedColumnFormula>
    </tableColumn>
    <tableColumn id="10" xr3:uid="{DA480C9E-C650-482C-8D36-2B73D75CD2B7}" name="幹事無料" dataDxfId="590" dataCellStyle="桁区切り 2">
      <calculatedColumnFormula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calculatedColumnFormula>
    </tableColumn>
    <tableColumn id="9" xr3:uid="{1FEFA865-394E-4E08-83B7-CABAB8A1A3EA}" name="キャンセル人数" dataDxfId="589" dataCellStyle="桁区切り 2"/>
    <tableColumn id="7" xr3:uid="{EB7D622C-E99D-4141-8517-F76B3D59789D}" name="イベンターへ" dataDxfId="588" dataCellStyle="桁区切り 2">
      <calculatedColumnFormula>IF(堀江あいあい4000[[#This Row],[人数]]="","",VLOOKUP(堀江あいあい4000[[#This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495033-7B40-4D60-86F5-829977C38473}" name="堀江あいあい3500" displayName="堀江あいあい3500" ref="L4:U35" totalsRowShown="0" headerRowBorderDxfId="587" tableBorderDxfId="586" totalsRowBorderDxfId="585">
  <autoFilter ref="L4:U35" xr:uid="{09AE8972-D540-2448-B01B-ED78C26BF16D}"/>
  <tableColumns count="10">
    <tableColumn id="4" xr3:uid="{603E23F2-CE6F-4F9F-A797-396A87DC2289}" name="日付" dataDxfId="584"/>
    <tableColumn id="1" xr3:uid="{3A4F7611-5722-FF4F-B199-AA231B3A17EC}" name="件数" dataDxfId="583"/>
    <tableColumn id="2" xr3:uid="{A8821E48-1ABD-8D49-A94A-979D81E0B49F}" name="イベンター予約名" dataDxfId="582"/>
    <tableColumn id="3" xr3:uid="{39BF6BE9-32C3-9646-B9DB-1DD72A4107ED}" name="人数" dataDxfId="581"/>
    <tableColumn id="8" xr3:uid="{42D479C9-5DC7-441B-A555-7C01991BBA8D}" name="Aパターン" dataDxfId="580" dataCellStyle="標準 2"/>
    <tableColumn id="5" xr3:uid="{5B7CCB84-B31A-42EE-893A-02CA29F84619}" name="単価合計" dataDxfId="579" dataCellStyle="桁区切り 2">
      <calculatedColumnFormula>IF(堀江あいあい3500[[#This Row],[人数]]="","",IF(堀江あいあい3500[[#This Row],[人数]]&lt;=7,$B$1*堀江あいあい3500[[#This Row],[人数]],$B$1*堀江あいあい3500[[#This Row],[人数]]-堀江あいあい3500[[#This Row],[幹事無料]]))</calculatedColumnFormula>
    </tableColumn>
    <tableColumn id="6" xr3:uid="{EAC96EB0-AE44-43E3-9173-85E820B4FEF2}" name="ゆうき取りに行く" dataDxfId="578" dataCellStyle="桁区切り 2">
      <calculatedColumnFormula>IFERROR(($M$3*堀江あいあい3500[[#This Row],[人数]])-堀江あいあい3500[[#This Row],[単価合計]]-(堀江あいあい3500[[#This Row],[キャンセル人数]]*$B$2),"")</calculatedColumnFormula>
    </tableColumn>
    <tableColumn id="10" xr3:uid="{BE32F8E5-975D-4661-8223-688B4CBB496C}" name="幹事無料" dataDxfId="577" dataCellStyle="桁区切り 2">
      <calculatedColumnFormula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calculatedColumnFormula>
    </tableColumn>
    <tableColumn id="9" xr3:uid="{E145BA19-3C97-4941-A16C-6941734B1424}" name="キャンセル人数" dataDxfId="576" dataCellStyle="桁区切り 2"/>
    <tableColumn id="7" xr3:uid="{8A0235B5-2634-4CC0-92ED-AD05C3B2D786}" name="イベンターへ" dataDxfId="575" dataCellStyle="桁区切り 2">
      <calculatedColumnFormula>IF(堀江あいあい3500[[#This Row],[人数]]="","",VLOOKUP(堀江あいあい3500[[#This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C41479-D3A4-4204-BC62-57348289C636}" name="堀江ファイブ4000" displayName="堀江ファイブ4000" ref="A4:J35" totalsRowShown="0" headerRowBorderDxfId="574" tableBorderDxfId="573" totalsRowBorderDxfId="572">
  <autoFilter ref="A4:J35" xr:uid="{F886D309-6A5A-1849-A5C8-3E7A055EE878}"/>
  <tableColumns count="10">
    <tableColumn id="4" xr3:uid="{26E6BD57-11D5-4C91-B375-CC2F95DD23BB}" name="日付" dataDxfId="571"/>
    <tableColumn id="1" xr3:uid="{85C80E7D-DD82-144F-97E9-B3282EC8BCA3}" name="件数" dataDxfId="570"/>
    <tableColumn id="2" xr3:uid="{93E54C17-3669-E140-9AE2-83E7530D7729}" name="イベンター予約名" dataDxfId="569"/>
    <tableColumn id="3" xr3:uid="{B090F4C7-C475-C749-A5B1-CB07D4A1B09C}" name="人数" dataDxfId="568"/>
    <tableColumn id="8" xr3:uid="{CDEE4284-EC61-4EDA-B6DF-010AF2EB11F2}" name="Aパターン" dataDxfId="567" dataCellStyle="標準 2"/>
    <tableColumn id="5" xr3:uid="{08BF85E1-8911-41C9-A2DB-DAEC19E54656}" name="単価合計" dataDxfId="566" dataCellStyle="桁区切り 2">
      <calculatedColumnFormula>IF(堀江ファイブ4000[[#This Row],[人数]]="","",IF(堀江ファイブ4000[[#This Row],[人数]]&lt;=7,$B$1*堀江ファイブ4000[[#This Row],[人数]],$B$1*堀江ファイブ4000[[#This Row],[人数]]-堀江ファイブ4000[[#This Row],[幹事無料]]))</calculatedColumnFormula>
    </tableColumn>
    <tableColumn id="6" xr3:uid="{EFDBB03A-6E78-4192-B436-FFC3D26DD07B}" name="ゆうき取りに行く" dataDxfId="565" dataCellStyle="桁区切り 2">
      <calculatedColumnFormula>IFERROR(($B$3*堀江ファイブ4000[[#This Row],[人数]])-堀江ファイブ4000[[#This Row],[単価合計]]-(堀江ファイブ4000[[#This Row],[キャンセル人数]]*$B$2),"")</calculatedColumnFormula>
    </tableColumn>
    <tableColumn id="12" xr3:uid="{E72A5B68-4275-4AD7-879F-B7C57EF176C9}" name="幹事無料" dataDxfId="564" dataCellStyle="桁区切り 2">
      <calculatedColumnFormula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calculatedColumnFormula>
    </tableColumn>
    <tableColumn id="11" xr3:uid="{773F5E9F-53F8-446A-9EA5-40C058EEB19B}" name="キャンセル人数" dataDxfId="563" dataCellStyle="桁区切り 2"/>
    <tableColumn id="7" xr3:uid="{D90A7B18-5E9E-434A-BD0E-0F99BDF60D9D}" name="イベンターへ" dataDxfId="562" dataCellStyle="桁区切り 2">
      <calculatedColumnFormula>IF(堀江ファイブ4000[[#This Row],[人数]]="","",VLOOKUP(堀江ファイブ4000[[#This Row],[人数]],バック金額②[#All],2,TRUE)-(堀江ファイブ4000[[#This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795C-BE1C-4C75-BA68-CE4B4F03C781}" name="堀江ファイブ3500" displayName="堀江ファイブ3500" ref="L4:U35" totalsRowShown="0" headerRowBorderDxfId="561" tableBorderDxfId="560" totalsRowBorderDxfId="559">
  <autoFilter ref="L4:U35" xr:uid="{104AD32B-319A-1748-B7BE-15AC6E98306B}"/>
  <tableColumns count="10">
    <tableColumn id="4" xr3:uid="{B66F2EA9-607C-4365-B5E8-6521D84E0FED}" name="日付" dataDxfId="558"/>
    <tableColumn id="1" xr3:uid="{A5C57821-4C45-EA4D-9E4F-0AF31FB0F087}" name="件数" dataDxfId="557"/>
    <tableColumn id="2" xr3:uid="{E67936AC-4568-E24D-B97D-436815ABB093}" name="イベンター予約名" dataDxfId="556"/>
    <tableColumn id="3" xr3:uid="{DAA653DB-A781-CF44-996A-2DFA1866C0B9}" name="人数" dataDxfId="555"/>
    <tableColumn id="8" xr3:uid="{CC473835-9FB8-431C-A3DA-BEBC015666D2}" name="Aパターン" dataDxfId="554" dataCellStyle="標準 2"/>
    <tableColumn id="5" xr3:uid="{3A485FE8-792E-4295-88B0-B232926D468A}" name="単価合計" dataDxfId="553" dataCellStyle="桁区切り 2">
      <calculatedColumnFormula>IF(堀江ファイブ3500[[#This Row],[人数]]="","",IF(堀江ファイブ3500[[#This Row],[人数]]&lt;=7,$B$1*堀江ファイブ3500[[#This Row],[人数]],$B$1*堀江ファイブ3500[[#This Row],[人数]]-堀江ファイブ3500[[#This Row],[幹事無料]]))</calculatedColumnFormula>
    </tableColumn>
    <tableColumn id="6" xr3:uid="{231E94D8-6B8F-4467-B267-888F0B51A937}" name="ゆうき取りに行く" dataDxfId="552" dataCellStyle="桁区切り 2">
      <calculatedColumnFormula>IFERROR(($M$3*堀江ファイブ3500[[#This Row],[人数]])-堀江ファイブ3500[[#This Row],[単価合計]]-(堀江ファイブ3500[[#This Row],[キャンセル人数]]*$B$2),"")</calculatedColumnFormula>
    </tableColumn>
    <tableColumn id="10" xr3:uid="{2EC5C1FB-D0E8-4274-B274-850FC9B05BE2}" name="幹事無料" dataDxfId="551" dataCellStyle="桁区切り 2">
      <calculatedColumnFormula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calculatedColumnFormula>
    </tableColumn>
    <tableColumn id="9" xr3:uid="{22689386-B072-4ECA-90E0-E35BB778FA28}" name="キャンセル人数" dataDxfId="550" dataCellStyle="桁区切り 2"/>
    <tableColumn id="7" xr3:uid="{74F9D3B1-2CC2-481E-941D-C3F40FC33D4B}" name="イベンターへ" dataDxfId="549" dataCellStyle="桁区切り 2">
      <calculatedColumnFormula>IF(堀江ファイブ3500[[#This Row],[人数]]="","",VLOOKUP(堀江ファイブ3500[[#This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A82AF3-0FE9-419E-BBF8-02D4CA2C0995}" name="北新地ファイブ4000" displayName="北新地ファイブ4000" ref="A4:J36" totalsRowShown="0" headerRowBorderDxfId="548" tableBorderDxfId="547" totalsRowBorderDxfId="546">
  <autoFilter ref="A4:J36" xr:uid="{00DBB7E4-242C-1647-AB5F-10B637CF6C0F}"/>
  <tableColumns count="10">
    <tableColumn id="4" xr3:uid="{14C1A76E-63E2-4748-8CF2-E5A20E3BD634}" name="日付" dataDxfId="545"/>
    <tableColumn id="1" xr3:uid="{312BCEFE-CCFB-DE47-AC2E-53BFF7C95D0A}" name="件数" dataDxfId="544"/>
    <tableColumn id="2" xr3:uid="{9CAC6E22-07B0-3E4F-9C0E-229AD7B6BB4A}" name="イベンター予約名" dataDxfId="543"/>
    <tableColumn id="3" xr3:uid="{DC96C07E-E016-BF46-B1CE-AD6CA6D7C610}" name="人数" dataDxfId="542"/>
    <tableColumn id="8" xr3:uid="{5D12CD71-1E77-4EDA-81D7-C1E55CBB28DC}" name="Aパターン" dataDxfId="541" dataCellStyle="標準 2"/>
    <tableColumn id="5" xr3:uid="{9774124C-E665-4F19-B841-3CC13DF71B05}" name="単価合計" dataDxfId="540" dataCellStyle="桁区切り 2">
      <calculatedColumnFormula>IF(北新地ファイブ4000[[#This Row],[人数]]="","",IF(北新地ファイブ4000[[#This Row],[人数]]&lt;=7,$B$1*北新地ファイブ4000[[#This Row],[人数]],$B$1*北新地ファイブ4000[[#This Row],[人数]]-北新地ファイブ4000[[#This Row],[幹事無料]]))</calculatedColumnFormula>
    </tableColumn>
    <tableColumn id="6" xr3:uid="{B271038F-4FEA-4184-A132-27EA16ED3101}" name="ゆうき取りに行く" dataDxfId="539" dataCellStyle="桁区切り 2">
      <calculatedColumnFormula>IFERROR(($B$3*北新地ファイブ4000[[#This Row],[人数]])-北新地ファイブ4000[[#This Row],[単価合計]]-(北新地ファイブ4000[[#This Row],[キャンセル人数]]*$B$2),"")</calculatedColumnFormula>
    </tableColumn>
    <tableColumn id="10" xr3:uid="{3EC52678-18B8-4972-AA53-F18CAF2B163A}" name="幹事無料" dataDxfId="538" dataCellStyle="桁区切り 2">
      <calculatedColumnFormula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calculatedColumnFormula>
    </tableColumn>
    <tableColumn id="9" xr3:uid="{5F64685A-AA5F-467B-8C63-5682F5477A34}" name="キャンセル人数" dataDxfId="537" dataCellStyle="桁区切り 2"/>
    <tableColumn id="7" xr3:uid="{2C0BA5DD-6969-4272-B48B-35BB1507AB2F}" name="イベンターへ" dataDxfId="536" dataCellStyle="桁区切り 2">
      <calculatedColumnFormula>IF(北新地ファイブ4000[[#This Row],[人数]]="","",VLOOKUP(北新地ファイブ4000[[#This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EAD3550-38B8-41E0-A65B-A54C3F29CE5D}" name="北新地ファイブ3500" displayName="北新地ファイブ3500" ref="L4:U35" totalsRowShown="0" headerRowBorderDxfId="535" tableBorderDxfId="534" totalsRowBorderDxfId="533">
  <autoFilter ref="L4:U35" xr:uid="{C4695727-ADE7-9646-A4E3-4527B6CF8249}"/>
  <tableColumns count="10">
    <tableColumn id="4" xr3:uid="{37B87638-DCB3-47A1-B65F-51490680C21F}" name="日付" dataDxfId="532"/>
    <tableColumn id="1" xr3:uid="{8B7A3305-B137-E249-9FB8-1347B57215FC}" name="件数" dataDxfId="531"/>
    <tableColumn id="2" xr3:uid="{FFF256E6-39AD-A043-A510-B4F12FF4C48D}" name="イベンター予約名" dataDxfId="530"/>
    <tableColumn id="3" xr3:uid="{9198BD1F-0A2B-1A48-B03D-8E6CA169373C}" name="人数" dataDxfId="529"/>
    <tableColumn id="8" xr3:uid="{94F38A54-AB74-4F29-A937-64D862A2A61F}" name="Aパターン" dataDxfId="528" dataCellStyle="標準 2"/>
    <tableColumn id="5" xr3:uid="{0148A512-60B2-446A-8720-D11A68F2CF48}" name="単価合計" dataDxfId="527" dataCellStyle="桁区切り 2">
      <calculatedColumnFormula>IF(北新地ファイブ3500[[#This Row],[人数]]="","",IF(北新地ファイブ3500[[#This Row],[人数]]&lt;=7,$B$1*北新地ファイブ3500[[#This Row],[人数]],$B$1*北新地ファイブ3500[[#This Row],[人数]]-北新地ファイブ3500[[#This Row],[幹事無料]]))</calculatedColumnFormula>
    </tableColumn>
    <tableColumn id="6" xr3:uid="{449974F9-0C19-46E3-81B7-427D148BC11D}" name="ゆうき取りに行く" dataDxfId="526" dataCellStyle="桁区切り 2">
      <calculatedColumnFormula>IFERROR(($M$3*北新地ファイブ3500[[#This Row],[人数]])-北新地ファイブ3500[[#This Row],[単価合計]]-(北新地ファイブ3500[[#This Row],[キャンセル人数]]*$B$2),"")</calculatedColumnFormula>
    </tableColumn>
    <tableColumn id="10" xr3:uid="{F9035C38-C063-475B-9FC4-32EC9851BDC9}" name="幹事無料" dataDxfId="525" dataCellStyle="桁区切り 2">
      <calculatedColumnFormula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calculatedColumnFormula>
    </tableColumn>
    <tableColumn id="9" xr3:uid="{5BA27A01-7E8F-4E62-B39D-FD06F1DE911F}" name="キャンセル人数" dataDxfId="524" dataCellStyle="桁区切り 2"/>
    <tableColumn id="7" xr3:uid="{927FDBE2-67E8-4344-A492-B260AB64E618}" name="イベンターへ" dataDxfId="523" dataCellStyle="桁区切り 2">
      <calculatedColumnFormula>IF(北新地ファイブ3500[[#This Row],[人数]]="","",VLOOKUP(北新地ファイブ3500[[#This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59E8855-E289-47C7-ACF1-16EADF47BB38}" name="梅田ここから4000" displayName="梅田ここから4000" ref="A4:J35" totalsRowShown="0" headerRowBorderDxfId="522" tableBorderDxfId="521" totalsRowBorderDxfId="520">
  <autoFilter ref="A4:J35" xr:uid="{67C5F274-1286-48E6-A79D-618BA54810F8}"/>
  <tableColumns count="10">
    <tableColumn id="4" xr3:uid="{AAE4A0B7-5659-403C-84C2-1168F2FA5FE0}" name="日付" dataDxfId="519"/>
    <tableColumn id="1" xr3:uid="{37A62C18-0AA9-4EFC-B503-845D2E023219}" name="件数" dataDxfId="518"/>
    <tableColumn id="2" xr3:uid="{6AD08CE3-3F66-4C1D-9DD1-C744B6DC1370}" name="イベンター予約名" dataDxfId="517"/>
    <tableColumn id="3" xr3:uid="{79524462-86BA-460B-9CC4-426699AA695A}" name="人数" dataDxfId="516"/>
    <tableColumn id="8" xr3:uid="{ED65D54E-1827-4381-A23C-FC21A0D3D727}" name="Aパターン" dataDxfId="515" dataCellStyle="標準 2"/>
    <tableColumn id="5" xr3:uid="{0466DF4D-B696-49DF-B742-21632337A065}" name="単価合計" dataDxfId="514" dataCellStyle="桁区切り 2">
      <calculatedColumnFormula>IF(梅田ここから4000[[#This Row],[人数]]="","",IF(梅田ここから4000[[#This Row],[人数]]&lt;=7,$B$1*梅田ここから4000[[#This Row],[人数]],$B$1*梅田ここから4000[[#This Row],[人数]]-梅田ここから4000[[#This Row],[幹事無料]]))</calculatedColumnFormula>
    </tableColumn>
    <tableColumn id="6" xr3:uid="{51565E3F-8B8B-4420-BC5A-903EF8FB0982}" name="ゆうき取りに行く" dataDxfId="513" dataCellStyle="桁区切り 2">
      <calculatedColumnFormula>IFERROR(($B$3*梅田ここから4000[[#This Row],[人数]])-梅田ここから4000[[#This Row],[単価合計]]-(梅田ここから4000[[#This Row],[キャンセル人数]]*$B$2),"")</calculatedColumnFormula>
    </tableColumn>
    <tableColumn id="10" xr3:uid="{FD92FE03-64B9-4253-ACC0-DCEECA75FFBC}" name="幹事無料" dataDxfId="512" dataCellStyle="桁区切り 2">
      <calculatedColumnFormula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calculatedColumnFormula>
    </tableColumn>
    <tableColumn id="9" xr3:uid="{71D0DC91-6AD5-4C66-BF99-9B5DA391E5DD}" name="キャンセル人数" dataDxfId="511" dataCellStyle="標準 2"/>
    <tableColumn id="7" xr3:uid="{7F330C58-9D94-46AE-82D5-ABCD0DDE0B89}" name="イベンターへ" dataDxfId="510" dataCellStyle="桁区切り 2">
      <calculatedColumnFormula>IF(梅田ここから4000[[#This Row],[人数]]="","",VLOOKUP(梅田ここから4000[[#This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2327F9-0F05-4B68-BD93-E0B54E5B6FB3}" name="梅田ここから3500" displayName="梅田ここから3500" ref="L4:U35" totalsRowShown="0" headerRowBorderDxfId="509" tableBorderDxfId="508" totalsRowBorderDxfId="507">
  <autoFilter ref="L4:U35" xr:uid="{B3BD3786-6544-4B05-90DA-B0F071952B3A}"/>
  <tableColumns count="10">
    <tableColumn id="4" xr3:uid="{74C69931-573D-429D-B226-A1EE6F8ED31E}" name="日付" dataDxfId="506"/>
    <tableColumn id="1" xr3:uid="{17C2DED0-F4FA-4B9A-8276-95A7EFBBA316}" name="件数" dataDxfId="505"/>
    <tableColumn id="2" xr3:uid="{DA844336-8005-47C9-BC09-7C9FA42D09C8}" name="イベンター予約名" dataDxfId="504"/>
    <tableColumn id="3" xr3:uid="{2FE8D7A4-F91E-41D5-9807-414490FDB0CE}" name="人数" dataDxfId="503"/>
    <tableColumn id="8" xr3:uid="{F2544599-7C92-45B6-9295-B3544E7EFE9A}" name="Aパターン" dataDxfId="502" dataCellStyle="標準 2"/>
    <tableColumn id="5" xr3:uid="{9B2CF0C8-3102-40AF-9FA7-791298EADD50}" name="単価合計" dataDxfId="501" dataCellStyle="桁区切り 2">
      <calculatedColumnFormula>IF(梅田ここから3500[[#This Row],[人数]]="","",IF(梅田ここから3500[[#This Row],[人数]]&lt;=7,$B$1*梅田ここから3500[[#This Row],[人数]],$B$1*梅田ここから3500[[#This Row],[人数]]-梅田ここから3500[[#This Row],[幹事無料]]))</calculatedColumnFormula>
    </tableColumn>
    <tableColumn id="6" xr3:uid="{7F939FD9-7B68-48DD-8A74-932142B92F37}" name="ゆうき取りに行く" dataDxfId="500" dataCellStyle="桁区切り 2">
      <calculatedColumnFormula>IFERROR(($M$3*梅田ここから3500[[#This Row],[人数]])-梅田ここから3500[[#This Row],[単価合計]]-(梅田ここから3500[[#This Row],[キャンセル人数]]*$B$2),"")</calculatedColumnFormula>
    </tableColumn>
    <tableColumn id="10" xr3:uid="{51E82FE6-AD08-4101-835C-D67DD48F8BCD}" name="幹事無料" dataDxfId="499" dataCellStyle="桁区切り 2">
      <calculatedColumnFormula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calculatedColumnFormula>
    </tableColumn>
    <tableColumn id="9" xr3:uid="{53912048-B4D3-4E3D-8573-3957BDC4DA63}" name="キャンセル人数" dataDxfId="498" dataCellStyle="標準 2"/>
    <tableColumn id="7" xr3:uid="{59B1C32B-739B-4086-B383-BED0272190E2}" name="イベンターへ" dataDxfId="497" dataCellStyle="桁区切り 2">
      <calculatedColumnFormula>IF(梅田ここから3500[[#This Row],[人数]]="","",VLOOKUP(梅田ここから3500[[#This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7AACD70-7CE0-4D8B-BD2C-61CED95DC4AB}" name="梅田石狩4000" displayName="梅田石狩4000" ref="A4:J35" totalsRowShown="0" headerRowBorderDxfId="496" tableBorderDxfId="495" totalsRowBorderDxfId="494">
  <autoFilter ref="A4:J35" xr:uid="{62F91FF4-4080-3340-9AC5-2ACE07372ADD}"/>
  <tableColumns count="10">
    <tableColumn id="4" xr3:uid="{59080236-4147-48EC-BBE2-E097A0F415BD}" name="日付" dataDxfId="493"/>
    <tableColumn id="1" xr3:uid="{76486FA3-7CA0-4042-818C-98D89F0D5D6E}" name="件数" dataDxfId="492"/>
    <tableColumn id="2" xr3:uid="{5C245712-E27B-784C-A2D2-013B21C874B9}" name="イベンター予約名" dataDxfId="491"/>
    <tableColumn id="3" xr3:uid="{AE27A717-DE0D-A64B-B4CD-CAA7124396D3}" name="人数" dataDxfId="490"/>
    <tableColumn id="8" xr3:uid="{3F9E1689-4B3F-4F6D-95EB-59EA0B8BCB8E}" name="Aパターン" dataDxfId="489" dataCellStyle="標準 2"/>
    <tableColumn id="5" xr3:uid="{525A36E8-9969-4B35-A41D-F0185BE1A7D0}" name="単価合計" dataDxfId="488" dataCellStyle="桁区切り 2">
      <calculatedColumnFormula>IF(梅田石狩4000[[#This Row],[人数]]="","",IF(梅田石狩4000[[#This Row],[人数]]&lt;=7,$B$1*梅田石狩4000[[#This Row],[人数]],$B$1*梅田石狩4000[[#This Row],[人数]]-梅田石狩4000[[#This Row],[幹事無料]]))</calculatedColumnFormula>
    </tableColumn>
    <tableColumn id="6" xr3:uid="{2075B61E-657A-45BB-89BE-8C6BA0751416}" name="ゆうき取りに行く" dataDxfId="487" dataCellStyle="桁区切り 2">
      <calculatedColumnFormula>IFERROR(($B$3*梅田石狩4000[[#This Row],[人数]])-梅田石狩4000[[#This Row],[単価合計]]-(梅田石狩4000[[#This Row],[キャンセル人数]]*$B$2),"")</calculatedColumnFormula>
    </tableColumn>
    <tableColumn id="10" xr3:uid="{CAF97B37-17D7-4696-AD29-84BD7B865EBF}" name="幹事無料" dataDxfId="486" dataCellStyle="桁区切り 2">
      <calculatedColumnFormula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calculatedColumnFormula>
    </tableColumn>
    <tableColumn id="9" xr3:uid="{B5D2ACD0-D6B7-4F51-B144-FC5F82083F5E}" name="キャンセル人数" dataDxfId="485" dataCellStyle="標準 2"/>
    <tableColumn id="7" xr3:uid="{739C578D-FC4F-4332-B3F7-04004EB5D8D9}" name="イベンターへ" dataDxfId="484" dataCellStyle="桁区切り 2">
      <calculatedColumnFormula>IF(梅田石狩4000[[#This Row],[人数]]="","",VLOOKUP(梅田石狩4000[[#This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557C91-080B-4426-A912-2BFC5F154602}" name="梅田石狩3500" displayName="梅田石狩3500" ref="L4:U35" totalsRowShown="0" headerRowDxfId="483" tableBorderDxfId="482">
  <autoFilter ref="L4:U35" xr:uid="{6DFA22B9-8EB7-9248-B298-2B750038B558}"/>
  <tableColumns count="10">
    <tableColumn id="4" xr3:uid="{1CC7A160-665B-4A7C-8710-521F938A25BB}" name="日付" dataDxfId="481"/>
    <tableColumn id="1" xr3:uid="{D944B779-B01F-804B-9FE9-E4BBC9EE5233}" name="件数" dataDxfId="480"/>
    <tableColumn id="2" xr3:uid="{C522888F-4439-224E-8E3A-FD5C24E7F550}" name="イベンター予約名" dataDxfId="479"/>
    <tableColumn id="3" xr3:uid="{F4B2F804-28BE-6E45-B358-D8D05624D08D}" name="人数" dataDxfId="478"/>
    <tableColumn id="8" xr3:uid="{7CD520DA-C40B-40C1-B401-B84F7A65F851}" name="Aパターン" dataDxfId="477" dataCellStyle="標準 2"/>
    <tableColumn id="5" xr3:uid="{FFBE462F-F79A-4BA9-AFF0-03F1CA32712B}" name="単価合計" dataDxfId="476" dataCellStyle="桁区切り 2"/>
    <tableColumn id="6" xr3:uid="{0518D18A-597A-4542-B6B3-62EC6FD89DB3}" name="ゆうき取りに行く" dataDxfId="475" dataCellStyle="桁区切り 2"/>
    <tableColumn id="10" xr3:uid="{8A059EF9-A372-4642-95DB-A8F04A5D5959}" name="幹事無料" dataDxfId="474" dataCellStyle="桁区切り 2"/>
    <tableColumn id="9" xr3:uid="{5CA35A16-BAEC-4C28-9702-F279B99C231D}" name="キャンセル人数" dataDxfId="473" dataCellStyle="標準 2"/>
    <tableColumn id="7" xr3:uid="{6560018D-D3BB-4848-A2CD-0F2658B91111}" name="イベンターへ" dataDxfId="472" dataCellStyle="桁区切り 2">
      <calculatedColumnFormula>IF(梅田石狩3500[[#This Row],[人数]]="","",VLOOKUP(梅田石狩3500[[#This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9EB160-9E0A-4021-B808-3141494BCB99}" name="梅田あん4000" displayName="梅田あん4000" ref="A4:J35" totalsRowShown="0" headerRowBorderDxfId="471" tableBorderDxfId="470" totalsRowBorderDxfId="469">
  <autoFilter ref="A4:J35" xr:uid="{2E201B2B-C135-5348-9EF7-19824F81D136}"/>
  <tableColumns count="10">
    <tableColumn id="4" xr3:uid="{9C28E968-A8FC-4FD2-8BF8-7271E0DACFDA}" name="日付" dataDxfId="468"/>
    <tableColumn id="1" xr3:uid="{867279B2-DDE4-0C40-A0F7-F1BC84924F86}" name="件数" dataDxfId="467"/>
    <tableColumn id="2" xr3:uid="{A446E765-2680-0243-A935-9B28EAA04D7C}" name="イベンター予約名" dataDxfId="466"/>
    <tableColumn id="3" xr3:uid="{06C26C8D-C7F6-1741-9FC5-55E8B9C04C91}" name="人数" dataDxfId="465"/>
    <tableColumn id="8" xr3:uid="{1BA33673-8FCB-47C9-B15C-5C45FCFFB05A}" name="Aパターン" dataDxfId="464" dataCellStyle="標準 2"/>
    <tableColumn id="5" xr3:uid="{E54D90D7-A9E0-4B90-B748-CFA78122A511}" name="単価合計" dataDxfId="463" dataCellStyle="桁区切り 2">
      <calculatedColumnFormula>IF(梅田あん4000[[#This Row],[人数]]="","",IF(梅田あん4000[[#This Row],[人数]]&lt;=7,$B$1*梅田あん4000[[#This Row],[人数]],$B$1*梅田あん4000[[#This Row],[人数]]-梅田あん4000[[#This Row],[幹事無料]]))</calculatedColumnFormula>
    </tableColumn>
    <tableColumn id="6" xr3:uid="{C6F70DD9-03E0-4E17-B479-78B78061AC11}" name="ゆうき取りに行く" dataDxfId="462" dataCellStyle="桁区切り 2">
      <calculatedColumnFormula>IFERROR(($B$3*梅田あん4000[[#This Row],[人数]])-梅田あん4000[[#This Row],[単価合計]]-(梅田あん4000[[#This Row],[キャンセル人数]]*$B$2),"")</calculatedColumnFormula>
    </tableColumn>
    <tableColumn id="10" xr3:uid="{2B90FB83-0B85-40E0-A525-416BC2963325}" name="幹事無料" dataDxfId="461" dataCellStyle="桁区切り 2">
      <calculatedColumnFormula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calculatedColumnFormula>
    </tableColumn>
    <tableColumn id="9" xr3:uid="{38658654-61A5-4D4D-87AD-A0F062F98261}" name="キャンセル人数" dataDxfId="460" dataCellStyle="標準 2"/>
    <tableColumn id="7" xr3:uid="{498AED04-AA20-4C81-9CF8-EB065D78F2B1}" name="イベンターへ" dataDxfId="459" dataCellStyle="桁区切り 2">
      <calculatedColumnFormula>IF(梅田あん4000[[#This Row],[人数]]="","",VLOOKUP(梅田あん4000[[#This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B4F945-8ADE-4D29-B5B9-9E567DC1382D}" name="梅田あん3500" displayName="梅田あん3500" ref="L4:U35" totalsRowShown="0" headerRowBorderDxfId="458" tableBorderDxfId="457" totalsRowBorderDxfId="456">
  <autoFilter ref="L4:U35" xr:uid="{941FBA15-8A12-044C-B1B0-BA95DB5FAD42}"/>
  <tableColumns count="10">
    <tableColumn id="4" xr3:uid="{6FDC9B73-DA77-4AC6-8498-2FB7EE71DA9C}" name="日付" dataDxfId="455"/>
    <tableColumn id="1" xr3:uid="{8B64C0EC-A67A-E547-BA0D-AA44A8E7159F}" name="件数" dataDxfId="454"/>
    <tableColumn id="2" xr3:uid="{1985FCC0-46E4-5F49-B86D-27734FF65863}" name="イベンター予約名" dataDxfId="453"/>
    <tableColumn id="3" xr3:uid="{7CE50DC2-E143-B049-AD86-8006E4FC28D6}" name="人数" dataDxfId="452"/>
    <tableColumn id="8" xr3:uid="{DA377476-3B23-4E1A-81BD-A1BD27D3AF98}" name="Aパターン" dataDxfId="451" dataCellStyle="標準 2"/>
    <tableColumn id="5" xr3:uid="{FD5300DD-3769-4E9C-B182-A32ED38712C2}" name="単価合計" dataDxfId="450" dataCellStyle="桁区切り 2">
      <calculatedColumnFormula>IF(梅田あん3500[[#This Row],[人数]]="","",IF(梅田あん3500[[#This Row],[人数]]&lt;=7,$B$1*梅田あん3500[[#This Row],[人数]],$B$1*梅田あん3500[[#This Row],[人数]]-梅田あん3500[[#This Row],[幹事無料]]))</calculatedColumnFormula>
    </tableColumn>
    <tableColumn id="6" xr3:uid="{7E3F2086-86F1-48B3-A1E1-F1AC0359B148}" name="ゆうき取りに行く" dataDxfId="449" dataCellStyle="桁区切り 2">
      <calculatedColumnFormula>IFERROR(($M$3*梅田あん3500[[#This Row],[人数]])-梅田あん3500[[#This Row],[単価合計]]-(梅田あん3500[[#This Row],[キャンセル人数]]*$B$2),"")</calculatedColumnFormula>
    </tableColumn>
    <tableColumn id="10" xr3:uid="{360C1A6F-5699-44CD-9E9D-C843D27E0CD6}" name="幹事無料" dataDxfId="448" dataCellStyle="桁区切り 2">
      <calculatedColumnFormula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calculatedColumnFormula>
    </tableColumn>
    <tableColumn id="9" xr3:uid="{DBE0DD64-E5D6-4A96-966B-527FDB7E8ACC}" name="キャンセル人数" dataDxfId="447" dataCellStyle="標準 2"/>
    <tableColumn id="7" xr3:uid="{B9F7B0F8-56B7-45A0-AF8F-C8086E386158}" name="イベンターへ" dataDxfId="446" dataCellStyle="桁区切り 2">
      <calculatedColumnFormula>IF(梅田あん3500[[#This Row],[人数]]="","",VLOOKUP(梅田あん3500[[#This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3E0410-4522-4A1E-AD14-1F6F05B44DF4}" name="梅田煙4000" displayName="梅田煙4000" ref="A4:J35" totalsRowShown="0" headerRowBorderDxfId="445" tableBorderDxfId="444" totalsRowBorderDxfId="443">
  <autoFilter ref="A4:J35" xr:uid="{31C78C54-9AB8-3E41-B7AF-1EDCC6B28865}"/>
  <tableColumns count="10">
    <tableColumn id="4" xr3:uid="{82B95FC2-3580-48F9-80ED-4E20F631BA08}" name="日付" dataDxfId="442"/>
    <tableColumn id="1" xr3:uid="{4474DA7D-149D-AA4D-9461-242257564874}" name="件数" dataDxfId="441"/>
    <tableColumn id="2" xr3:uid="{5C3933B7-00B1-8F44-A744-EE77351A07F7}" name="イベンター予約名" dataDxfId="440"/>
    <tableColumn id="3" xr3:uid="{6C0722B2-9D46-244A-9583-70823AE91301}" name="人数" dataDxfId="439"/>
    <tableColumn id="8" xr3:uid="{6E63496D-D51C-4E7F-BA0A-63F99F4CE249}" name="Aパターン" dataDxfId="438" dataCellStyle="標準 2"/>
    <tableColumn id="5" xr3:uid="{0E755931-CA26-4ACD-B510-9E17EBB5BEB2}" name="単価合計" dataDxfId="437" dataCellStyle="桁区切り 2"/>
    <tableColumn id="6" xr3:uid="{EBC3BFA3-1284-40C1-8AEE-A6417E21C313}" name="ゆうき取りに行く" dataDxfId="436" dataCellStyle="桁区切り 2"/>
    <tableColumn id="10" xr3:uid="{2D76E0B9-5146-4038-993B-EB69843E904E}" name="幹事無料" dataDxfId="435" dataCellStyle="桁区切り 2"/>
    <tableColumn id="9" xr3:uid="{E6A735FC-0EC7-42D1-8DB8-DB5C274B7094}" name="キャンセル人数" dataDxfId="434" dataCellStyle="標準 2"/>
    <tableColumn id="7" xr3:uid="{BD38B576-3201-4755-B91B-0D7DD3A5F18C}" name="イベンターへ" dataDxfId="433" dataCellStyle="桁区切り 2">
      <calculatedColumnFormula>IF(梅田煙4000[[#This Row],[人数]]="","",VLOOKUP(梅田煙4000[[#This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7C3893-0B37-46A3-83EB-1D9E143D0651}" name="梅田煙3500" displayName="梅田煙3500" ref="L4:U35" totalsRowShown="0" headerRowBorderDxfId="432" tableBorderDxfId="431" totalsRowBorderDxfId="430">
  <autoFilter ref="L4:U35" xr:uid="{49D658C2-5306-6C4F-AD58-0D2E7A206660}"/>
  <tableColumns count="10">
    <tableColumn id="4" xr3:uid="{085F0B48-779D-482F-9217-80AE0A0C624F}" name="日付" dataDxfId="429"/>
    <tableColumn id="1" xr3:uid="{C9941052-E0BA-8D44-8A56-1CECB971FB94}" name="件数" dataDxfId="428"/>
    <tableColumn id="2" xr3:uid="{0341828A-D9EB-D048-9737-12C25C3675AD}" name="イベンター予約名" dataDxfId="427"/>
    <tableColumn id="3" xr3:uid="{1DABA200-ADDF-CF4A-AFFC-662AA024E90D}" name="人数" dataDxfId="426"/>
    <tableColumn id="8" xr3:uid="{60356225-3004-4EB8-B79B-F33F8D6A1456}" name="Aパターン" dataDxfId="425" dataCellStyle="標準 2"/>
    <tableColumn id="5" xr3:uid="{447E04DA-87E1-4FC3-881F-E38F0B1A00B6}" name="単価合計" dataDxfId="424" dataCellStyle="桁区切り 2">
      <calculatedColumnFormula>IF(梅田煙3500[[#This Row],[人数]]="","",IF(梅田煙3500[[#This Row],[人数]]&lt;=7,$B$1*梅田煙3500[[#This Row],[人数]],$B$1*梅田煙3500[[#This Row],[人数]]-梅田煙3500[[#This Row],[幹事無料]]))</calculatedColumnFormula>
    </tableColumn>
    <tableColumn id="6" xr3:uid="{22F6F600-422B-44BA-82F0-30E5CBC4F0C5}" name="ゆうき取りに行く" dataDxfId="423" dataCellStyle="桁区切り 2">
      <calculatedColumnFormula>IFERROR(($M$3*梅田煙3500[[#This Row],[人数]])-梅田煙3500[[#This Row],[単価合計]]-(梅田煙3500[[#This Row],[キャンセル人数]]*$B$2),"")</calculatedColumnFormula>
    </tableColumn>
    <tableColumn id="10" xr3:uid="{61D302DA-1F4A-4609-96A3-CDC2071608AA}" name="幹事無料" dataDxfId="422" dataCellStyle="桁区切り 2">
      <calculatedColumnFormula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calculatedColumnFormula>
    </tableColumn>
    <tableColumn id="9" xr3:uid="{352C2B83-D65E-492C-9A7F-06071E17DE1A}" name="キャンセル人数" dataDxfId="421" dataCellStyle="標準 2"/>
    <tableColumn id="7" xr3:uid="{4B38956C-2F40-44F3-95E3-656331CE30F7}" name="イベンターへ" dataDxfId="420" dataCellStyle="桁区切り 2">
      <calculatedColumnFormula>IF(梅田煙3500[[#This Row],[人数]]="","",VLOOKUP(梅田煙3500[[#This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7665704-A05E-4C5C-A7F9-D6EA58F797A0}" name="心斎橋サファリ3500" displayName="心斎橋サファリ3500" ref="L4:U35" totalsRowShown="0" headerRowBorderDxfId="419" tableBorderDxfId="418" totalsRowBorderDxfId="417">
  <autoFilter ref="L4:U35" xr:uid="{D41846DF-FC76-904E-A255-3C1245200B88}"/>
  <tableColumns count="10">
    <tableColumn id="4" xr3:uid="{A7997BA5-2FEA-4C15-BE9F-1A615BC07429}" name="日付" dataDxfId="416"/>
    <tableColumn id="1" xr3:uid="{B1106535-F49B-FF4E-A3ED-6D620FBD92E5}" name="件数" dataDxfId="415"/>
    <tableColumn id="2" xr3:uid="{E250ACF2-670B-BE4D-91EA-B78B0DBAED28}" name="イベンター予約名" dataDxfId="414"/>
    <tableColumn id="3" xr3:uid="{47A2CC46-68C8-F14E-A854-BE593D74EAAC}" name="人数" dataDxfId="413"/>
    <tableColumn id="10" xr3:uid="{F70CC028-804B-4260-8C24-BE3AFA9A7246}" name="Aパターン" dataDxfId="412" dataCellStyle="標準 2"/>
    <tableColumn id="5" xr3:uid="{82E00A6A-20DA-4559-A76A-56CAE0ACA21B}" name="単価合計" dataDxfId="411" dataCellStyle="桁区切り 2">
      <calculatedColumnFormula>IF(心斎橋サファリ3500[[#This Row],[人数]]="","",IF(心斎橋サファリ3500[[#This Row],[人数]]&lt;=7,$B$1*心斎橋サファリ3500[[#This Row],[人数]],$B$1*心斎橋サファリ3500[[#This Row],[人数]]-心斎橋サファリ3500[[#This Row],[幹事無料]]))</calculatedColumnFormula>
    </tableColumn>
    <tableColumn id="6" xr3:uid="{BFF08D11-DBCC-451C-B2D8-8063B75DB312}" name="ゆうき取りに行く" dataDxfId="410" dataCellStyle="桁区切り 2">
      <calculatedColumnFormula>IFERROR(($M$3*心斎橋サファリ3500[[#This Row],[人数]])-心斎橋サファリ3500[[#This Row],[単価合計]]-(心斎橋サファリ3500[[#This Row],[キャンセル人数]]*$B$2),"")</calculatedColumnFormula>
    </tableColumn>
    <tableColumn id="9" xr3:uid="{847B31D6-87C2-4B93-AB31-B4C1BDD5FEBF}" name="幹事無料" dataDxfId="409" dataCellStyle="桁区切り 2">
      <calculatedColumnFormula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calculatedColumnFormula>
    </tableColumn>
    <tableColumn id="8" xr3:uid="{4AC49B3D-33BD-449C-949C-745C7FE7A450}" name="キャンセル人数" dataDxfId="408" dataCellStyle="標準 2"/>
    <tableColumn id="7" xr3:uid="{D07E4FEA-4BD8-42E3-AE67-471817632ECF}" name="イベンターへ" dataDxfId="407" dataCellStyle="桁区切り 2">
      <calculatedColumnFormula>IF(心斎橋サファリ3500[[#This Row],[人数]]="","",VLOOKUP(心斎橋サファリ3500[[#This Row],[人数]],バック金額①[#All],2,TRUE)-(心斎橋サファリ3500[[#This Row],[キャンセル人数]]*$B$2)-($M$2*心斎橋サファリ3500[[#This Row],[人数]]))</calculatedColumnFormula>
    </tableColumn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35EE508-1EB1-492B-9BA9-C55EB4E394C4}" name="心斎橋サファリ4000" displayName="心斎橋サファリ4000" ref="A4:J39" totalsRowShown="0" headerRowBorderDxfId="406" tableBorderDxfId="405" totalsRowBorderDxfId="404">
  <autoFilter ref="A4:J39" xr:uid="{19A99821-CD74-3042-890C-C9FE8B24DD8A}"/>
  <tableColumns count="10">
    <tableColumn id="4" xr3:uid="{A4E99595-69AA-419E-8F30-7CB5D052D58D}" name="日付" dataDxfId="403">
      <calculatedColumnFormula>IF(DAY(DATE(名前リスト!$N$1,名前リスト!$O$1,ROW()-4))=ROW()-4,DATE(名前リスト!$N$1,名前リスト!$O$1,ROW()-4),"")</calculatedColumnFormula>
    </tableColumn>
    <tableColumn id="1" xr3:uid="{0FB1421A-12A3-3140-A34D-7917C1B72BD1}" name="件数" dataDxfId="402"/>
    <tableColumn id="2" xr3:uid="{B007CEDD-D8A6-4644-97C5-4E60EF75C612}" name="イベンター予約名" dataDxfId="401"/>
    <tableColumn id="3" xr3:uid="{06B08748-73F2-274B-8279-CA82BFA08745}" name="人数" dataDxfId="400"/>
    <tableColumn id="8" xr3:uid="{17D60019-1AA0-477A-89A8-ED20C6EBC786}" name="Aパターン" dataDxfId="399" dataCellStyle="標準 2"/>
    <tableColumn id="5" xr3:uid="{556B83CE-0D80-4E9B-817C-D26744C2FA22}" name="単価合計" dataDxfId="398" dataCellStyle="桁区切り 2">
      <calculatedColumnFormula>IF(心斎橋サファリ4000[[#This Row],[人数]]="","",IF(心斎橋サファリ4000[[#This Row],[人数]]&lt;=7,$B$1*心斎橋サファリ4000[[#This Row],[人数]],$B$1*心斎橋サファリ4000[[#This Row],[人数]]-心斎橋サファリ4000[[#This Row],[幹事無料]]))</calculatedColumnFormula>
    </tableColumn>
    <tableColumn id="6" xr3:uid="{2408F45F-462B-487F-8796-4B06D5D3F2B6}" name="ゆうき取りに行く" dataDxfId="397" dataCellStyle="桁区切り 2">
      <calculatedColumnFormula>IFERROR(($B$3*心斎橋サファリ4000[[#This Row],[人数]])-心斎橋サファリ4000[[#This Row],[単価合計]]-(心斎橋サファリ4000[[#This Row],[キャンセル人数]]*$B$2),"")</calculatedColumnFormula>
    </tableColumn>
    <tableColumn id="10" xr3:uid="{B71603F8-5E0B-4B5B-B700-F2749E3CACDE}" name="幹事無料" dataDxfId="396" dataCellStyle="桁区切り 2">
      <calculatedColumnFormula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calculatedColumnFormula>
    </tableColumn>
    <tableColumn id="9" xr3:uid="{50670267-572D-43B2-BD5C-94EF41E33D60}" name="キャンセル人数" dataDxfId="395" dataCellStyle="標準 2"/>
    <tableColumn id="7" xr3:uid="{87AB9901-C2BA-405C-8C9B-187873AC590B}" name="イベンターへ" dataDxfId="394" dataCellStyle="桁区切り 2">
      <calculatedColumnFormula>IFERROR(IF(心斎橋サファリ4000[[#This Row],[人数]]="","",VLOOKUP(心斎橋サファリ4000[[#This Row],[人数]],バック金額①[#All],2,TRUE)-(心斎橋サファリ4000[[#This Row],[キャンセル人数]]*$B$2)),"")</calculatedColumnFormula>
    </tableColumn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1A1087E-4A55-4A6D-94A8-8DC16698D08C}" name="心斎橋3ebar4000円" displayName="心斎橋3ebar4000円" ref="A4:J35" totalsRowShown="0" headerRowBorderDxfId="393" tableBorderDxfId="392" totalsRowBorderDxfId="391">
  <autoFilter ref="A4:J35" xr:uid="{6EEECAA6-F55A-5046-A624-88B936766647}"/>
  <tableColumns count="10">
    <tableColumn id="4" xr3:uid="{2A721154-A2D9-40E5-865B-BDCF270FDF36}" name="日付" dataDxfId="390">
      <calculatedColumnFormula>IF(DAY(DATE(名前リスト!$N$1,名前リスト!$O$1,ROW()-2))=ROW()-2,DATE(名前リスト!$N$1,名前リスト!$O$1,ROW()-2),"")</calculatedColumnFormula>
    </tableColumn>
    <tableColumn id="1" xr3:uid="{B68C5271-C1AA-A848-84B3-0ECF5E18E3C3}" name="件数" dataDxfId="389"/>
    <tableColumn id="2" xr3:uid="{8CE53EF7-D76D-F44D-A8C1-E8D71C87975C}" name="予約番号" dataDxfId="388"/>
    <tableColumn id="3" xr3:uid="{C671CECC-F5D1-6E4E-AAFE-8CC530F67F54}" name="人数" dataDxfId="387"/>
    <tableColumn id="8" xr3:uid="{D1F447DD-6AE4-4F26-B7A2-5DB088A89336}" name="Aパターン" dataDxfId="386" dataCellStyle="標準 2"/>
    <tableColumn id="5" xr3:uid="{5BA54429-10FA-4A5B-9337-9259DDD89E7C}" name="単価合計" dataDxfId="385" dataCellStyle="桁区切り 2">
      <calculatedColumnFormula>IF(心斎橋3ebar4000円[[#This Row],[人数]]="","",IF(心斎橋3ebar4000円[[#This Row],[人数]]&lt;=7,$B$1*心斎橋3ebar4000円[[#This Row],[人数]],$B$1*心斎橋3ebar4000円[[#This Row],[人数]]-心斎橋3ebar4000円[[#This Row],[幹事無料]]))</calculatedColumnFormula>
    </tableColumn>
    <tableColumn id="6" xr3:uid="{51D905E8-9A28-45E4-9793-E1A7C9755487}" name="ゆうき取りに行く" dataDxfId="384" dataCellStyle="桁区切り 2">
      <calculatedColumnFormula>IFERROR(($B$3*心斎橋3ebar4000円[[#This Row],[人数]])-心斎橋3ebar4000円[[#This Row],[単価合計]]-(心斎橋3ebar4000円[[#This Row],[キャンセル人数]]*$B$2),"")</calculatedColumnFormula>
    </tableColumn>
    <tableColumn id="10" xr3:uid="{96C40014-F362-4A40-A5AA-56FB8E9F1D48}" name="幹事無料" dataDxfId="383" dataCellStyle="桁区切り 2">
      <calculatedColumnFormula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calculatedColumnFormula>
    </tableColumn>
    <tableColumn id="9" xr3:uid="{39AA6D74-00DD-4B3C-8ADC-FEFC0648E1A4}" name="キャンセル人数" dataDxfId="382" dataCellStyle="標準 2"/>
    <tableColumn id="7" xr3:uid="{A6C9F403-48C1-4FF4-9DDF-2BD578EE43D5}" name="イベンターへ" dataDxfId="381" dataCellStyle="桁区切り 2">
      <calculatedColumnFormula>IF(心斎橋3ebar4000円[[#This Row],[人数]]="","",VLOOKUP(心斎橋3ebar4000円[[#This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1C638C3-CE63-49BE-BFED-E2CCE38D0762}" name="心斎橋3ebar3500円" displayName="心斎橋3ebar3500円" ref="L4:U35" totalsRowShown="0" headerRowBorderDxfId="380" tableBorderDxfId="379" totalsRowBorderDxfId="378">
  <autoFilter ref="L4:U35" xr:uid="{6EC66A34-CEF0-5945-8888-E05C248C5D20}"/>
  <tableColumns count="10">
    <tableColumn id="4" xr3:uid="{47B11E00-52A4-4C69-A41D-209A1C3AB80F}" name="日付" dataDxfId="377">
      <calculatedColumnFormula>IF(DAY(DATE(名前リスト!$N$1,名前リスト!$O$1,ROW()-2))=ROW()-2,DATE(名前リスト!$N$1,名前リスト!$O$1,ROW()-2),"")</calculatedColumnFormula>
    </tableColumn>
    <tableColumn id="1" xr3:uid="{5887176D-F7D1-1449-BEC4-892AC447E698}" name="件数" dataDxfId="376"/>
    <tableColumn id="2" xr3:uid="{4423983C-876E-BC43-B37A-4512A341E1B7}" name="予約番号" dataDxfId="375"/>
    <tableColumn id="3" xr3:uid="{7B6BA406-E35A-6744-A2EF-5CA42E1A7113}" name="人数" dataDxfId="374"/>
    <tableColumn id="8" xr3:uid="{0F619D6A-C1F6-4D58-998C-F00AF88703B7}" name="Aパターン" dataDxfId="373" dataCellStyle="標準 2"/>
    <tableColumn id="5" xr3:uid="{46C1E3F1-F642-440B-916D-89FD2F2DFF0B}" name="単価合計" dataDxfId="372" dataCellStyle="桁区切り 2">
      <calculatedColumnFormula>IF(心斎橋3ebar3500円[[#This Row],[人数]]="","",IF(心斎橋3ebar3500円[[#This Row],[人数]]&lt;=7,$B$1*心斎橋3ebar3500円[[#This Row],[人数]],$B$1*心斎橋3ebar3500円[[#This Row],[人数]]-心斎橋3ebar3500円[[#This Row],[幹事無料]]))</calculatedColumnFormula>
    </tableColumn>
    <tableColumn id="6" xr3:uid="{2D9946C7-25B7-4895-9B24-3E3CE13F7AE9}" name="ゆうき取りに行く" dataDxfId="371" dataCellStyle="桁区切り 2">
      <calculatedColumnFormula>IFERROR(($M$3*心斎橋3ebar3500円[[#This Row],[人数]])-心斎橋3ebar3500円[[#This Row],[単価合計]]-(心斎橋3ebar3500円[[#This Row],[キャンセル人数]]*$B$2),"")</calculatedColumnFormula>
    </tableColumn>
    <tableColumn id="10" xr3:uid="{5438528A-E115-44EC-92B0-AA99E41D01CA}" name="幹事無料" dataDxfId="370" dataCellStyle="桁区切り 2">
      <calculatedColumnFormula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calculatedColumnFormula>
    </tableColumn>
    <tableColumn id="9" xr3:uid="{DA1BCB53-B24B-4978-A63C-B1F41FC8200C}" name="キャンセル人数" dataDxfId="369" dataCellStyle="標準 2"/>
    <tableColumn id="7" xr3:uid="{CE33E029-0DD7-42E3-9FD0-023409823574}" name="イベンターへ" dataDxfId="368" dataCellStyle="桁区切り 2">
      <calculatedColumnFormula>IF(心斎橋3ebar3500円[[#This Row],[人数]]="","",VLOOKUP(心斎橋3ebar3500円[[#This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CD6E2A-5FB6-448B-8D62-26FEC43A1F26}" name="心斎橋ラプロメッサ4000円" displayName="心斎橋ラプロメッサ4000円" ref="A4:J35" totalsRowShown="0" headerRowBorderDxfId="367" tableBorderDxfId="366" totalsRowBorderDxfId="365">
  <autoFilter ref="A4:J35" xr:uid="{3A894F85-BD10-6A4F-B2E0-7521593B3EE0}"/>
  <tableColumns count="10">
    <tableColumn id="4" xr3:uid="{51A4D3A0-9E33-48DA-8690-AF0787596077}" name="日付" dataDxfId="364">
      <calculatedColumnFormula>IF(DAY(DATE(名前リスト!$N$1,名前リスト!$O$1,ROW()-2))=ROW()-2,DATE(名前リスト!$N$1,名前リスト!$O$1,ROW()-2),"")</calculatedColumnFormula>
    </tableColumn>
    <tableColumn id="1" xr3:uid="{4DDE3EF1-6512-FB4D-9C30-B3D9E832F738}" name="件数" dataDxfId="363"/>
    <tableColumn id="2" xr3:uid="{4245F54E-C17A-4B43-B2B6-53D580D1911E}" name="予約番号" dataDxfId="362"/>
    <tableColumn id="3" xr3:uid="{6B0B816E-11A5-BB40-93EA-837A183760CC}" name="人数" dataDxfId="361"/>
    <tableColumn id="8" xr3:uid="{9CC3059A-5D69-48D6-BA86-DC0EFBC17C18}" name="Aパターン" dataDxfId="360" dataCellStyle="標準 2"/>
    <tableColumn id="5" xr3:uid="{8304F367-1DFB-478A-A8F4-FAEEDBFD49A6}" name="単価合計" dataDxfId="359" dataCellStyle="桁区切り 2">
      <calculatedColumnFormula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calculatedColumnFormula>
    </tableColumn>
    <tableColumn id="6" xr3:uid="{00FA6D8D-FE30-4D35-B9FA-A2C6AAF1F2F7}" name="ゆうき取りに行く" dataDxfId="358" dataCellStyle="桁区切り 2">
      <calculatedColumnFormula>IFERROR(($B$3*心斎橋ラプロメッサ4000円[[#This Row],[人数]])-心斎橋ラプロメッサ4000円[[#This Row],[単価合計]]-(心斎橋ラプロメッサ4000円[[#This Row],[キャンセル人数]]*$B$2),"")</calculatedColumnFormula>
    </tableColumn>
    <tableColumn id="10" xr3:uid="{A08E8F8D-76C9-4813-945E-9FCA6C44209B}" name="幹事無料" dataDxfId="357" dataCellStyle="桁区切り 2">
      <calculatedColumnFormula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calculatedColumnFormula>
    </tableColumn>
    <tableColumn id="9" xr3:uid="{E46D2123-71B3-4C9E-A296-5CF090C2C857}" name="キャンセル人数" dataDxfId="356" dataCellStyle="標準 2"/>
    <tableColumn id="7" xr3:uid="{21E07ADA-FE61-4BA4-925E-EC1BB8AF0092}" name="イベンターへ" dataDxfId="355" dataCellStyle="桁区切り 2">
      <calculatedColumnFormula>IF(心斎橋ラプロメッサ4000円[[#This Row],[人数]]="","",VLOOKUP(心斎橋ラプロメッサ4000円[[#This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EAB4FDB-39AB-4E96-964C-E78425733352}" name="心斎橋ラプロメッサ3500円" displayName="心斎橋ラプロメッサ3500円" ref="L4:U35" totalsRowShown="0" headerRowBorderDxfId="354" tableBorderDxfId="353" totalsRowBorderDxfId="352">
  <autoFilter ref="L4:U35" xr:uid="{1C62EFD1-52EC-E448-B0B5-10D67D5122F6}"/>
  <tableColumns count="10">
    <tableColumn id="4" xr3:uid="{CA28D983-ECCB-4E22-9AB1-7410E6BF275D}" name="日付" dataDxfId="351"/>
    <tableColumn id="1" xr3:uid="{0D05FBA6-943A-D14F-9C58-BC1FE2CC7F16}" name="件数" dataDxfId="350"/>
    <tableColumn id="2" xr3:uid="{83FB71C7-AD47-4D42-993E-817A0CB423DA}" name="予約番号" dataDxfId="349"/>
    <tableColumn id="3" xr3:uid="{0C363BC2-C7D3-5C42-9A70-32FF44B8E28F}" name="人数" dataDxfId="348" dataCellStyle="標準 2"/>
    <tableColumn id="8" xr3:uid="{D88D2D59-4DCC-492A-8789-5B8C6150763D}" name="Aパターン" dataDxfId="347" dataCellStyle="標準 2"/>
    <tableColumn id="5" xr3:uid="{27E4EEF8-A9FB-410D-B867-40CBFFD0CA82}" name="単価合計" dataDxfId="346" dataCellStyle="桁区切り 2">
      <calculatedColumnFormula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calculatedColumnFormula>
    </tableColumn>
    <tableColumn id="6" xr3:uid="{2D26E1E2-FBBD-4A57-B6EC-10C95F610B2A}" name="ゆうき取りに行く" dataDxfId="345" dataCellStyle="桁区切り 2">
      <calculatedColumnFormula>IFERROR(($M$3*心斎橋ラプロメッサ3500円[[#This Row],[人数]])-心斎橋ラプロメッサ3500円[[#This Row],[単価合計]]-(心斎橋ラプロメッサ3500円[[#This Row],[キャンセル人数]]*$B$2),"")</calculatedColumnFormula>
    </tableColumn>
    <tableColumn id="10" xr3:uid="{D23A0DE9-7075-4AE5-9172-5A92E2CC1F94}" name="幹事無料" dataDxfId="344" dataCellStyle="桁区切り 2">
      <calculatedColumnFormula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calculatedColumnFormula>
    </tableColumn>
    <tableColumn id="9" xr3:uid="{7F12FC28-46B8-404F-94B1-93E3B6B04DFE}" name="キャンセル人数" dataDxfId="343" dataCellStyle="標準 2"/>
    <tableColumn id="7" xr3:uid="{A5CD1548-E635-41C4-A9A8-9945C6FBBE7C}" name="イベンターへ" dataDxfId="342" dataCellStyle="桁区切り 2">
      <calculatedColumnFormula>IF(心斎橋ラプロメッサ3500円[[#This Row],[人数]]="","",VLOOKUP(心斎橋ラプロメッサ3500円[[#This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1D6C685-9F51-4364-AFB4-BDAEE77C8089}" name="心斎橋MアンドM4000円" displayName="心斎橋MアンドM4000円" ref="A4:J35" headerRowBorderDxfId="341" tableBorderDxfId="340" totalsRowBorderDxfId="339">
  <autoFilter ref="A4:J35" xr:uid="{9F86C868-34DF-9F43-BD35-62801E1A46B8}"/>
  <tableColumns count="10">
    <tableColumn id="4" xr3:uid="{59EE452C-C4CF-4254-9C46-6BD520CA5F08}" name="日付" dataDxfId="338">
      <calculatedColumnFormula>IF(DAY(DATE(名前リスト!$N$1,名前リスト!$O$1,ROW()-2))=ROW()-2,DATE(名前リスト!$N$1,名前リスト!$O$1,ROW()-2),"")</calculatedColumnFormula>
    </tableColumn>
    <tableColumn id="1" xr3:uid="{890C354F-D8FB-544C-8D40-5272760F0496}" name="件数" totalsRowLabel="集計" dataDxfId="337" totalsRowDxfId="336"/>
    <tableColumn id="2" xr3:uid="{805E9BCD-138C-634E-A9E3-4E4FD70BE16D}" name="予約番号" dataDxfId="335" totalsRowDxfId="334"/>
    <tableColumn id="3" xr3:uid="{34A64E34-4316-BC4E-98D8-6FEB3FDCC491}" name="人数" totalsRowFunction="count" dataDxfId="333" totalsRowDxfId="332"/>
    <tableColumn id="8" xr3:uid="{95AFE47F-935C-45F2-9BD7-E03740D3DB56}" name="Aパターン" dataDxfId="331" totalsRowDxfId="330" dataCellStyle="標準 2"/>
    <tableColumn id="5" xr3:uid="{8E20D77D-AC35-490C-8157-954C256C0A03}" name="単価合計" dataDxfId="329" dataCellStyle="桁区切り 2">
      <calculatedColumnFormula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calculatedColumnFormula>
    </tableColumn>
    <tableColumn id="6" xr3:uid="{65744D58-6F2A-457A-9E52-20F8DF41A18E}" name="ゆうき取りに行く" dataDxfId="328" dataCellStyle="桁区切り 2">
      <calculatedColumnFormula>IFERROR(($B$3*心斎橋MアンドM4000円[[#This Row],[人数]])-心斎橋MアンドM4000円[[#This Row],[単価合計]]-(心斎橋MアンドM4000円[[#This Row],[キャンセル人数]]*$B$2),"")</calculatedColumnFormula>
    </tableColumn>
    <tableColumn id="10" xr3:uid="{5BE04096-A6A7-4996-AD0E-84412C34F89F}" name="幹事無料" dataDxfId="327" dataCellStyle="桁区切り 2">
      <calculatedColumnFormula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calculatedColumnFormula>
    </tableColumn>
    <tableColumn id="9" xr3:uid="{05ACE0B3-D23C-4B6C-983B-C32294C22373}" name="キャンセル人数" dataDxfId="326" dataCellStyle="標準 2"/>
    <tableColumn id="7" xr3:uid="{D5A50A15-8158-4690-AEB8-94AC1D980209}" name="イベンターへ" dataDxfId="325" dataCellStyle="桁区切り 2">
      <calculatedColumnFormula>IF(心斎橋MアンドM4000円[[#This Row],[人数]]="","",VLOOKUP(心斎橋MアンドM4000円[[#This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838771E-5C09-4F8D-A7A1-0C0BDF3A0FF5}" name="心斎橋MアンドM3500円" displayName="心斎橋MアンドM3500円" ref="L4:U35" totalsRowShown="0" headerRowBorderDxfId="324" tableBorderDxfId="323" totalsRowBorderDxfId="322">
  <autoFilter ref="L4:U35" xr:uid="{B632E670-F8B9-1F44-8D9A-C0E936A6E76A}"/>
  <tableColumns count="10">
    <tableColumn id="4" xr3:uid="{0005466B-BE2D-4CAA-B64C-0776FF142915}" name="日付" dataDxfId="321"/>
    <tableColumn id="1" xr3:uid="{15D47755-D3F3-924C-B84D-0CF35FC0A7E5}" name="件数" dataDxfId="320"/>
    <tableColumn id="2" xr3:uid="{DFF34E52-0422-3840-BD52-9886AA5B2ABB}" name="予約番号" dataDxfId="319"/>
    <tableColumn id="3" xr3:uid="{40F37EAE-DAC4-0044-A4ED-40071508F5EC}" name="人数" dataDxfId="318" dataCellStyle="標準 2"/>
    <tableColumn id="8" xr3:uid="{C5562C94-D53F-48C0-B2C2-7ADE635232F6}" name="Aパターン" dataDxfId="317" dataCellStyle="標準 2"/>
    <tableColumn id="5" xr3:uid="{F140D013-E6B1-4F7B-8126-B08E3179E11E}" name="単価合計" dataDxfId="316" dataCellStyle="桁区切り 2">
      <calculatedColumnFormula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calculatedColumnFormula>
    </tableColumn>
    <tableColumn id="6" xr3:uid="{B2818A8C-BFC9-4D9D-B7C4-D5B50F91F8C1}" name="ゆうき取りに行く" dataDxfId="315" dataCellStyle="桁区切り 2">
      <calculatedColumnFormula>IFERROR(($M$3*心斎橋MアンドM3500円[[#This Row],[人数]])-心斎橋MアンドM3500円[[#This Row],[単価合計]]-(心斎橋MアンドM3500円[[#This Row],[キャンセル人数]]*$B$2),"")</calculatedColumnFormula>
    </tableColumn>
    <tableColumn id="10" xr3:uid="{176BC70D-19E4-477B-8B6A-98CC0D3A2A46}" name="幹事無料" dataDxfId="314" dataCellStyle="桁区切り 2">
      <calculatedColumnFormula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calculatedColumnFormula>
    </tableColumn>
    <tableColumn id="9" xr3:uid="{E52AAD0B-481F-4499-9884-F226B0866E70}" name="キャンセル人数" dataDxfId="313" dataCellStyle="標準 2"/>
    <tableColumn id="7" xr3:uid="{AF493396-ACCD-427F-B827-7F40059DD747}" name="イベンターへ" dataDxfId="312" dataCellStyle="桁区切り 2">
      <calculatedColumnFormula>IF(心斎橋MアンドM3500円[[#This Row],[人数]]="","",VLOOKUP(心斎橋MアンドM3500円[[#This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BA1F85-BEDA-48C7-8219-C52BD15FB0C0}" name="心斎橋CSB4000円" displayName="心斎橋CSB4000円" ref="A4:J35" totalsRowShown="0" headerRowBorderDxfId="311" tableBorderDxfId="310" totalsRowBorderDxfId="309">
  <autoFilter ref="A4:J35" xr:uid="{42414338-E444-BB4D-BA80-49E4335CE2E2}"/>
  <tableColumns count="10">
    <tableColumn id="4" xr3:uid="{22E9A47A-F49D-467F-9DDA-31903DA500BE}" name="日付" dataDxfId="308">
      <calculatedColumnFormula>IF(DAY(DATE(名前リスト!$N$1,名前リスト!$O$1,ROW()-2))=ROW()-2,DATE(名前リスト!$N$1,名前リスト!$O$1,ROW()-2),"")</calculatedColumnFormula>
    </tableColumn>
    <tableColumn id="1" xr3:uid="{18631D1E-263D-3644-8A52-6B75ECD89CDD}" name="件数" dataDxfId="307"/>
    <tableColumn id="2" xr3:uid="{4BF66E7A-3B30-654B-A605-CCFBAC441848}" name="予約番号" dataDxfId="306"/>
    <tableColumn id="3" xr3:uid="{2C188A72-23C9-FE41-BDD6-A823AAD0BFCB}" name="人数" dataDxfId="305"/>
    <tableColumn id="8" xr3:uid="{60288A73-20D5-4508-BE42-4FB47F58B012}" name="Aパターン" dataDxfId="304" dataCellStyle="標準 2"/>
    <tableColumn id="5" xr3:uid="{F486775F-119A-42CF-9FD1-63801B9DFF2B}" name="単価合計" dataDxfId="303" dataCellStyle="桁区切り 3">
      <calculatedColumnFormula>IF(心斎橋CSB4000円[[#This Row],[人数]]="","",IF(心斎橋CSB4000円[[#This Row],[人数]]&lt;=7,$B$1*心斎橋CSB4000円[[#This Row],[人数]],$B$1*心斎橋CSB4000円[[#This Row],[人数]]-心斎橋CSB4000円[[#This Row],[幹事無料]]))</calculatedColumnFormula>
    </tableColumn>
    <tableColumn id="6" xr3:uid="{46F7961D-2B41-4B1E-82BB-9FE904D55181}" name="ゆうき取りに行く" dataDxfId="302" dataCellStyle="桁区切り 3">
      <calculatedColumnFormula>IFERROR(($B$3*心斎橋CSB4000円[[#This Row],[人数]])-心斎橋CSB4000円[[#This Row],[単価合計]]-(心斎橋CSB4000円[[#This Row],[キャンセル人数]]*$B$2),"")</calculatedColumnFormula>
    </tableColumn>
    <tableColumn id="10" xr3:uid="{AF0F1E71-ED70-462A-8B80-76EC85F70C62}" name="幹事無料" dataDxfId="301" dataCellStyle="桁区切り 3">
      <calculatedColumnFormula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calculatedColumnFormula>
    </tableColumn>
    <tableColumn id="9" xr3:uid="{09474FC2-C902-464D-B32E-0BC37A1C05D9}" name="キャンセル人数" dataDxfId="300" dataCellStyle="標準 2"/>
    <tableColumn id="7" xr3:uid="{0BFF34ED-9F1A-4E4E-AC9C-74E571CDBEFA}" name="イベンターへ" dataDxfId="299" dataCellStyle="桁区切り 3">
      <calculatedColumnFormula>IF(心斎橋CSB4000円[[#This Row],[人数]]="","",VLOOKUP(心斎橋CSB4000円[[#This Row],[人数]],バック金額②[#All],2,TRUE)-(心斎橋CSB4000円[[#This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499307E-576F-4C51-8A12-1CE185D3C9F7}" name="心斎橋CSB3500円" displayName="心斎橋CSB3500円" ref="L4:U35" totalsRowShown="0" headerRowBorderDxfId="298" tableBorderDxfId="297" totalsRowBorderDxfId="296">
  <autoFilter ref="L4:U35" xr:uid="{F7A875AA-1543-644B-A9EF-2AB1CA39FE70}"/>
  <tableColumns count="10">
    <tableColumn id="4" xr3:uid="{E2F695D9-AEDE-482A-BC81-27B8F984826B}" name="日付" dataDxfId="295">
      <calculatedColumnFormula>IF(DAY(DATE(名前リスト!$N$1,名前リスト!$O$1,ROW()-2))=ROW()-2,DATE(名前リスト!$N$1,名前リスト!$O$1,ROW()-2),"")</calculatedColumnFormula>
    </tableColumn>
    <tableColumn id="1" xr3:uid="{47C89075-B56E-1946-A299-0855CD511121}" name="件数" dataDxfId="294"/>
    <tableColumn id="2" xr3:uid="{029B344B-D744-5D49-A8AA-E3B34531FF96}" name="予約番号" dataDxfId="293"/>
    <tableColumn id="3" xr3:uid="{3339AAB1-64BA-BB4A-9CF5-BAC2D7B2A670}" name="人数" dataDxfId="292" dataCellStyle="標準 2"/>
    <tableColumn id="8" xr3:uid="{B88186CA-9360-4AB3-A122-4EBC448D3C09}" name="Aパターン" dataDxfId="291" dataCellStyle="標準 2"/>
    <tableColumn id="5" xr3:uid="{0C483613-2F19-402E-AA51-597E5B731E02}" name="単価合計" dataDxfId="290" dataCellStyle="桁区切り 3">
      <calculatedColumnFormula>IF(心斎橋CSB3500円[[#This Row],[人数]]="","",IF(心斎橋CSB3500円[[#This Row],[人数]]&lt;=7,$B$1*心斎橋CSB3500円[[#This Row],[人数]],$B$1*心斎橋CSB3500円[[#This Row],[人数]]-心斎橋CSB3500円[[#This Row],[幹事無料]]))</calculatedColumnFormula>
    </tableColumn>
    <tableColumn id="6" xr3:uid="{557607C2-3E27-4BB4-B4BC-C22E587BB28C}" name="ゆうき取りに行く" dataDxfId="289" dataCellStyle="桁区切り 3">
      <calculatedColumnFormula>IFERROR(($M$3*心斎橋CSB3500円[[#This Row],[人数]])-心斎橋CSB3500円[[#This Row],[単価合計]]-(心斎橋CSB3500円[[#This Row],[キャンセル人数]]*$B$2),"")</calculatedColumnFormula>
    </tableColumn>
    <tableColumn id="10" xr3:uid="{BFDE091C-176B-4A13-AD9E-6DB3BC17D748}" name="幹事無料" dataDxfId="288" dataCellStyle="桁区切り 3">
      <calculatedColumnFormula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calculatedColumnFormula>
    </tableColumn>
    <tableColumn id="9" xr3:uid="{2DC07995-FD72-4F74-BCC8-B2553D59B829}" name="キャンセル人数" dataDxfId="287" dataCellStyle="標準 2"/>
    <tableColumn id="7" xr3:uid="{511083DE-4120-44B0-A791-95FBE68F9FA7}" name="イベンターへ" dataDxfId="286" dataCellStyle="桁区切り 3">
      <calculatedColumnFormula>IF(心斎橋CSB3500円[[#This Row],[人数]]="","",VLOOKUP(心斎橋CSB3500円[[#This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418815F-B902-44E6-96AA-CD3526DE7D57}" name="難波煙4000円" displayName="難波煙4000円" ref="A4:J35" totalsRowShown="0" headerRowBorderDxfId="285" tableBorderDxfId="284" totalsRowBorderDxfId="283">
  <autoFilter ref="A4:J35" xr:uid="{6588A27B-CA05-A14B-A396-EAA04ECC5827}"/>
  <tableColumns count="10">
    <tableColumn id="4" xr3:uid="{EA315A48-76E4-4619-9F8B-37C69A04C364}" name="日付" dataDxfId="282">
      <calculatedColumnFormula>IF(DAY(DATE(名前リスト!$N$1,名前リスト!$O$1,ROW()-2))=ROW()-2,DATE(名前リスト!$N$1,名前リスト!$O$1,ROW()-2),"")</calculatedColumnFormula>
    </tableColumn>
    <tableColumn id="1" xr3:uid="{D355377D-92AE-D440-A08B-4F093844E5F2}" name="件数" dataDxfId="281"/>
    <tableColumn id="2" xr3:uid="{8D5A8E3D-166F-DE49-AAC4-834D8261208A}" name="予約番号" dataDxfId="280"/>
    <tableColumn id="3" xr3:uid="{32E6198D-A73B-7B4D-A837-BE6943CFC341}" name="人数" dataDxfId="279"/>
    <tableColumn id="8" xr3:uid="{20E69FAF-AAFB-489D-A8FC-7D6E8776C940}" name="Aパターン" dataDxfId="278" dataCellStyle="標準 2"/>
    <tableColumn id="5" xr3:uid="{B62AA08E-2DD7-4787-88FE-ED1F9C07C15D}" name="単価合計" dataDxfId="277" dataCellStyle="桁区切り 2">
      <calculatedColumnFormula>IF(難波煙4000円[[#This Row],[人数]]="","",IF(難波煙4000円[[#This Row],[人数]]&lt;=7,$B$1*難波煙4000円[[#This Row],[人数]],$B$1*難波煙4000円[[#This Row],[人数]]-難波煙4000円[[#This Row],[幹事無料]]))</calculatedColumnFormula>
    </tableColumn>
    <tableColumn id="6" xr3:uid="{8CFCE18B-DE47-45D3-93AA-5063041B78E6}" name="ゆうき取りに行く" dataDxfId="276" dataCellStyle="桁区切り 2">
      <calculatedColumnFormula>IFERROR(($B$3*難波煙4000円[[#This Row],[人数]])-難波煙4000円[[#This Row],[単価合計]]-(難波煙4000円[[#This Row],[キャンセル人数]]*$B$2),"")</calculatedColumnFormula>
    </tableColumn>
    <tableColumn id="10" xr3:uid="{35003B24-36D1-473B-9723-E1C202626018}" name="幹事無料" dataDxfId="275" dataCellStyle="桁区切り 2">
      <calculatedColumnFormula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calculatedColumnFormula>
    </tableColumn>
    <tableColumn id="9" xr3:uid="{7F332F08-2085-42B4-995A-F7686C02C069}" name="キャンセル人数" dataDxfId="274" dataCellStyle="標準 2"/>
    <tableColumn id="7" xr3:uid="{01AEE2AB-1B0C-4429-A47E-93CE4661BF93}" name="イベンターへ" dataDxfId="273" dataCellStyle="桁区切り 2">
      <calculatedColumnFormula>IF(難波煙4000円[[#This Row],[人数]]="","",VLOOKUP(難波煙4000円[[#This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AD402B-ACF2-4B02-A24F-BDA279A401FC}" name="難波煙3500円" displayName="難波煙3500円" ref="L4:U35" totalsRowShown="0" headerRowBorderDxfId="272" tableBorderDxfId="271" totalsRowBorderDxfId="270">
  <autoFilter ref="L4:U35" xr:uid="{7D9270EF-DAA2-B14B-A5BC-AD8C174DB3E7}"/>
  <tableColumns count="10">
    <tableColumn id="4" xr3:uid="{F2669540-EA10-4C6A-A65D-33EBE4EAE4BF}" name="日付" dataDxfId="269">
      <calculatedColumnFormula>IF(DAY(DATE(名前リスト!$N$1,名前リスト!$O$1,ROW()-2))=ROW()-2,DATE(名前リスト!$N$1,名前リスト!$O$1,ROW()-2),"")</calculatedColumnFormula>
    </tableColumn>
    <tableColumn id="1" xr3:uid="{FC4039F8-B739-F04F-881E-A069647900B2}" name="件数" dataDxfId="268"/>
    <tableColumn id="2" xr3:uid="{B363E3F9-7FBD-DA45-97AF-4490BBC60489}" name="予約番号" dataDxfId="267"/>
    <tableColumn id="3" xr3:uid="{A140DBBB-4105-2047-948D-E9A3987CBADA}" name="人数" dataDxfId="266"/>
    <tableColumn id="8" xr3:uid="{28C97932-FC87-4BFC-8A30-956E6870349C}" name="Aパターン" dataDxfId="265" dataCellStyle="標準 2"/>
    <tableColumn id="5" xr3:uid="{15B78E5E-CBCE-498E-B339-73DF88F897CD}" name="単価合計" dataDxfId="264" dataCellStyle="桁区切り 2">
      <calculatedColumnFormula>IF(難波煙3500円[[#This Row],[人数]]="","",IF(難波煙3500円[[#This Row],[人数]]&lt;=7,$B$1*難波煙3500円[[#This Row],[人数]],$B$1*難波煙3500円[[#This Row],[人数]]-難波煙3500円[[#This Row],[幹事無料]]))</calculatedColumnFormula>
    </tableColumn>
    <tableColumn id="6" xr3:uid="{8DB0FF32-298A-4DA0-85E9-0F02E4B482B3}" name="ゆうき取りに行く" dataDxfId="263" dataCellStyle="桁区切り 2">
      <calculatedColumnFormula>IFERROR(($M$3*難波煙3500円[[#This Row],[人数]])-難波煙3500円[[#This Row],[単価合計]]-(難波煙3500円[[#This Row],[キャンセル人数]]*$B$2),"")</calculatedColumnFormula>
    </tableColumn>
    <tableColumn id="10" xr3:uid="{C9243E3F-819D-4644-BD3D-D5CBF0388DDB}" name="幹事無料" dataDxfId="262" dataCellStyle="桁区切り 2">
      <calculatedColumnFormula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calculatedColumnFormula>
    </tableColumn>
    <tableColumn id="9" xr3:uid="{516A6AC0-9126-4B68-A5A8-414E30887B89}" name="キャンセル人数" dataDxfId="261" dataCellStyle="標準 2"/>
    <tableColumn id="7" xr3:uid="{A61BCE82-147E-402C-8F03-9A5A5F4F3E95}" name="イベンターへ" dataDxfId="260" dataCellStyle="桁区切り 2">
      <calculatedColumnFormula>IF(難波煙3500円[[#This Row],[人数]]="","",VLOOKUP(難波煙3500円[[#This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312E4512-7FFF-474E-8E79-4D97BAC2340F}" name="三ノ宮多味庵4000" displayName="三ノ宮多味庵4000" ref="A4:J35" totalsRowShown="0" headerRowBorderDxfId="259" tableBorderDxfId="258" totalsRowBorderDxfId="257">
  <autoFilter ref="A4:J35" xr:uid="{251D9D80-8B28-724C-96CC-B1C3BC3D4ACA}"/>
  <tableColumns count="10">
    <tableColumn id="4" xr3:uid="{1C4FA6C3-8A06-4ECD-B401-5ECB761D959B}" name="日付" dataDxfId="256">
      <calculatedColumnFormula>IF(DAY(DATE(名前リスト!$N$1,名前リスト!$O$1,ROW()-2))=ROW()-2,DATE(名前リスト!$N$1,名前リスト!$O$1,ROW()-2),"")</calculatedColumnFormula>
    </tableColumn>
    <tableColumn id="1" xr3:uid="{74C3A46C-A4EE-8640-A767-7D076E00BF26}" name="件数" dataDxfId="255"/>
    <tableColumn id="2" xr3:uid="{C6C40F5F-AD97-4743-B947-80F1D3F50862}" name="イベンター予約名" dataDxfId="254"/>
    <tableColumn id="3" xr3:uid="{65AC5257-68E1-E448-9C09-361D9D240A16}" name="人数" dataDxfId="253"/>
    <tableColumn id="8" xr3:uid="{3A892A0C-7B21-4095-A85A-1527029B5434}" name="Aパターン" dataDxfId="252" dataCellStyle="標準 2"/>
    <tableColumn id="5" xr3:uid="{77369DB9-F81B-470C-B9C4-6FC3D4E21FD4}" name="単価合計" dataDxfId="251" dataCellStyle="桁区切り 2">
      <calculatedColumnFormula>IF(三ノ宮多味庵4000[[#This Row],[人数]]="","",IF(三ノ宮多味庵4000[[#This Row],[人数]]&lt;=7,$B$1*三ノ宮多味庵4000[[#This Row],[人数]],$B$1*三ノ宮多味庵4000[[#This Row],[人数]]-三ノ宮多味庵4000[[#This Row],[幹事無料]]))</calculatedColumnFormula>
    </tableColumn>
    <tableColumn id="6" xr3:uid="{1330A47C-82DE-4198-A7A4-6BA5C3DF17C9}" name="ゆうき取りに行く" dataDxfId="250" dataCellStyle="桁区切り 2">
      <calculatedColumnFormula>IFERROR(($B$3*三ノ宮多味庵4000[[#This Row],[人数]])-三ノ宮多味庵4000[[#This Row],[単価合計]]-(三ノ宮多味庵4000[[#This Row],[キャンセル人数]]*$B$2),"")</calculatedColumnFormula>
    </tableColumn>
    <tableColumn id="10" xr3:uid="{81563BDB-1D3C-40C4-82D6-C5082F1BA1D0}" name="幹事無料" dataDxfId="249" dataCellStyle="桁区切り 2">
      <calculatedColumnFormula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calculatedColumnFormula>
    </tableColumn>
    <tableColumn id="9" xr3:uid="{0AD27999-066A-420B-A98C-841AD233CFD4}" name="キャンセル人数" dataDxfId="248" dataCellStyle="標準 2"/>
    <tableColumn id="7" xr3:uid="{84296D52-F920-4B3F-A140-8062A8A077B8}" name="イベンターへ" dataDxfId="247" dataCellStyle="桁区切り 2">
      <calculatedColumnFormula>IF(三ノ宮多味庵4000[[#This Row],[人数]]="","",VLOOKUP(三ノ宮多味庵4000[[#This Row],[人数]],バック金額②[#All],2,TRUE)-(三ノ宮多味庵4000[[#This Row],[キャンセル人数]]*$B$2))</calculatedColumnFormula>
    </tableColumn>
  </tableColumns>
  <tableStyleInfo name="TableStyleMedium2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93C0358-F9ED-4D75-8D26-06CF1B3A794D}" name="三ノ宮多味庵3500" displayName="三ノ宮多味庵3500" ref="L4:U35" totalsRowShown="0" headerRowBorderDxfId="246" tableBorderDxfId="245" totalsRowBorderDxfId="244">
  <autoFilter ref="L4:U35" xr:uid="{203B95BC-E93C-704C-8A22-CA9D95E4C249}"/>
  <tableColumns count="10">
    <tableColumn id="4" xr3:uid="{F231BDF1-478A-4C35-924A-EAE4FA85AFB0}" name="日付" dataDxfId="243" dataCellStyle="標準 2">
      <calculatedColumnFormula>A5</calculatedColumnFormula>
    </tableColumn>
    <tableColumn id="1" xr3:uid="{C566E163-BA8C-5341-AEDE-701E032B3D06}" name="件数" dataDxfId="242"/>
    <tableColumn id="2" xr3:uid="{B5F37255-382C-C34A-8428-B8DF2D6E7ED7}" name="イベンター予約名" dataDxfId="241"/>
    <tableColumn id="3" xr3:uid="{7A66A832-A347-E741-8C28-3E8BA5099C58}" name="人数" dataDxfId="240" dataCellStyle="標準 2"/>
    <tableColumn id="8" xr3:uid="{D2082A2D-764F-47FF-A1F6-EE90C4B3EA98}" name="Aパターン" dataDxfId="239" dataCellStyle="標準 2"/>
    <tableColumn id="5" xr3:uid="{82B6181B-C39F-4099-ABEA-CFE0E73DB079}" name="単価合計" dataDxfId="238" dataCellStyle="桁区切り 2">
      <calculatedColumnFormula>IF(三ノ宮多味庵3500[[#This Row],[人数]]="","",IF(三ノ宮多味庵3500[[#This Row],[人数]]&lt;=7,$B$1*三ノ宮多味庵3500[[#This Row],[人数]],$B$1*三ノ宮多味庵3500[[#This Row],[人数]]-三ノ宮多味庵3500[[#This Row],[幹事無料]]))</calculatedColumnFormula>
    </tableColumn>
    <tableColumn id="6" xr3:uid="{1218D22F-00B6-4CC0-9E30-2DF7290F5EB9}" name="ゆうき取りに行く" dataDxfId="237" dataCellStyle="桁区切り 2">
      <calculatedColumnFormula>IFERROR(($M$3*三ノ宮多味庵3500[[#This Row],[人数]])-三ノ宮多味庵3500[[#This Row],[単価合計]]-(三ノ宮多味庵3500[[#This Row],[キャンセル人数]]*$B$2),"")</calculatedColumnFormula>
    </tableColumn>
    <tableColumn id="10" xr3:uid="{FF0D3029-390D-46A1-A18D-7EF21A2650B7}" name="幹事無料" dataDxfId="236" dataCellStyle="桁区切り 2">
      <calculatedColumnFormula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calculatedColumnFormula>
    </tableColumn>
    <tableColumn id="9" xr3:uid="{303891FA-AB44-42A3-85C2-E1DC1D2AFCA1}" name="キャンセル人数" dataDxfId="235" dataCellStyle="標準 2"/>
    <tableColumn id="7" xr3:uid="{61E6CB2A-167B-419F-8255-1B42114BCC36}" name="イベンターへ" dataDxfId="234" dataCellStyle="桁区切り 2">
      <calculatedColumnFormula>IF(三ノ宮多味庵3500[[#This Row],[人数]]="","",VLOOKUP(三ノ宮多味庵3500[[#This Row],[人数]],バック金額②[#All],2,TRUE)-(三ノ宮多味庵3500[[#This Row],[人数]]*M2)-(三ノ宮多味庵3500[[#This Row],[キャンセル人数]]*$B$2))</calculatedColumnFormula>
    </tableColumn>
  </tableColumns>
  <tableStyleInfo name="TableStyleMedium2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D40D443-97CF-4268-A53F-E2DE7F74810F}" name="天王寺キャンパス4000円" displayName="天王寺キャンパス4000円" ref="A4:J35" totalsRowShown="0" headerRowBorderDxfId="233" tableBorderDxfId="232" totalsRowBorderDxfId="231">
  <autoFilter ref="A4:J35" xr:uid="{4ADB7538-9D5C-3947-820C-D9A2B140D134}"/>
  <tableColumns count="10">
    <tableColumn id="4" xr3:uid="{096D302A-700B-4DD3-A2EB-4162344E49F1}" name="日付" dataDxfId="230">
      <calculatedColumnFormula>IF(DAY(DATE(名前リスト!$N$1,名前リスト!$O$1,ROW()-2))=ROW()-2,DATE(名前リスト!$N$1,名前リスト!$O$1,ROW()-2),"")</calculatedColumnFormula>
    </tableColumn>
    <tableColumn id="1" xr3:uid="{80F0216A-1A85-5149-B841-2C80AB464213}" name="件数" dataDxfId="229"/>
    <tableColumn id="2" xr3:uid="{57EE45D8-378D-2C40-A4C1-0B5120BFAFE3}" name="イベンター予約名" dataDxfId="228"/>
    <tableColumn id="3" xr3:uid="{041B367E-4FC0-DB4A-86F2-922645D5BEEF}" name="人数" dataDxfId="227"/>
    <tableColumn id="8" xr3:uid="{C0D1ABAA-8A3C-48F5-A82C-F9B9C4E65227}" name="Aパターン" dataDxfId="226" dataCellStyle="標準 2"/>
    <tableColumn id="5" xr3:uid="{BB627F4B-EFA7-4D57-91F6-86DBDCCC1D53}" name="単価合計" dataDxfId="225" dataCellStyle="桁区切り 2">
      <calculatedColumnFormula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calculatedColumnFormula>
    </tableColumn>
    <tableColumn id="6" xr3:uid="{D02F41EE-D9BF-4B27-A270-EF66F8B0037C}" name="ゆうき取りに行く" dataDxfId="224" dataCellStyle="桁区切り 2">
      <calculatedColumnFormula>IFERROR(($B$3*天王寺キャンパス4000円[[#This Row],[人数]])-天王寺キャンパス4000円[[#This Row],[単価合計]]-(天王寺キャンパス4000円[[#This Row],[キャンセル人数]]*$B$2),"")</calculatedColumnFormula>
    </tableColumn>
    <tableColumn id="10" xr3:uid="{771A0161-859B-43AB-9C70-DEE20135685D}" name="幹事無料" dataDxfId="223" dataCellStyle="桁区切り 2">
      <calculatedColumnFormula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calculatedColumnFormula>
    </tableColumn>
    <tableColumn id="9" xr3:uid="{DE5CEDFC-E129-4CD5-A72D-D8DDD203C2A6}" name="キャンセル人数" dataDxfId="222" dataCellStyle="標準 2"/>
    <tableColumn id="7" xr3:uid="{CAE25AE0-10A2-48F2-AF2A-04837EE19E77}" name="イベンターへ" dataDxfId="221" dataCellStyle="桁区切り 2">
      <calculatedColumnFormula>IF(天王寺キャンパス4000円[[#This Row],[人数]]="","",VLOOKUP(天王寺キャンパス4000円[[#This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444E1A0-0D6E-4529-A303-0542DD4FAD80}" name="天王寺キャンパス3500円" displayName="天王寺キャンパス3500円" ref="L4:U35" totalsRowShown="0" headerRowBorderDxfId="220" tableBorderDxfId="219" totalsRowBorderDxfId="218">
  <autoFilter ref="L4:U35" xr:uid="{7023D449-F14C-4B49-9885-40D6AC4E296C}"/>
  <tableColumns count="10">
    <tableColumn id="4" xr3:uid="{2607808A-491F-4B65-BDC1-850D089AF3A9}" name="日付" dataDxfId="217">
      <calculatedColumnFormula>IF(DAY(DATE(名前リスト!$N$1,名前リスト!$O$1,ROW()-2))=ROW()-2,DATE(名前リスト!$N$1,名前リスト!$O$1,ROW()-2),"")</calculatedColumnFormula>
    </tableColumn>
    <tableColumn id="1" xr3:uid="{450CEEB1-0748-5A42-BC60-055AC908B8C1}" name="件数" dataDxfId="216"/>
    <tableColumn id="2" xr3:uid="{F27BF325-F84F-2C48-97EF-62E252B533D5}" name="イベンター予約名" dataDxfId="215"/>
    <tableColumn id="3" xr3:uid="{459618AE-4D0E-BF44-83E5-12A317F8039E}" name="人数" dataDxfId="214" dataCellStyle="標準 2"/>
    <tableColumn id="8" xr3:uid="{D3AE96FB-B3B2-42D8-8A9D-09CE8EA2ED66}" name="Aパターン" dataDxfId="213" dataCellStyle="標準 2"/>
    <tableColumn id="5" xr3:uid="{7C439864-981F-4ABA-9C61-E2B3F45B845F}" name="単価合計" dataDxfId="212" dataCellStyle="桁区切り 2">
      <calculatedColumnFormula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calculatedColumnFormula>
    </tableColumn>
    <tableColumn id="6" xr3:uid="{F7C0BD39-27A4-4FDD-B3E1-9741415CDA43}" name="ゆうき取りに行く" dataDxfId="211" dataCellStyle="桁区切り 2">
      <calculatedColumnFormula>IFERROR(($M$3*天王寺キャンパス3500円[[#This Row],[人数]])-天王寺キャンパス3500円[[#This Row],[単価合計]]-(天王寺キャンパス3500円[[#This Row],[キャンセル人数]]*$B$2),"")</calculatedColumnFormula>
    </tableColumn>
    <tableColumn id="10" xr3:uid="{2809B9DF-F524-4008-AA7E-AB61B36BB703}" name="幹事無料" dataDxfId="210" dataCellStyle="桁区切り 2">
      <calculatedColumnFormula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calculatedColumnFormula>
    </tableColumn>
    <tableColumn id="9" xr3:uid="{F2342982-A739-42D8-97FA-6328CC300CD9}" name="キャンセル人数" dataDxfId="209" dataCellStyle="標準 2"/>
    <tableColumn id="7" xr3:uid="{DD75809E-89FB-44CC-9526-A2EDEBAE2638}" name="イベンターへ" dataDxfId="208" dataCellStyle="桁区切り 2">
      <calculatedColumnFormula>IF(天王寺キャンパス3500円[[#This Row],[人数]]="","",VLOOKUP(天王寺キャンパス3500円[[#This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325EDEE-1F0A-45E9-A2F7-59C235C76EFA}" name="心斎橋CSB4000円22" displayName="心斎橋CSB4000円22" ref="A4:J35" totalsRowShown="0" headerRowBorderDxfId="207" tableBorderDxfId="206" totalsRowBorderDxfId="205">
  <autoFilter ref="A4:J35" xr:uid="{42414338-E444-BB4D-BA80-49E4335CE2E2}"/>
  <tableColumns count="10">
    <tableColumn id="4" xr3:uid="{B66D75D9-2266-456D-9262-100EBC5068D2}" name="日付" dataDxfId="204">
      <calculatedColumnFormula>IF(DAY(DATE(名前リスト!$N$1,名前リスト!$O$1,ROW()-2))=ROW()-2,DATE(名前リスト!$N$1,名前リスト!$O$1,ROW()-2),"")</calculatedColumnFormula>
    </tableColumn>
    <tableColumn id="1" xr3:uid="{6C301C62-3F2D-4216-B8CB-6770E7105795}" name="件数" dataDxfId="203"/>
    <tableColumn id="2" xr3:uid="{CD500844-60BE-4FC4-AE02-47B39154AF02}" name="予約番号" dataDxfId="202"/>
    <tableColumn id="3" xr3:uid="{6F061D48-1053-4ED1-A606-3793A0C034E6}" name="人数" dataDxfId="201"/>
    <tableColumn id="8" xr3:uid="{35A24616-AA4B-4653-A8C1-5F4D824076E4}" name="Aパターン" dataDxfId="200" dataCellStyle="標準 2"/>
    <tableColumn id="5" xr3:uid="{1279A1D2-6BC6-4A37-A7C7-FA9AE0D4D8A2}" name="単価合計" dataDxfId="199" dataCellStyle="桁区切り 3">
      <calculatedColumnFormula>IF(心斎橋CSB4000円22[[#This Row],[人数]]="","",IF(心斎橋CSB4000円22[[#This Row],[人数]]&lt;=7,$B$1*心斎橋CSB4000円22[[#This Row],[人数]],$B$1*心斎橋CSB4000円22[[#This Row],[人数]]-心斎橋CSB4000円22[[#This Row],[幹事無料]]))</calculatedColumnFormula>
    </tableColumn>
    <tableColumn id="6" xr3:uid="{16F0BB1B-6DF0-4B75-9DFA-1DB7E0B09B56}" name="ゆうき取りに行く" dataDxfId="198" dataCellStyle="桁区切り 3">
      <calculatedColumnFormula>IFERROR(($B$3*心斎橋CSB4000円22[[#This Row],[人数]])-心斎橋CSB4000円22[[#This Row],[単価合計]]-(心斎橋CSB4000円22[[#This Row],[キャンセル人数]]*$B$2),"")</calculatedColumnFormula>
    </tableColumn>
    <tableColumn id="10" xr3:uid="{B29DFC75-0B12-4B9F-97CF-3A82EF2FD680}" name="幹事無料" dataDxfId="197" dataCellStyle="桁区切り 3">
      <calculatedColumnFormula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calculatedColumnFormula>
    </tableColumn>
    <tableColumn id="9" xr3:uid="{B7FF5A17-55CC-4D05-AC5B-F970C77B95F3}" name="キャンセル人数" dataDxfId="196" dataCellStyle="標準 2"/>
    <tableColumn id="7" xr3:uid="{30358B04-1F9B-4A86-88A3-1C715F26208B}" name="イベンターへ" dataDxfId="195" dataCellStyle="桁区切り 3">
      <calculatedColumnFormula>IF(心斎橋CSB4000円22[[#This Row],[人数]]="","",VLOOKUP(心斎橋CSB4000円22[[#This Row],[人数]],バック金額②[#All],2,TRUE)-(心斎橋CSB4000円22[[#This Row],[キャンセル人数]]*$B$2))</calculatedColumnFormula>
    </tableColumn>
  </tableColumns>
  <tableStyleInfo name="TableStyleMedium2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4FAD3B-E12C-4D7F-9938-84717125B460}" name="心斎橋CSB3500円23" displayName="心斎橋CSB3500円23" ref="L4:U35" totalsRowShown="0" headerRowBorderDxfId="194" tableBorderDxfId="193" totalsRowBorderDxfId="192">
  <autoFilter ref="L4:U35" xr:uid="{F7A875AA-1543-644B-A9EF-2AB1CA39FE70}"/>
  <tableColumns count="10">
    <tableColumn id="4" xr3:uid="{019BD29A-5028-4BFD-8EDE-ECF9A58E438E}" name="日付" dataDxfId="191">
      <calculatedColumnFormula>IF(DAY(DATE(名前リスト!$N$1,名前リスト!$O$1,ROW()-2))=ROW()-2,DATE(名前リスト!$N$1,名前リスト!$O$1,ROW()-2),"")</calculatedColumnFormula>
    </tableColumn>
    <tableColumn id="1" xr3:uid="{52DF8CF6-8CDD-4B67-96C0-38656F06605E}" name="件数" dataDxfId="190"/>
    <tableColumn id="2" xr3:uid="{46789D27-CC4E-4FB6-B514-6396674BE7B8}" name="予約番号" dataDxfId="189"/>
    <tableColumn id="3" xr3:uid="{E1B30E41-93AF-44F8-BCC2-DDDB102B8F4B}" name="人数" dataDxfId="188" dataCellStyle="標準 2"/>
    <tableColumn id="8" xr3:uid="{DD60E08F-6F44-45DE-9280-5467D80A645E}" name="Aパターン" dataDxfId="187" dataCellStyle="標準 2"/>
    <tableColumn id="5" xr3:uid="{5599FFC7-A22C-488B-A86F-6F285E15A381}" name="単価合計" dataDxfId="186" dataCellStyle="桁区切り 3">
      <calculatedColumnFormula>IF(心斎橋CSB3500円23[[#This Row],[人数]]="","",IF(心斎橋CSB3500円23[[#This Row],[人数]]&lt;=7,$B$1*心斎橋CSB3500円23[[#This Row],[人数]],$B$1*心斎橋CSB3500円23[[#This Row],[人数]]-心斎橋CSB3500円23[[#This Row],[幹事無料]]))</calculatedColumnFormula>
    </tableColumn>
    <tableColumn id="6" xr3:uid="{5A5706E7-DC71-4A32-A4C6-ED836B18D514}" name="ゆうき取りに行く" dataDxfId="185" dataCellStyle="桁区切り 3">
      <calculatedColumnFormula>IFERROR(($M$3*心斎橋CSB3500円23[[#This Row],[人数]])-心斎橋CSB3500円23[[#This Row],[単価合計]]-(心斎橋CSB3500円23[[#This Row],[キャンセル人数]]*$B$2),"")</calculatedColumnFormula>
    </tableColumn>
    <tableColumn id="10" xr3:uid="{528032E0-D8E4-4649-B11E-941388439969}" name="幹事無料" dataDxfId="184" dataCellStyle="桁区切り 3">
      <calculatedColumnFormula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calculatedColumnFormula>
    </tableColumn>
    <tableColumn id="9" xr3:uid="{382ADF76-A1E3-420B-8688-99A5BE8D3B99}" name="キャンセル人数" dataDxfId="183" dataCellStyle="標準 2"/>
    <tableColumn id="7" xr3:uid="{4F9BC7FB-3780-4D93-8D4D-FE00D46A12EE}" name="イベンターへ" dataDxfId="182" dataCellStyle="桁区切り 3">
      <calculatedColumnFormula>IF(心斎橋CSB3500円23[[#This Row],[人数]]="","",VLOOKUP(心斎橋CSB3500円23[[#This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3D10B647-87D9-4E7C-9E38-5E7B5FCCDE99}" name="三ノ宮琥珀の泉4000円" displayName="三ノ宮琥珀の泉4000円" ref="A4:J35" totalsRowShown="0" headerRowBorderDxfId="181" tableBorderDxfId="180" totalsRowBorderDxfId="179">
  <autoFilter ref="A4:J35" xr:uid="{DB81E0F3-3215-6640-AE3A-3BE2A2C4A053}"/>
  <tableColumns count="10">
    <tableColumn id="4" xr3:uid="{1BDA1C08-1359-48F4-BFB1-F55DBF7A12D0}" name="日付" dataDxfId="178">
      <calculatedColumnFormula>IF(DAY(DATE(名前リスト!$N$1,名前リスト!$O$1,ROW()-2))=ROW()-2,DATE(名前リスト!$N$1,名前リスト!$O$1,ROW()-2),"")</calculatedColumnFormula>
    </tableColumn>
    <tableColumn id="1" xr3:uid="{568E7AC1-DA62-404C-B033-500CBDB577B3}" name="件数" dataDxfId="177"/>
    <tableColumn id="2" xr3:uid="{7050A390-0AFD-6841-848E-F6312B46A8DA}" name="イベンター予約名" dataDxfId="176"/>
    <tableColumn id="3" xr3:uid="{D2D10484-B780-DD41-9CEF-11480BC32389}" name="人数" dataDxfId="175"/>
    <tableColumn id="8" xr3:uid="{7E880ABE-8EE5-4452-B991-D567AF1A8FCC}" name="Aパターン" dataDxfId="174" dataCellStyle="標準 2"/>
    <tableColumn id="5" xr3:uid="{D2FAE04C-3D3A-485B-ABAF-1FAF11C552B1}" name="単価合計" dataDxfId="173" dataCellStyle="桁区切り 2">
      <calculatedColumnFormula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calculatedColumnFormula>
    </tableColumn>
    <tableColumn id="6" xr3:uid="{247B444B-BA17-4C17-91D6-1EB27008A741}" name="ゆうき取りに行く" dataDxfId="172" dataCellStyle="桁区切り 2">
      <calculatedColumnFormula>IFERROR(($B$3*三ノ宮琥珀の泉4000円[[#This Row],[人数]])-三ノ宮琥珀の泉4000円[[#This Row],[単価合計]]-(三ノ宮琥珀の泉4000円[[#This Row],[キャンセル人数]]*$B$2),"")</calculatedColumnFormula>
    </tableColumn>
    <tableColumn id="10" xr3:uid="{C0CD3957-5D68-40CB-A8C5-85BFFB74C7FC}" name="幹事無料" dataDxfId="171" dataCellStyle="桁区切り 2">
      <calculatedColumnFormula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calculatedColumnFormula>
    </tableColumn>
    <tableColumn id="9" xr3:uid="{F8008C68-A485-426C-9B42-82E314025441}" name="キャンセル人数" dataDxfId="170" dataCellStyle="標準 2"/>
    <tableColumn id="7" xr3:uid="{6EEA7640-4BEE-4B6D-A45A-EF056B916E3A}" name="イベンターへ" dataDxfId="169" dataCellStyle="桁区切り 2">
      <calculatedColumnFormula>IF(三ノ宮琥珀の泉4000円[[#This Row],[人数]]="","",VLOOKUP(三ノ宮琥珀の泉4000円[[#This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16A8B41-DFA2-4BDD-9388-B5D870865BDF}" name="三ノ宮琥珀の泉3500円" displayName="三ノ宮琥珀の泉3500円" ref="L4:U35" totalsRowShown="0" headerRowBorderDxfId="168" tableBorderDxfId="167" totalsRowBorderDxfId="166">
  <autoFilter ref="L4:U35" xr:uid="{4DEF3322-3FC8-0F47-98D6-76B976E8116D}"/>
  <tableColumns count="10">
    <tableColumn id="4" xr3:uid="{53C4279B-6878-4085-9FEB-782D1FC42088}" name="日付" dataDxfId="165">
      <calculatedColumnFormula>IF(DAY(DATE(名前リスト!$N$1,名前リスト!$O$1,ROW()-2))=ROW()-2,DATE(名前リスト!$N$1,名前リスト!$O$1,ROW()-2),"")</calculatedColumnFormula>
    </tableColumn>
    <tableColumn id="1" xr3:uid="{8A7AF781-2884-E84C-AAF2-29091336BD8B}" name="件数" dataDxfId="164"/>
    <tableColumn id="2" xr3:uid="{E54F7067-FD56-9B44-BE9F-5225614EFCCE}" name="イベンター予約名" dataDxfId="163"/>
    <tableColumn id="3" xr3:uid="{F14C47DC-5701-354B-BCF8-759AC309911C}" name="人数" dataDxfId="162"/>
    <tableColumn id="8" xr3:uid="{518B3F0A-72EA-4EC9-91CD-483FA06EB9FA}" name="Aパターン" dataDxfId="161" dataCellStyle="標準 2"/>
    <tableColumn id="5" xr3:uid="{2948313F-78E0-425E-AA04-CC0EF73A7BE6}" name="単価合計" dataDxfId="160" dataCellStyle="桁区切り 2">
      <calculatedColumnFormula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calculatedColumnFormula>
    </tableColumn>
    <tableColumn id="6" xr3:uid="{F606AA62-41A0-4844-8484-2B2E8BB4A1D8}" name="ゆうき取りに行く" dataDxfId="159" dataCellStyle="桁区切り 2">
      <calculatedColumnFormula>IFERROR(($M$3*三ノ宮琥珀の泉3500円[[#This Row],[人数]])-三ノ宮琥珀の泉3500円[[#This Row],[単価合計]]-(三ノ宮琥珀の泉3500円[[#This Row],[キャンセル人数]]*$B$2),"")</calculatedColumnFormula>
    </tableColumn>
    <tableColumn id="10" xr3:uid="{E4C3C36F-60C3-44EC-944C-FA375FF0B297}" name="幹事無料" dataDxfId="158" dataCellStyle="桁区切り 2">
      <calculatedColumnFormula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calculatedColumnFormula>
    </tableColumn>
    <tableColumn id="9" xr3:uid="{00AFB17B-FDD1-495B-868F-37FBCD6E63D8}" name="キャンセル人数" dataDxfId="157" dataCellStyle="標準 2"/>
    <tableColumn id="7" xr3:uid="{C05C128F-3A99-4B8F-9DBD-D580AFCD3E58}" name="イベンターへ" dataDxfId="156" dataCellStyle="桁区切り 2">
      <calculatedColumnFormula>IF(三ノ宮琥珀の泉3500円[[#This Row],[人数]]="","",VLOOKUP(三ノ宮琥珀の泉3500円[[#This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F8CC9C-A886-4DCF-9373-43E1ED4EB5E7}" name="三ノ宮旬家4000円" displayName="三ノ宮旬家4000円" ref="A4:J35" totalsRowShown="0" headerRowBorderDxfId="155" tableBorderDxfId="154" totalsRowBorderDxfId="153">
  <autoFilter ref="A4:J35" xr:uid="{88B1BC22-2046-4143-B411-FA41892470E2}"/>
  <tableColumns count="10">
    <tableColumn id="4" xr3:uid="{677FCB7E-3BEA-42F6-B457-939AADF11289}" name="日付" dataDxfId="152">
      <calculatedColumnFormula>IF(DAY(DATE(名前リスト!$N$1,名前リスト!$O$1,ROW()-2))=ROW()-2,DATE(名前リスト!$N$1,名前リスト!$O$1,ROW()-2),"")</calculatedColumnFormula>
    </tableColumn>
    <tableColumn id="1" xr3:uid="{8F13595F-0787-F04A-9C73-B57022F3A49D}" name="件数" dataDxfId="151"/>
    <tableColumn id="2" xr3:uid="{C2B9366D-2C2D-2542-92BF-7FC246B29F8A}" name="イベンター予約名" dataDxfId="150"/>
    <tableColumn id="3" xr3:uid="{DF41E083-40D8-964F-A3EC-35811A5F1EB1}" name="人数" dataDxfId="149"/>
    <tableColumn id="8" xr3:uid="{D443A504-15A3-4ED7-A934-88FDBDC7FDD0}" name="Aパターン" dataDxfId="148" dataCellStyle="標準 2"/>
    <tableColumn id="5" xr3:uid="{35D055DB-5FC1-4951-9344-6222C487B5A7}" name="単価合計" dataDxfId="147" dataCellStyle="桁区切り 2">
      <calculatedColumnFormula>IF(三ノ宮旬家4000円[[#This Row],[人数]]="","",IF(三ノ宮旬家4000円[[#This Row],[人数]]&lt;=7,$B$1*三ノ宮旬家4000円[[#This Row],[人数]],$B$1*三ノ宮旬家4000円[[#This Row],[人数]]-三ノ宮旬家4000円[[#This Row],[幹事無料]]))</calculatedColumnFormula>
    </tableColumn>
    <tableColumn id="6" xr3:uid="{17A99D0C-131C-44A2-9C09-5DDDED9F1BAE}" name="ゆうき取りに行く" dataDxfId="146" dataCellStyle="桁区切り 2">
      <calculatedColumnFormula>IFERROR(($B$3*三ノ宮旬家4000円[[#This Row],[人数]])-三ノ宮旬家4000円[[#This Row],[単価合計]]-(三ノ宮旬家4000円[[#This Row],[キャンセル人数]]*$B$2),"")</calculatedColumnFormula>
    </tableColumn>
    <tableColumn id="10" xr3:uid="{C0DE2FA8-AB9E-4122-8E33-8EF739FA8956}" name="幹事無料" dataDxfId="145" dataCellStyle="桁区切り 2">
      <calculatedColumnFormula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calculatedColumnFormula>
    </tableColumn>
    <tableColumn id="9" xr3:uid="{FCFE3742-AF64-4599-8199-A773B22F65B4}" name="キャンセル人数" dataDxfId="144" dataCellStyle="標準 2"/>
    <tableColumn id="7" xr3:uid="{1F4622B6-BBE4-4D27-9A04-C68CEBC943C3}" name="イベンターへ" dataDxfId="143" dataCellStyle="桁区切り 2">
      <calculatedColumnFormula>IF(三ノ宮旬家4000円[[#This Row],[人数]]="","",VLOOKUP(三ノ宮旬家4000円[[#This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7CDE1DE-6EBD-4C96-BF3C-CCA68577A45F}" name="三ノ宮旬家3500円" displayName="三ノ宮旬家3500円" ref="L4:U35" totalsRowShown="0" headerRowBorderDxfId="142" tableBorderDxfId="141" totalsRowBorderDxfId="140">
  <autoFilter ref="L4:U35" xr:uid="{214C41E8-F530-DC4B-BCDA-B346FCB823B0}"/>
  <tableColumns count="10">
    <tableColumn id="4" xr3:uid="{53567D50-0565-4F62-AA89-5C4B3A90D18D}" name="日付" dataDxfId="139">
      <calculatedColumnFormula>IF(DAY(DATE(名前リスト!$N$1,名前リスト!$O$1,ROW()-2))=ROW()-2,DATE(名前リスト!$N$1,名前リスト!$O$1,ROW()-2),"")</calculatedColumnFormula>
    </tableColumn>
    <tableColumn id="1" xr3:uid="{78EC7CD2-782C-6044-9CC8-87E9EBEA8BC3}" name="件数" dataDxfId="138"/>
    <tableColumn id="2" xr3:uid="{E6C6C081-4E85-1343-8A12-9BC472F2B432}" name="イベンター予約名" dataDxfId="137"/>
    <tableColumn id="3" xr3:uid="{D008C964-14AC-EB42-84EF-DD39C6EFD8AE}" name="人数" dataDxfId="136"/>
    <tableColumn id="8" xr3:uid="{8A889B41-2ED0-4365-B54F-F49680BEC1D8}" name="Aパターン" dataDxfId="135" dataCellStyle="標準 2"/>
    <tableColumn id="5" xr3:uid="{02BECDB7-3B72-4E5D-9205-2178D56D0BB2}" name="単価合計" dataDxfId="134" dataCellStyle="桁区切り 2">
      <calculatedColumnFormula>IF(三ノ宮旬家3500円[[#This Row],[人数]]="","",IF(三ノ宮旬家3500円[[#This Row],[人数]]&lt;=7,$B$1*三ノ宮旬家3500円[[#This Row],[人数]],$B$1*三ノ宮旬家3500円[[#This Row],[人数]]-三ノ宮旬家3500円[[#This Row],[幹事無料]]))</calculatedColumnFormula>
    </tableColumn>
    <tableColumn id="6" xr3:uid="{C8D71A4D-ECBA-47F2-AB2F-54603AFD8B51}" name="ゆうき取りに行く" dataDxfId="133" dataCellStyle="桁区切り 2">
      <calculatedColumnFormula>IFERROR(($M$3*三ノ宮旬家3500円[[#This Row],[人数]])-三ノ宮旬家3500円[[#This Row],[単価合計]]-(三ノ宮旬家3500円[[#This Row],[キャンセル人数]]*$B$2),"")</calculatedColumnFormula>
    </tableColumn>
    <tableColumn id="10" xr3:uid="{9EC3542F-5E8D-44F1-943F-93DC9DCFEFCD}" name="幹事無料" dataDxfId="132" dataCellStyle="桁区切り 2">
      <calculatedColumnFormula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calculatedColumnFormula>
    </tableColumn>
    <tableColumn id="9" xr3:uid="{85BCC13D-4757-4FE3-9066-47E450DCD939}" name="キャンセル人数" dataDxfId="131" dataCellStyle="標準 2"/>
    <tableColumn id="7" xr3:uid="{060C0333-E891-470C-9AFD-C716C5FCAAE6}" name="イベンターへ" dataDxfId="130" dataCellStyle="桁区切り 2">
      <calculatedColumnFormula>IF(三ノ宮旬家3500円[[#This Row],[人数]]="","",VLOOKUP(三ノ宮旬家3500円[[#This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BAE753F-CA8C-430C-96D3-99626D3CBF52}" name="三ノ宮きさらぎ4000円" displayName="三ノ宮きさらぎ4000円" ref="A4:J35" totalsRowShown="0" headerRowBorderDxfId="129" tableBorderDxfId="128" totalsRowBorderDxfId="127">
  <autoFilter ref="A4:J35" xr:uid="{FB72BE44-DBAB-F248-9070-1D2E8211DEA5}"/>
  <tableColumns count="10">
    <tableColumn id="4" xr3:uid="{72BD0D98-3788-424C-9BCA-038F6C7CA77A}" name="日付" dataDxfId="126">
      <calculatedColumnFormula>IF(DAY(DATE(名前リスト!$N$1,名前リスト!$O$1,ROW()-2))=ROW()-2,DATE(名前リスト!$N$1,名前リスト!$O$1,ROW()-2),"")</calculatedColumnFormula>
    </tableColumn>
    <tableColumn id="1" xr3:uid="{B7801537-DF84-224C-BF87-E3756CFBD4AA}" name="件数" dataDxfId="125"/>
    <tableColumn id="2" xr3:uid="{A3468406-F05D-644C-B184-8D0611A983A0}" name="イベンター予約名" dataDxfId="124"/>
    <tableColumn id="3" xr3:uid="{7B0DD90E-9037-F447-BAC0-8A7CF65A0FDD}" name="人数" dataDxfId="123"/>
    <tableColumn id="8" xr3:uid="{4F95A94A-B2C0-453B-A42F-4A9CA0181805}" name="Aパターン" dataDxfId="122" dataCellStyle="標準 2"/>
    <tableColumn id="5" xr3:uid="{AF8568C4-FD9F-493A-A99D-406F5D0C146F}" name="単価合計" dataDxfId="121" dataCellStyle="桁区切り 2">
      <calculatedColumnFormula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calculatedColumnFormula>
    </tableColumn>
    <tableColumn id="6" xr3:uid="{0EEBA426-912D-4FD5-A6B1-5B22DF751216}" name="ゆうき取りに行く" dataDxfId="120" dataCellStyle="桁区切り 2">
      <calculatedColumnFormula>IFERROR(($B$3*三ノ宮きさらぎ4000円[[#This Row],[人数]])-三ノ宮きさらぎ4000円[[#This Row],[単価合計]]-(三ノ宮きさらぎ4000円[[#This Row],[キャンセル人数]]*$B$2),"")</calculatedColumnFormula>
    </tableColumn>
    <tableColumn id="10" xr3:uid="{0B19FFBA-5975-4001-82AC-FB8753AE6731}" name="幹事無料" dataDxfId="119" dataCellStyle="桁区切り 2">
      <calculatedColumnFormula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calculatedColumnFormula>
    </tableColumn>
    <tableColumn id="9" xr3:uid="{F2FE13B5-7C4F-4EBA-829B-2DFA017E69BD}" name="キャンセル人数" dataDxfId="118" dataCellStyle="標準 2"/>
    <tableColumn id="7" xr3:uid="{C6786599-D31B-46FA-AAE0-2AE94AFC36BE}" name="イベンターへ" dataDxfId="117" dataCellStyle="桁区切り 2">
      <calculatedColumnFormula>IF(三ノ宮きさらぎ4000円[[#This Row],[人数]]="","",VLOOKUP(三ノ宮きさらぎ4000円[[#This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6BE01D4-DB4D-45DD-A8FB-CAB49C84A50E}" name="三ノ宮きさらぎ3500円" displayName="三ノ宮きさらぎ3500円" ref="L4:U35" totalsRowShown="0" headerRowBorderDxfId="116" tableBorderDxfId="115" totalsRowBorderDxfId="114">
  <autoFilter ref="L4:U35" xr:uid="{961D2311-5680-0E44-9123-4EF8E78CD88C}"/>
  <tableColumns count="10">
    <tableColumn id="4" xr3:uid="{317EBB51-2E4D-48B2-BDCD-318D06C37A22}" name="日付" dataDxfId="113">
      <calculatedColumnFormula>IF(DAY(DATE(名前リスト!$N$1,名前リスト!$O$1,ROW()-2))=ROW()-2,DATE(名前リスト!$N$1,名前リスト!$O$1,ROW()-2),"")</calculatedColumnFormula>
    </tableColumn>
    <tableColumn id="1" xr3:uid="{E345E56E-3066-6149-8BE4-2472FF2D1C95}" name="件数" dataDxfId="112"/>
    <tableColumn id="2" xr3:uid="{F1B08CE0-ADFB-024E-9861-4D54069293E4}" name="イベンター予約名" dataDxfId="111"/>
    <tableColumn id="3" xr3:uid="{C7C2D88C-729B-6043-B358-787C903D9923}" name="人数" dataDxfId="110"/>
    <tableColumn id="8" xr3:uid="{BBEB9F95-0FF5-4AEC-A055-B8ED521512F9}" name="Aパターン" dataDxfId="109" dataCellStyle="標準 2"/>
    <tableColumn id="5" xr3:uid="{405D2C93-05D4-4374-B954-83ACC143F205}" name="単価合計" dataDxfId="108" dataCellStyle="桁区切り 2">
      <calculatedColumnFormula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calculatedColumnFormula>
    </tableColumn>
    <tableColumn id="6" xr3:uid="{52514F07-7AC4-4A80-955D-8223C6054922}" name="ゆうき取りに行く" dataDxfId="107" dataCellStyle="桁区切り 2">
      <calculatedColumnFormula>IFERROR(($M$3*三ノ宮きさらぎ3500円[[#This Row],[人数]])-三ノ宮きさらぎ3500円[[#This Row],[単価合計]]-(三ノ宮きさらぎ3500円[[#This Row],[キャンセル人数]]*$B$2),"")</calculatedColumnFormula>
    </tableColumn>
    <tableColumn id="10" xr3:uid="{0BEE25AB-6B53-4215-AE9F-B767D7C3F687}" name="幹事無料" dataDxfId="106" dataCellStyle="桁区切り 2">
      <calculatedColumnFormula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calculatedColumnFormula>
    </tableColumn>
    <tableColumn id="9" xr3:uid="{620210C1-0C1B-4D49-AB0E-F1692FADD1A6}" name="キャンセル人数" dataDxfId="105" dataCellStyle="標準 2"/>
    <tableColumn id="7" xr3:uid="{8E6C0B9F-BA9C-4CD0-AE72-19380C1A3005}" name="イベンターへ" dataDxfId="104" dataCellStyle="桁区切り 2">
      <calculatedColumnFormula>IF(三ノ宮きさらぎ3500円[[#This Row],[人数]]="","",VLOOKUP(三ノ宮きさらぎ3500円[[#This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036C709-52EA-42AE-9352-DC1ADDCC76BA}" name="三ノ宮肉バルしょうじ4000円" displayName="三ノ宮肉バルしょうじ4000円" ref="A4:J35" totalsRowShown="0" headerRowBorderDxfId="103" tableBorderDxfId="102" totalsRowBorderDxfId="101">
  <autoFilter ref="A4:J35" xr:uid="{4185201A-A118-8F40-A93C-289AD19C4653}"/>
  <tableColumns count="10">
    <tableColumn id="4" xr3:uid="{2FEE12BF-953C-45B2-8734-E2608887C242}" name="日付" dataDxfId="100">
      <calculatedColumnFormula>IF(DAY(DATE(名前リスト!$N$1,名前リスト!$O$1,ROW()-2))=ROW()-2,DATE(名前リスト!$N$1,名前リスト!$O$1,ROW()-2),"")</calculatedColumnFormula>
    </tableColumn>
    <tableColumn id="1" xr3:uid="{E0725D40-5910-634C-B790-783780C4E7BB}" name="件数" dataDxfId="99"/>
    <tableColumn id="2" xr3:uid="{84981969-7AD4-4345-98CD-A237A7EC7065}" name="イベンター予約名" dataDxfId="98"/>
    <tableColumn id="3" xr3:uid="{D125B79D-FB07-824C-9F6B-8F9EB80FDB96}" name="人数" dataDxfId="97"/>
    <tableColumn id="8" xr3:uid="{964B3F0D-7EC8-44EA-9D48-B3320822812E}" name="Aパターン" dataDxfId="96" dataCellStyle="標準 2"/>
    <tableColumn id="5" xr3:uid="{0DC4758D-3F13-494A-9002-73182556C0F1}" name="単価合計" dataDxfId="95" dataCellStyle="桁区切り 2">
      <calculatedColumnFormula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calculatedColumnFormula>
    </tableColumn>
    <tableColumn id="6" xr3:uid="{61C25BD8-75CC-4473-B84E-D1EBB35DE855}" name="ゆうき取りに行く" dataDxfId="94" dataCellStyle="桁区切り 2">
      <calculatedColumnFormula>IFERROR(($B$3*三ノ宮肉バルしょうじ4000円[[#This Row],[人数]])-三ノ宮肉バルしょうじ4000円[[#This Row],[単価合計]]-(三ノ宮肉バルしょうじ4000円[[#This Row],[キャンセル人数]]*$B$2),"")</calculatedColumnFormula>
    </tableColumn>
    <tableColumn id="10" xr3:uid="{4A6B8F36-F33F-4605-9AEF-7ED959C94DD6}" name="幹事無料" dataDxfId="93" dataCellStyle="桁区切り 2">
      <calculatedColumnFormula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calculatedColumnFormula>
    </tableColumn>
    <tableColumn id="9" xr3:uid="{A599DEBF-B68F-4BFF-A187-54127B0873AD}" name="キャンセル人数" dataDxfId="92" dataCellStyle="標準 2"/>
    <tableColumn id="7" xr3:uid="{DEB02429-E828-4CAC-96F6-59AEFFE6D90F}" name="イベンターへ" dataDxfId="91" dataCellStyle="桁区切り 2">
      <calculatedColumnFormula>IF(三ノ宮肉バルしょうじ4000円[[#This Row],[人数]]="","",VLOOKUP(三ノ宮肉バルしょうじ4000円[[#This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F810EB7-1B63-4575-B34D-1B8036B8D79B}" name="三ノ宮肉バルしょうじ3500円" displayName="三ノ宮肉バルしょうじ3500円" ref="L4:U35" totalsRowShown="0" headerRowBorderDxfId="90" tableBorderDxfId="89" totalsRowBorderDxfId="88">
  <autoFilter ref="L4:U35" xr:uid="{5EA66BA7-8C44-B74F-97B6-C9945E55A068}"/>
  <tableColumns count="10">
    <tableColumn id="4" xr3:uid="{C9CF63A2-3B51-4D28-AA6D-BD29464C7228}" name="日付" dataDxfId="87">
      <calculatedColumnFormula>IF(DAY(DATE(名前リスト!$N$1,名前リスト!$O$1,ROW()-2))=ROW()-2,DATE(名前リスト!$N$1,名前リスト!$O$1,ROW()-2),"")</calculatedColumnFormula>
    </tableColumn>
    <tableColumn id="1" xr3:uid="{7D8F6549-608D-C846-8F2A-AF520D8AF7D4}" name="件数" dataDxfId="86"/>
    <tableColumn id="2" xr3:uid="{5BCA259A-AC89-104F-AA16-6258ADC1850A}" name="イベンター予約名" dataDxfId="85"/>
    <tableColumn id="3" xr3:uid="{FE10C2C8-CA73-C747-AD4B-0B98B4D3D712}" name="人数" dataDxfId="84"/>
    <tableColumn id="8" xr3:uid="{1E41350F-3ABA-42F5-99B1-F1F1DEE94ABD}" name="Aパターン" dataDxfId="83" dataCellStyle="標準 2"/>
    <tableColumn id="5" xr3:uid="{F9C4CA33-CF69-4E15-BCCF-349702AE179B}" name="単価合計" dataDxfId="82" dataCellStyle="桁区切り 2">
      <calculatedColumnFormula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calculatedColumnFormula>
    </tableColumn>
    <tableColumn id="6" xr3:uid="{A46131B0-97BE-4962-B2E0-FE2BE4CE68B5}" name="ゆうき取りに行く" dataDxfId="81" dataCellStyle="桁区切り 2">
      <calculatedColumnFormula>IFERROR(($M$3*三ノ宮肉バルしょうじ3500円[[#This Row],[人数]])-三ノ宮肉バルしょうじ3500円[[#This Row],[単価合計]]-(三ノ宮肉バルしょうじ3500円[[#This Row],[キャンセル人数]]*$B$2),"")</calculatedColumnFormula>
    </tableColumn>
    <tableColumn id="10" xr3:uid="{706364C7-1895-4506-BED0-F00F1E22CBC3}" name="幹事無料" dataDxfId="80" dataCellStyle="桁区切り 2">
      <calculatedColumnFormula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calculatedColumnFormula>
    </tableColumn>
    <tableColumn id="9" xr3:uid="{DF0795CA-C270-4EC3-9927-094A9BDFBF27}" name="キャンセル人数" dataDxfId="79" dataCellStyle="標準 2"/>
    <tableColumn id="7" xr3:uid="{4E93AACE-BBE4-484C-8755-58F4DBD9F545}" name="イベンターへ" dataDxfId="78" dataCellStyle="桁区切り 2">
      <calculatedColumnFormula>IF(三ノ宮肉バルしょうじ3500円[[#This Row],[人数]]="","",VLOOKUP(三ノ宮肉バルしょうじ3500円[[#This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6948AD4-650A-4EB3-B808-BA6B23A07798}" name="三ノ宮Barさんかく4000" displayName="三ノ宮Barさんかく4000" ref="A4:J35" totalsRowShown="0" headerRowBorderDxfId="77" tableBorderDxfId="76" totalsRowBorderDxfId="75">
  <autoFilter ref="A4:J35" xr:uid="{4185201A-A118-8F40-A93C-289AD19C4653}"/>
  <tableColumns count="10">
    <tableColumn id="4" xr3:uid="{1E09446A-1E76-4EEA-B840-F78B3F04115E}" name="日付" dataDxfId="74">
      <calculatedColumnFormula>IF(DAY(DATE(名前リスト!$N$1,名前リスト!$O$1,ROW()-2))=ROW()-2,DATE(名前リスト!$N$1,名前リスト!$O$1,ROW()-2),"")</calculatedColumnFormula>
    </tableColumn>
    <tableColumn id="1" xr3:uid="{73E255B7-3AED-454B-AC9E-E0693EE7D1E6}" name="件数" dataDxfId="73"/>
    <tableColumn id="2" xr3:uid="{574617BE-CD3F-4A20-AC3A-79642FA8F143}" name="イベンター予約名" dataDxfId="72"/>
    <tableColumn id="3" xr3:uid="{492DE05F-3326-4063-BB7C-42D7B2F5BF50}" name="人数" dataDxfId="71"/>
    <tableColumn id="8" xr3:uid="{CE1CE5CC-F2FB-42C7-8A80-99CEA72CC235}" name="Aパターン" dataDxfId="70" dataCellStyle="標準 2"/>
    <tableColumn id="5" xr3:uid="{26EBFF1D-130B-417E-8393-1B4AFB103072}" name="単価合計" dataDxfId="69" dataCellStyle="桁区切り 2">
      <calculatedColumnFormula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calculatedColumnFormula>
    </tableColumn>
    <tableColumn id="6" xr3:uid="{3E7CF121-3745-45A2-8C03-0538C2731261}" name="ゆうき取りに行く" dataDxfId="68" dataCellStyle="桁区切り 2">
      <calculatedColumnFormula>IFERROR(($B$3*三ノ宮Barさんかく4000[[#This Row],[人数]])-三ノ宮Barさんかく4000[[#This Row],[単価合計]]-(三ノ宮Barさんかく4000[[#This Row],[キャンセル人数]]*$B$2),"")</calculatedColumnFormula>
    </tableColumn>
    <tableColumn id="10" xr3:uid="{59FF208D-BCD2-416A-8E46-34DC7112D243}" name="幹事無料" dataDxfId="67" dataCellStyle="桁区切り 2">
      <calculatedColumnFormula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calculatedColumnFormula>
    </tableColumn>
    <tableColumn id="9" xr3:uid="{EDD5D44F-3578-4D1E-9BE6-A965F00BDC99}" name="キャンセル人数" dataDxfId="66" dataCellStyle="標準 2"/>
    <tableColumn id="7" xr3:uid="{829ABD78-27E3-491A-9757-733BFE476D55}" name="イベンターへ" dataDxfId="65" dataCellStyle="桁区切り 2">
      <calculatedColumnFormula>IF(三ノ宮Barさんかく4000[[#This Row],[人数]]="","",VLOOKUP(三ノ宮Barさんかく4000[[#This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86EC4A1B-7254-4083-AC42-F2BE679F8FC7}" name="三ノ宮Barさんかく3500" displayName="三ノ宮Barさんかく3500" ref="L4:U35" totalsRowShown="0" headerRowBorderDxfId="64" tableBorderDxfId="63" totalsRowBorderDxfId="62">
  <autoFilter ref="L4:U35" xr:uid="{5EA66BA7-8C44-B74F-97B6-C9945E55A068}"/>
  <tableColumns count="10">
    <tableColumn id="4" xr3:uid="{CD2916FB-CE0E-41B0-B387-1ABD6B2B7C8E}" name="日付" dataDxfId="61">
      <calculatedColumnFormula>IF(DAY(DATE(名前リスト!$N$1,名前リスト!$O$1,ROW()-2))=ROW()-2,DATE(名前リスト!$N$1,名前リスト!$O$1,ROW()-2),"")</calculatedColumnFormula>
    </tableColumn>
    <tableColumn id="1" xr3:uid="{4974CF77-8D72-4F03-83BA-BF51EC08740C}" name="件数" dataDxfId="60"/>
    <tableColumn id="2" xr3:uid="{FD227395-8334-44B2-8542-A0265110ABA9}" name="イベンター予約名" dataDxfId="59"/>
    <tableColumn id="3" xr3:uid="{3AFFC779-9CE6-4F7F-B846-1A51F9C10693}" name="人数" dataDxfId="58"/>
    <tableColumn id="8" xr3:uid="{E19DDDAA-47B4-4519-AB07-3942250CC2FE}" name="Aパターン" dataDxfId="57" dataCellStyle="標準 2"/>
    <tableColumn id="5" xr3:uid="{DD347071-EDA9-46FE-87A4-2C3D3228B945}" name="単価合計" dataDxfId="56" dataCellStyle="桁区切り 2">
      <calculatedColumnFormula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calculatedColumnFormula>
    </tableColumn>
    <tableColumn id="6" xr3:uid="{13CECDA1-5421-4B54-856C-6443AE3F29AD}" name="ゆうき取りに行く" dataDxfId="55" dataCellStyle="桁区切り 2">
      <calculatedColumnFormula>IFERROR(($M$3*三ノ宮Barさんかく3500[[#This Row],[人数]])-三ノ宮Barさんかく3500[[#This Row],[単価合計]]-(三ノ宮Barさんかく3500[[#This Row],[キャンセル人数]]*$B$2),"")</calculatedColumnFormula>
    </tableColumn>
    <tableColumn id="10" xr3:uid="{FD8BC600-CD76-4D71-9AAE-B5EB4F6CCF84}" name="幹事無料" dataDxfId="54" dataCellStyle="桁区切り 2">
      <calculatedColumnFormula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calculatedColumnFormula>
    </tableColumn>
    <tableColumn id="9" xr3:uid="{C0C77D50-83F7-4426-A5F8-C9E006DF2F2B}" name="キャンセル人数" dataDxfId="53" dataCellStyle="標準 2"/>
    <tableColumn id="7" xr3:uid="{336DA8A4-DFD8-4988-8CEF-6E5C1186D60B}" name="イベンターへ" dataDxfId="52" dataCellStyle="桁区切り 2">
      <calculatedColumnFormula>IF(三ノ宮Barさんかく3500[[#This Row],[人数]]="","",VLOOKUP(三ノ宮Barさんかく3500[[#This Row],[人数]],バック金額②[#All],2,TRUE))</calculatedColumnFormula>
    </tableColumn>
  </tableColumns>
  <tableStyleInfo name="TableStyleMedium2" showFirstColumn="0" showLastColumn="0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28B0A4F-D7E7-4ED6-B455-6DAC0E7F7E66}" name="京都パンプキ4000円" displayName="京都パンプキ4000円" ref="A4:J35" totalsRowShown="0" headerRowBorderDxfId="51" tableBorderDxfId="50" totalsRowBorderDxfId="49">
  <autoFilter ref="A4:J35" xr:uid="{61F6387D-37FF-7A4B-B82E-75E08B4A2293}"/>
  <tableColumns count="10">
    <tableColumn id="4" xr3:uid="{80417F51-D138-49B4-A885-CBB8AD1F21E8}" name="日付" dataDxfId="48">
      <calculatedColumnFormula>IF(DAY(DATE(名前リスト!$N$1,名前リスト!$O$1,ROW()-2))=ROW()-2,DATE(名前リスト!$N$1,名前リスト!$O$1,ROW()-2),"")</calculatedColumnFormula>
    </tableColumn>
    <tableColumn id="1" xr3:uid="{4EC82933-3D4F-0B45-B1E9-37DCD7033C79}" name="件数" dataDxfId="47"/>
    <tableColumn id="2" xr3:uid="{4179A2B6-4D39-5747-8C4B-963E2BA513E4}" name="イベンター予約名" dataDxfId="46"/>
    <tableColumn id="3" xr3:uid="{12DC712B-A441-0C4A-A337-BE7CC9ECE5AA}" name="人数" dataDxfId="45"/>
    <tableColumn id="8" xr3:uid="{F4FFBAA9-6B08-41DC-AB39-4B59EF516387}" name="Aパターン" dataDxfId="44" dataCellStyle="標準 2"/>
    <tableColumn id="5" xr3:uid="{99D8A018-068D-498B-B220-3E7E89838030}" name="単価合計" dataDxfId="43" dataCellStyle="桁区切り 2">
      <calculatedColumnFormula>IF(京都パンプキ4000円[[#This Row],[人数]]="","",IF(京都パンプキ4000円[[#This Row],[人数]]&lt;=7,$B$1*京都パンプキ4000円[[#This Row],[人数]],$B$1*京都パンプキ4000円[[#This Row],[人数]]-京都パンプキ4000円[[#This Row],[幹事無料]]))</calculatedColumnFormula>
    </tableColumn>
    <tableColumn id="6" xr3:uid="{30E0BA69-673A-426F-B201-7807BF1DD266}" name="ゆうき取りに行く" dataDxfId="42" dataCellStyle="桁区切り 2">
      <calculatedColumnFormula>IFERROR(($B$3*京都パンプキ4000円[[#This Row],[人数]])-京都パンプキ4000円[[#This Row],[単価合計]]-(京都パンプキ4000円[[#This Row],[キャンセル人数]]*$B$2),"")</calculatedColumnFormula>
    </tableColumn>
    <tableColumn id="10" xr3:uid="{C69A2A11-0918-455C-95CD-48CAE3EEC7AE}" name="幹事無料" dataDxfId="41" dataCellStyle="桁区切り 2">
      <calculatedColumnFormula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calculatedColumnFormula>
    </tableColumn>
    <tableColumn id="9" xr3:uid="{A0DCECFE-5F7B-4536-B05A-4EAC7D9B28D2}" name="キャンセル人数" dataDxfId="40" dataCellStyle="標準 2"/>
    <tableColumn id="7" xr3:uid="{2865D948-5D4E-4647-8936-9BC44ED4B6F2}" name="イベンターへ" dataDxfId="39" dataCellStyle="桁区切り 2">
      <calculatedColumnFormula>IF(京都パンプキ4000円[[#This Row],[人数]]="","",VLOOKUP(京都パンプキ4000円[[#This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60BEF75-D1BD-4BCB-BC5E-E1BB9DFECA88}" name="京都パンプキ3500円" displayName="京都パンプキ3500円" ref="L4:U35" totalsRowShown="0" headerRowBorderDxfId="38" tableBorderDxfId="37" totalsRowBorderDxfId="36">
  <autoFilter ref="L4:U35" xr:uid="{E3A0CE8B-0795-D549-83D1-0871D6D06A86}"/>
  <tableColumns count="10">
    <tableColumn id="4" xr3:uid="{6FE539E2-C406-4060-987D-BA54631168B7}" name="日付" dataDxfId="35">
      <calculatedColumnFormula>IF(DAY(DATE(名前リスト!$N$1,名前リスト!$O$1,ROW()-2))=ROW()-2,DATE(名前リスト!$N$1,名前リスト!$O$1,ROW()-2),"")</calculatedColumnFormula>
    </tableColumn>
    <tableColumn id="1" xr3:uid="{3FCF88C0-5F7C-4E42-A996-4B64458CA93E}" name="件数" dataDxfId="34"/>
    <tableColumn id="2" xr3:uid="{D33EA728-9FF0-BB49-AE0B-EE5B60AA32B0}" name="イベンター予約名" dataDxfId="33"/>
    <tableColumn id="3" xr3:uid="{63E1218F-2FAF-3443-B1E9-6A5220CA1A47}" name="人数" dataDxfId="32"/>
    <tableColumn id="8" xr3:uid="{8D9A6730-7D2F-48DD-B973-7B652016952C}" name="Aパターン" dataDxfId="31" dataCellStyle="標準 2"/>
    <tableColumn id="5" xr3:uid="{2FF122C4-C440-473D-8416-D18D24773246}" name="単価合計" dataDxfId="30" dataCellStyle="桁区切り 2">
      <calculatedColumnFormula>IF(京都パンプキ3500円[[#This Row],[人数]]="","",IF(京都パンプキ3500円[[#This Row],[人数]]&lt;=7,$B$1*京都パンプキ3500円[[#This Row],[人数]],$B$1*京都パンプキ3500円[[#This Row],[人数]]-京都パンプキ3500円[[#This Row],[幹事無料]]))</calculatedColumnFormula>
    </tableColumn>
    <tableColumn id="6" xr3:uid="{F3A7EC3F-8AED-4EF7-9EC8-00B2D0F939C6}" name="ゆうき取りに行く" dataDxfId="29" dataCellStyle="桁区切り 2">
      <calculatedColumnFormula>IFERROR(($M$3*京都パンプキ3500円[[#This Row],[人数]])-京都パンプキ3500円[[#This Row],[単価合計]]-(京都パンプキ3500円[[#This Row],[キャンセル人数]]*$B$2),"")</calculatedColumnFormula>
    </tableColumn>
    <tableColumn id="10" xr3:uid="{E66F05AD-B2B7-4386-B068-577FF13AB716}" name="幹事無料" dataDxfId="28" dataCellStyle="桁区切り 2">
      <calculatedColumnFormula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calculatedColumnFormula>
    </tableColumn>
    <tableColumn id="9" xr3:uid="{A23E44C7-ADAD-4D10-8577-DEB62727F3B1}" name="キャンセル人数" dataDxfId="27" dataCellStyle="標準 2"/>
    <tableColumn id="7" xr3:uid="{D32EDDB1-8DC4-4879-8F23-D35D70DB2937}" name="イベンターへ" dataDxfId="26" dataCellStyle="桁区切り 2">
      <calculatedColumnFormula>IF(京都パンプキ3500円[[#This Row],[人数]]="","",VLOOKUP(京都パンプキ3500円[[#This Row],[人数]],バック金額①[#All],2,TRUE))</calculatedColumnFormula>
    </tableColumn>
  </tableColumns>
  <tableStyleInfo name="TableStyleMedium2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C5071BC-EFCF-374D-868D-62D859AEEFDA}" name="京都A554000円" displayName="京都A554000円" ref="A4:J35" totalsRowShown="0" headerRowBorderDxfId="25" tableBorderDxfId="24" totalsRowBorderDxfId="23">
  <autoFilter ref="A4:J35" xr:uid="{7A7463D6-39AF-A04A-B488-270A1A8D9019}"/>
  <tableColumns count="10">
    <tableColumn id="4" xr3:uid="{F0836B89-AA1C-4CFA-A39A-A7606610020E}" name="日付" dataDxfId="22">
      <calculatedColumnFormula>IF(DAY(DATE(名前リスト!$N$1,名前リスト!$O$1,ROW()-2))=ROW()-2,DATE(名前リスト!$N$1,名前リスト!$O$1,ROW()-2),"")</calculatedColumnFormula>
    </tableColumn>
    <tableColumn id="1" xr3:uid="{57765C49-273F-6545-905E-757076B2E582}" name="件数" dataDxfId="21"/>
    <tableColumn id="2" xr3:uid="{25B71597-2236-864C-9FF7-4F94E60D3EFB}" name="イベンター予約名" dataDxfId="20"/>
    <tableColumn id="3" xr3:uid="{E606578C-60B2-D54B-B7FB-B7E426F74E4B}" name="人数" dataDxfId="19"/>
    <tableColumn id="8" xr3:uid="{A1D6CC96-A6D0-4623-BBA4-42F83794E8FF}" name="Aパターン" dataDxfId="18" dataCellStyle="標準 4"/>
    <tableColumn id="5" xr3:uid="{DB7387E6-280C-4C40-8396-549DEB481D4A}" name="単価合計" dataDxfId="17" dataCellStyle="桁区切り 3">
      <calculatedColumnFormula>IF(京都A554000円[[#This Row],[人数]]="","",IF(京都A554000円[[#This Row],[人数]]&lt;=7,$B$1*京都A554000円[[#This Row],[人数]],$B$1*京都A554000円[[#This Row],[人数]]-京都A554000円[[#This Row],[幹事無料]]))</calculatedColumnFormula>
    </tableColumn>
    <tableColumn id="6" xr3:uid="{7B06FF26-3C8D-444E-8814-CF2AC41764AB}" name="ゆうき取りに行く" dataDxfId="16" dataCellStyle="桁区切り 3">
      <calculatedColumnFormula>IFERROR(($B$3*京都A554000円[[#This Row],[人数]])-京都A554000円[[#This Row],[単価合計]]-(京都A554000円[[#This Row],[キャンセル人数]]*$B$2),"")</calculatedColumnFormula>
    </tableColumn>
    <tableColumn id="10" xr3:uid="{7C8B29B0-3BF5-4BE7-8675-9378AF0A7E68}" name="幹事無料" dataDxfId="15" dataCellStyle="桁区切り 3">
      <calculatedColumnFormula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calculatedColumnFormula>
    </tableColumn>
    <tableColumn id="9" xr3:uid="{2D16D379-24C8-44B4-B721-7E774BC01B27}" name="キャンセル人数" dataDxfId="14" dataCellStyle="標準 4"/>
    <tableColumn id="7" xr3:uid="{D7DC3004-F4B1-4641-9412-A1629BDFC454}" name="イベンターへ" dataDxfId="13" dataCellStyle="桁区切り 3">
      <calculatedColumnFormula>IF(京都A554000円[[#This Row],[人数]]="","",VLOOKUP(京都A554000円[[#This Row],[人数]],バック金額①[#All],2,TRUE)-(京都A554000円[[#This Row],[キャンセル人数]]*$B$2))</calculatedColumnFormula>
    </tableColumn>
  </tableColumns>
  <tableStyleInfo name="TableStyleMedium2" showFirstColumn="0" showLastColumn="0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F7143AE-61E8-0746-AFAB-6B73AF0DBD83}" name="京都A553500円" displayName="京都A553500円" ref="L4:U35" totalsRowShown="0" headerRowBorderDxfId="12" tableBorderDxfId="11" totalsRowBorderDxfId="10">
  <autoFilter ref="L4:U35" xr:uid="{B44A7F2C-0622-C449-890F-75E0D02F49BF}"/>
  <tableColumns count="10">
    <tableColumn id="4" xr3:uid="{14D3DF62-EDBC-442F-B97A-7F3F056CC5D6}" name="日付" dataDxfId="9" dataCellStyle="標準 4">
      <calculatedColumnFormula>A5</calculatedColumnFormula>
    </tableColumn>
    <tableColumn id="1" xr3:uid="{B955DCCE-3506-B74D-983A-F28A1006C8B2}" name="件数" dataDxfId="8"/>
    <tableColumn id="2" xr3:uid="{00BCF223-8184-584E-8376-AEC99AE6B916}" name="イベンター予約名" dataDxfId="7"/>
    <tableColumn id="3" xr3:uid="{C8E554B2-A591-2242-A617-AC3EE5C62200}" name="人数" dataDxfId="6"/>
    <tableColumn id="8" xr3:uid="{80AEC9C6-69BF-4537-A15C-B42DDBFDFF7B}" name="Aパターン" dataDxfId="5" dataCellStyle="標準 4"/>
    <tableColumn id="5" xr3:uid="{544F7198-0461-459B-85AA-D3D0EA6B282A}" name="単価合計" dataDxfId="4" dataCellStyle="桁区切り 3">
      <calculatedColumnFormula>IF(京都A553500円[[#This Row],[人数]]="","",IF(京都A553500円[[#This Row],[人数]]&lt;=7,$B$1*京都A553500円[[#This Row],[人数]],$B$1*京都A553500円[[#This Row],[人数]]-京都A553500円[[#This Row],[幹事無料]]))</calculatedColumnFormula>
    </tableColumn>
    <tableColumn id="6" xr3:uid="{FF2FD2BA-8065-4676-BBE4-A368E0BBEE94}" name="ゆうき取りに行く" dataDxfId="3" dataCellStyle="桁区切り 3">
      <calculatedColumnFormula>IFERROR(($M$3*京都A553500円[[#This Row],[人数]])-京都A553500円[[#This Row],[単価合計]]-(京都A553500円[[#This Row],[キャンセル人数]]*$B$2),"")</calculatedColumnFormula>
    </tableColumn>
    <tableColumn id="10" xr3:uid="{82D90B27-2749-4766-B791-0E0D547F7E89}" name="幹事無料" dataDxfId="2" dataCellStyle="桁区切り 3">
      <calculatedColumnFormula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calculatedColumnFormula>
    </tableColumn>
    <tableColumn id="9" xr3:uid="{B30A5B36-73E6-4D53-8467-212D7F44BB5E}" name="キャンセル人数" dataDxfId="1" dataCellStyle="標準 4"/>
    <tableColumn id="7" xr3:uid="{286788D3-51C1-427F-8FEA-7F900239584E}" name="イベンターへ" dataDxfId="0" dataCellStyle="桁区切り 3">
      <calculatedColumnFormula>IF(京都A553500円[[#This Row],[人数]]="","",VLOOKUP(京都A553500円[[#This Row],[人数]],バック金額①[#All],2,TRUE)-(京都A553500円[[#This Row],[キャンセル人数]]*$B$2)-($M$2*京都A553500円[[#This Row],[人数]]))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table" Target="../tables/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ctrlProp" Target="../ctrlProps/ctrlProp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table" Target="../tables/table4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table" Target="../tables/table4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P351"/>
  <sheetViews>
    <sheetView zoomScale="85" zoomScaleNormal="85" workbookViewId="0">
      <selection activeCell="O3" sqref="O3"/>
    </sheetView>
  </sheetViews>
  <sheetFormatPr defaultColWidth="14.33203125" defaultRowHeight="15" customHeight="1"/>
  <cols>
    <col min="1" max="1" width="12.5546875" bestFit="1" customWidth="1"/>
    <col min="2" max="2" width="10.88671875" customWidth="1"/>
    <col min="3" max="3" width="14.109375" customWidth="1"/>
    <col min="4" max="4" width="20.109375" customWidth="1"/>
    <col min="5" max="5" width="15.88671875" customWidth="1"/>
    <col min="6" max="6" width="18.77734375" customWidth="1"/>
    <col min="7" max="7" width="12.6640625" customWidth="1"/>
    <col min="8" max="8" width="13.109375" customWidth="1"/>
    <col min="9" max="9" width="14" customWidth="1"/>
    <col min="10" max="11" width="8.6640625" customWidth="1"/>
    <col min="12" max="14" width="11.5546875" customWidth="1"/>
  </cols>
  <sheetData>
    <row r="1" spans="1:16" ht="19.5" customHeight="1">
      <c r="A1" s="129" t="s">
        <v>398</v>
      </c>
      <c r="B1" s="137" t="s">
        <v>517</v>
      </c>
      <c r="C1" s="1" t="s">
        <v>0</v>
      </c>
      <c r="D1" s="86" t="s">
        <v>390</v>
      </c>
      <c r="E1" s="89" t="s">
        <v>391</v>
      </c>
      <c r="F1" s="83" t="s">
        <v>395</v>
      </c>
      <c r="G1" s="83" t="s">
        <v>394</v>
      </c>
      <c r="H1" s="83" t="s">
        <v>392</v>
      </c>
      <c r="I1" s="83" t="s">
        <v>393</v>
      </c>
      <c r="J1" s="83" t="s">
        <v>343</v>
      </c>
      <c r="K1" s="83"/>
      <c r="M1" s="146" t="s">
        <v>235</v>
      </c>
      <c r="N1" s="143">
        <v>2022</v>
      </c>
      <c r="O1" s="145">
        <v>10</v>
      </c>
    </row>
    <row r="2" spans="1:16" ht="19.5" customHeight="1">
      <c r="A2" s="2">
        <v>1</v>
      </c>
      <c r="B2" s="54" t="s">
        <v>1</v>
      </c>
      <c r="C2" s="55" t="s">
        <v>2</v>
      </c>
      <c r="D2" s="87" t="str">
        <f>VLOOKUP(名前リスト[[#This Row],[管理番号]],まとめ表_バック金額[[#All],[管理番号]:[バック金額合計]],4,FALSE)</f>
        <v/>
      </c>
      <c r="E2" s="80" t="str">
        <f>VLOOKUP(名前リスト[[#This Row],[管理番号]],まとめ表_各店舗件数[[#All],[管理番号]:[合計件数]],4,FALSE)</f>
        <v/>
      </c>
      <c r="F2" s="111" t="str">
        <f>VLOOKUP(名前リスト[[#This Row],[管理番号]],まとめ表_各Aパターン件数[[#All],[管理番号]:[Aパターン]],4,FALSE)</f>
        <v/>
      </c>
      <c r="G2" s="111">
        <v>10</v>
      </c>
      <c r="H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10</v>
      </c>
      <c r="J2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8</v>
      </c>
      <c r="K2" s="84"/>
      <c r="M2" s="146"/>
      <c r="N2" s="144"/>
      <c r="O2" s="144"/>
    </row>
    <row r="3" spans="1:16" ht="19.5" customHeight="1">
      <c r="A3" s="2">
        <v>2</v>
      </c>
      <c r="B3" s="54" t="s">
        <v>3</v>
      </c>
      <c r="C3" s="55" t="s">
        <v>4</v>
      </c>
      <c r="D3" s="87" t="str">
        <f>VLOOKUP(名前リスト[[#This Row],[管理番号]],まとめ表_バック金額[[#All],[管理番号]:[バック金額合計]],4,FALSE)</f>
        <v/>
      </c>
      <c r="E3" s="80" t="str">
        <f>VLOOKUP(名前リスト[[#This Row],[管理番号]],まとめ表_各店舗件数[[#All],[管理番号]:[合計件数]],4,FALSE)</f>
        <v/>
      </c>
      <c r="F3" s="111" t="str">
        <f>VLOOKUP(名前リスト[[#This Row],[管理番号]],まとめ表_各Aパターン件数[[#All],[管理番号]:[Aパターン]],4,FALSE)</f>
        <v/>
      </c>
      <c r="G3" s="111"/>
      <c r="H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" s="84"/>
    </row>
    <row r="4" spans="1:16" ht="19.5" customHeight="1">
      <c r="A4" s="2">
        <v>3</v>
      </c>
      <c r="B4" s="47" t="s">
        <v>366</v>
      </c>
      <c r="C4" s="55" t="s">
        <v>5</v>
      </c>
      <c r="D4" s="87" t="str">
        <f>VLOOKUP(名前リスト[[#This Row],[管理番号]],まとめ表_バック金額[[#All],[管理番号]:[バック金額合計]],4,FALSE)</f>
        <v/>
      </c>
      <c r="E4" s="80" t="str">
        <f>VLOOKUP(名前リスト[[#This Row],[管理番号]],まとめ表_各店舗件数[[#All],[管理番号]:[合計件数]],4,FALSE)</f>
        <v/>
      </c>
      <c r="F4" s="111" t="str">
        <f>VLOOKUP(名前リスト[[#This Row],[管理番号]],まとめ表_各Aパターン件数[[#All],[管理番号]:[Aパターン]],4,FALSE)</f>
        <v/>
      </c>
      <c r="G4" s="111"/>
      <c r="H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" s="84"/>
      <c r="M4" s="85"/>
    </row>
    <row r="5" spans="1:16" ht="19.5" customHeight="1">
      <c r="A5" s="2">
        <v>4</v>
      </c>
      <c r="B5" s="54" t="s">
        <v>6</v>
      </c>
      <c r="C5" s="92" t="s">
        <v>367</v>
      </c>
      <c r="D5" s="87" t="str">
        <f>VLOOKUP(名前リスト[[#This Row],[管理番号]],まとめ表_バック金額[[#All],[管理番号]:[バック金額合計]],4,FALSE)</f>
        <v/>
      </c>
      <c r="E5" s="80" t="str">
        <f>VLOOKUP(名前リスト[[#This Row],[管理番号]],まとめ表_各店舗件数[[#All],[管理番号]:[合計件数]],4,FALSE)</f>
        <v/>
      </c>
      <c r="F5" s="111" t="str">
        <f>VLOOKUP(名前リスト[[#This Row],[管理番号]],まとめ表_各Aパターン件数[[#All],[管理番号]:[Aパターン]],4,FALSE)</f>
        <v/>
      </c>
      <c r="G5" s="111"/>
      <c r="H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" s="84"/>
      <c r="M5" s="85"/>
      <c r="N5" s="85"/>
      <c r="O5" s="85"/>
      <c r="P5" s="85"/>
    </row>
    <row r="6" spans="1:16" ht="19.5" customHeight="1">
      <c r="A6" s="2">
        <v>5</v>
      </c>
      <c r="B6" s="54" t="s">
        <v>7</v>
      </c>
      <c r="C6" s="55" t="s">
        <v>8</v>
      </c>
      <c r="D6" s="87" t="str">
        <f>VLOOKUP(名前リスト[[#This Row],[管理番号]],まとめ表_バック金額[[#All],[管理番号]:[バック金額合計]],4,FALSE)</f>
        <v/>
      </c>
      <c r="E6" s="80" t="str">
        <f>VLOOKUP(名前リスト[[#This Row],[管理番号]],まとめ表_各店舗件数[[#All],[管理番号]:[合計件数]],4,FALSE)</f>
        <v/>
      </c>
      <c r="F6" s="111" t="str">
        <f>VLOOKUP(名前リスト[[#This Row],[管理番号]],まとめ表_各Aパターン件数[[#All],[管理番号]:[Aパターン]],4,FALSE)</f>
        <v/>
      </c>
      <c r="G6" s="111"/>
      <c r="H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" s="84"/>
    </row>
    <row r="7" spans="1:16" ht="19.5" customHeight="1">
      <c r="A7" s="2">
        <v>6</v>
      </c>
      <c r="B7" s="54" t="s">
        <v>9</v>
      </c>
      <c r="C7" s="55" t="s">
        <v>10</v>
      </c>
      <c r="D7" s="87">
        <f>VLOOKUP(名前リスト[[#This Row],[管理番号]],まとめ表_バック金額[[#All],[管理番号]:[バック金額合計]],4,FALSE)</f>
        <v>27000</v>
      </c>
      <c r="E7" s="80">
        <f>VLOOKUP(名前リスト[[#This Row],[管理番号]],まとめ表_各店舗件数[[#All],[管理番号]:[合計件数]],4,FALSE)</f>
        <v>3</v>
      </c>
      <c r="F7" s="111" t="str">
        <f>VLOOKUP(名前リスト[[#This Row],[管理番号]],まとめ表_各Aパターン件数[[#All],[管理番号]:[Aパターン]],4,FALSE)</f>
        <v/>
      </c>
      <c r="G7" s="111"/>
      <c r="H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27000</v>
      </c>
      <c r="J7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3</v>
      </c>
      <c r="K7" s="84"/>
    </row>
    <row r="8" spans="1:16" ht="19.5" customHeight="1">
      <c r="A8" s="2">
        <v>7</v>
      </c>
      <c r="B8" s="54" t="s">
        <v>11</v>
      </c>
      <c r="C8" s="55" t="s">
        <v>12</v>
      </c>
      <c r="D8" s="87" t="str">
        <f>VLOOKUP(名前リスト[[#This Row],[管理番号]],まとめ表_バック金額[[#All],[管理番号]:[バック金額合計]],4,FALSE)</f>
        <v/>
      </c>
      <c r="E8" s="80" t="str">
        <f>VLOOKUP(名前リスト[[#This Row],[管理番号]],まとめ表_各店舗件数[[#All],[管理番号]:[合計件数]],4,FALSE)</f>
        <v/>
      </c>
      <c r="F8" s="111" t="str">
        <f>VLOOKUP(名前リスト[[#This Row],[管理番号]],まとめ表_各Aパターン件数[[#All],[管理番号]:[Aパターン]],4,FALSE)</f>
        <v/>
      </c>
      <c r="G8" s="111"/>
      <c r="H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" s="84"/>
    </row>
    <row r="9" spans="1:16" ht="19.5" customHeight="1">
      <c r="A9" s="2">
        <v>8</v>
      </c>
      <c r="B9" s="54" t="s">
        <v>13</v>
      </c>
      <c r="C9" s="55" t="s">
        <v>14</v>
      </c>
      <c r="D9" s="87" t="str">
        <f>VLOOKUP(名前リスト[[#This Row],[管理番号]],まとめ表_バック金額[[#All],[管理番号]:[バック金額合計]],4,FALSE)</f>
        <v/>
      </c>
      <c r="E9" s="80" t="str">
        <f>VLOOKUP(名前リスト[[#This Row],[管理番号]],まとめ表_各店舗件数[[#All],[管理番号]:[合計件数]],4,FALSE)</f>
        <v/>
      </c>
      <c r="F9" s="111" t="str">
        <f>VLOOKUP(名前リスト[[#This Row],[管理番号]],まとめ表_各Aパターン件数[[#All],[管理番号]:[Aパターン]],4,FALSE)</f>
        <v/>
      </c>
      <c r="G9" s="111"/>
      <c r="H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" s="84"/>
    </row>
    <row r="10" spans="1:16" ht="19.5" customHeight="1">
      <c r="A10" s="2">
        <v>9</v>
      </c>
      <c r="B10" s="54" t="s">
        <v>15</v>
      </c>
      <c r="C10" s="55" t="s">
        <v>15</v>
      </c>
      <c r="D10" s="87" t="str">
        <f>VLOOKUP(名前リスト[[#This Row],[管理番号]],まとめ表_バック金額[[#All],[管理番号]:[バック金額合計]],4,FALSE)</f>
        <v/>
      </c>
      <c r="E10" s="80" t="str">
        <f>VLOOKUP(名前リスト[[#This Row],[管理番号]],まとめ表_各店舗件数[[#All],[管理番号]:[合計件数]],4,FALSE)</f>
        <v/>
      </c>
      <c r="F10" s="111" t="str">
        <f>VLOOKUP(名前リスト[[#This Row],[管理番号]],まとめ表_各Aパターン件数[[#All],[管理番号]:[Aパターン]],4,FALSE)</f>
        <v/>
      </c>
      <c r="G10" s="111"/>
      <c r="H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" s="84"/>
    </row>
    <row r="11" spans="1:16" ht="19.5" customHeight="1">
      <c r="A11" s="2">
        <v>10</v>
      </c>
      <c r="B11" s="54" t="s">
        <v>16</v>
      </c>
      <c r="C11" s="55" t="s">
        <v>17</v>
      </c>
      <c r="D11" s="87">
        <f>VLOOKUP(名前リスト[[#This Row],[管理番号]],まとめ表_バック金額[[#All],[管理番号]:[バック金額合計]],4,FALSE)</f>
        <v>6000</v>
      </c>
      <c r="E11" s="80">
        <f>VLOOKUP(名前リスト[[#This Row],[管理番号]],まとめ表_各店舗件数[[#All],[管理番号]:[合計件数]],4,FALSE)</f>
        <v>1</v>
      </c>
      <c r="F11" s="111" t="str">
        <f>VLOOKUP(名前リスト[[#This Row],[管理番号]],まとめ表_各Aパターン件数[[#All],[管理番号]:[Aパターン]],4,FALSE)</f>
        <v/>
      </c>
      <c r="G11" s="111"/>
      <c r="H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6000</v>
      </c>
      <c r="J11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6</v>
      </c>
      <c r="K11" s="84"/>
    </row>
    <row r="12" spans="1:16" ht="19.5" customHeight="1">
      <c r="A12" s="2">
        <v>11</v>
      </c>
      <c r="B12" s="54" t="s">
        <v>18</v>
      </c>
      <c r="C12" s="92" t="s">
        <v>399</v>
      </c>
      <c r="D12" s="87" t="str">
        <f>VLOOKUP(名前リスト[[#This Row],[管理番号]],まとめ表_バック金額[[#All],[管理番号]:[バック金額合計]],4,FALSE)</f>
        <v/>
      </c>
      <c r="E12" s="80" t="str">
        <f>VLOOKUP(名前リスト[[#This Row],[管理番号]],まとめ表_各店舗件数[[#All],[管理番号]:[合計件数]],4,FALSE)</f>
        <v/>
      </c>
      <c r="F12" s="111" t="str">
        <f>VLOOKUP(名前リスト[[#This Row],[管理番号]],まとめ表_各Aパターン件数[[#All],[管理番号]:[Aパターン]],4,FALSE)</f>
        <v/>
      </c>
      <c r="G12" s="111"/>
      <c r="H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" s="84"/>
    </row>
    <row r="13" spans="1:16" ht="19.5" customHeight="1">
      <c r="A13" s="2">
        <v>12</v>
      </c>
      <c r="B13" s="54" t="s">
        <v>19</v>
      </c>
      <c r="C13" s="55" t="s">
        <v>20</v>
      </c>
      <c r="D13" s="87" t="str">
        <f>VLOOKUP(名前リスト[[#This Row],[管理番号]],まとめ表_バック金額[[#All],[管理番号]:[バック金額合計]],4,FALSE)</f>
        <v/>
      </c>
      <c r="E13" s="80" t="str">
        <f>VLOOKUP(名前リスト[[#This Row],[管理番号]],まとめ表_各店舗件数[[#All],[管理番号]:[合計件数]],4,FALSE)</f>
        <v/>
      </c>
      <c r="F13" s="111" t="str">
        <f>VLOOKUP(名前リスト[[#This Row],[管理番号]],まとめ表_各Aパターン件数[[#All],[管理番号]:[Aパターン]],4,FALSE)</f>
        <v/>
      </c>
      <c r="G13" s="111"/>
      <c r="H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" s="84"/>
    </row>
    <row r="14" spans="1:16" ht="19.5" customHeight="1">
      <c r="A14" s="2">
        <v>13</v>
      </c>
      <c r="B14" s="54" t="s">
        <v>21</v>
      </c>
      <c r="C14" s="55" t="s">
        <v>22</v>
      </c>
      <c r="D14" s="87" t="str">
        <f>VLOOKUP(名前リスト[[#This Row],[管理番号]],まとめ表_バック金額[[#All],[管理番号]:[バック金額合計]],4,FALSE)</f>
        <v/>
      </c>
      <c r="E14" s="80" t="str">
        <f>VLOOKUP(名前リスト[[#This Row],[管理番号]],まとめ表_各店舗件数[[#All],[管理番号]:[合計件数]],4,FALSE)</f>
        <v/>
      </c>
      <c r="F14" s="111" t="str">
        <f>VLOOKUP(名前リスト[[#This Row],[管理番号]],まとめ表_各Aパターン件数[[#All],[管理番号]:[Aパターン]],4,FALSE)</f>
        <v/>
      </c>
      <c r="G14" s="111"/>
      <c r="H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" s="84"/>
    </row>
    <row r="15" spans="1:16" ht="19.5" customHeight="1">
      <c r="A15" s="2">
        <v>14</v>
      </c>
      <c r="B15" s="54" t="s">
        <v>23</v>
      </c>
      <c r="C15" s="55" t="s">
        <v>24</v>
      </c>
      <c r="D15" s="87" t="str">
        <f>VLOOKUP(名前リスト[[#This Row],[管理番号]],まとめ表_バック金額[[#All],[管理番号]:[バック金額合計]],4,FALSE)</f>
        <v/>
      </c>
      <c r="E15" s="80" t="str">
        <f>VLOOKUP(名前リスト[[#This Row],[管理番号]],まとめ表_各店舗件数[[#All],[管理番号]:[合計件数]],4,FALSE)</f>
        <v/>
      </c>
      <c r="F15" s="111" t="str">
        <f>VLOOKUP(名前リスト[[#This Row],[管理番号]],まとめ表_各Aパターン件数[[#All],[管理番号]:[Aパターン]],4,FALSE)</f>
        <v/>
      </c>
      <c r="G15" s="111"/>
      <c r="H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" s="84"/>
    </row>
    <row r="16" spans="1:16" ht="19.5" customHeight="1">
      <c r="A16" s="2">
        <v>15</v>
      </c>
      <c r="B16" s="54" t="s">
        <v>25</v>
      </c>
      <c r="C16" s="55" t="s">
        <v>26</v>
      </c>
      <c r="D16" s="87" t="str">
        <f>VLOOKUP(名前リスト[[#This Row],[管理番号]],まとめ表_バック金額[[#All],[管理番号]:[バック金額合計]],4,FALSE)</f>
        <v/>
      </c>
      <c r="E16" s="80" t="str">
        <f>VLOOKUP(名前リスト[[#This Row],[管理番号]],まとめ表_各店舗件数[[#All],[管理番号]:[合計件数]],4,FALSE)</f>
        <v/>
      </c>
      <c r="F16" s="111" t="str">
        <f>VLOOKUP(名前リスト[[#This Row],[管理番号]],まとめ表_各Aパターン件数[[#All],[管理番号]:[Aパターン]],4,FALSE)</f>
        <v/>
      </c>
      <c r="G16" s="111"/>
      <c r="H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" s="84"/>
    </row>
    <row r="17" spans="1:11" ht="19.5" customHeight="1">
      <c r="A17" s="2">
        <v>16</v>
      </c>
      <c r="B17" s="54" t="s">
        <v>27</v>
      </c>
      <c r="C17" s="55" t="s">
        <v>28</v>
      </c>
      <c r="D17" s="87" t="str">
        <f>VLOOKUP(名前リスト[[#This Row],[管理番号]],まとめ表_バック金額[[#All],[管理番号]:[バック金額合計]],4,FALSE)</f>
        <v/>
      </c>
      <c r="E17" s="80" t="str">
        <f>VLOOKUP(名前リスト[[#This Row],[管理番号]],まとめ表_各店舗件数[[#All],[管理番号]:[合計件数]],4,FALSE)</f>
        <v/>
      </c>
      <c r="F17" s="111" t="str">
        <f>VLOOKUP(名前リスト[[#This Row],[管理番号]],まとめ表_各Aパターン件数[[#All],[管理番号]:[Aパターン]],4,FALSE)</f>
        <v/>
      </c>
      <c r="G17" s="111"/>
      <c r="H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" s="84"/>
    </row>
    <row r="18" spans="1:11" ht="19.5" customHeight="1">
      <c r="A18" s="2">
        <v>17</v>
      </c>
      <c r="B18" s="54" t="s">
        <v>29</v>
      </c>
      <c r="C18" s="55" t="s">
        <v>30</v>
      </c>
      <c r="D18" s="87" t="str">
        <f>VLOOKUP(名前リスト[[#This Row],[管理番号]],まとめ表_バック金額[[#All],[管理番号]:[バック金額合計]],4,FALSE)</f>
        <v/>
      </c>
      <c r="E18" s="80" t="str">
        <f>VLOOKUP(名前リスト[[#This Row],[管理番号]],まとめ表_各店舗件数[[#All],[管理番号]:[合計件数]],4,FALSE)</f>
        <v/>
      </c>
      <c r="F18" s="111" t="str">
        <f>VLOOKUP(名前リスト[[#This Row],[管理番号]],まとめ表_各Aパターン件数[[#All],[管理番号]:[Aパターン]],4,FALSE)</f>
        <v/>
      </c>
      <c r="G18" s="111"/>
      <c r="H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" s="84"/>
    </row>
    <row r="19" spans="1:11" ht="19.5" customHeight="1">
      <c r="A19" s="2">
        <v>18</v>
      </c>
      <c r="B19" s="54" t="s">
        <v>31</v>
      </c>
      <c r="C19" s="55" t="s">
        <v>32</v>
      </c>
      <c r="D19" s="87" t="str">
        <f>VLOOKUP(名前リスト[[#This Row],[管理番号]],まとめ表_バック金額[[#All],[管理番号]:[バック金額合計]],4,FALSE)</f>
        <v/>
      </c>
      <c r="E19" s="80" t="str">
        <f>VLOOKUP(名前リスト[[#This Row],[管理番号]],まとめ表_各店舗件数[[#All],[管理番号]:[合計件数]],4,FALSE)</f>
        <v/>
      </c>
      <c r="F19" s="111" t="str">
        <f>VLOOKUP(名前リスト[[#This Row],[管理番号]],まとめ表_各Aパターン件数[[#All],[管理番号]:[Aパターン]],4,FALSE)</f>
        <v/>
      </c>
      <c r="G19" s="111"/>
      <c r="H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" s="84"/>
    </row>
    <row r="20" spans="1:11" ht="19.5" customHeight="1">
      <c r="A20" s="2">
        <v>19</v>
      </c>
      <c r="B20" s="54" t="s">
        <v>33</v>
      </c>
      <c r="C20" s="55" t="s">
        <v>34</v>
      </c>
      <c r="D20" s="87" t="str">
        <f>VLOOKUP(名前リスト[[#This Row],[管理番号]],まとめ表_バック金額[[#All],[管理番号]:[バック金額合計]],4,FALSE)</f>
        <v/>
      </c>
      <c r="E20" s="80" t="str">
        <f>VLOOKUP(名前リスト[[#This Row],[管理番号]],まとめ表_各店舗件数[[#All],[管理番号]:[合計件数]],4,FALSE)</f>
        <v/>
      </c>
      <c r="F20" s="111" t="str">
        <f>VLOOKUP(名前リスト[[#This Row],[管理番号]],まとめ表_各Aパターン件数[[#All],[管理番号]:[Aパターン]],4,FALSE)</f>
        <v/>
      </c>
      <c r="G20" s="111"/>
      <c r="H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" s="84"/>
    </row>
    <row r="21" spans="1:11" ht="19.5" customHeight="1">
      <c r="A21" s="2">
        <v>20</v>
      </c>
      <c r="B21" s="54" t="s">
        <v>1</v>
      </c>
      <c r="C21" s="55" t="s">
        <v>35</v>
      </c>
      <c r="D21" s="87" t="str">
        <f>VLOOKUP(名前リスト[[#This Row],[管理番号]],まとめ表_バック金額[[#All],[管理番号]:[バック金額合計]],4,FALSE)</f>
        <v/>
      </c>
      <c r="E21" s="80" t="str">
        <f>VLOOKUP(名前リスト[[#This Row],[管理番号]],まとめ表_各店舗件数[[#All],[管理番号]:[合計件数]],4,FALSE)</f>
        <v/>
      </c>
      <c r="F21" s="111" t="str">
        <f>VLOOKUP(名前リスト[[#This Row],[管理番号]],まとめ表_各Aパターン件数[[#All],[管理番号]:[Aパターン]],4,FALSE)</f>
        <v/>
      </c>
      <c r="G21" s="111"/>
      <c r="H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1" s="84"/>
    </row>
    <row r="22" spans="1:11" ht="19.5" customHeight="1">
      <c r="A22" s="2">
        <v>21</v>
      </c>
      <c r="B22" s="54" t="s">
        <v>36</v>
      </c>
      <c r="C22" s="55" t="s">
        <v>37</v>
      </c>
      <c r="D22" s="87" t="str">
        <f>VLOOKUP(名前リスト[[#This Row],[管理番号]],まとめ表_バック金額[[#All],[管理番号]:[バック金額合計]],4,FALSE)</f>
        <v/>
      </c>
      <c r="E22" s="80" t="str">
        <f>VLOOKUP(名前リスト[[#This Row],[管理番号]],まとめ表_各店舗件数[[#All],[管理番号]:[合計件数]],4,FALSE)</f>
        <v/>
      </c>
      <c r="F22" s="111" t="str">
        <f>VLOOKUP(名前リスト[[#This Row],[管理番号]],まとめ表_各Aパターン件数[[#All],[管理番号]:[Aパターン]],4,FALSE)</f>
        <v/>
      </c>
      <c r="G22" s="111"/>
      <c r="H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2" s="84"/>
    </row>
    <row r="23" spans="1:11" ht="19.5" customHeight="1">
      <c r="A23" s="2">
        <v>22</v>
      </c>
      <c r="B23" s="54" t="s">
        <v>38</v>
      </c>
      <c r="C23" s="55" t="s">
        <v>39</v>
      </c>
      <c r="D23" s="87" t="str">
        <f>VLOOKUP(名前リスト[[#This Row],[管理番号]],まとめ表_バック金額[[#All],[管理番号]:[バック金額合計]],4,FALSE)</f>
        <v/>
      </c>
      <c r="E23" s="80" t="str">
        <f>VLOOKUP(名前リスト[[#This Row],[管理番号]],まとめ表_各店舗件数[[#All],[管理番号]:[合計件数]],4,FALSE)</f>
        <v/>
      </c>
      <c r="F23" s="111" t="str">
        <f>VLOOKUP(名前リスト[[#This Row],[管理番号]],まとめ表_各Aパターン件数[[#All],[管理番号]:[Aパターン]],4,FALSE)</f>
        <v/>
      </c>
      <c r="G23" s="111"/>
      <c r="H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3" s="84"/>
    </row>
    <row r="24" spans="1:11" ht="19.5" customHeight="1">
      <c r="A24" s="2">
        <v>23</v>
      </c>
      <c r="B24" s="54" t="s">
        <v>40</v>
      </c>
      <c r="C24" s="55" t="s">
        <v>41</v>
      </c>
      <c r="D24" s="87" t="str">
        <f>VLOOKUP(名前リスト[[#This Row],[管理番号]],まとめ表_バック金額[[#All],[管理番号]:[バック金額合計]],4,FALSE)</f>
        <v/>
      </c>
      <c r="E24" s="80" t="str">
        <f>VLOOKUP(名前リスト[[#This Row],[管理番号]],まとめ表_各店舗件数[[#All],[管理番号]:[合計件数]],4,FALSE)</f>
        <v/>
      </c>
      <c r="F24" s="111" t="str">
        <f>VLOOKUP(名前リスト[[#This Row],[管理番号]],まとめ表_各Aパターン件数[[#All],[管理番号]:[Aパターン]],4,FALSE)</f>
        <v/>
      </c>
      <c r="G24" s="111"/>
      <c r="H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4" s="84"/>
    </row>
    <row r="25" spans="1:11" ht="19.5" customHeight="1">
      <c r="A25" s="2">
        <v>24</v>
      </c>
      <c r="B25" s="54" t="s">
        <v>42</v>
      </c>
      <c r="C25" s="55" t="s">
        <v>43</v>
      </c>
      <c r="D25" s="87" t="str">
        <f>VLOOKUP(名前リスト[[#This Row],[管理番号]],まとめ表_バック金額[[#All],[管理番号]:[バック金額合計]],4,FALSE)</f>
        <v/>
      </c>
      <c r="E25" s="80" t="str">
        <f>VLOOKUP(名前リスト[[#This Row],[管理番号]],まとめ表_各店舗件数[[#All],[管理番号]:[合計件数]],4,FALSE)</f>
        <v/>
      </c>
      <c r="F25" s="111" t="str">
        <f>VLOOKUP(名前リスト[[#This Row],[管理番号]],まとめ表_各Aパターン件数[[#All],[管理番号]:[Aパターン]],4,FALSE)</f>
        <v/>
      </c>
      <c r="G25" s="111"/>
      <c r="H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5" s="84"/>
    </row>
    <row r="26" spans="1:11" ht="19.5" customHeight="1">
      <c r="A26" s="2">
        <v>25</v>
      </c>
      <c r="B26" s="54" t="s">
        <v>44</v>
      </c>
      <c r="C26" s="55" t="s">
        <v>45</v>
      </c>
      <c r="D26" s="87" t="str">
        <f>VLOOKUP(名前リスト[[#This Row],[管理番号]],まとめ表_バック金額[[#All],[管理番号]:[バック金額合計]],4,FALSE)</f>
        <v/>
      </c>
      <c r="E26" s="80" t="str">
        <f>VLOOKUP(名前リスト[[#This Row],[管理番号]],まとめ表_各店舗件数[[#All],[管理番号]:[合計件数]],4,FALSE)</f>
        <v/>
      </c>
      <c r="F26" s="111" t="str">
        <f>VLOOKUP(名前リスト[[#This Row],[管理番号]],まとめ表_各Aパターン件数[[#All],[管理番号]:[Aパターン]],4,FALSE)</f>
        <v/>
      </c>
      <c r="G26" s="111"/>
      <c r="H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6" s="84"/>
    </row>
    <row r="27" spans="1:11" ht="19.5" customHeight="1">
      <c r="A27" s="2">
        <v>26</v>
      </c>
      <c r="B27" s="54" t="s">
        <v>46</v>
      </c>
      <c r="C27" s="55" t="s">
        <v>47</v>
      </c>
      <c r="D27" s="87" t="str">
        <f>VLOOKUP(名前リスト[[#This Row],[管理番号]],まとめ表_バック金額[[#All],[管理番号]:[バック金額合計]],4,FALSE)</f>
        <v/>
      </c>
      <c r="E27" s="80" t="str">
        <f>VLOOKUP(名前リスト[[#This Row],[管理番号]],まとめ表_各店舗件数[[#All],[管理番号]:[合計件数]],4,FALSE)</f>
        <v/>
      </c>
      <c r="F27" s="111" t="str">
        <f>VLOOKUP(名前リスト[[#This Row],[管理番号]],まとめ表_各Aパターン件数[[#All],[管理番号]:[Aパターン]],4,FALSE)</f>
        <v/>
      </c>
      <c r="G27" s="111"/>
      <c r="H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7" s="84"/>
    </row>
    <row r="28" spans="1:11" ht="19.5" customHeight="1">
      <c r="A28" s="2">
        <v>27</v>
      </c>
      <c r="B28" s="54" t="s">
        <v>48</v>
      </c>
      <c r="C28" s="55" t="s">
        <v>49</v>
      </c>
      <c r="D28" s="87">
        <f>VLOOKUP(名前リスト[[#This Row],[管理番号]],まとめ表_バック金額[[#All],[管理番号]:[バック金額合計]],4,FALSE)</f>
        <v>6000</v>
      </c>
      <c r="E28" s="80">
        <f>VLOOKUP(名前リスト[[#This Row],[管理番号]],まとめ表_各店舗件数[[#All],[管理番号]:[合計件数]],4,FALSE)</f>
        <v>1</v>
      </c>
      <c r="F28" s="111" t="str">
        <f>VLOOKUP(名前リスト[[#This Row],[管理番号]],まとめ表_各Aパターン件数[[#All],[管理番号]:[Aパターン]],4,FALSE)</f>
        <v/>
      </c>
      <c r="G28" s="111"/>
      <c r="H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6000</v>
      </c>
      <c r="J28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6</v>
      </c>
      <c r="K28" s="84"/>
    </row>
    <row r="29" spans="1:11" ht="19.5" customHeight="1">
      <c r="A29" s="2">
        <v>28</v>
      </c>
      <c r="B29" s="54" t="s">
        <v>50</v>
      </c>
      <c r="C29" s="55" t="s">
        <v>51</v>
      </c>
      <c r="D29" s="87" t="str">
        <f>VLOOKUP(名前リスト[[#This Row],[管理番号]],まとめ表_バック金額[[#All],[管理番号]:[バック金額合計]],4,FALSE)</f>
        <v/>
      </c>
      <c r="E29" s="80" t="str">
        <f>VLOOKUP(名前リスト[[#This Row],[管理番号]],まとめ表_各店舗件数[[#All],[管理番号]:[合計件数]],4,FALSE)</f>
        <v/>
      </c>
      <c r="F29" s="111" t="str">
        <f>VLOOKUP(名前リスト[[#This Row],[管理番号]],まとめ表_各Aパターン件数[[#All],[管理番号]:[Aパターン]],4,FALSE)</f>
        <v/>
      </c>
      <c r="G29" s="111"/>
      <c r="H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9" s="84"/>
    </row>
    <row r="30" spans="1:11" ht="19.5" customHeight="1">
      <c r="A30" s="2">
        <v>29</v>
      </c>
      <c r="B30" s="54" t="s">
        <v>52</v>
      </c>
      <c r="C30" s="55" t="s">
        <v>53</v>
      </c>
      <c r="D30" s="87" t="str">
        <f>VLOOKUP(名前リスト[[#This Row],[管理番号]],まとめ表_バック金額[[#All],[管理番号]:[バック金額合計]],4,FALSE)</f>
        <v/>
      </c>
      <c r="E30" s="80" t="str">
        <f>VLOOKUP(名前リスト[[#This Row],[管理番号]],まとめ表_各店舗件数[[#All],[管理番号]:[合計件数]],4,FALSE)</f>
        <v/>
      </c>
      <c r="F30" s="111" t="str">
        <f>VLOOKUP(名前リスト[[#This Row],[管理番号]],まとめ表_各Aパターン件数[[#All],[管理番号]:[Aパターン]],4,FALSE)</f>
        <v/>
      </c>
      <c r="G30" s="111"/>
      <c r="H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0" s="84"/>
    </row>
    <row r="31" spans="1:11" ht="19.5" customHeight="1">
      <c r="A31" s="2">
        <v>30</v>
      </c>
      <c r="B31" s="54" t="s">
        <v>54</v>
      </c>
      <c r="C31" s="55" t="s">
        <v>55</v>
      </c>
      <c r="D31" s="87" t="str">
        <f>VLOOKUP(名前リスト[[#This Row],[管理番号]],まとめ表_バック金額[[#All],[管理番号]:[バック金額合計]],4,FALSE)</f>
        <v/>
      </c>
      <c r="E31" s="80" t="str">
        <f>VLOOKUP(名前リスト[[#This Row],[管理番号]],まとめ表_各店舗件数[[#All],[管理番号]:[合計件数]],4,FALSE)</f>
        <v/>
      </c>
      <c r="F31" s="111" t="str">
        <f>VLOOKUP(名前リスト[[#This Row],[管理番号]],まとめ表_各Aパターン件数[[#All],[管理番号]:[Aパターン]],4,FALSE)</f>
        <v/>
      </c>
      <c r="G31" s="111"/>
      <c r="H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1" s="84"/>
    </row>
    <row r="32" spans="1:11" ht="19.5" customHeight="1">
      <c r="A32" s="2">
        <v>31</v>
      </c>
      <c r="B32" s="54" t="s">
        <v>56</v>
      </c>
      <c r="C32" s="55" t="s">
        <v>57</v>
      </c>
      <c r="D32" s="87" t="str">
        <f>VLOOKUP(名前リスト[[#This Row],[管理番号]],まとめ表_バック金額[[#All],[管理番号]:[バック金額合計]],4,FALSE)</f>
        <v/>
      </c>
      <c r="E32" s="80" t="str">
        <f>VLOOKUP(名前リスト[[#This Row],[管理番号]],まとめ表_各店舗件数[[#All],[管理番号]:[合計件数]],4,FALSE)</f>
        <v/>
      </c>
      <c r="F32" s="111" t="str">
        <f>VLOOKUP(名前リスト[[#This Row],[管理番号]],まとめ表_各Aパターン件数[[#All],[管理番号]:[Aパターン]],4,FALSE)</f>
        <v/>
      </c>
      <c r="G32" s="111"/>
      <c r="H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2" s="84"/>
    </row>
    <row r="33" spans="1:11" ht="19.5" customHeight="1">
      <c r="A33" s="2">
        <v>32</v>
      </c>
      <c r="B33" s="54" t="s">
        <v>58</v>
      </c>
      <c r="C33" s="55" t="s">
        <v>59</v>
      </c>
      <c r="D33" s="87" t="str">
        <f>VLOOKUP(名前リスト[[#This Row],[管理番号]],まとめ表_バック金額[[#All],[管理番号]:[バック金額合計]],4,FALSE)</f>
        <v/>
      </c>
      <c r="E33" s="80" t="str">
        <f>VLOOKUP(名前リスト[[#This Row],[管理番号]],まとめ表_各店舗件数[[#All],[管理番号]:[合計件数]],4,FALSE)</f>
        <v/>
      </c>
      <c r="F33" s="111" t="str">
        <f>VLOOKUP(名前リスト[[#This Row],[管理番号]],まとめ表_各Aパターン件数[[#All],[管理番号]:[Aパターン]],4,FALSE)</f>
        <v/>
      </c>
      <c r="G33" s="111"/>
      <c r="H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3" s="84"/>
    </row>
    <row r="34" spans="1:11" ht="19.5" customHeight="1">
      <c r="A34" s="2">
        <v>33</v>
      </c>
      <c r="B34" s="54" t="s">
        <v>60</v>
      </c>
      <c r="C34" s="55" t="s">
        <v>61</v>
      </c>
      <c r="D34" s="87" t="str">
        <f>VLOOKUP(名前リスト[[#This Row],[管理番号]],まとめ表_バック金額[[#All],[管理番号]:[バック金額合計]],4,FALSE)</f>
        <v/>
      </c>
      <c r="E34" s="80" t="str">
        <f>VLOOKUP(名前リスト[[#This Row],[管理番号]],まとめ表_各店舗件数[[#All],[管理番号]:[合計件数]],4,FALSE)</f>
        <v/>
      </c>
      <c r="F34" s="111" t="str">
        <f>VLOOKUP(名前リスト[[#This Row],[管理番号]],まとめ表_各Aパターン件数[[#All],[管理番号]:[Aパターン]],4,FALSE)</f>
        <v/>
      </c>
      <c r="G34" s="111"/>
      <c r="H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4" s="84"/>
    </row>
    <row r="35" spans="1:11" ht="19.5" customHeight="1">
      <c r="A35" s="2">
        <v>34</v>
      </c>
      <c r="B35" s="54" t="s">
        <v>62</v>
      </c>
      <c r="C35" s="55" t="s">
        <v>63</v>
      </c>
      <c r="D35" s="87" t="str">
        <f>VLOOKUP(名前リスト[[#This Row],[管理番号]],まとめ表_バック金額[[#All],[管理番号]:[バック金額合計]],4,FALSE)</f>
        <v/>
      </c>
      <c r="E35" s="80" t="str">
        <f>VLOOKUP(名前リスト[[#This Row],[管理番号]],まとめ表_各店舗件数[[#All],[管理番号]:[合計件数]],4,FALSE)</f>
        <v/>
      </c>
      <c r="F35" s="111" t="str">
        <f>VLOOKUP(名前リスト[[#This Row],[管理番号]],まとめ表_各Aパターン件数[[#All],[管理番号]:[Aパターン]],4,FALSE)</f>
        <v/>
      </c>
      <c r="G35" s="111"/>
      <c r="H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5" s="84"/>
    </row>
    <row r="36" spans="1:11" ht="19.5" customHeight="1">
      <c r="A36" s="2">
        <v>35</v>
      </c>
      <c r="B36" s="54" t="s">
        <v>64</v>
      </c>
      <c r="C36" s="55" t="s">
        <v>65</v>
      </c>
      <c r="D36" s="87" t="str">
        <f>VLOOKUP(名前リスト[[#This Row],[管理番号]],まとめ表_バック金額[[#All],[管理番号]:[バック金額合計]],4,FALSE)</f>
        <v/>
      </c>
      <c r="E36" s="80" t="e">
        <f>VLOOKUP(名前リスト[[#This Row],[管理番号]],まとめ表_各店舗件数[[#All],[管理番号]:[合計件数]],4,FALSE)</f>
        <v>#REF!</v>
      </c>
      <c r="F36" s="111" t="str">
        <f>VLOOKUP(名前リスト[[#This Row],[管理番号]],まとめ表_各Aパターン件数[[#All],[管理番号]:[Aパターン]],4,FALSE)</f>
        <v/>
      </c>
      <c r="G36" s="111"/>
      <c r="H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6" s="84"/>
    </row>
    <row r="37" spans="1:11" ht="19.5" customHeight="1">
      <c r="A37" s="2">
        <v>36</v>
      </c>
      <c r="B37" s="54" t="s">
        <v>66</v>
      </c>
      <c r="C37" s="55" t="s">
        <v>67</v>
      </c>
      <c r="D37" s="87" t="str">
        <f>VLOOKUP(名前リスト[[#This Row],[管理番号]],まとめ表_バック金額[[#All],[管理番号]:[バック金額合計]],4,FALSE)</f>
        <v/>
      </c>
      <c r="E37" s="80" t="str">
        <f>VLOOKUP(名前リスト[[#This Row],[管理番号]],まとめ表_各店舗件数[[#All],[管理番号]:[合計件数]],4,FALSE)</f>
        <v/>
      </c>
      <c r="F37" s="111" t="str">
        <f>VLOOKUP(名前リスト[[#This Row],[管理番号]],まとめ表_各Aパターン件数[[#All],[管理番号]:[Aパターン]],4,FALSE)</f>
        <v/>
      </c>
      <c r="G37" s="111"/>
      <c r="H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7" s="84"/>
    </row>
    <row r="38" spans="1:11" ht="19.5" customHeight="1">
      <c r="A38" s="2">
        <v>37</v>
      </c>
      <c r="B38" s="54" t="s">
        <v>68</v>
      </c>
      <c r="C38" s="55" t="s">
        <v>69</v>
      </c>
      <c r="D38" s="87" t="str">
        <f>VLOOKUP(名前リスト[[#This Row],[管理番号]],まとめ表_バック金額[[#All],[管理番号]:[バック金額合計]],4,FALSE)</f>
        <v/>
      </c>
      <c r="E38" s="80" t="str">
        <f>VLOOKUP(名前リスト[[#This Row],[管理番号]],まとめ表_各店舗件数[[#All],[管理番号]:[合計件数]],4,FALSE)</f>
        <v/>
      </c>
      <c r="F38" s="111" t="str">
        <f>VLOOKUP(名前リスト[[#This Row],[管理番号]],まとめ表_各Aパターン件数[[#All],[管理番号]:[Aパターン]],4,FALSE)</f>
        <v/>
      </c>
      <c r="G38" s="111"/>
      <c r="H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8" s="84"/>
    </row>
    <row r="39" spans="1:11" ht="19.5" customHeight="1">
      <c r="A39" s="2">
        <v>38</v>
      </c>
      <c r="B39" s="54" t="s">
        <v>70</v>
      </c>
      <c r="C39" s="55" t="s">
        <v>71</v>
      </c>
      <c r="D39" s="87" t="str">
        <f>VLOOKUP(名前リスト[[#This Row],[管理番号]],まとめ表_バック金額[[#All],[管理番号]:[バック金額合計]],4,FALSE)</f>
        <v/>
      </c>
      <c r="E39" s="80" t="str">
        <f>VLOOKUP(名前リスト[[#This Row],[管理番号]],まとめ表_各店舗件数[[#All],[管理番号]:[合計件数]],4,FALSE)</f>
        <v/>
      </c>
      <c r="F39" s="111" t="str">
        <f>VLOOKUP(名前リスト[[#This Row],[管理番号]],まとめ表_各Aパターン件数[[#All],[管理番号]:[Aパターン]],4,FALSE)</f>
        <v/>
      </c>
      <c r="G39" s="111"/>
      <c r="H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39" s="84"/>
    </row>
    <row r="40" spans="1:11" ht="19.5" customHeight="1">
      <c r="A40" s="2">
        <v>39</v>
      </c>
      <c r="B40" s="54" t="s">
        <v>72</v>
      </c>
      <c r="C40" s="55" t="s">
        <v>73</v>
      </c>
      <c r="D40" s="87" t="str">
        <f>VLOOKUP(名前リスト[[#This Row],[管理番号]],まとめ表_バック金額[[#All],[管理番号]:[バック金額合計]],4,FALSE)</f>
        <v/>
      </c>
      <c r="E40" s="80" t="str">
        <f>VLOOKUP(名前リスト[[#This Row],[管理番号]],まとめ表_各店舗件数[[#All],[管理番号]:[合計件数]],4,FALSE)</f>
        <v/>
      </c>
      <c r="F40" s="111" t="str">
        <f>VLOOKUP(名前リスト[[#This Row],[管理番号]],まとめ表_各Aパターン件数[[#All],[管理番号]:[Aパターン]],4,FALSE)</f>
        <v/>
      </c>
      <c r="G40" s="111"/>
      <c r="H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0" s="84"/>
    </row>
    <row r="41" spans="1:11" ht="19.5" customHeight="1">
      <c r="A41" s="2">
        <v>40</v>
      </c>
      <c r="B41" s="54" t="s">
        <v>74</v>
      </c>
      <c r="C41" s="55" t="s">
        <v>74</v>
      </c>
      <c r="D41" s="87" t="str">
        <f>VLOOKUP(名前リスト[[#This Row],[管理番号]],まとめ表_バック金額[[#All],[管理番号]:[バック金額合計]],4,FALSE)</f>
        <v/>
      </c>
      <c r="E41" s="80">
        <f>VLOOKUP(名前リスト[[#This Row],[管理番号]],まとめ表_各店舗件数[[#All],[管理番号]:[合計件数]],4,FALSE)</f>
        <v>1</v>
      </c>
      <c r="F41" s="111" t="str">
        <f>VLOOKUP(名前リスト[[#This Row],[管理番号]],まとめ表_各Aパターン件数[[#All],[管理番号]:[Aパターン]],4,FALSE)</f>
        <v/>
      </c>
      <c r="G41" s="111"/>
      <c r="H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1" s="84"/>
    </row>
    <row r="42" spans="1:11" ht="19.5" customHeight="1">
      <c r="A42" s="2">
        <v>41</v>
      </c>
      <c r="B42" s="54" t="s">
        <v>75</v>
      </c>
      <c r="C42" s="55" t="s">
        <v>75</v>
      </c>
      <c r="D42" s="87" t="str">
        <f>VLOOKUP(名前リスト[[#This Row],[管理番号]],まとめ表_バック金額[[#All],[管理番号]:[バック金額合計]],4,FALSE)</f>
        <v/>
      </c>
      <c r="E42" s="80" t="str">
        <f>VLOOKUP(名前リスト[[#This Row],[管理番号]],まとめ表_各店舗件数[[#All],[管理番号]:[合計件数]],4,FALSE)</f>
        <v/>
      </c>
      <c r="F42" s="111" t="str">
        <f>VLOOKUP(名前リスト[[#This Row],[管理番号]],まとめ表_各Aパターン件数[[#All],[管理番号]:[Aパターン]],4,FALSE)</f>
        <v/>
      </c>
      <c r="G42" s="111"/>
      <c r="H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2" s="84"/>
    </row>
    <row r="43" spans="1:11" ht="19.5" customHeight="1">
      <c r="A43" s="2">
        <v>42</v>
      </c>
      <c r="B43" s="54" t="s">
        <v>76</v>
      </c>
      <c r="C43" s="55" t="s">
        <v>77</v>
      </c>
      <c r="D43" s="87" t="str">
        <f>VLOOKUP(名前リスト[[#This Row],[管理番号]],まとめ表_バック金額[[#All],[管理番号]:[バック金額合計]],4,FALSE)</f>
        <v/>
      </c>
      <c r="E43" s="80" t="str">
        <f>VLOOKUP(名前リスト[[#This Row],[管理番号]],まとめ表_各店舗件数[[#All],[管理番号]:[合計件数]],4,FALSE)</f>
        <v/>
      </c>
      <c r="F43" s="111" t="str">
        <f>VLOOKUP(名前リスト[[#This Row],[管理番号]],まとめ表_各Aパターン件数[[#All],[管理番号]:[Aパターン]],4,FALSE)</f>
        <v/>
      </c>
      <c r="G43" s="111"/>
      <c r="H43" s="111"/>
      <c r="I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3" s="84"/>
    </row>
    <row r="44" spans="1:11" ht="19.5" customHeight="1">
      <c r="A44" s="2">
        <v>43</v>
      </c>
      <c r="B44" s="54" t="s">
        <v>78</v>
      </c>
      <c r="C44" s="55" t="s">
        <v>79</v>
      </c>
      <c r="D44" s="87" t="str">
        <f>VLOOKUP(名前リスト[[#This Row],[管理番号]],まとめ表_バック金額[[#All],[管理番号]:[バック金額合計]],4,FALSE)</f>
        <v/>
      </c>
      <c r="E44" s="80" t="str">
        <f>VLOOKUP(名前リスト[[#This Row],[管理番号]],まとめ表_各店舗件数[[#All],[管理番号]:[合計件数]],4,FALSE)</f>
        <v/>
      </c>
      <c r="F44" s="111" t="str">
        <f>VLOOKUP(名前リスト[[#This Row],[管理番号]],まとめ表_各Aパターン件数[[#All],[管理番号]:[Aパターン]],4,FALSE)</f>
        <v/>
      </c>
      <c r="G44" s="111"/>
      <c r="H44" s="111"/>
      <c r="I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4" s="84"/>
    </row>
    <row r="45" spans="1:11" ht="19.5" customHeight="1">
      <c r="A45" s="2">
        <v>44</v>
      </c>
      <c r="B45" s="54" t="s">
        <v>80</v>
      </c>
      <c r="C45" s="55" t="s">
        <v>80</v>
      </c>
      <c r="D45" s="87" t="str">
        <f>VLOOKUP(名前リスト[[#This Row],[管理番号]],まとめ表_バック金額[[#All],[管理番号]:[バック金額合計]],4,FALSE)</f>
        <v/>
      </c>
      <c r="E45" s="80" t="str">
        <f>VLOOKUP(名前リスト[[#This Row],[管理番号]],まとめ表_各店舗件数[[#All],[管理番号]:[合計件数]],4,FALSE)</f>
        <v/>
      </c>
      <c r="F45" s="111" t="str">
        <f>VLOOKUP(名前リスト[[#This Row],[管理番号]],まとめ表_各Aパターン件数[[#All],[管理番号]:[Aパターン]],4,FALSE)</f>
        <v/>
      </c>
      <c r="G45" s="111"/>
      <c r="H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5" s="84"/>
    </row>
    <row r="46" spans="1:11" ht="19.5" customHeight="1">
      <c r="A46" s="2">
        <v>45</v>
      </c>
      <c r="B46" s="54" t="s">
        <v>81</v>
      </c>
      <c r="C46" s="55" t="s">
        <v>82</v>
      </c>
      <c r="D46" s="87" t="str">
        <f>VLOOKUP(名前リスト[[#This Row],[管理番号]],まとめ表_バック金額[[#All],[管理番号]:[バック金額合計]],4,FALSE)</f>
        <v/>
      </c>
      <c r="E46" s="80" t="str">
        <f>VLOOKUP(名前リスト[[#This Row],[管理番号]],まとめ表_各店舗件数[[#All],[管理番号]:[合計件数]],4,FALSE)</f>
        <v/>
      </c>
      <c r="F46" s="111" t="str">
        <f>VLOOKUP(名前リスト[[#This Row],[管理番号]],まとめ表_各Aパターン件数[[#All],[管理番号]:[Aパターン]],4,FALSE)</f>
        <v/>
      </c>
      <c r="G46" s="111"/>
      <c r="H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6" s="84"/>
    </row>
    <row r="47" spans="1:11" ht="19.5" customHeight="1">
      <c r="A47" s="2">
        <v>46</v>
      </c>
      <c r="B47" s="54" t="s">
        <v>83</v>
      </c>
      <c r="C47" s="55" t="s">
        <v>84</v>
      </c>
      <c r="D47" s="87" t="str">
        <f>VLOOKUP(名前リスト[[#This Row],[管理番号]],まとめ表_バック金額[[#All],[管理番号]:[バック金額合計]],4,FALSE)</f>
        <v/>
      </c>
      <c r="E47" s="80" t="str">
        <f>VLOOKUP(名前リスト[[#This Row],[管理番号]],まとめ表_各店舗件数[[#All],[管理番号]:[合計件数]],4,FALSE)</f>
        <v/>
      </c>
      <c r="F47" s="111" t="str">
        <f>VLOOKUP(名前リスト[[#This Row],[管理番号]],まとめ表_各Aパターン件数[[#All],[管理番号]:[Aパターン]],4,FALSE)</f>
        <v/>
      </c>
      <c r="G47" s="111"/>
      <c r="H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7" s="84"/>
    </row>
    <row r="48" spans="1:11" ht="19.5" customHeight="1">
      <c r="A48" s="2">
        <v>47</v>
      </c>
      <c r="B48" s="54" t="s">
        <v>85</v>
      </c>
      <c r="C48" s="55" t="s">
        <v>86</v>
      </c>
      <c r="D48" s="87" t="str">
        <f>VLOOKUP(名前リスト[[#This Row],[管理番号]],まとめ表_バック金額[[#All],[管理番号]:[バック金額合計]],4,FALSE)</f>
        <v/>
      </c>
      <c r="E48" s="80" t="str">
        <f>VLOOKUP(名前リスト[[#This Row],[管理番号]],まとめ表_各店舗件数[[#All],[管理番号]:[合計件数]],4,FALSE)</f>
        <v/>
      </c>
      <c r="F48" s="111" t="str">
        <f>VLOOKUP(名前リスト[[#This Row],[管理番号]],まとめ表_各Aパターン件数[[#All],[管理番号]:[Aパターン]],4,FALSE)</f>
        <v/>
      </c>
      <c r="G48" s="111"/>
      <c r="H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8" s="84"/>
    </row>
    <row r="49" spans="1:11" ht="19.5" customHeight="1">
      <c r="A49" s="2">
        <v>48</v>
      </c>
      <c r="B49" s="54" t="s">
        <v>87</v>
      </c>
      <c r="C49" s="55" t="s">
        <v>88</v>
      </c>
      <c r="D49" s="87" t="str">
        <f>VLOOKUP(名前リスト[[#This Row],[管理番号]],まとめ表_バック金額[[#All],[管理番号]:[バック金額合計]],4,FALSE)</f>
        <v/>
      </c>
      <c r="E49" s="80" t="str">
        <f>VLOOKUP(名前リスト[[#This Row],[管理番号]],まとめ表_各店舗件数[[#All],[管理番号]:[合計件数]],4,FALSE)</f>
        <v/>
      </c>
      <c r="F49" s="111" t="str">
        <f>VLOOKUP(名前リスト[[#This Row],[管理番号]],まとめ表_各Aパターン件数[[#All],[管理番号]:[Aパターン]],4,FALSE)</f>
        <v/>
      </c>
      <c r="G49" s="111"/>
      <c r="H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49" s="84"/>
    </row>
    <row r="50" spans="1:11" ht="19.5" customHeight="1">
      <c r="A50" s="2">
        <v>49</v>
      </c>
      <c r="B50" s="54" t="s">
        <v>89</v>
      </c>
      <c r="C50" s="55" t="s">
        <v>90</v>
      </c>
      <c r="D50" s="87" t="str">
        <f>VLOOKUP(名前リスト[[#This Row],[管理番号]],まとめ表_バック金額[[#All],[管理番号]:[バック金額合計]],4,FALSE)</f>
        <v/>
      </c>
      <c r="E50" s="80" t="str">
        <f>VLOOKUP(名前リスト[[#This Row],[管理番号]],まとめ表_各店舗件数[[#All],[管理番号]:[合計件数]],4,FALSE)</f>
        <v/>
      </c>
      <c r="F50" s="111" t="str">
        <f>VLOOKUP(名前リスト[[#This Row],[管理番号]],まとめ表_各Aパターン件数[[#All],[管理番号]:[Aパターン]],4,FALSE)</f>
        <v/>
      </c>
      <c r="G50" s="111"/>
      <c r="H5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0" s="84"/>
    </row>
    <row r="51" spans="1:11" ht="19.5" customHeight="1">
      <c r="A51" s="2">
        <v>50</v>
      </c>
      <c r="B51" s="54" t="s">
        <v>91</v>
      </c>
      <c r="C51" s="55" t="s">
        <v>92</v>
      </c>
      <c r="D51" s="87" t="str">
        <f>VLOOKUP(名前リスト[[#This Row],[管理番号]],まとめ表_バック金額[[#All],[管理番号]:[バック金額合計]],4,FALSE)</f>
        <v/>
      </c>
      <c r="E51" s="80" t="str">
        <f>VLOOKUP(名前リスト[[#This Row],[管理番号]],まとめ表_各店舗件数[[#All],[管理番号]:[合計件数]],4,FALSE)</f>
        <v/>
      </c>
      <c r="F51" s="111" t="str">
        <f>VLOOKUP(名前リスト[[#This Row],[管理番号]],まとめ表_各Aパターン件数[[#All],[管理番号]:[Aパターン]],4,FALSE)</f>
        <v/>
      </c>
      <c r="G51" s="111"/>
      <c r="H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1" s="84"/>
    </row>
    <row r="52" spans="1:11" ht="19.5" customHeight="1">
      <c r="A52" s="2">
        <v>51</v>
      </c>
      <c r="B52" s="54" t="s">
        <v>93</v>
      </c>
      <c r="C52" s="55" t="s">
        <v>94</v>
      </c>
      <c r="D52" s="87" t="str">
        <f>VLOOKUP(名前リスト[[#This Row],[管理番号]],まとめ表_バック金額[[#All],[管理番号]:[バック金額合計]],4,FALSE)</f>
        <v/>
      </c>
      <c r="E52" s="80" t="str">
        <f>VLOOKUP(名前リスト[[#This Row],[管理番号]],まとめ表_各店舗件数[[#All],[管理番号]:[合計件数]],4,FALSE)</f>
        <v/>
      </c>
      <c r="F52" s="111" t="str">
        <f>VLOOKUP(名前リスト[[#This Row],[管理番号]],まとめ表_各Aパターン件数[[#All],[管理番号]:[Aパターン]],4,FALSE)</f>
        <v/>
      </c>
      <c r="G52" s="111"/>
      <c r="H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2" s="84"/>
    </row>
    <row r="53" spans="1:11" ht="19.5" customHeight="1">
      <c r="A53" s="2">
        <v>52</v>
      </c>
      <c r="B53" s="54" t="s">
        <v>95</v>
      </c>
      <c r="C53" s="55" t="s">
        <v>96</v>
      </c>
      <c r="D53" s="87" t="str">
        <f>VLOOKUP(名前リスト[[#This Row],[管理番号]],まとめ表_バック金額[[#All],[管理番号]:[バック金額合計]],4,FALSE)</f>
        <v/>
      </c>
      <c r="E53" s="80" t="str">
        <f>VLOOKUP(名前リスト[[#This Row],[管理番号]],まとめ表_各店舗件数[[#All],[管理番号]:[合計件数]],4,FALSE)</f>
        <v/>
      </c>
      <c r="F53" s="111" t="str">
        <f>VLOOKUP(名前リスト[[#This Row],[管理番号]],まとめ表_各Aパターン件数[[#All],[管理番号]:[Aパターン]],4,FALSE)</f>
        <v/>
      </c>
      <c r="G53" s="111"/>
      <c r="H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3" s="84"/>
    </row>
    <row r="54" spans="1:11" ht="19.5" customHeight="1">
      <c r="A54" s="2">
        <v>53</v>
      </c>
      <c r="B54" s="54" t="s">
        <v>97</v>
      </c>
      <c r="C54" s="55" t="s">
        <v>98</v>
      </c>
      <c r="D54" s="87" t="str">
        <f>VLOOKUP(名前リスト[[#This Row],[管理番号]],まとめ表_バック金額[[#All],[管理番号]:[バック金額合計]],4,FALSE)</f>
        <v/>
      </c>
      <c r="E54" s="80" t="str">
        <f>VLOOKUP(名前リスト[[#This Row],[管理番号]],まとめ表_各店舗件数[[#All],[管理番号]:[合計件数]],4,FALSE)</f>
        <v/>
      </c>
      <c r="F54" s="111" t="str">
        <f>VLOOKUP(名前リスト[[#This Row],[管理番号]],まとめ表_各Aパターン件数[[#All],[管理番号]:[Aパターン]],4,FALSE)</f>
        <v/>
      </c>
      <c r="G54" s="111"/>
      <c r="H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4" s="84"/>
    </row>
    <row r="55" spans="1:11" ht="19.5" customHeight="1">
      <c r="A55" s="2">
        <v>54</v>
      </c>
      <c r="B55" s="54" t="s">
        <v>99</v>
      </c>
      <c r="C55" s="55" t="s">
        <v>100</v>
      </c>
      <c r="D55" s="87" t="str">
        <f>VLOOKUP(名前リスト[[#This Row],[管理番号]],まとめ表_バック金額[[#All],[管理番号]:[バック金額合計]],4,FALSE)</f>
        <v/>
      </c>
      <c r="E55" s="80" t="str">
        <f>VLOOKUP(名前リスト[[#This Row],[管理番号]],まとめ表_各店舗件数[[#All],[管理番号]:[合計件数]],4,FALSE)</f>
        <v/>
      </c>
      <c r="F55" s="111" t="str">
        <f>VLOOKUP(名前リスト[[#This Row],[管理番号]],まとめ表_各Aパターン件数[[#All],[管理番号]:[Aパターン]],4,FALSE)</f>
        <v/>
      </c>
      <c r="G55" s="111"/>
      <c r="H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5" s="84"/>
    </row>
    <row r="56" spans="1:11" ht="19.5" customHeight="1">
      <c r="A56" s="2">
        <v>55</v>
      </c>
      <c r="B56" s="54" t="s">
        <v>101</v>
      </c>
      <c r="C56" s="55" t="s">
        <v>102</v>
      </c>
      <c r="D56" s="87" t="str">
        <f>VLOOKUP(名前リスト[[#This Row],[管理番号]],まとめ表_バック金額[[#All],[管理番号]:[バック金額合計]],4,FALSE)</f>
        <v/>
      </c>
      <c r="E56" s="80" t="str">
        <f>VLOOKUP(名前リスト[[#This Row],[管理番号]],まとめ表_各店舗件数[[#All],[管理番号]:[合計件数]],4,FALSE)</f>
        <v/>
      </c>
      <c r="F56" s="111" t="str">
        <f>VLOOKUP(名前リスト[[#This Row],[管理番号]],まとめ表_各Aパターン件数[[#All],[管理番号]:[Aパターン]],4,FALSE)</f>
        <v/>
      </c>
      <c r="G56" s="111"/>
      <c r="H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6" s="84"/>
    </row>
    <row r="57" spans="1:11" ht="19.5" customHeight="1">
      <c r="A57" s="2">
        <v>56</v>
      </c>
      <c r="B57" s="54" t="s">
        <v>103</v>
      </c>
      <c r="C57" s="55" t="s">
        <v>104</v>
      </c>
      <c r="D57" s="87" t="str">
        <f>VLOOKUP(名前リスト[[#This Row],[管理番号]],まとめ表_バック金額[[#All],[管理番号]:[バック金額合計]],4,FALSE)</f>
        <v/>
      </c>
      <c r="E57" s="80" t="str">
        <f>VLOOKUP(名前リスト[[#This Row],[管理番号]],まとめ表_各店舗件数[[#All],[管理番号]:[合計件数]],4,FALSE)</f>
        <v/>
      </c>
      <c r="F57" s="111" t="str">
        <f>VLOOKUP(名前リスト[[#This Row],[管理番号]],まとめ表_各Aパターン件数[[#All],[管理番号]:[Aパターン]],4,FALSE)</f>
        <v/>
      </c>
      <c r="G57" s="111"/>
      <c r="H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7" s="84"/>
    </row>
    <row r="58" spans="1:11" ht="19.5" customHeight="1">
      <c r="A58" s="2">
        <v>57</v>
      </c>
      <c r="B58" s="54" t="s">
        <v>105</v>
      </c>
      <c r="C58" s="55" t="s">
        <v>106</v>
      </c>
      <c r="D58" s="87" t="str">
        <f>VLOOKUP(名前リスト[[#This Row],[管理番号]],まとめ表_バック金額[[#All],[管理番号]:[バック金額合計]],4,FALSE)</f>
        <v/>
      </c>
      <c r="E58" s="80" t="str">
        <f>VLOOKUP(名前リスト[[#This Row],[管理番号]],まとめ表_各店舗件数[[#All],[管理番号]:[合計件数]],4,FALSE)</f>
        <v/>
      </c>
      <c r="F58" s="111" t="str">
        <f>VLOOKUP(名前リスト[[#This Row],[管理番号]],まとめ表_各Aパターン件数[[#All],[管理番号]:[Aパターン]],4,FALSE)</f>
        <v/>
      </c>
      <c r="G58" s="111"/>
      <c r="H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8" s="84"/>
    </row>
    <row r="59" spans="1:11" ht="19.5" customHeight="1">
      <c r="A59" s="2">
        <v>58</v>
      </c>
      <c r="B59" s="54" t="s">
        <v>107</v>
      </c>
      <c r="C59" s="55" t="s">
        <v>108</v>
      </c>
      <c r="D59" s="87" t="str">
        <f>VLOOKUP(名前リスト[[#This Row],[管理番号]],まとめ表_バック金額[[#All],[管理番号]:[バック金額合計]],4,FALSE)</f>
        <v/>
      </c>
      <c r="E59" s="80" t="str">
        <f>VLOOKUP(名前リスト[[#This Row],[管理番号]],まとめ表_各店舗件数[[#All],[管理番号]:[合計件数]],4,FALSE)</f>
        <v/>
      </c>
      <c r="F59" s="111" t="str">
        <f>VLOOKUP(名前リスト[[#This Row],[管理番号]],まとめ表_各Aパターン件数[[#All],[管理番号]:[Aパターン]],4,FALSE)</f>
        <v/>
      </c>
      <c r="G59" s="111"/>
      <c r="H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59" s="84"/>
    </row>
    <row r="60" spans="1:11" ht="19.5" customHeight="1">
      <c r="A60" s="2">
        <v>59</v>
      </c>
      <c r="B60" s="54" t="s">
        <v>109</v>
      </c>
      <c r="C60" s="55" t="s">
        <v>110</v>
      </c>
      <c r="D60" s="87" t="str">
        <f>VLOOKUP(名前リスト[[#This Row],[管理番号]],まとめ表_バック金額[[#All],[管理番号]:[バック金額合計]],4,FALSE)</f>
        <v/>
      </c>
      <c r="E60" s="80" t="str">
        <f>VLOOKUP(名前リスト[[#This Row],[管理番号]],まとめ表_各店舗件数[[#All],[管理番号]:[合計件数]],4,FALSE)</f>
        <v/>
      </c>
      <c r="F60" s="111" t="str">
        <f>VLOOKUP(名前リスト[[#This Row],[管理番号]],まとめ表_各Aパターン件数[[#All],[管理番号]:[Aパターン]],4,FALSE)</f>
        <v/>
      </c>
      <c r="G60" s="111"/>
      <c r="H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0" s="84"/>
    </row>
    <row r="61" spans="1:11" ht="19.5" customHeight="1">
      <c r="A61" s="2">
        <v>60</v>
      </c>
      <c r="B61" s="54" t="s">
        <v>111</v>
      </c>
      <c r="C61" s="55" t="s">
        <v>112</v>
      </c>
      <c r="D61" s="87" t="str">
        <f>VLOOKUP(名前リスト[[#This Row],[管理番号]],まとめ表_バック金額[[#All],[管理番号]:[バック金額合計]],4,FALSE)</f>
        <v/>
      </c>
      <c r="E61" s="80" t="str">
        <f>VLOOKUP(名前リスト[[#This Row],[管理番号]],まとめ表_各店舗件数[[#All],[管理番号]:[合計件数]],4,FALSE)</f>
        <v/>
      </c>
      <c r="F61" s="111" t="str">
        <f>VLOOKUP(名前リスト[[#This Row],[管理番号]],まとめ表_各Aパターン件数[[#All],[管理番号]:[Aパターン]],4,FALSE)</f>
        <v/>
      </c>
      <c r="G61" s="111"/>
      <c r="H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1" s="84"/>
    </row>
    <row r="62" spans="1:11" ht="19.5" customHeight="1">
      <c r="A62" s="2">
        <v>61</v>
      </c>
      <c r="B62" s="54" t="s">
        <v>113</v>
      </c>
      <c r="C62" s="55" t="s">
        <v>114</v>
      </c>
      <c r="D62" s="87" t="str">
        <f>VLOOKUP(名前リスト[[#This Row],[管理番号]],まとめ表_バック金額[[#All],[管理番号]:[バック金額合計]],4,FALSE)</f>
        <v/>
      </c>
      <c r="E62" s="80" t="str">
        <f>VLOOKUP(名前リスト[[#This Row],[管理番号]],まとめ表_各店舗件数[[#All],[管理番号]:[合計件数]],4,FALSE)</f>
        <v/>
      </c>
      <c r="F62" s="111" t="str">
        <f>VLOOKUP(名前リスト[[#This Row],[管理番号]],まとめ表_各Aパターン件数[[#All],[管理番号]:[Aパターン]],4,FALSE)</f>
        <v/>
      </c>
      <c r="G62" s="111"/>
      <c r="H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2" s="84"/>
    </row>
    <row r="63" spans="1:11" ht="19.5" customHeight="1">
      <c r="A63" s="2">
        <v>62</v>
      </c>
      <c r="B63" s="54" t="s">
        <v>115</v>
      </c>
      <c r="C63" s="55" t="s">
        <v>116</v>
      </c>
      <c r="D63" s="87" t="str">
        <f>VLOOKUP(名前リスト[[#This Row],[管理番号]],まとめ表_バック金額[[#All],[管理番号]:[バック金額合計]],4,FALSE)</f>
        <v/>
      </c>
      <c r="E63" s="80" t="str">
        <f>VLOOKUP(名前リスト[[#This Row],[管理番号]],まとめ表_各店舗件数[[#All],[管理番号]:[合計件数]],4,FALSE)</f>
        <v/>
      </c>
      <c r="F63" s="111" t="str">
        <f>VLOOKUP(名前リスト[[#This Row],[管理番号]],まとめ表_各Aパターン件数[[#All],[管理番号]:[Aパターン]],4,FALSE)</f>
        <v/>
      </c>
      <c r="G63" s="111"/>
      <c r="H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3" s="84"/>
    </row>
    <row r="64" spans="1:11" ht="19.5" customHeight="1">
      <c r="A64" s="2">
        <v>63</v>
      </c>
      <c r="B64" s="54" t="s">
        <v>117</v>
      </c>
      <c r="C64" s="55" t="s">
        <v>118</v>
      </c>
      <c r="D64" s="87" t="str">
        <f>VLOOKUP(名前リスト[[#This Row],[管理番号]],まとめ表_バック金額[[#All],[管理番号]:[バック金額合計]],4,FALSE)</f>
        <v/>
      </c>
      <c r="E64" s="80" t="str">
        <f>VLOOKUP(名前リスト[[#This Row],[管理番号]],まとめ表_各店舗件数[[#All],[管理番号]:[合計件数]],4,FALSE)</f>
        <v/>
      </c>
      <c r="F64" s="111" t="str">
        <f>VLOOKUP(名前リスト[[#This Row],[管理番号]],まとめ表_各Aパターン件数[[#All],[管理番号]:[Aパターン]],4,FALSE)</f>
        <v/>
      </c>
      <c r="G64" s="111"/>
      <c r="H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4" s="84"/>
    </row>
    <row r="65" spans="1:11" ht="19.5" customHeight="1">
      <c r="A65" s="2">
        <v>64</v>
      </c>
      <c r="B65" s="54" t="s">
        <v>119</v>
      </c>
      <c r="C65" s="55" t="s">
        <v>120</v>
      </c>
      <c r="D65" s="87">
        <f>VLOOKUP(名前リスト[[#This Row],[管理番号]],まとめ表_バック金額[[#All],[管理番号]:[バック金額合計]],4,FALSE)</f>
        <v>9000</v>
      </c>
      <c r="E65" s="80">
        <f>VLOOKUP(名前リスト[[#This Row],[管理番号]],まとめ表_各店舗件数[[#All],[管理番号]:[合計件数]],4,FALSE)</f>
        <v>1</v>
      </c>
      <c r="F65" s="111">
        <f>VLOOKUP(名前リスト[[#This Row],[管理番号]],まとめ表_各Aパターン件数[[#All],[管理番号]:[Aパターン]],4,FALSE)</f>
        <v>1</v>
      </c>
      <c r="G65" s="111"/>
      <c r="H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5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9000</v>
      </c>
      <c r="J65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4</v>
      </c>
      <c r="K65" s="84"/>
    </row>
    <row r="66" spans="1:11" ht="19.5" customHeight="1">
      <c r="A66" s="2">
        <v>65</v>
      </c>
      <c r="B66" s="54" t="s">
        <v>121</v>
      </c>
      <c r="C66" s="55" t="s">
        <v>122</v>
      </c>
      <c r="D66" s="87" t="str">
        <f>VLOOKUP(名前リスト[[#This Row],[管理番号]],まとめ表_バック金額[[#All],[管理番号]:[バック金額合計]],4,FALSE)</f>
        <v/>
      </c>
      <c r="E66" s="80" t="str">
        <f>VLOOKUP(名前リスト[[#This Row],[管理番号]],まとめ表_各店舗件数[[#All],[管理番号]:[合計件数]],4,FALSE)</f>
        <v/>
      </c>
      <c r="F66" s="111" t="str">
        <f>VLOOKUP(名前リスト[[#This Row],[管理番号]],まとめ表_各Aパターン件数[[#All],[管理番号]:[Aパターン]],4,FALSE)</f>
        <v/>
      </c>
      <c r="G66" s="111"/>
      <c r="H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6" s="84"/>
    </row>
    <row r="67" spans="1:11" ht="19.5" customHeight="1">
      <c r="A67" s="2">
        <v>66</v>
      </c>
      <c r="B67" s="54" t="s">
        <v>123</v>
      </c>
      <c r="C67" s="55" t="s">
        <v>124</v>
      </c>
      <c r="D67" s="87" t="str">
        <f>VLOOKUP(名前リスト[[#This Row],[管理番号]],まとめ表_バック金額[[#All],[管理番号]:[バック金額合計]],4,FALSE)</f>
        <v/>
      </c>
      <c r="E67" s="80" t="str">
        <f>VLOOKUP(名前リスト[[#This Row],[管理番号]],まとめ表_各店舗件数[[#All],[管理番号]:[合計件数]],4,FALSE)</f>
        <v/>
      </c>
      <c r="F67" s="111" t="str">
        <f>VLOOKUP(名前リスト[[#This Row],[管理番号]],まとめ表_各Aパターン件数[[#All],[管理番号]:[Aパターン]],4,FALSE)</f>
        <v/>
      </c>
      <c r="G67" s="111"/>
      <c r="H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7" s="84"/>
    </row>
    <row r="68" spans="1:11" ht="19.5" customHeight="1">
      <c r="A68" s="2">
        <v>67</v>
      </c>
      <c r="B68" s="54" t="s">
        <v>125</v>
      </c>
      <c r="C68" s="55" t="s">
        <v>126</v>
      </c>
      <c r="D68" s="87" t="str">
        <f>VLOOKUP(名前リスト[[#This Row],[管理番号]],まとめ表_バック金額[[#All],[管理番号]:[バック金額合計]],4,FALSE)</f>
        <v/>
      </c>
      <c r="E68" s="80" t="str">
        <f>VLOOKUP(名前リスト[[#This Row],[管理番号]],まとめ表_各店舗件数[[#All],[管理番号]:[合計件数]],4,FALSE)</f>
        <v/>
      </c>
      <c r="F68" s="111" t="str">
        <f>VLOOKUP(名前リスト[[#This Row],[管理番号]],まとめ表_各Aパターン件数[[#All],[管理番号]:[Aパターン]],4,FALSE)</f>
        <v/>
      </c>
      <c r="G68" s="111"/>
      <c r="H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8" s="84"/>
    </row>
    <row r="69" spans="1:11" ht="19.5" customHeight="1">
      <c r="A69" s="2">
        <v>68</v>
      </c>
      <c r="B69" s="54" t="s">
        <v>127</v>
      </c>
      <c r="C69" s="55" t="s">
        <v>127</v>
      </c>
      <c r="D69" s="87" t="str">
        <f>VLOOKUP(名前リスト[[#This Row],[管理番号]],まとめ表_バック金額[[#All],[管理番号]:[バック金額合計]],4,FALSE)</f>
        <v/>
      </c>
      <c r="E69" s="80" t="str">
        <f>VLOOKUP(名前リスト[[#This Row],[管理番号]],まとめ表_各店舗件数[[#All],[管理番号]:[合計件数]],4,FALSE)</f>
        <v/>
      </c>
      <c r="F69" s="111" t="str">
        <f>VLOOKUP(名前リスト[[#This Row],[管理番号]],まとめ表_各Aパターン件数[[#All],[管理番号]:[Aパターン]],4,FALSE)</f>
        <v/>
      </c>
      <c r="G69" s="111"/>
      <c r="H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69" s="84"/>
    </row>
    <row r="70" spans="1:11" ht="19.5" customHeight="1">
      <c r="A70" s="2">
        <v>69</v>
      </c>
      <c r="B70" s="54" t="s">
        <v>128</v>
      </c>
      <c r="C70" s="55" t="s">
        <v>129</v>
      </c>
      <c r="D70" s="87" t="str">
        <f>VLOOKUP(名前リスト[[#This Row],[管理番号]],まとめ表_バック金額[[#All],[管理番号]:[バック金額合計]],4,FALSE)</f>
        <v/>
      </c>
      <c r="E70" s="80" t="str">
        <f>VLOOKUP(名前リスト[[#This Row],[管理番号]],まとめ表_各店舗件数[[#All],[管理番号]:[合計件数]],4,FALSE)</f>
        <v/>
      </c>
      <c r="F70" s="111" t="str">
        <f>VLOOKUP(名前リスト[[#This Row],[管理番号]],まとめ表_各Aパターン件数[[#All],[管理番号]:[Aパターン]],4,FALSE)</f>
        <v/>
      </c>
      <c r="G70" s="111"/>
      <c r="H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0" s="84"/>
    </row>
    <row r="71" spans="1:11" ht="19.5" customHeight="1">
      <c r="A71" s="2">
        <v>70</v>
      </c>
      <c r="B71" s="54" t="s">
        <v>130</v>
      </c>
      <c r="C71" s="55" t="s">
        <v>131</v>
      </c>
      <c r="D71" s="87" t="str">
        <f>VLOOKUP(名前リスト[[#This Row],[管理番号]],まとめ表_バック金額[[#All],[管理番号]:[バック金額合計]],4,FALSE)</f>
        <v/>
      </c>
      <c r="E71" s="80" t="str">
        <f>VLOOKUP(名前リスト[[#This Row],[管理番号]],まとめ表_各店舗件数[[#All],[管理番号]:[合計件数]],4,FALSE)</f>
        <v/>
      </c>
      <c r="F71" s="111" t="str">
        <f>VLOOKUP(名前リスト[[#This Row],[管理番号]],まとめ表_各Aパターン件数[[#All],[管理番号]:[Aパターン]],4,FALSE)</f>
        <v/>
      </c>
      <c r="G71" s="111"/>
      <c r="H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1" s="84"/>
    </row>
    <row r="72" spans="1:11" ht="19.5" customHeight="1">
      <c r="A72" s="2">
        <v>71</v>
      </c>
      <c r="B72" s="54" t="s">
        <v>132</v>
      </c>
      <c r="C72" s="55" t="s">
        <v>133</v>
      </c>
      <c r="D72" s="87" t="str">
        <f>VLOOKUP(名前リスト[[#This Row],[管理番号]],まとめ表_バック金額[[#All],[管理番号]:[バック金額合計]],4,FALSE)</f>
        <v/>
      </c>
      <c r="E72" s="80" t="str">
        <f>VLOOKUP(名前リスト[[#This Row],[管理番号]],まとめ表_各店舗件数[[#All],[管理番号]:[合計件数]],4,FALSE)</f>
        <v/>
      </c>
      <c r="F72" s="111" t="str">
        <f>VLOOKUP(名前リスト[[#This Row],[管理番号]],まとめ表_各Aパターン件数[[#All],[管理番号]:[Aパターン]],4,FALSE)</f>
        <v/>
      </c>
      <c r="G72" s="111"/>
      <c r="H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2" s="84"/>
    </row>
    <row r="73" spans="1:11" ht="19.5" customHeight="1">
      <c r="A73" s="2">
        <v>72</v>
      </c>
      <c r="B73" s="54" t="s">
        <v>134</v>
      </c>
      <c r="C73" s="55" t="s">
        <v>135</v>
      </c>
      <c r="D73" s="87" t="str">
        <f>VLOOKUP(名前リスト[[#This Row],[管理番号]],まとめ表_バック金額[[#All],[管理番号]:[バック金額合計]],4,FALSE)</f>
        <v/>
      </c>
      <c r="E73" s="80" t="str">
        <f>VLOOKUP(名前リスト[[#This Row],[管理番号]],まとめ表_各店舗件数[[#All],[管理番号]:[合計件数]],4,FALSE)</f>
        <v/>
      </c>
      <c r="F73" s="111" t="str">
        <f>VLOOKUP(名前リスト[[#This Row],[管理番号]],まとめ表_各Aパターン件数[[#All],[管理番号]:[Aパターン]],4,FALSE)</f>
        <v/>
      </c>
      <c r="G73" s="111"/>
      <c r="H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3" s="84"/>
    </row>
    <row r="74" spans="1:11" ht="19.5" customHeight="1">
      <c r="A74" s="2">
        <v>73</v>
      </c>
      <c r="B74" s="54" t="s">
        <v>136</v>
      </c>
      <c r="C74" s="55" t="s">
        <v>137</v>
      </c>
      <c r="D74" s="87" t="str">
        <f>VLOOKUP(名前リスト[[#This Row],[管理番号]],まとめ表_バック金額[[#All],[管理番号]:[バック金額合計]],4,FALSE)</f>
        <v/>
      </c>
      <c r="E74" s="80" t="str">
        <f>VLOOKUP(名前リスト[[#This Row],[管理番号]],まとめ表_各店舗件数[[#All],[管理番号]:[合計件数]],4,FALSE)</f>
        <v/>
      </c>
      <c r="F74" s="111" t="str">
        <f>VLOOKUP(名前リスト[[#This Row],[管理番号]],まとめ表_各Aパターン件数[[#All],[管理番号]:[Aパターン]],4,FALSE)</f>
        <v/>
      </c>
      <c r="G74" s="111"/>
      <c r="H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4" s="84"/>
    </row>
    <row r="75" spans="1:11" ht="19.5" customHeight="1">
      <c r="A75" s="2">
        <v>74</v>
      </c>
      <c r="B75" s="54" t="s">
        <v>138</v>
      </c>
      <c r="C75" s="55" t="s">
        <v>139</v>
      </c>
      <c r="D75" s="87" t="str">
        <f>VLOOKUP(名前リスト[[#This Row],[管理番号]],まとめ表_バック金額[[#All],[管理番号]:[バック金額合計]],4,FALSE)</f>
        <v/>
      </c>
      <c r="E75" s="80" t="str">
        <f>VLOOKUP(名前リスト[[#This Row],[管理番号]],まとめ表_各店舗件数[[#All],[管理番号]:[合計件数]],4,FALSE)</f>
        <v/>
      </c>
      <c r="F75" s="111" t="str">
        <f>VLOOKUP(名前リスト[[#This Row],[管理番号]],まとめ表_各Aパターン件数[[#All],[管理番号]:[Aパターン]],4,FALSE)</f>
        <v/>
      </c>
      <c r="G75" s="111"/>
      <c r="H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5" s="84"/>
    </row>
    <row r="76" spans="1:11" ht="19.5" customHeight="1">
      <c r="A76" s="2">
        <v>75</v>
      </c>
      <c r="B76" s="54" t="s">
        <v>140</v>
      </c>
      <c r="C76" s="55" t="s">
        <v>141</v>
      </c>
      <c r="D76" s="87" t="str">
        <f>VLOOKUP(名前リスト[[#This Row],[管理番号]],まとめ表_バック金額[[#All],[管理番号]:[バック金額合計]],4,FALSE)</f>
        <v/>
      </c>
      <c r="E76" s="80" t="str">
        <f>VLOOKUP(名前リスト[[#This Row],[管理番号]],まとめ表_各店舗件数[[#All],[管理番号]:[合計件数]],4,FALSE)</f>
        <v/>
      </c>
      <c r="F76" s="111" t="str">
        <f>VLOOKUP(名前リスト[[#This Row],[管理番号]],まとめ表_各Aパターン件数[[#All],[管理番号]:[Aパターン]],4,FALSE)</f>
        <v/>
      </c>
      <c r="G76" s="111"/>
      <c r="H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6" s="84"/>
    </row>
    <row r="77" spans="1:11" ht="19.5" customHeight="1">
      <c r="A77" s="2">
        <v>76</v>
      </c>
      <c r="B77" s="54" t="s">
        <v>142</v>
      </c>
      <c r="C77" s="55" t="s">
        <v>143</v>
      </c>
      <c r="D77" s="87" t="str">
        <f>VLOOKUP(名前リスト[[#This Row],[管理番号]],まとめ表_バック金額[[#All],[管理番号]:[バック金額合計]],4,FALSE)</f>
        <v/>
      </c>
      <c r="E77" s="80" t="str">
        <f>VLOOKUP(名前リスト[[#This Row],[管理番号]],まとめ表_各店舗件数[[#All],[管理番号]:[合計件数]],4,FALSE)</f>
        <v/>
      </c>
      <c r="F77" s="111" t="str">
        <f>VLOOKUP(名前リスト[[#This Row],[管理番号]],まとめ表_各Aパターン件数[[#All],[管理番号]:[Aパターン]],4,FALSE)</f>
        <v/>
      </c>
      <c r="G77" s="111"/>
      <c r="H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7" s="84"/>
    </row>
    <row r="78" spans="1:11" ht="19.5" customHeight="1">
      <c r="A78" s="2">
        <v>77</v>
      </c>
      <c r="B78" s="54" t="s">
        <v>144</v>
      </c>
      <c r="C78" s="55" t="s">
        <v>145</v>
      </c>
      <c r="D78" s="87" t="str">
        <f>VLOOKUP(名前リスト[[#This Row],[管理番号]],まとめ表_バック金額[[#All],[管理番号]:[バック金額合計]],4,FALSE)</f>
        <v/>
      </c>
      <c r="E78" s="80" t="str">
        <f>VLOOKUP(名前リスト[[#This Row],[管理番号]],まとめ表_各店舗件数[[#All],[管理番号]:[合計件数]],4,FALSE)</f>
        <v/>
      </c>
      <c r="F78" s="111" t="str">
        <f>VLOOKUP(名前リスト[[#This Row],[管理番号]],まとめ表_各Aパターン件数[[#All],[管理番号]:[Aパターン]],4,FALSE)</f>
        <v/>
      </c>
      <c r="G78" s="111"/>
      <c r="H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8" s="84"/>
    </row>
    <row r="79" spans="1:11" ht="19.5" customHeight="1">
      <c r="A79" s="2">
        <v>78</v>
      </c>
      <c r="B79" s="54" t="s">
        <v>146</v>
      </c>
      <c r="C79" s="55" t="s">
        <v>147</v>
      </c>
      <c r="D79" s="87" t="str">
        <f>VLOOKUP(名前リスト[[#This Row],[管理番号]],まとめ表_バック金額[[#All],[管理番号]:[バック金額合計]],4,FALSE)</f>
        <v/>
      </c>
      <c r="E79" s="80" t="str">
        <f>VLOOKUP(名前リスト[[#This Row],[管理番号]],まとめ表_各店舗件数[[#All],[管理番号]:[合計件数]],4,FALSE)</f>
        <v/>
      </c>
      <c r="F79" s="111" t="str">
        <f>VLOOKUP(名前リスト[[#This Row],[管理番号]],まとめ表_各Aパターン件数[[#All],[管理番号]:[Aパターン]],4,FALSE)</f>
        <v/>
      </c>
      <c r="G79" s="111"/>
      <c r="H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79" s="84"/>
    </row>
    <row r="80" spans="1:11" ht="19.5" customHeight="1">
      <c r="A80" s="2">
        <v>79</v>
      </c>
      <c r="B80" s="56"/>
      <c r="C80" s="57"/>
      <c r="D80" s="87" t="str">
        <f>VLOOKUP(名前リスト[[#This Row],[管理番号]],まとめ表_バック金額[[#All],[管理番号]:[バック金額合計]],4,FALSE)</f>
        <v/>
      </c>
      <c r="E80" s="80" t="str">
        <f>VLOOKUP(名前リスト[[#This Row],[管理番号]],まとめ表_各店舗件数[[#All],[管理番号]:[合計件数]],4,FALSE)</f>
        <v/>
      </c>
      <c r="F80" s="111" t="str">
        <f>VLOOKUP(名前リスト[[#This Row],[管理番号]],まとめ表_各Aパターン件数[[#All],[管理番号]:[Aパターン]],4,FALSE)</f>
        <v/>
      </c>
      <c r="G80" s="111"/>
      <c r="H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0" s="84"/>
    </row>
    <row r="81" spans="1:11" ht="19.5" customHeight="1">
      <c r="A81" s="2">
        <v>80</v>
      </c>
      <c r="B81" s="54" t="s">
        <v>148</v>
      </c>
      <c r="C81" s="54" t="s">
        <v>148</v>
      </c>
      <c r="D81" s="87" t="str">
        <f>VLOOKUP(名前リスト[[#This Row],[管理番号]],まとめ表_バック金額[[#All],[管理番号]:[バック金額合計]],4,FALSE)</f>
        <v/>
      </c>
      <c r="E81" s="80" t="str">
        <f>VLOOKUP(名前リスト[[#This Row],[管理番号]],まとめ表_各店舗件数[[#All],[管理番号]:[合計件数]],4,FALSE)</f>
        <v/>
      </c>
      <c r="F81" s="111" t="str">
        <f>VLOOKUP(名前リスト[[#This Row],[管理番号]],まとめ表_各Aパターン件数[[#All],[管理番号]:[Aパターン]],4,FALSE)</f>
        <v/>
      </c>
      <c r="G81" s="111"/>
      <c r="H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1" s="84"/>
    </row>
    <row r="82" spans="1:11" ht="19.5" customHeight="1">
      <c r="A82" s="2">
        <v>81</v>
      </c>
      <c r="B82" s="54" t="s">
        <v>149</v>
      </c>
      <c r="C82" s="54" t="s">
        <v>149</v>
      </c>
      <c r="D82" s="87" t="str">
        <f>VLOOKUP(名前リスト[[#This Row],[管理番号]],まとめ表_バック金額[[#All],[管理番号]:[バック金額合計]],4,FALSE)</f>
        <v/>
      </c>
      <c r="E82" s="80" t="str">
        <f>VLOOKUP(名前リスト[[#This Row],[管理番号]],まとめ表_各店舗件数[[#All],[管理番号]:[合計件数]],4,FALSE)</f>
        <v/>
      </c>
      <c r="F82" s="111" t="str">
        <f>VLOOKUP(名前リスト[[#This Row],[管理番号]],まとめ表_各Aパターン件数[[#All],[管理番号]:[Aパターン]],4,FALSE)</f>
        <v/>
      </c>
      <c r="G82" s="111"/>
      <c r="H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2" s="84"/>
    </row>
    <row r="83" spans="1:11" ht="19.5" customHeight="1">
      <c r="A83" s="2">
        <v>82</v>
      </c>
      <c r="B83" s="47" t="s">
        <v>342</v>
      </c>
      <c r="C83" s="47" t="s">
        <v>342</v>
      </c>
      <c r="D83" s="87" t="str">
        <f>VLOOKUP(名前リスト[[#This Row],[管理番号]],まとめ表_バック金額[[#All],[管理番号]:[バック金額合計]],4,FALSE)</f>
        <v/>
      </c>
      <c r="E83" s="80" t="str">
        <f>VLOOKUP(名前リスト[[#This Row],[管理番号]],まとめ表_各店舗件数[[#All],[管理番号]:[合計件数]],4,FALSE)</f>
        <v/>
      </c>
      <c r="F83" s="111" t="str">
        <f>VLOOKUP(名前リスト[[#This Row],[管理番号]],まとめ表_各Aパターン件数[[#All],[管理番号]:[Aパターン]],4,FALSE)</f>
        <v/>
      </c>
      <c r="G83" s="111"/>
      <c r="H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3" s="84"/>
    </row>
    <row r="84" spans="1:11" ht="19.5" customHeight="1">
      <c r="A84" s="2">
        <v>83</v>
      </c>
      <c r="B84" s="54" t="s">
        <v>150</v>
      </c>
      <c r="C84" s="55" t="s">
        <v>150</v>
      </c>
      <c r="D84" s="87" t="str">
        <f>VLOOKUP(名前リスト[[#This Row],[管理番号]],まとめ表_バック金額[[#All],[管理番号]:[バック金額合計]],4,FALSE)</f>
        <v/>
      </c>
      <c r="E84" s="80" t="str">
        <f>VLOOKUP(名前リスト[[#This Row],[管理番号]],まとめ表_各店舗件数[[#All],[管理番号]:[合計件数]],4,FALSE)</f>
        <v/>
      </c>
      <c r="F84" s="111" t="str">
        <f>VLOOKUP(名前リスト[[#This Row],[管理番号]],まとめ表_各Aパターン件数[[#All],[管理番号]:[Aパターン]],4,FALSE)</f>
        <v/>
      </c>
      <c r="G84" s="111"/>
      <c r="H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4" s="84"/>
    </row>
    <row r="85" spans="1:11" ht="19.5" customHeight="1">
      <c r="A85" s="2">
        <v>84</v>
      </c>
      <c r="B85" s="54" t="s">
        <v>151</v>
      </c>
      <c r="C85" s="55" t="s">
        <v>151</v>
      </c>
      <c r="D85" s="87" t="str">
        <f>VLOOKUP(名前リスト[[#This Row],[管理番号]],まとめ表_バック金額[[#All],[管理番号]:[バック金額合計]],4,FALSE)</f>
        <v/>
      </c>
      <c r="E85" s="80" t="str">
        <f>VLOOKUP(名前リスト[[#This Row],[管理番号]],まとめ表_各店舗件数[[#All],[管理番号]:[合計件数]],4,FALSE)</f>
        <v/>
      </c>
      <c r="F85" s="111" t="str">
        <f>VLOOKUP(名前リスト[[#This Row],[管理番号]],まとめ表_各Aパターン件数[[#All],[管理番号]:[Aパターン]],4,FALSE)</f>
        <v/>
      </c>
      <c r="G85" s="111"/>
      <c r="H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5" s="84"/>
    </row>
    <row r="86" spans="1:11" ht="19.5" customHeight="1">
      <c r="A86" s="2">
        <v>85</v>
      </c>
      <c r="B86" s="54" t="s">
        <v>152</v>
      </c>
      <c r="C86" s="55" t="s">
        <v>153</v>
      </c>
      <c r="D86" s="87" t="str">
        <f>VLOOKUP(名前リスト[[#This Row],[管理番号]],まとめ表_バック金額[[#All],[管理番号]:[バック金額合計]],4,FALSE)</f>
        <v/>
      </c>
      <c r="E86" s="80" t="str">
        <f>VLOOKUP(名前リスト[[#This Row],[管理番号]],まとめ表_各店舗件数[[#All],[管理番号]:[合計件数]],4,FALSE)</f>
        <v/>
      </c>
      <c r="F86" s="111" t="str">
        <f>VLOOKUP(名前リスト[[#This Row],[管理番号]],まとめ表_各Aパターン件数[[#All],[管理番号]:[Aパターン]],4,FALSE)</f>
        <v/>
      </c>
      <c r="G86" s="111"/>
      <c r="H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6" s="84"/>
    </row>
    <row r="87" spans="1:11" ht="19.5" customHeight="1">
      <c r="A87" s="2">
        <v>86</v>
      </c>
      <c r="B87" s="54" t="s">
        <v>154</v>
      </c>
      <c r="C87" s="55" t="s">
        <v>155</v>
      </c>
      <c r="D87" s="87" t="str">
        <f>VLOOKUP(名前リスト[[#This Row],[管理番号]],まとめ表_バック金額[[#All],[管理番号]:[バック金額合計]],4,FALSE)</f>
        <v/>
      </c>
      <c r="E87" s="80" t="str">
        <f>VLOOKUP(名前リスト[[#This Row],[管理番号]],まとめ表_各店舗件数[[#All],[管理番号]:[合計件数]],4,FALSE)</f>
        <v/>
      </c>
      <c r="F87" s="111" t="str">
        <f>VLOOKUP(名前リスト[[#This Row],[管理番号]],まとめ表_各Aパターン件数[[#All],[管理番号]:[Aパターン]],4,FALSE)</f>
        <v/>
      </c>
      <c r="G87" s="111"/>
      <c r="H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7" s="84"/>
    </row>
    <row r="88" spans="1:11" ht="19.5" customHeight="1">
      <c r="A88" s="2">
        <v>87</v>
      </c>
      <c r="B88" s="54" t="s">
        <v>156</v>
      </c>
      <c r="C88" s="55" t="s">
        <v>157</v>
      </c>
      <c r="D88" s="87" t="str">
        <f>VLOOKUP(名前リスト[[#This Row],[管理番号]],まとめ表_バック金額[[#All],[管理番号]:[バック金額合計]],4,FALSE)</f>
        <v/>
      </c>
      <c r="E88" s="80" t="str">
        <f>VLOOKUP(名前リスト[[#This Row],[管理番号]],まとめ表_各店舗件数[[#All],[管理番号]:[合計件数]],4,FALSE)</f>
        <v/>
      </c>
      <c r="F88" s="111" t="str">
        <f>VLOOKUP(名前リスト[[#This Row],[管理番号]],まとめ表_各Aパターン件数[[#All],[管理番号]:[Aパターン]],4,FALSE)</f>
        <v/>
      </c>
      <c r="G88" s="111"/>
      <c r="H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8" s="84"/>
    </row>
    <row r="89" spans="1:11" ht="19.5" customHeight="1">
      <c r="A89" s="2">
        <v>88</v>
      </c>
      <c r="B89" s="54" t="s">
        <v>158</v>
      </c>
      <c r="C89" s="55" t="s">
        <v>159</v>
      </c>
      <c r="D89" s="87" t="str">
        <f>VLOOKUP(名前リスト[[#This Row],[管理番号]],まとめ表_バック金額[[#All],[管理番号]:[バック金額合計]],4,FALSE)</f>
        <v/>
      </c>
      <c r="E89" s="80" t="str">
        <f>VLOOKUP(名前リスト[[#This Row],[管理番号]],まとめ表_各店舗件数[[#All],[管理番号]:[合計件数]],4,FALSE)</f>
        <v/>
      </c>
      <c r="F89" s="111" t="str">
        <f>VLOOKUP(名前リスト[[#This Row],[管理番号]],まとめ表_各Aパターン件数[[#All],[管理番号]:[Aパターン]],4,FALSE)</f>
        <v/>
      </c>
      <c r="G89" s="111"/>
      <c r="H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89" s="84"/>
    </row>
    <row r="90" spans="1:11" ht="19.5" customHeight="1">
      <c r="A90" s="2">
        <v>89</v>
      </c>
      <c r="B90" s="54" t="s">
        <v>160</v>
      </c>
      <c r="C90" s="55" t="s">
        <v>161</v>
      </c>
      <c r="D90" s="87" t="str">
        <f>VLOOKUP(名前リスト[[#This Row],[管理番号]],まとめ表_バック金額[[#All],[管理番号]:[バック金額合計]],4,FALSE)</f>
        <v/>
      </c>
      <c r="E90" s="80" t="str">
        <f>VLOOKUP(名前リスト[[#This Row],[管理番号]],まとめ表_各店舗件数[[#All],[管理番号]:[合計件数]],4,FALSE)</f>
        <v/>
      </c>
      <c r="F90" s="111" t="str">
        <f>VLOOKUP(名前リスト[[#This Row],[管理番号]],まとめ表_各Aパターン件数[[#All],[管理番号]:[Aパターン]],4,FALSE)</f>
        <v/>
      </c>
      <c r="G90" s="111"/>
      <c r="H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0" s="84"/>
    </row>
    <row r="91" spans="1:11" ht="19.5" customHeight="1">
      <c r="A91" s="2">
        <v>90</v>
      </c>
      <c r="B91" s="54" t="s">
        <v>162</v>
      </c>
      <c r="C91" s="55" t="s">
        <v>162</v>
      </c>
      <c r="D91" s="87" t="str">
        <f>VLOOKUP(名前リスト[[#This Row],[管理番号]],まとめ表_バック金額[[#All],[管理番号]:[バック金額合計]],4,FALSE)</f>
        <v/>
      </c>
      <c r="E91" s="80" t="str">
        <f>VLOOKUP(名前リスト[[#This Row],[管理番号]],まとめ表_各店舗件数[[#All],[管理番号]:[合計件数]],4,FALSE)</f>
        <v/>
      </c>
      <c r="F91" s="111" t="str">
        <f>VLOOKUP(名前リスト[[#This Row],[管理番号]],まとめ表_各Aパターン件数[[#All],[管理番号]:[Aパターン]],4,FALSE)</f>
        <v/>
      </c>
      <c r="G91" s="111"/>
      <c r="H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1" s="84"/>
    </row>
    <row r="92" spans="1:11" ht="19.5" customHeight="1">
      <c r="A92" s="2">
        <v>91</v>
      </c>
      <c r="B92" s="54" t="s">
        <v>163</v>
      </c>
      <c r="C92" s="55" t="s">
        <v>164</v>
      </c>
      <c r="D92" s="87" t="str">
        <f>VLOOKUP(名前リスト[[#This Row],[管理番号]],まとめ表_バック金額[[#All],[管理番号]:[バック金額合計]],4,FALSE)</f>
        <v/>
      </c>
      <c r="E92" s="80" t="str">
        <f>VLOOKUP(名前リスト[[#This Row],[管理番号]],まとめ表_各店舗件数[[#All],[管理番号]:[合計件数]],4,FALSE)</f>
        <v/>
      </c>
      <c r="F92" s="111" t="str">
        <f>VLOOKUP(名前リスト[[#This Row],[管理番号]],まとめ表_各Aパターン件数[[#All],[管理番号]:[Aパターン]],4,FALSE)</f>
        <v/>
      </c>
      <c r="G92" s="111"/>
      <c r="H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2" s="84"/>
    </row>
    <row r="93" spans="1:11" ht="19.5" customHeight="1">
      <c r="A93" s="2">
        <v>92</v>
      </c>
      <c r="B93" s="54" t="s">
        <v>165</v>
      </c>
      <c r="C93" s="55" t="s">
        <v>166</v>
      </c>
      <c r="D93" s="87" t="str">
        <f>VLOOKUP(名前リスト[[#This Row],[管理番号]],まとめ表_バック金額[[#All],[管理番号]:[バック金額合計]],4,FALSE)</f>
        <v/>
      </c>
      <c r="E93" s="80" t="str">
        <f>VLOOKUP(名前リスト[[#This Row],[管理番号]],まとめ表_各店舗件数[[#All],[管理番号]:[合計件数]],4,FALSE)</f>
        <v/>
      </c>
      <c r="F93" s="111" t="str">
        <f>VLOOKUP(名前リスト[[#This Row],[管理番号]],まとめ表_各Aパターン件数[[#All],[管理番号]:[Aパターン]],4,FALSE)</f>
        <v/>
      </c>
      <c r="G93" s="111"/>
      <c r="H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3" s="84"/>
    </row>
    <row r="94" spans="1:11" ht="19.5" customHeight="1">
      <c r="A94" s="2">
        <v>93</v>
      </c>
      <c r="B94" s="54" t="s">
        <v>167</v>
      </c>
      <c r="C94" s="55" t="s">
        <v>167</v>
      </c>
      <c r="D94" s="87" t="str">
        <f>VLOOKUP(名前リスト[[#This Row],[管理番号]],まとめ表_バック金額[[#All],[管理番号]:[バック金額合計]],4,FALSE)</f>
        <v/>
      </c>
      <c r="E94" s="80" t="str">
        <f>VLOOKUP(名前リスト[[#This Row],[管理番号]],まとめ表_各店舗件数[[#All],[管理番号]:[合計件数]],4,FALSE)</f>
        <v/>
      </c>
      <c r="F94" s="111" t="str">
        <f>VLOOKUP(名前リスト[[#This Row],[管理番号]],まとめ表_各Aパターン件数[[#All],[管理番号]:[Aパターン]],4,FALSE)</f>
        <v/>
      </c>
      <c r="G94" s="111"/>
      <c r="H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4" s="84"/>
    </row>
    <row r="95" spans="1:11" ht="19.5" customHeight="1">
      <c r="A95" s="2">
        <v>94</v>
      </c>
      <c r="B95" s="54" t="s">
        <v>168</v>
      </c>
      <c r="C95" s="55" t="s">
        <v>169</v>
      </c>
      <c r="D95" s="87" t="str">
        <f>VLOOKUP(名前リスト[[#This Row],[管理番号]],まとめ表_バック金額[[#All],[管理番号]:[バック金額合計]],4,FALSE)</f>
        <v/>
      </c>
      <c r="E95" s="80" t="str">
        <f>VLOOKUP(名前リスト[[#This Row],[管理番号]],まとめ表_各店舗件数[[#All],[管理番号]:[合計件数]],4,FALSE)</f>
        <v/>
      </c>
      <c r="F95" s="111" t="str">
        <f>VLOOKUP(名前リスト[[#This Row],[管理番号]],まとめ表_各Aパターン件数[[#All],[管理番号]:[Aパターン]],4,FALSE)</f>
        <v/>
      </c>
      <c r="G95" s="111"/>
      <c r="H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5" s="84"/>
    </row>
    <row r="96" spans="1:11" ht="19.5" customHeight="1">
      <c r="A96" s="2">
        <v>95</v>
      </c>
      <c r="B96" s="54" t="s">
        <v>170</v>
      </c>
      <c r="C96" s="55" t="s">
        <v>170</v>
      </c>
      <c r="D96" s="87" t="str">
        <f>VLOOKUP(名前リスト[[#This Row],[管理番号]],まとめ表_バック金額[[#All],[管理番号]:[バック金額合計]],4,FALSE)</f>
        <v/>
      </c>
      <c r="E96" s="80" t="str">
        <f>VLOOKUP(名前リスト[[#This Row],[管理番号]],まとめ表_各店舗件数[[#All],[管理番号]:[合計件数]],4,FALSE)</f>
        <v/>
      </c>
      <c r="F96" s="111" t="str">
        <f>VLOOKUP(名前リスト[[#This Row],[管理番号]],まとめ表_各Aパターン件数[[#All],[管理番号]:[Aパターン]],4,FALSE)</f>
        <v/>
      </c>
      <c r="G96" s="111"/>
      <c r="H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6" s="84"/>
    </row>
    <row r="97" spans="1:11" ht="19.5" customHeight="1">
      <c r="A97" s="2">
        <v>96</v>
      </c>
      <c r="B97" s="54" t="s">
        <v>171</v>
      </c>
      <c r="C97" s="55" t="s">
        <v>171</v>
      </c>
      <c r="D97" s="87" t="str">
        <f>VLOOKUP(名前リスト[[#This Row],[管理番号]],まとめ表_バック金額[[#All],[管理番号]:[バック金額合計]],4,FALSE)</f>
        <v/>
      </c>
      <c r="E97" s="80" t="str">
        <f>VLOOKUP(名前リスト[[#This Row],[管理番号]],まとめ表_各店舗件数[[#All],[管理番号]:[合計件数]],4,FALSE)</f>
        <v/>
      </c>
      <c r="F97" s="111" t="str">
        <f>VLOOKUP(名前リスト[[#This Row],[管理番号]],まとめ表_各Aパターン件数[[#All],[管理番号]:[Aパターン]],4,FALSE)</f>
        <v/>
      </c>
      <c r="G97" s="111"/>
      <c r="H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7" s="84"/>
    </row>
    <row r="98" spans="1:11" ht="19.5" customHeight="1">
      <c r="A98" s="2">
        <v>97</v>
      </c>
      <c r="B98" s="54" t="s">
        <v>172</v>
      </c>
      <c r="C98" s="55" t="s">
        <v>172</v>
      </c>
      <c r="D98" s="87" t="str">
        <f>VLOOKUP(名前リスト[[#This Row],[管理番号]],まとめ表_バック金額[[#All],[管理番号]:[バック金額合計]],4,FALSE)</f>
        <v/>
      </c>
      <c r="E98" s="80" t="str">
        <f>VLOOKUP(名前リスト[[#This Row],[管理番号]],まとめ表_各店舗件数[[#All],[管理番号]:[合計件数]],4,FALSE)</f>
        <v/>
      </c>
      <c r="F98" s="111" t="str">
        <f>VLOOKUP(名前リスト[[#This Row],[管理番号]],まとめ表_各Aパターン件数[[#All],[管理番号]:[Aパターン]],4,FALSE)</f>
        <v/>
      </c>
      <c r="G98" s="111"/>
      <c r="H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8" s="84"/>
    </row>
    <row r="99" spans="1:11" ht="19.5" customHeight="1">
      <c r="A99" s="2">
        <v>98</v>
      </c>
      <c r="B99" s="54" t="s">
        <v>173</v>
      </c>
      <c r="C99" s="55" t="s">
        <v>173</v>
      </c>
      <c r="D99" s="87" t="str">
        <f>VLOOKUP(名前リスト[[#This Row],[管理番号]],まとめ表_バック金額[[#All],[管理番号]:[バック金額合計]],4,FALSE)</f>
        <v/>
      </c>
      <c r="E99" s="80" t="str">
        <f>VLOOKUP(名前リスト[[#This Row],[管理番号]],まとめ表_各店舗件数[[#All],[管理番号]:[合計件数]],4,FALSE)</f>
        <v/>
      </c>
      <c r="F99" s="111" t="str">
        <f>VLOOKUP(名前リスト[[#This Row],[管理番号]],まとめ表_各Aパターン件数[[#All],[管理番号]:[Aパターン]],4,FALSE)</f>
        <v/>
      </c>
      <c r="G99" s="111"/>
      <c r="H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99" s="84"/>
    </row>
    <row r="100" spans="1:11" ht="19.5" customHeight="1">
      <c r="A100" s="2">
        <v>99</v>
      </c>
      <c r="B100" s="54" t="s">
        <v>174</v>
      </c>
      <c r="C100" s="55" t="s">
        <v>174</v>
      </c>
      <c r="D100" s="87" t="str">
        <f>VLOOKUP(名前リスト[[#This Row],[管理番号]],まとめ表_バック金額[[#All],[管理番号]:[バック金額合計]],4,FALSE)</f>
        <v/>
      </c>
      <c r="E100" s="80" t="str">
        <f>VLOOKUP(名前リスト[[#This Row],[管理番号]],まとめ表_各店舗件数[[#All],[管理番号]:[合計件数]],4,FALSE)</f>
        <v/>
      </c>
      <c r="F100" s="111" t="str">
        <f>VLOOKUP(名前リスト[[#This Row],[管理番号]],まとめ表_各Aパターン件数[[#All],[管理番号]:[Aパターン]],4,FALSE)</f>
        <v/>
      </c>
      <c r="G100" s="111"/>
      <c r="H1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0" s="84"/>
    </row>
    <row r="101" spans="1:11" ht="19.5" customHeight="1">
      <c r="A101" s="2">
        <v>100</v>
      </c>
      <c r="B101" s="54" t="s">
        <v>175</v>
      </c>
      <c r="C101" s="55" t="s">
        <v>175</v>
      </c>
      <c r="D101" s="87" t="str">
        <f>VLOOKUP(名前リスト[[#This Row],[管理番号]],まとめ表_バック金額[[#All],[管理番号]:[バック金額合計]],4,FALSE)</f>
        <v/>
      </c>
      <c r="E101" s="80" t="str">
        <f>VLOOKUP(名前リスト[[#This Row],[管理番号]],まとめ表_各店舗件数[[#All],[管理番号]:[合計件数]],4,FALSE)</f>
        <v/>
      </c>
      <c r="F101" s="111" t="str">
        <f>VLOOKUP(名前リスト[[#This Row],[管理番号]],まとめ表_各Aパターン件数[[#All],[管理番号]:[Aパターン]],4,FALSE)</f>
        <v/>
      </c>
      <c r="G101" s="111"/>
      <c r="H1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1" s="84"/>
    </row>
    <row r="102" spans="1:11" ht="19.5" customHeight="1">
      <c r="A102" s="2">
        <v>101</v>
      </c>
      <c r="B102" s="47" t="s">
        <v>286</v>
      </c>
      <c r="C102" s="55" t="s">
        <v>176</v>
      </c>
      <c r="D102" s="87" t="str">
        <f>VLOOKUP(名前リスト[[#This Row],[管理番号]],まとめ表_バック金額[[#All],[管理番号]:[バック金額合計]],4,FALSE)</f>
        <v/>
      </c>
      <c r="E102" s="80" t="str">
        <f>VLOOKUP(名前リスト[[#This Row],[管理番号]],まとめ表_各店舗件数[[#All],[管理番号]:[合計件数]],4,FALSE)</f>
        <v/>
      </c>
      <c r="F102" s="111" t="str">
        <f>VLOOKUP(名前リスト[[#This Row],[管理番号]],まとめ表_各Aパターン件数[[#All],[管理番号]:[Aパターン]],4,FALSE)</f>
        <v/>
      </c>
      <c r="G102" s="111"/>
      <c r="H1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2" s="84"/>
    </row>
    <row r="103" spans="1:11" ht="19.5" customHeight="1">
      <c r="A103" s="2">
        <v>102</v>
      </c>
      <c r="B103" s="54" t="s">
        <v>177</v>
      </c>
      <c r="C103" s="55" t="s">
        <v>177</v>
      </c>
      <c r="D103" s="87" t="str">
        <f>VLOOKUP(名前リスト[[#This Row],[管理番号]],まとめ表_バック金額[[#All],[管理番号]:[バック金額合計]],4,FALSE)</f>
        <v/>
      </c>
      <c r="E103" s="80" t="str">
        <f>VLOOKUP(名前リスト[[#This Row],[管理番号]],まとめ表_各店舗件数[[#All],[管理番号]:[合計件数]],4,FALSE)</f>
        <v/>
      </c>
      <c r="F103" s="111" t="str">
        <f>VLOOKUP(名前リスト[[#This Row],[管理番号]],まとめ表_各Aパターン件数[[#All],[管理番号]:[Aパターン]],4,FALSE)</f>
        <v/>
      </c>
      <c r="G103" s="111"/>
      <c r="H1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3" s="84"/>
    </row>
    <row r="104" spans="1:11" ht="19.5" customHeight="1">
      <c r="A104" s="2">
        <v>103</v>
      </c>
      <c r="B104" s="54" t="s">
        <v>178</v>
      </c>
      <c r="C104" s="55" t="s">
        <v>178</v>
      </c>
      <c r="D104" s="87" t="str">
        <f>VLOOKUP(名前リスト[[#This Row],[管理番号]],まとめ表_バック金額[[#All],[管理番号]:[バック金額合計]],4,FALSE)</f>
        <v/>
      </c>
      <c r="E104" s="80" t="str">
        <f>VLOOKUP(名前リスト[[#This Row],[管理番号]],まとめ表_各店舗件数[[#All],[管理番号]:[合計件数]],4,FALSE)</f>
        <v/>
      </c>
      <c r="F104" s="111" t="str">
        <f>VLOOKUP(名前リスト[[#This Row],[管理番号]],まとめ表_各Aパターン件数[[#All],[管理番号]:[Aパターン]],4,FALSE)</f>
        <v/>
      </c>
      <c r="G104" s="111"/>
      <c r="H1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4" s="84"/>
    </row>
    <row r="105" spans="1:11" ht="19.5" customHeight="1">
      <c r="A105" s="2">
        <v>104</v>
      </c>
      <c r="B105" s="54" t="s">
        <v>179</v>
      </c>
      <c r="C105" s="55" t="s">
        <v>179</v>
      </c>
      <c r="D105" s="87" t="str">
        <f>VLOOKUP(名前リスト[[#This Row],[管理番号]],まとめ表_バック金額[[#All],[管理番号]:[バック金額合計]],4,FALSE)</f>
        <v/>
      </c>
      <c r="E105" s="80" t="str">
        <f>VLOOKUP(名前リスト[[#This Row],[管理番号]],まとめ表_各店舗件数[[#All],[管理番号]:[合計件数]],4,FALSE)</f>
        <v/>
      </c>
      <c r="F105" s="111" t="str">
        <f>VLOOKUP(名前リスト[[#This Row],[管理番号]],まとめ表_各Aパターン件数[[#All],[管理番号]:[Aパターン]],4,FALSE)</f>
        <v/>
      </c>
      <c r="G105" s="111"/>
      <c r="H1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5" s="84"/>
    </row>
    <row r="106" spans="1:11" ht="19.5" customHeight="1">
      <c r="A106" s="2">
        <v>105</v>
      </c>
      <c r="B106" s="54" t="s">
        <v>180</v>
      </c>
      <c r="C106" s="55" t="s">
        <v>180</v>
      </c>
      <c r="D106" s="87" t="str">
        <f>VLOOKUP(名前リスト[[#This Row],[管理番号]],まとめ表_バック金額[[#All],[管理番号]:[バック金額合計]],4,FALSE)</f>
        <v/>
      </c>
      <c r="E106" s="80" t="str">
        <f>VLOOKUP(名前リスト[[#This Row],[管理番号]],まとめ表_各店舗件数[[#All],[管理番号]:[合計件数]],4,FALSE)</f>
        <v/>
      </c>
      <c r="F106" s="111" t="str">
        <f>VLOOKUP(名前リスト[[#This Row],[管理番号]],まとめ表_各Aパターン件数[[#All],[管理番号]:[Aパターン]],4,FALSE)</f>
        <v/>
      </c>
      <c r="G106" s="111"/>
      <c r="H1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6" s="84"/>
    </row>
    <row r="107" spans="1:11" ht="19.5" customHeight="1">
      <c r="A107" s="2">
        <v>106</v>
      </c>
      <c r="B107" s="54" t="s">
        <v>181</v>
      </c>
      <c r="C107" s="55" t="s">
        <v>181</v>
      </c>
      <c r="D107" s="87" t="str">
        <f>VLOOKUP(名前リスト[[#This Row],[管理番号]],まとめ表_バック金額[[#All],[管理番号]:[バック金額合計]],4,FALSE)</f>
        <v/>
      </c>
      <c r="E107" s="80" t="str">
        <f>VLOOKUP(名前リスト[[#This Row],[管理番号]],まとめ表_各店舗件数[[#All],[管理番号]:[合計件数]],4,FALSE)</f>
        <v/>
      </c>
      <c r="F107" s="111" t="str">
        <f>VLOOKUP(名前リスト[[#This Row],[管理番号]],まとめ表_各Aパターン件数[[#All],[管理番号]:[Aパターン]],4,FALSE)</f>
        <v/>
      </c>
      <c r="G107" s="111"/>
      <c r="H1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7" s="84"/>
    </row>
    <row r="108" spans="1:11" ht="19.5" customHeight="1">
      <c r="A108" s="2">
        <v>107</v>
      </c>
      <c r="B108" s="54" t="s">
        <v>182</v>
      </c>
      <c r="C108" s="54" t="s">
        <v>182</v>
      </c>
      <c r="D108" s="87" t="str">
        <f>VLOOKUP(名前リスト[[#This Row],[管理番号]],まとめ表_バック金額[[#All],[管理番号]:[バック金額合計]],4,FALSE)</f>
        <v/>
      </c>
      <c r="E108" s="80" t="str">
        <f>VLOOKUP(名前リスト[[#This Row],[管理番号]],まとめ表_各店舗件数[[#All],[管理番号]:[合計件数]],4,FALSE)</f>
        <v/>
      </c>
      <c r="F108" s="111" t="str">
        <f>VLOOKUP(名前リスト[[#This Row],[管理番号]],まとめ表_各Aパターン件数[[#All],[管理番号]:[Aパターン]],4,FALSE)</f>
        <v/>
      </c>
      <c r="G108" s="111"/>
      <c r="H1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8" s="84"/>
    </row>
    <row r="109" spans="1:11" ht="19.5" customHeight="1">
      <c r="A109" s="2">
        <v>108</v>
      </c>
      <c r="B109" s="54" t="s">
        <v>183</v>
      </c>
      <c r="C109" s="54" t="s">
        <v>183</v>
      </c>
      <c r="D109" s="87" t="str">
        <f>VLOOKUP(名前リスト[[#This Row],[管理番号]],まとめ表_バック金額[[#All],[管理番号]:[バック金額合計]],4,FALSE)</f>
        <v/>
      </c>
      <c r="E109" s="80" t="str">
        <f>VLOOKUP(名前リスト[[#This Row],[管理番号]],まとめ表_各店舗件数[[#All],[管理番号]:[合計件数]],4,FALSE)</f>
        <v/>
      </c>
      <c r="F109" s="111" t="str">
        <f>VLOOKUP(名前リスト[[#This Row],[管理番号]],まとめ表_各Aパターン件数[[#All],[管理番号]:[Aパターン]],4,FALSE)</f>
        <v/>
      </c>
      <c r="G109" s="111"/>
      <c r="H1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09" s="84"/>
    </row>
    <row r="110" spans="1:11" ht="19.5" customHeight="1">
      <c r="A110" s="2">
        <v>109</v>
      </c>
      <c r="B110" s="54" t="s">
        <v>184</v>
      </c>
      <c r="C110" s="54" t="s">
        <v>184</v>
      </c>
      <c r="D110" s="87" t="str">
        <f>VLOOKUP(名前リスト[[#This Row],[管理番号]],まとめ表_バック金額[[#All],[管理番号]:[バック金額合計]],4,FALSE)</f>
        <v/>
      </c>
      <c r="E110" s="80" t="str">
        <f>VLOOKUP(名前リスト[[#This Row],[管理番号]],まとめ表_各店舗件数[[#All],[管理番号]:[合計件数]],4,FALSE)</f>
        <v/>
      </c>
      <c r="F110" s="111" t="str">
        <f>VLOOKUP(名前リスト[[#This Row],[管理番号]],まとめ表_各Aパターン件数[[#All],[管理番号]:[Aパターン]],4,FALSE)</f>
        <v/>
      </c>
      <c r="G110" s="111"/>
      <c r="H11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0" s="84"/>
    </row>
    <row r="111" spans="1:11" ht="19.5" customHeight="1">
      <c r="A111" s="2">
        <v>110</v>
      </c>
      <c r="B111" s="54" t="s">
        <v>185</v>
      </c>
      <c r="C111" s="54" t="s">
        <v>185</v>
      </c>
      <c r="D111" s="87" t="str">
        <f>VLOOKUP(名前リスト[[#This Row],[管理番号]],まとめ表_バック金額[[#All],[管理番号]:[バック金額合計]],4,FALSE)</f>
        <v/>
      </c>
      <c r="E111" s="80" t="str">
        <f>VLOOKUP(名前リスト[[#This Row],[管理番号]],まとめ表_各店舗件数[[#All],[管理番号]:[合計件数]],4,FALSE)</f>
        <v/>
      </c>
      <c r="F111" s="111" t="str">
        <f>VLOOKUP(名前リスト[[#This Row],[管理番号]],まとめ表_各Aパターン件数[[#All],[管理番号]:[Aパターン]],4,FALSE)</f>
        <v/>
      </c>
      <c r="G111" s="111"/>
      <c r="H11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1" s="84"/>
    </row>
    <row r="112" spans="1:11" ht="19.5" customHeight="1">
      <c r="A112" s="2">
        <v>111</v>
      </c>
      <c r="B112" s="54" t="s">
        <v>186</v>
      </c>
      <c r="C112" s="54" t="s">
        <v>186</v>
      </c>
      <c r="D112" s="87" t="str">
        <f>VLOOKUP(名前リスト[[#This Row],[管理番号]],まとめ表_バック金額[[#All],[管理番号]:[バック金額合計]],4,FALSE)</f>
        <v/>
      </c>
      <c r="E112" s="80" t="str">
        <f>VLOOKUP(名前リスト[[#This Row],[管理番号]],まとめ表_各店舗件数[[#All],[管理番号]:[合計件数]],4,FALSE)</f>
        <v/>
      </c>
      <c r="F112" s="111" t="str">
        <f>VLOOKUP(名前リスト[[#This Row],[管理番号]],まとめ表_各Aパターン件数[[#All],[管理番号]:[Aパターン]],4,FALSE)</f>
        <v/>
      </c>
      <c r="G112" s="111"/>
      <c r="H11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2" s="84"/>
    </row>
    <row r="113" spans="1:11" ht="19.5" customHeight="1">
      <c r="A113" s="2">
        <v>112</v>
      </c>
      <c r="B113" s="54" t="s">
        <v>187</v>
      </c>
      <c r="C113" s="54" t="s">
        <v>187</v>
      </c>
      <c r="D113" s="87" t="str">
        <f>VLOOKUP(名前リスト[[#This Row],[管理番号]],まとめ表_バック金額[[#All],[管理番号]:[バック金額合計]],4,FALSE)</f>
        <v/>
      </c>
      <c r="E113" s="80" t="str">
        <f>VLOOKUP(名前リスト[[#This Row],[管理番号]],まとめ表_各店舗件数[[#All],[管理番号]:[合計件数]],4,FALSE)</f>
        <v/>
      </c>
      <c r="F113" s="111" t="str">
        <f>VLOOKUP(名前リスト[[#This Row],[管理番号]],まとめ表_各Aパターン件数[[#All],[管理番号]:[Aパターン]],4,FALSE)</f>
        <v/>
      </c>
      <c r="G113" s="111"/>
      <c r="H11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3" s="84"/>
    </row>
    <row r="114" spans="1:11" ht="19.5" customHeight="1">
      <c r="A114" s="2">
        <v>113</v>
      </c>
      <c r="B114" s="54" t="s">
        <v>188</v>
      </c>
      <c r="C114" s="54" t="s">
        <v>188</v>
      </c>
      <c r="D114" s="87" t="str">
        <f>VLOOKUP(名前リスト[[#This Row],[管理番号]],まとめ表_バック金額[[#All],[管理番号]:[バック金額合計]],4,FALSE)</f>
        <v/>
      </c>
      <c r="E114" s="80" t="str">
        <f>VLOOKUP(名前リスト[[#This Row],[管理番号]],まとめ表_各店舗件数[[#All],[管理番号]:[合計件数]],4,FALSE)</f>
        <v/>
      </c>
      <c r="F114" s="111" t="str">
        <f>VLOOKUP(名前リスト[[#This Row],[管理番号]],まとめ表_各Aパターン件数[[#All],[管理番号]:[Aパターン]],4,FALSE)</f>
        <v/>
      </c>
      <c r="G114" s="111"/>
      <c r="H11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4" s="84"/>
    </row>
    <row r="115" spans="1:11" ht="19.5" customHeight="1">
      <c r="A115" s="2">
        <v>114</v>
      </c>
      <c r="B115" s="54" t="s">
        <v>189</v>
      </c>
      <c r="C115" s="54" t="s">
        <v>189</v>
      </c>
      <c r="D115" s="87" t="str">
        <f>VLOOKUP(名前リスト[[#This Row],[管理番号]],まとめ表_バック金額[[#All],[管理番号]:[バック金額合計]],4,FALSE)</f>
        <v/>
      </c>
      <c r="E115" s="80" t="str">
        <f>VLOOKUP(名前リスト[[#This Row],[管理番号]],まとめ表_各店舗件数[[#All],[管理番号]:[合計件数]],4,FALSE)</f>
        <v/>
      </c>
      <c r="F115" s="111" t="str">
        <f>VLOOKUP(名前リスト[[#This Row],[管理番号]],まとめ表_各Aパターン件数[[#All],[管理番号]:[Aパターン]],4,FALSE)</f>
        <v/>
      </c>
      <c r="G115" s="111"/>
      <c r="H11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5" s="84"/>
    </row>
    <row r="116" spans="1:11" ht="19.5" customHeight="1">
      <c r="A116" s="2">
        <v>115</v>
      </c>
      <c r="B116" s="54" t="s">
        <v>190</v>
      </c>
      <c r="C116" s="54" t="s">
        <v>190</v>
      </c>
      <c r="D116" s="87" t="str">
        <f>VLOOKUP(名前リスト[[#This Row],[管理番号]],まとめ表_バック金額[[#All],[管理番号]:[バック金額合計]],4,FALSE)</f>
        <v/>
      </c>
      <c r="E116" s="80" t="str">
        <f>VLOOKUP(名前リスト[[#This Row],[管理番号]],まとめ表_各店舗件数[[#All],[管理番号]:[合計件数]],4,FALSE)</f>
        <v/>
      </c>
      <c r="F116" s="111" t="str">
        <f>VLOOKUP(名前リスト[[#This Row],[管理番号]],まとめ表_各Aパターン件数[[#All],[管理番号]:[Aパターン]],4,FALSE)</f>
        <v/>
      </c>
      <c r="G116" s="111"/>
      <c r="H11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6" s="84"/>
    </row>
    <row r="117" spans="1:11" ht="19.5" customHeight="1">
      <c r="A117" s="2">
        <v>116</v>
      </c>
      <c r="B117" s="54" t="s">
        <v>191</v>
      </c>
      <c r="C117" s="54" t="s">
        <v>191</v>
      </c>
      <c r="D117" s="87" t="str">
        <f>VLOOKUP(名前リスト[[#This Row],[管理番号]],まとめ表_バック金額[[#All],[管理番号]:[バック金額合計]],4,FALSE)</f>
        <v/>
      </c>
      <c r="E117" s="80" t="str">
        <f>VLOOKUP(名前リスト[[#This Row],[管理番号]],まとめ表_各店舗件数[[#All],[管理番号]:[合計件数]],4,FALSE)</f>
        <v/>
      </c>
      <c r="F117" s="111" t="str">
        <f>VLOOKUP(名前リスト[[#This Row],[管理番号]],まとめ表_各Aパターン件数[[#All],[管理番号]:[Aパターン]],4,FALSE)</f>
        <v/>
      </c>
      <c r="G117" s="111"/>
      <c r="H11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7" s="84"/>
    </row>
    <row r="118" spans="1:11" ht="19.5" customHeight="1">
      <c r="A118" s="2">
        <v>117</v>
      </c>
      <c r="B118" s="54" t="s">
        <v>192</v>
      </c>
      <c r="C118" s="54" t="s">
        <v>192</v>
      </c>
      <c r="D118" s="87" t="str">
        <f>VLOOKUP(名前リスト[[#This Row],[管理番号]],まとめ表_バック金額[[#All],[管理番号]:[バック金額合計]],4,FALSE)</f>
        <v/>
      </c>
      <c r="E118" s="80" t="str">
        <f>VLOOKUP(名前リスト[[#This Row],[管理番号]],まとめ表_各店舗件数[[#All],[管理番号]:[合計件数]],4,FALSE)</f>
        <v/>
      </c>
      <c r="F118" s="111" t="str">
        <f>VLOOKUP(名前リスト[[#This Row],[管理番号]],まとめ表_各Aパターン件数[[#All],[管理番号]:[Aパターン]],4,FALSE)</f>
        <v/>
      </c>
      <c r="G118" s="111"/>
      <c r="H11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8" s="84"/>
    </row>
    <row r="119" spans="1:11" ht="19.5" customHeight="1">
      <c r="A119" s="2">
        <v>118</v>
      </c>
      <c r="B119" s="54" t="s">
        <v>193</v>
      </c>
      <c r="C119" s="54" t="s">
        <v>193</v>
      </c>
      <c r="D119" s="87" t="str">
        <f>VLOOKUP(名前リスト[[#This Row],[管理番号]],まとめ表_バック金額[[#All],[管理番号]:[バック金額合計]],4,FALSE)</f>
        <v/>
      </c>
      <c r="E119" s="80" t="str">
        <f>VLOOKUP(名前リスト[[#This Row],[管理番号]],まとめ表_各店舗件数[[#All],[管理番号]:[合計件数]],4,FALSE)</f>
        <v/>
      </c>
      <c r="F119" s="111" t="str">
        <f>VLOOKUP(名前リスト[[#This Row],[管理番号]],まとめ表_各Aパターン件数[[#All],[管理番号]:[Aパターン]],4,FALSE)</f>
        <v/>
      </c>
      <c r="G119" s="111"/>
      <c r="H11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19" s="84"/>
    </row>
    <row r="120" spans="1:11" ht="19.5" customHeight="1">
      <c r="A120" s="2">
        <v>119</v>
      </c>
      <c r="B120" s="54" t="s">
        <v>194</v>
      </c>
      <c r="C120" s="54" t="s">
        <v>194</v>
      </c>
      <c r="D120" s="87" t="str">
        <f>VLOOKUP(名前リスト[[#This Row],[管理番号]],まとめ表_バック金額[[#All],[管理番号]:[バック金額合計]],4,FALSE)</f>
        <v/>
      </c>
      <c r="E120" s="80" t="str">
        <f>VLOOKUP(名前リスト[[#This Row],[管理番号]],まとめ表_各店舗件数[[#All],[管理番号]:[合計件数]],4,FALSE)</f>
        <v/>
      </c>
      <c r="F120" s="111" t="str">
        <f>VLOOKUP(名前リスト[[#This Row],[管理番号]],まとめ表_各Aパターン件数[[#All],[管理番号]:[Aパターン]],4,FALSE)</f>
        <v/>
      </c>
      <c r="G120" s="111"/>
      <c r="H12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0" s="84"/>
    </row>
    <row r="121" spans="1:11" ht="19.5" customHeight="1">
      <c r="A121" s="2">
        <v>120</v>
      </c>
      <c r="B121" s="54" t="s">
        <v>195</v>
      </c>
      <c r="C121" s="54" t="s">
        <v>195</v>
      </c>
      <c r="D121" s="87" t="str">
        <f>VLOOKUP(名前リスト[[#This Row],[管理番号]],まとめ表_バック金額[[#All],[管理番号]:[バック金額合計]],4,FALSE)</f>
        <v/>
      </c>
      <c r="E121" s="80" t="str">
        <f>VLOOKUP(名前リスト[[#This Row],[管理番号]],まとめ表_各店舗件数[[#All],[管理番号]:[合計件数]],4,FALSE)</f>
        <v/>
      </c>
      <c r="F121" s="111" t="str">
        <f>VLOOKUP(名前リスト[[#This Row],[管理番号]],まとめ表_各Aパターン件数[[#All],[管理番号]:[Aパターン]],4,FALSE)</f>
        <v/>
      </c>
      <c r="G121" s="111"/>
      <c r="H12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1" s="84"/>
    </row>
    <row r="122" spans="1:11" ht="19.5" customHeight="1">
      <c r="A122" s="2">
        <v>121</v>
      </c>
      <c r="B122" s="54" t="s">
        <v>196</v>
      </c>
      <c r="C122" s="55" t="s">
        <v>196</v>
      </c>
      <c r="D122" s="87" t="str">
        <f>VLOOKUP(名前リスト[[#This Row],[管理番号]],まとめ表_バック金額[[#All],[管理番号]:[バック金額合計]],4,FALSE)</f>
        <v/>
      </c>
      <c r="E122" s="80" t="str">
        <f>VLOOKUP(名前リスト[[#This Row],[管理番号]],まとめ表_各店舗件数[[#All],[管理番号]:[合計件数]],4,FALSE)</f>
        <v/>
      </c>
      <c r="F122" s="111" t="str">
        <f>VLOOKUP(名前リスト[[#This Row],[管理番号]],まとめ表_各Aパターン件数[[#All],[管理番号]:[Aパターン]],4,FALSE)</f>
        <v/>
      </c>
      <c r="G122" s="111"/>
      <c r="H12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2" s="84"/>
    </row>
    <row r="123" spans="1:11" ht="19.5" customHeight="1">
      <c r="A123" s="2">
        <v>122</v>
      </c>
      <c r="B123" s="47" t="s">
        <v>260</v>
      </c>
      <c r="C123" s="47" t="s">
        <v>260</v>
      </c>
      <c r="D123" s="87" t="str">
        <f>VLOOKUP(名前リスト[[#This Row],[管理番号]],まとめ表_バック金額[[#All],[管理番号]:[バック金額合計]],4,FALSE)</f>
        <v/>
      </c>
      <c r="E123" s="80" t="str">
        <f>VLOOKUP(名前リスト[[#This Row],[管理番号]],まとめ表_各店舗件数[[#All],[管理番号]:[合計件数]],4,FALSE)</f>
        <v/>
      </c>
      <c r="F123" s="111" t="str">
        <f>VLOOKUP(名前リスト[[#This Row],[管理番号]],まとめ表_各Aパターン件数[[#All],[管理番号]:[Aパターン]],4,FALSE)</f>
        <v/>
      </c>
      <c r="G123" s="111"/>
      <c r="H12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3" s="84"/>
    </row>
    <row r="124" spans="1:11" ht="19.5" customHeight="1">
      <c r="A124" s="2">
        <v>123</v>
      </c>
      <c r="B124" s="47" t="s">
        <v>261</v>
      </c>
      <c r="C124" s="47" t="s">
        <v>261</v>
      </c>
      <c r="D124" s="87" t="str">
        <f>VLOOKUP(名前リスト[[#This Row],[管理番号]],まとめ表_バック金額[[#All],[管理番号]:[バック金額合計]],4,FALSE)</f>
        <v/>
      </c>
      <c r="E124" s="80" t="str">
        <f>VLOOKUP(名前リスト[[#This Row],[管理番号]],まとめ表_各店舗件数[[#All],[管理番号]:[合計件数]],4,FALSE)</f>
        <v/>
      </c>
      <c r="F124" s="111" t="str">
        <f>VLOOKUP(名前リスト[[#This Row],[管理番号]],まとめ表_各Aパターン件数[[#All],[管理番号]:[Aパターン]],4,FALSE)</f>
        <v/>
      </c>
      <c r="G124" s="111"/>
      <c r="H12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4" s="84"/>
    </row>
    <row r="125" spans="1:11" ht="19.5" customHeight="1">
      <c r="A125" s="2">
        <v>124</v>
      </c>
      <c r="B125" s="47" t="s">
        <v>262</v>
      </c>
      <c r="C125" s="47" t="s">
        <v>262</v>
      </c>
      <c r="D125" s="87" t="str">
        <f>VLOOKUP(名前リスト[[#This Row],[管理番号]],まとめ表_バック金額[[#All],[管理番号]:[バック金額合計]],4,FALSE)</f>
        <v/>
      </c>
      <c r="E125" s="80" t="str">
        <f>VLOOKUP(名前リスト[[#This Row],[管理番号]],まとめ表_各店舗件数[[#All],[管理番号]:[合計件数]],4,FALSE)</f>
        <v/>
      </c>
      <c r="F125" s="111" t="str">
        <f>VLOOKUP(名前リスト[[#This Row],[管理番号]],まとめ表_各Aパターン件数[[#All],[管理番号]:[Aパターン]],4,FALSE)</f>
        <v/>
      </c>
      <c r="G125" s="111"/>
      <c r="H12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5" s="84"/>
    </row>
    <row r="126" spans="1:11" ht="19.5" customHeight="1">
      <c r="A126" s="2">
        <v>125</v>
      </c>
      <c r="B126" s="47" t="s">
        <v>263</v>
      </c>
      <c r="C126" s="47" t="s">
        <v>263</v>
      </c>
      <c r="D126" s="87" t="str">
        <f>VLOOKUP(名前リスト[[#This Row],[管理番号]],まとめ表_バック金額[[#All],[管理番号]:[バック金額合計]],4,FALSE)</f>
        <v/>
      </c>
      <c r="E126" s="80" t="str">
        <f>VLOOKUP(名前リスト[[#This Row],[管理番号]],まとめ表_各店舗件数[[#All],[管理番号]:[合計件数]],4,FALSE)</f>
        <v/>
      </c>
      <c r="F126" s="111" t="str">
        <f>VLOOKUP(名前リスト[[#This Row],[管理番号]],まとめ表_各Aパターン件数[[#All],[管理番号]:[Aパターン]],4,FALSE)</f>
        <v/>
      </c>
      <c r="G126" s="111"/>
      <c r="H12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6" s="84"/>
    </row>
    <row r="127" spans="1:11" ht="19.5" customHeight="1">
      <c r="A127" s="2">
        <v>126</v>
      </c>
      <c r="B127" s="47" t="s">
        <v>264</v>
      </c>
      <c r="C127" s="47" t="s">
        <v>264</v>
      </c>
      <c r="D127" s="87">
        <f>VLOOKUP(名前リスト[[#This Row],[管理番号]],まとめ表_バック金額[[#All],[管理番号]:[バック金額合計]],4,FALSE)</f>
        <v>32000</v>
      </c>
      <c r="E127" s="80">
        <f>VLOOKUP(名前リスト[[#This Row],[管理番号]],まとめ表_各店舗件数[[#All],[管理番号]:[合計件数]],4,FALSE)</f>
        <v>3</v>
      </c>
      <c r="F127" s="111">
        <f>VLOOKUP(名前リスト[[#This Row],[管理番号]],まとめ表_各Aパターン件数[[#All],[管理番号]:[Aパターン]],4,FALSE)</f>
        <v>3</v>
      </c>
      <c r="G127" s="111"/>
      <c r="H12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7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32000</v>
      </c>
      <c r="J127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2</v>
      </c>
      <c r="K127" s="84"/>
    </row>
    <row r="128" spans="1:11" ht="19.5" customHeight="1">
      <c r="A128" s="2">
        <v>127</v>
      </c>
      <c r="B128" s="47" t="s">
        <v>265</v>
      </c>
      <c r="C128" s="47" t="s">
        <v>265</v>
      </c>
      <c r="D128" s="87" t="str">
        <f>VLOOKUP(名前リスト[[#This Row],[管理番号]],まとめ表_バック金額[[#All],[管理番号]:[バック金額合計]],4,FALSE)</f>
        <v/>
      </c>
      <c r="E128" s="80" t="str">
        <f>VLOOKUP(名前リスト[[#This Row],[管理番号]],まとめ表_各店舗件数[[#All],[管理番号]:[合計件数]],4,FALSE)</f>
        <v/>
      </c>
      <c r="F128" s="111" t="str">
        <f>VLOOKUP(名前リスト[[#This Row],[管理番号]],まとめ表_各Aパターン件数[[#All],[管理番号]:[Aパターン]],4,FALSE)</f>
        <v/>
      </c>
      <c r="G128" s="111"/>
      <c r="H12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8" s="84"/>
    </row>
    <row r="129" spans="1:11" ht="19.5" customHeight="1">
      <c r="A129" s="2">
        <v>128</v>
      </c>
      <c r="B129" s="47" t="s">
        <v>266</v>
      </c>
      <c r="C129" s="47" t="s">
        <v>266</v>
      </c>
      <c r="D129" s="87" t="str">
        <f>VLOOKUP(名前リスト[[#This Row],[管理番号]],まとめ表_バック金額[[#All],[管理番号]:[バック金額合計]],4,FALSE)</f>
        <v/>
      </c>
      <c r="E129" s="80" t="str">
        <f>VLOOKUP(名前リスト[[#This Row],[管理番号]],まとめ表_各店舗件数[[#All],[管理番号]:[合計件数]],4,FALSE)</f>
        <v/>
      </c>
      <c r="F129" s="111" t="str">
        <f>VLOOKUP(名前リスト[[#This Row],[管理番号]],まとめ表_各Aパターン件数[[#All],[管理番号]:[Aパターン]],4,FALSE)</f>
        <v/>
      </c>
      <c r="G129" s="111"/>
      <c r="H12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29" s="84"/>
    </row>
    <row r="130" spans="1:11" ht="19.5" customHeight="1">
      <c r="A130" s="2">
        <v>129</v>
      </c>
      <c r="B130" s="47" t="s">
        <v>267</v>
      </c>
      <c r="C130" s="47" t="s">
        <v>267</v>
      </c>
      <c r="D130" s="87" t="str">
        <f>VLOOKUP(名前リスト[[#This Row],[管理番号]],まとめ表_バック金額[[#All],[管理番号]:[バック金額合計]],4,FALSE)</f>
        <v/>
      </c>
      <c r="E130" s="80" t="str">
        <f>VLOOKUP(名前リスト[[#This Row],[管理番号]],まとめ表_各店舗件数[[#All],[管理番号]:[合計件数]],4,FALSE)</f>
        <v/>
      </c>
      <c r="F130" s="111" t="str">
        <f>VLOOKUP(名前リスト[[#This Row],[管理番号]],まとめ表_各Aパターン件数[[#All],[管理番号]:[Aパターン]],4,FALSE)</f>
        <v/>
      </c>
      <c r="G130" s="111"/>
      <c r="H13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0" s="84"/>
    </row>
    <row r="131" spans="1:11" ht="19.5" customHeight="1">
      <c r="A131" s="2">
        <v>130</v>
      </c>
      <c r="B131" s="47" t="s">
        <v>268</v>
      </c>
      <c r="C131" s="47" t="s">
        <v>268</v>
      </c>
      <c r="D131" s="87" t="str">
        <f>VLOOKUP(名前リスト[[#This Row],[管理番号]],まとめ表_バック金額[[#All],[管理番号]:[バック金額合計]],4,FALSE)</f>
        <v/>
      </c>
      <c r="E131" s="80" t="str">
        <f>VLOOKUP(名前リスト[[#This Row],[管理番号]],まとめ表_各店舗件数[[#All],[管理番号]:[合計件数]],4,FALSE)</f>
        <v/>
      </c>
      <c r="F131" s="111" t="str">
        <f>VLOOKUP(名前リスト[[#This Row],[管理番号]],まとめ表_各Aパターン件数[[#All],[管理番号]:[Aパターン]],4,FALSE)</f>
        <v/>
      </c>
      <c r="G131" s="111"/>
      <c r="H13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1" s="84"/>
    </row>
    <row r="132" spans="1:11" ht="19.5" customHeight="1">
      <c r="A132" s="2">
        <v>131</v>
      </c>
      <c r="B132" s="47" t="s">
        <v>269</v>
      </c>
      <c r="C132" s="47" t="s">
        <v>269</v>
      </c>
      <c r="D132" s="87" t="str">
        <f>VLOOKUP(名前リスト[[#This Row],[管理番号]],まとめ表_バック金額[[#All],[管理番号]:[バック金額合計]],4,FALSE)</f>
        <v/>
      </c>
      <c r="E132" s="80" t="str">
        <f>VLOOKUP(名前リスト[[#This Row],[管理番号]],まとめ表_各店舗件数[[#All],[管理番号]:[合計件数]],4,FALSE)</f>
        <v/>
      </c>
      <c r="F132" s="111" t="str">
        <f>VLOOKUP(名前リスト[[#This Row],[管理番号]],まとめ表_各Aパターン件数[[#All],[管理番号]:[Aパターン]],4,FALSE)</f>
        <v/>
      </c>
      <c r="G132" s="111"/>
      <c r="H13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2" s="84"/>
    </row>
    <row r="133" spans="1:11" ht="19.5" customHeight="1">
      <c r="A133" s="2">
        <v>132</v>
      </c>
      <c r="B133" s="47" t="s">
        <v>270</v>
      </c>
      <c r="C133" s="47" t="s">
        <v>270</v>
      </c>
      <c r="D133" s="87" t="str">
        <f>VLOOKUP(名前リスト[[#This Row],[管理番号]],まとめ表_バック金額[[#All],[管理番号]:[バック金額合計]],4,FALSE)</f>
        <v/>
      </c>
      <c r="E133" s="80" t="str">
        <f>VLOOKUP(名前リスト[[#This Row],[管理番号]],まとめ表_各店舗件数[[#All],[管理番号]:[合計件数]],4,FALSE)</f>
        <v/>
      </c>
      <c r="F133" s="111" t="str">
        <f>VLOOKUP(名前リスト[[#This Row],[管理番号]],まとめ表_各Aパターン件数[[#All],[管理番号]:[Aパターン]],4,FALSE)</f>
        <v/>
      </c>
      <c r="G133" s="111"/>
      <c r="H13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3" s="84"/>
    </row>
    <row r="134" spans="1:11" ht="19.5" customHeight="1">
      <c r="A134" s="2">
        <v>133</v>
      </c>
      <c r="B134" s="47" t="s">
        <v>271</v>
      </c>
      <c r="C134" s="47" t="s">
        <v>271</v>
      </c>
      <c r="D134" s="87" t="str">
        <f>VLOOKUP(名前リスト[[#This Row],[管理番号]],まとめ表_バック金額[[#All],[管理番号]:[バック金額合計]],4,FALSE)</f>
        <v/>
      </c>
      <c r="E134" s="80" t="str">
        <f>VLOOKUP(名前リスト[[#This Row],[管理番号]],まとめ表_各店舗件数[[#All],[管理番号]:[合計件数]],4,FALSE)</f>
        <v/>
      </c>
      <c r="F134" s="111" t="str">
        <f>VLOOKUP(名前リスト[[#This Row],[管理番号]],まとめ表_各Aパターン件数[[#All],[管理番号]:[Aパターン]],4,FALSE)</f>
        <v/>
      </c>
      <c r="G134" s="111"/>
      <c r="H13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4" s="84"/>
    </row>
    <row r="135" spans="1:11" ht="19.5" customHeight="1">
      <c r="A135" s="2">
        <v>134</v>
      </c>
      <c r="B135" s="47" t="s">
        <v>272</v>
      </c>
      <c r="C135" s="47" t="s">
        <v>272</v>
      </c>
      <c r="D135" s="87">
        <f>VLOOKUP(名前リスト[[#This Row],[管理番号]],まとめ表_バック金額[[#All],[管理番号]:[バック金額合計]],4,FALSE)</f>
        <v>7000</v>
      </c>
      <c r="E135" s="80">
        <f>VLOOKUP(名前リスト[[#This Row],[管理番号]],まとめ表_各店舗件数[[#All],[管理番号]:[合計件数]],4,FALSE)</f>
        <v>1</v>
      </c>
      <c r="F135" s="111" t="str">
        <f>VLOOKUP(名前リスト[[#This Row],[管理番号]],まとめ表_各Aパターン件数[[#All],[管理番号]:[Aパターン]],4,FALSE)</f>
        <v/>
      </c>
      <c r="G135" s="111"/>
      <c r="H13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5" s="120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7000</v>
      </c>
      <c r="J135" s="88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5</v>
      </c>
      <c r="K135" s="84"/>
    </row>
    <row r="136" spans="1:11" ht="19.5" customHeight="1">
      <c r="A136" s="2">
        <v>135</v>
      </c>
      <c r="B136" s="47" t="s">
        <v>273</v>
      </c>
      <c r="C136" s="47" t="s">
        <v>273</v>
      </c>
      <c r="D136" s="87" t="str">
        <f>VLOOKUP(名前リスト[[#This Row],[管理番号]],まとめ表_バック金額[[#All],[管理番号]:[バック金額合計]],4,FALSE)</f>
        <v/>
      </c>
      <c r="E136" s="80" t="str">
        <f>VLOOKUP(名前リスト[[#This Row],[管理番号]],まとめ表_各店舗件数[[#All],[管理番号]:[合計件数]],4,FALSE)</f>
        <v/>
      </c>
      <c r="F136" s="111" t="str">
        <f>VLOOKUP(名前リスト[[#This Row],[管理番号]],まとめ表_各Aパターン件数[[#All],[管理番号]:[Aパターン]],4,FALSE)</f>
        <v/>
      </c>
      <c r="G136" s="111"/>
      <c r="H13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6" s="84"/>
    </row>
    <row r="137" spans="1:11" ht="19.5" customHeight="1">
      <c r="A137" s="2">
        <v>136</v>
      </c>
      <c r="B137" s="47" t="s">
        <v>274</v>
      </c>
      <c r="C137" s="47" t="s">
        <v>274</v>
      </c>
      <c r="D137" s="87" t="str">
        <f>VLOOKUP(名前リスト[[#This Row],[管理番号]],まとめ表_バック金額[[#All],[管理番号]:[バック金額合計]],4,FALSE)</f>
        <v/>
      </c>
      <c r="E137" s="80" t="str">
        <f>VLOOKUP(名前リスト[[#This Row],[管理番号]],まとめ表_各店舗件数[[#All],[管理番号]:[合計件数]],4,FALSE)</f>
        <v/>
      </c>
      <c r="F137" s="111" t="str">
        <f>VLOOKUP(名前リスト[[#This Row],[管理番号]],まとめ表_各Aパターン件数[[#All],[管理番号]:[Aパターン]],4,FALSE)</f>
        <v/>
      </c>
      <c r="G137" s="111"/>
      <c r="H13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7" s="84"/>
    </row>
    <row r="138" spans="1:11" ht="19.5" customHeight="1">
      <c r="A138" s="2">
        <v>137</v>
      </c>
      <c r="B138" s="47" t="s">
        <v>275</v>
      </c>
      <c r="C138" s="47" t="s">
        <v>275</v>
      </c>
      <c r="D138" s="87" t="str">
        <f>VLOOKUP(名前リスト[[#This Row],[管理番号]],まとめ表_バック金額[[#All],[管理番号]:[バック金額合計]],4,FALSE)</f>
        <v/>
      </c>
      <c r="E138" s="80" t="str">
        <f>VLOOKUP(名前リスト[[#This Row],[管理番号]],まとめ表_各店舗件数[[#All],[管理番号]:[合計件数]],4,FALSE)</f>
        <v/>
      </c>
      <c r="F138" s="111" t="str">
        <f>VLOOKUP(名前リスト[[#This Row],[管理番号]],まとめ表_各Aパターン件数[[#All],[管理番号]:[Aパターン]],4,FALSE)</f>
        <v/>
      </c>
      <c r="G138" s="111"/>
      <c r="H13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8" s="84"/>
    </row>
    <row r="139" spans="1:11" ht="19.5" customHeight="1">
      <c r="A139" s="2">
        <v>138</v>
      </c>
      <c r="B139" s="47" t="s">
        <v>276</v>
      </c>
      <c r="C139" s="47" t="s">
        <v>276</v>
      </c>
      <c r="D139" s="87" t="str">
        <f>VLOOKUP(名前リスト[[#This Row],[管理番号]],まとめ表_バック金額[[#All],[管理番号]:[バック金額合計]],4,FALSE)</f>
        <v/>
      </c>
      <c r="E139" s="80" t="str">
        <f>VLOOKUP(名前リスト[[#This Row],[管理番号]],まとめ表_各店舗件数[[#All],[管理番号]:[合計件数]],4,FALSE)</f>
        <v/>
      </c>
      <c r="F139" s="111" t="str">
        <f>VLOOKUP(名前リスト[[#This Row],[管理番号]],まとめ表_各Aパターン件数[[#All],[管理番号]:[Aパターン]],4,FALSE)</f>
        <v/>
      </c>
      <c r="G139" s="111"/>
      <c r="H13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39" s="84"/>
    </row>
    <row r="140" spans="1:11" ht="19.5" customHeight="1">
      <c r="A140" s="2">
        <v>139</v>
      </c>
      <c r="B140" s="47" t="s">
        <v>277</v>
      </c>
      <c r="C140" s="47" t="s">
        <v>277</v>
      </c>
      <c r="D140" s="87" t="str">
        <f>VLOOKUP(名前リスト[[#This Row],[管理番号]],まとめ表_バック金額[[#All],[管理番号]:[バック金額合計]],4,FALSE)</f>
        <v/>
      </c>
      <c r="E140" s="80" t="str">
        <f>VLOOKUP(名前リスト[[#This Row],[管理番号]],まとめ表_各店舗件数[[#All],[管理番号]:[合計件数]],4,FALSE)</f>
        <v/>
      </c>
      <c r="F140" s="111" t="str">
        <f>VLOOKUP(名前リスト[[#This Row],[管理番号]],まとめ表_各Aパターン件数[[#All],[管理番号]:[Aパターン]],4,FALSE)</f>
        <v/>
      </c>
      <c r="G140" s="111"/>
      <c r="H14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0" s="84"/>
    </row>
    <row r="141" spans="1:11" ht="19.5" customHeight="1">
      <c r="A141" s="2">
        <v>140</v>
      </c>
      <c r="B141" s="47" t="s">
        <v>278</v>
      </c>
      <c r="C141" s="47" t="s">
        <v>278</v>
      </c>
      <c r="D141" s="87" t="str">
        <f>VLOOKUP(名前リスト[[#This Row],[管理番号]],まとめ表_バック金額[[#All],[管理番号]:[バック金額合計]],4,FALSE)</f>
        <v/>
      </c>
      <c r="E141" s="80" t="str">
        <f>VLOOKUP(名前リスト[[#This Row],[管理番号]],まとめ表_各店舗件数[[#All],[管理番号]:[合計件数]],4,FALSE)</f>
        <v/>
      </c>
      <c r="F141" s="111" t="str">
        <f>VLOOKUP(名前リスト[[#This Row],[管理番号]],まとめ表_各Aパターン件数[[#All],[管理番号]:[Aパターン]],4,FALSE)</f>
        <v/>
      </c>
      <c r="G141" s="111"/>
      <c r="H14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1" s="84"/>
    </row>
    <row r="142" spans="1:11" ht="19.5" customHeight="1">
      <c r="A142" s="2">
        <v>141</v>
      </c>
      <c r="B142" s="47" t="s">
        <v>279</v>
      </c>
      <c r="C142" s="47" t="s">
        <v>279</v>
      </c>
      <c r="D142" s="87" t="str">
        <f>VLOOKUP(名前リスト[[#This Row],[管理番号]],まとめ表_バック金額[[#All],[管理番号]:[バック金額合計]],4,FALSE)</f>
        <v/>
      </c>
      <c r="E142" s="80" t="str">
        <f>VLOOKUP(名前リスト[[#This Row],[管理番号]],まとめ表_各店舗件数[[#All],[管理番号]:[合計件数]],4,FALSE)</f>
        <v/>
      </c>
      <c r="F142" s="111" t="str">
        <f>VLOOKUP(名前リスト[[#This Row],[管理番号]],まとめ表_各Aパターン件数[[#All],[管理番号]:[Aパターン]],4,FALSE)</f>
        <v/>
      </c>
      <c r="G142" s="111"/>
      <c r="H14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2" s="84"/>
    </row>
    <row r="143" spans="1:11" ht="19.5" customHeight="1">
      <c r="A143" s="2">
        <v>142</v>
      </c>
      <c r="B143" s="47" t="s">
        <v>281</v>
      </c>
      <c r="C143" s="47" t="s">
        <v>281</v>
      </c>
      <c r="D143" s="87" t="str">
        <f>VLOOKUP(名前リスト[[#This Row],[管理番号]],まとめ表_バック金額[[#All],[管理番号]:[バック金額合計]],4,FALSE)</f>
        <v/>
      </c>
      <c r="E143" s="80" t="str">
        <f>VLOOKUP(名前リスト[[#This Row],[管理番号]],まとめ表_各店舗件数[[#All],[管理番号]:[合計件数]],4,FALSE)</f>
        <v/>
      </c>
      <c r="F143" s="111" t="str">
        <f>VLOOKUP(名前リスト[[#This Row],[管理番号]],まとめ表_各Aパターン件数[[#All],[管理番号]:[Aパターン]],4,FALSE)</f>
        <v/>
      </c>
      <c r="G143" s="111"/>
      <c r="H14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3" s="84"/>
    </row>
    <row r="144" spans="1:11" ht="19.5" customHeight="1">
      <c r="A144" s="2">
        <v>143</v>
      </c>
      <c r="B144" s="47" t="s">
        <v>282</v>
      </c>
      <c r="C144" s="47" t="s">
        <v>282</v>
      </c>
      <c r="D144" s="87" t="str">
        <f>VLOOKUP(名前リスト[[#This Row],[管理番号]],まとめ表_バック金額[[#All],[管理番号]:[バック金額合計]],4,FALSE)</f>
        <v/>
      </c>
      <c r="E144" s="80" t="str">
        <f>VLOOKUP(名前リスト[[#This Row],[管理番号]],まとめ表_各店舗件数[[#All],[管理番号]:[合計件数]],4,FALSE)</f>
        <v/>
      </c>
      <c r="F144" s="111" t="str">
        <f>VLOOKUP(名前リスト[[#This Row],[管理番号]],まとめ表_各Aパターン件数[[#All],[管理番号]:[Aパターン]],4,FALSE)</f>
        <v/>
      </c>
      <c r="G144" s="111"/>
      <c r="H14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4" s="84"/>
    </row>
    <row r="145" spans="1:11" ht="19.5" customHeight="1">
      <c r="A145" s="2">
        <v>144</v>
      </c>
      <c r="B145" s="47" t="s">
        <v>283</v>
      </c>
      <c r="C145" s="47" t="s">
        <v>283</v>
      </c>
      <c r="D145" s="87" t="str">
        <f>VLOOKUP(名前リスト[[#This Row],[管理番号]],まとめ表_バック金額[[#All],[管理番号]:[バック金額合計]],4,FALSE)</f>
        <v/>
      </c>
      <c r="E145" s="80" t="str">
        <f>VLOOKUP(名前リスト[[#This Row],[管理番号]],まとめ表_各店舗件数[[#All],[管理番号]:[合計件数]],4,FALSE)</f>
        <v/>
      </c>
      <c r="F145" s="111" t="str">
        <f>VLOOKUP(名前リスト[[#This Row],[管理番号]],まとめ表_各Aパターン件数[[#All],[管理番号]:[Aパターン]],4,FALSE)</f>
        <v/>
      </c>
      <c r="G145" s="111"/>
      <c r="H14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5" s="84"/>
    </row>
    <row r="146" spans="1:11" ht="19.5" customHeight="1">
      <c r="A146" s="2">
        <v>145</v>
      </c>
      <c r="B146" s="47" t="s">
        <v>284</v>
      </c>
      <c r="C146" s="47" t="s">
        <v>284</v>
      </c>
      <c r="D146" s="87" t="str">
        <f>VLOOKUP(名前リスト[[#This Row],[管理番号]],まとめ表_バック金額[[#All],[管理番号]:[バック金額合計]],4,FALSE)</f>
        <v/>
      </c>
      <c r="E146" s="80" t="str">
        <f>VLOOKUP(名前リスト[[#This Row],[管理番号]],まとめ表_各店舗件数[[#All],[管理番号]:[合計件数]],4,FALSE)</f>
        <v/>
      </c>
      <c r="F146" s="111" t="str">
        <f>VLOOKUP(名前リスト[[#This Row],[管理番号]],まとめ表_各Aパターン件数[[#All],[管理番号]:[Aパターン]],4,FALSE)</f>
        <v/>
      </c>
      <c r="G146" s="111"/>
      <c r="H14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6" s="84"/>
    </row>
    <row r="147" spans="1:11" ht="19.5" customHeight="1">
      <c r="A147" s="2">
        <v>146</v>
      </c>
      <c r="B147" s="47" t="s">
        <v>285</v>
      </c>
      <c r="C147" s="47" t="s">
        <v>285</v>
      </c>
      <c r="D147" s="87" t="str">
        <f>VLOOKUP(名前リスト[[#This Row],[管理番号]],まとめ表_バック金額[[#All],[管理番号]:[バック金額合計]],4,FALSE)</f>
        <v/>
      </c>
      <c r="E147" s="80" t="str">
        <f>VLOOKUP(名前リスト[[#This Row],[管理番号]],まとめ表_各店舗件数[[#All],[管理番号]:[合計件数]],4,FALSE)</f>
        <v/>
      </c>
      <c r="F147" s="111" t="str">
        <f>VLOOKUP(名前リスト[[#This Row],[管理番号]],まとめ表_各Aパターン件数[[#All],[管理番号]:[Aパターン]],4,FALSE)</f>
        <v/>
      </c>
      <c r="G147" s="111"/>
      <c r="H14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7" s="84"/>
    </row>
    <row r="148" spans="1:11" ht="19.5" customHeight="1">
      <c r="A148" s="2">
        <v>147</v>
      </c>
      <c r="B148" s="47" t="s">
        <v>287</v>
      </c>
      <c r="C148" s="47" t="s">
        <v>287</v>
      </c>
      <c r="D148" s="87" t="str">
        <f>VLOOKUP(名前リスト[[#This Row],[管理番号]],まとめ表_バック金額[[#All],[管理番号]:[バック金額合計]],4,FALSE)</f>
        <v/>
      </c>
      <c r="E148" s="80" t="str">
        <f>VLOOKUP(名前リスト[[#This Row],[管理番号]],まとめ表_各店舗件数[[#All],[管理番号]:[合計件数]],4,FALSE)</f>
        <v/>
      </c>
      <c r="F148" s="111" t="str">
        <f>VLOOKUP(名前リスト[[#This Row],[管理番号]],まとめ表_各Aパターン件数[[#All],[管理番号]:[Aパターン]],4,FALSE)</f>
        <v/>
      </c>
      <c r="G148" s="111"/>
      <c r="H14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8" s="84"/>
    </row>
    <row r="149" spans="1:11" ht="19.5" customHeight="1">
      <c r="A149" s="2">
        <v>148</v>
      </c>
      <c r="B149" s="54" t="s">
        <v>288</v>
      </c>
      <c r="C149" s="54" t="s">
        <v>288</v>
      </c>
      <c r="D149" s="87" t="str">
        <f>VLOOKUP(名前リスト[[#This Row],[管理番号]],まとめ表_バック金額[[#All],[管理番号]:[バック金額合計]],4,FALSE)</f>
        <v/>
      </c>
      <c r="E149" s="80" t="str">
        <f>VLOOKUP(名前リスト[[#This Row],[管理番号]],まとめ表_各店舗件数[[#All],[管理番号]:[合計件数]],4,FALSE)</f>
        <v/>
      </c>
      <c r="F149" s="111" t="str">
        <f>VLOOKUP(名前リスト[[#This Row],[管理番号]],まとめ表_各Aパターン件数[[#All],[管理番号]:[Aパターン]],4,FALSE)</f>
        <v/>
      </c>
      <c r="G149" s="111"/>
      <c r="H14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49" s="84"/>
    </row>
    <row r="150" spans="1:11" ht="19.5" customHeight="1">
      <c r="A150" s="2">
        <v>149</v>
      </c>
      <c r="B150" s="54" t="s">
        <v>289</v>
      </c>
      <c r="C150" s="54" t="s">
        <v>289</v>
      </c>
      <c r="D150" s="87" t="str">
        <f>VLOOKUP(名前リスト[[#This Row],[管理番号]],まとめ表_バック金額[[#All],[管理番号]:[バック金額合計]],4,FALSE)</f>
        <v/>
      </c>
      <c r="E150" s="80" t="str">
        <f>VLOOKUP(名前リスト[[#This Row],[管理番号]],まとめ表_各店舗件数[[#All],[管理番号]:[合計件数]],4,FALSE)</f>
        <v/>
      </c>
      <c r="F150" s="111" t="str">
        <f>VLOOKUP(名前リスト[[#This Row],[管理番号]],まとめ表_各Aパターン件数[[#All],[管理番号]:[Aパターン]],4,FALSE)</f>
        <v/>
      </c>
      <c r="G150" s="111"/>
      <c r="H150" s="111"/>
      <c r="I1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0" s="84"/>
    </row>
    <row r="151" spans="1:11" ht="19.5" customHeight="1">
      <c r="A151" s="2">
        <v>150</v>
      </c>
      <c r="B151" s="54" t="s">
        <v>290</v>
      </c>
      <c r="C151" s="54" t="s">
        <v>290</v>
      </c>
      <c r="D151" s="87" t="str">
        <f>VLOOKUP(名前リスト[[#This Row],[管理番号]],まとめ表_バック金額[[#All],[管理番号]:[バック金額合計]],4,FALSE)</f>
        <v/>
      </c>
      <c r="E151" s="80" t="str">
        <f>VLOOKUP(名前リスト[[#This Row],[管理番号]],まとめ表_各店舗件数[[#All],[管理番号]:[合計件数]],4,FALSE)</f>
        <v/>
      </c>
      <c r="F151" s="111" t="str">
        <f>VLOOKUP(名前リスト[[#This Row],[管理番号]],まとめ表_各Aパターン件数[[#All],[管理番号]:[Aパターン]],4,FALSE)</f>
        <v/>
      </c>
      <c r="G151" s="111"/>
      <c r="H15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1" s="84"/>
    </row>
    <row r="152" spans="1:11" ht="19.5" customHeight="1">
      <c r="A152" s="3">
        <v>151</v>
      </c>
      <c r="B152" s="4" t="s">
        <v>291</v>
      </c>
      <c r="C152" s="4" t="s">
        <v>291</v>
      </c>
      <c r="D152" s="87" t="str">
        <f>VLOOKUP(名前リスト[[#This Row],[管理番号]],まとめ表_バック金額[[#All],[管理番号]:[バック金額合計]],4,FALSE)</f>
        <v/>
      </c>
      <c r="E152" s="80" t="str">
        <f>VLOOKUP(名前リスト[[#This Row],[管理番号]],まとめ表_各店舗件数[[#All],[管理番号]:[合計件数]],4,FALSE)</f>
        <v/>
      </c>
      <c r="F152" s="111" t="str">
        <f>VLOOKUP(名前リスト[[#This Row],[管理番号]],まとめ表_各Aパターン件数[[#All],[管理番号]:[Aパターン]],4,FALSE)</f>
        <v/>
      </c>
      <c r="G152" s="111"/>
      <c r="H15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2" s="84"/>
    </row>
    <row r="153" spans="1:11" ht="19.5" customHeight="1">
      <c r="A153" s="3">
        <v>152</v>
      </c>
      <c r="B153" s="4" t="s">
        <v>292</v>
      </c>
      <c r="C153" s="4" t="s">
        <v>292</v>
      </c>
      <c r="D153" s="87" t="str">
        <f>VLOOKUP(名前リスト[[#This Row],[管理番号]],まとめ表_バック金額[[#All],[管理番号]:[バック金額合計]],4,FALSE)</f>
        <v/>
      </c>
      <c r="E153" s="80" t="str">
        <f>VLOOKUP(名前リスト[[#This Row],[管理番号]],まとめ表_各店舗件数[[#All],[管理番号]:[合計件数]],4,FALSE)</f>
        <v/>
      </c>
      <c r="F153" s="111" t="str">
        <f>VLOOKUP(名前リスト[[#This Row],[管理番号]],まとめ表_各Aパターン件数[[#All],[管理番号]:[Aパターン]],4,FALSE)</f>
        <v/>
      </c>
      <c r="G153" s="111"/>
      <c r="H15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3" s="84"/>
    </row>
    <row r="154" spans="1:11" ht="19.5" customHeight="1">
      <c r="A154" s="3">
        <v>153</v>
      </c>
      <c r="B154" s="58" t="s">
        <v>293</v>
      </c>
      <c r="C154" s="5" t="s">
        <v>294</v>
      </c>
      <c r="D154" s="87" t="str">
        <f>VLOOKUP(名前リスト[[#This Row],[管理番号]],まとめ表_バック金額[[#All],[管理番号]:[バック金額合計]],4,FALSE)</f>
        <v/>
      </c>
      <c r="E154" s="80" t="str">
        <f>VLOOKUP(名前リスト[[#This Row],[管理番号]],まとめ表_各店舗件数[[#All],[管理番号]:[合計件数]],4,FALSE)</f>
        <v/>
      </c>
      <c r="F154" s="111" t="str">
        <f>VLOOKUP(名前リスト[[#This Row],[管理番号]],まとめ表_各Aパターン件数[[#All],[管理番号]:[Aパターン]],4,FALSE)</f>
        <v/>
      </c>
      <c r="G154" s="111"/>
      <c r="H15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4" s="84"/>
    </row>
    <row r="155" spans="1:11" ht="15" customHeight="1">
      <c r="A155" s="3">
        <v>154</v>
      </c>
      <c r="B155" s="58" t="s">
        <v>295</v>
      </c>
      <c r="C155" s="5" t="s">
        <v>296</v>
      </c>
      <c r="D155" s="87" t="str">
        <f>VLOOKUP(名前リスト[[#This Row],[管理番号]],まとめ表_バック金額[[#All],[管理番号]:[バック金額合計]],4,FALSE)</f>
        <v/>
      </c>
      <c r="E155" s="80" t="str">
        <f>VLOOKUP(名前リスト[[#This Row],[管理番号]],まとめ表_各店舗件数[[#All],[管理番号]:[合計件数]],4,FALSE)</f>
        <v/>
      </c>
      <c r="F155" s="111" t="str">
        <f>VLOOKUP(名前リスト[[#This Row],[管理番号]],まとめ表_各Aパターン件数[[#All],[管理番号]:[Aパターン]],4,FALSE)</f>
        <v/>
      </c>
      <c r="G155" s="111"/>
      <c r="H15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5" s="84"/>
    </row>
    <row r="156" spans="1:11" ht="15" customHeight="1">
      <c r="A156" s="3">
        <v>155</v>
      </c>
      <c r="B156" s="58" t="s">
        <v>297</v>
      </c>
      <c r="C156" s="5" t="s">
        <v>298</v>
      </c>
      <c r="D156" s="87" t="str">
        <f>VLOOKUP(名前リスト[[#This Row],[管理番号]],まとめ表_バック金額[[#All],[管理番号]:[バック金額合計]],4,FALSE)</f>
        <v/>
      </c>
      <c r="E156" s="80" t="str">
        <f>VLOOKUP(名前リスト[[#This Row],[管理番号]],まとめ表_各店舗件数[[#All],[管理番号]:[合計件数]],4,FALSE)</f>
        <v/>
      </c>
      <c r="F156" s="111" t="str">
        <f>VLOOKUP(名前リスト[[#This Row],[管理番号]],まとめ表_各Aパターン件数[[#All],[管理番号]:[Aパターン]],4,FALSE)</f>
        <v/>
      </c>
      <c r="G156" s="111"/>
      <c r="H15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6" s="84"/>
    </row>
    <row r="157" spans="1:11" ht="15" customHeight="1">
      <c r="A157" s="3">
        <v>156</v>
      </c>
      <c r="B157" s="58" t="s">
        <v>299</v>
      </c>
      <c r="C157" s="5" t="s">
        <v>300</v>
      </c>
      <c r="D157" s="87" t="str">
        <f>VLOOKUP(名前リスト[[#This Row],[管理番号]],まとめ表_バック金額[[#All],[管理番号]:[バック金額合計]],4,FALSE)</f>
        <v/>
      </c>
      <c r="E157" s="80" t="str">
        <f>VLOOKUP(名前リスト[[#This Row],[管理番号]],まとめ表_各店舗件数[[#All],[管理番号]:[合計件数]],4,FALSE)</f>
        <v/>
      </c>
      <c r="F157" s="111" t="str">
        <f>VLOOKUP(名前リスト[[#This Row],[管理番号]],まとめ表_各Aパターン件数[[#All],[管理番号]:[Aパターン]],4,FALSE)</f>
        <v/>
      </c>
      <c r="G157" s="111"/>
      <c r="H1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7" s="84"/>
    </row>
    <row r="158" spans="1:11" ht="15" customHeight="1">
      <c r="A158" s="3">
        <v>157</v>
      </c>
      <c r="B158" s="58" t="s">
        <v>301</v>
      </c>
      <c r="C158" s="5" t="s">
        <v>302</v>
      </c>
      <c r="D158" s="87" t="str">
        <f>VLOOKUP(名前リスト[[#This Row],[管理番号]],まとめ表_バック金額[[#All],[管理番号]:[バック金額合計]],4,FALSE)</f>
        <v/>
      </c>
      <c r="E158" s="80" t="str">
        <f>VLOOKUP(名前リスト[[#This Row],[管理番号]],まとめ表_各店舗件数[[#All],[管理番号]:[合計件数]],4,FALSE)</f>
        <v/>
      </c>
      <c r="F158" s="111" t="str">
        <f>VLOOKUP(名前リスト[[#This Row],[管理番号]],まとめ表_各Aパターン件数[[#All],[管理番号]:[Aパターン]],4,FALSE)</f>
        <v/>
      </c>
      <c r="G158" s="111"/>
      <c r="H15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8" s="84"/>
    </row>
    <row r="159" spans="1:11" ht="15" customHeight="1">
      <c r="A159" s="3">
        <v>158</v>
      </c>
      <c r="B159" s="58" t="s">
        <v>303</v>
      </c>
      <c r="C159" s="5" t="s">
        <v>304</v>
      </c>
      <c r="D159" s="87" t="str">
        <f>VLOOKUP(名前リスト[[#This Row],[管理番号]],まとめ表_バック金額[[#All],[管理番号]:[バック金額合計]],4,FALSE)</f>
        <v/>
      </c>
      <c r="E159" s="80" t="str">
        <f>VLOOKUP(名前リスト[[#This Row],[管理番号]],まとめ表_各店舗件数[[#All],[管理番号]:[合計件数]],4,FALSE)</f>
        <v/>
      </c>
      <c r="F159" s="111" t="str">
        <f>VLOOKUP(名前リスト[[#This Row],[管理番号]],まとめ表_各Aパターン件数[[#All],[管理番号]:[Aパターン]],4,FALSE)</f>
        <v/>
      </c>
      <c r="G159" s="111"/>
      <c r="H15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59" s="84"/>
    </row>
    <row r="160" spans="1:11" ht="15" customHeight="1">
      <c r="A160" s="3">
        <v>159</v>
      </c>
      <c r="B160" s="58" t="s">
        <v>305</v>
      </c>
      <c r="C160" s="5" t="s">
        <v>306</v>
      </c>
      <c r="D160" s="87" t="str">
        <f>VLOOKUP(名前リスト[[#This Row],[管理番号]],まとめ表_バック金額[[#All],[管理番号]:[バック金額合計]],4,FALSE)</f>
        <v/>
      </c>
      <c r="E160" s="80" t="str">
        <f>VLOOKUP(名前リスト[[#This Row],[管理番号]],まとめ表_各店舗件数[[#All],[管理番号]:[合計件数]],4,FALSE)</f>
        <v/>
      </c>
      <c r="F160" s="111" t="str">
        <f>VLOOKUP(名前リスト[[#This Row],[管理番号]],まとめ表_各Aパターン件数[[#All],[管理番号]:[Aパターン]],4,FALSE)</f>
        <v/>
      </c>
      <c r="G160" s="111"/>
      <c r="H16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0" s="84"/>
    </row>
    <row r="161" spans="1:11" ht="15" customHeight="1">
      <c r="A161" s="3">
        <v>160</v>
      </c>
      <c r="B161" s="58" t="s">
        <v>307</v>
      </c>
      <c r="C161" s="5" t="s">
        <v>308</v>
      </c>
      <c r="D161" s="87" t="str">
        <f>VLOOKUP(名前リスト[[#This Row],[管理番号]],まとめ表_バック金額[[#All],[管理番号]:[バック金額合計]],4,FALSE)</f>
        <v/>
      </c>
      <c r="E161" s="80" t="str">
        <f>VLOOKUP(名前リスト[[#This Row],[管理番号]],まとめ表_各店舗件数[[#All],[管理番号]:[合計件数]],4,FALSE)</f>
        <v/>
      </c>
      <c r="F161" s="111" t="str">
        <f>VLOOKUP(名前リスト[[#This Row],[管理番号]],まとめ表_各Aパターン件数[[#All],[管理番号]:[Aパターン]],4,FALSE)</f>
        <v/>
      </c>
      <c r="G161" s="111"/>
      <c r="H16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1" s="84"/>
    </row>
    <row r="162" spans="1:11" ht="15" customHeight="1">
      <c r="A162" s="3">
        <v>161</v>
      </c>
      <c r="B162" s="58" t="s">
        <v>309</v>
      </c>
      <c r="C162" s="5" t="s">
        <v>310</v>
      </c>
      <c r="D162" s="87" t="str">
        <f>VLOOKUP(名前リスト[[#This Row],[管理番号]],まとめ表_バック金額[[#All],[管理番号]:[バック金額合計]],4,FALSE)</f>
        <v/>
      </c>
      <c r="E162" s="80" t="str">
        <f>VLOOKUP(名前リスト[[#This Row],[管理番号]],まとめ表_各店舗件数[[#All],[管理番号]:[合計件数]],4,FALSE)</f>
        <v/>
      </c>
      <c r="F162" s="111" t="str">
        <f>VLOOKUP(名前リスト[[#This Row],[管理番号]],まとめ表_各Aパターン件数[[#All],[管理番号]:[Aパターン]],4,FALSE)</f>
        <v/>
      </c>
      <c r="G162" s="111"/>
      <c r="H16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2" s="84"/>
    </row>
    <row r="163" spans="1:11" ht="15" customHeight="1">
      <c r="A163" s="3">
        <v>162</v>
      </c>
      <c r="B163" s="58" t="s">
        <v>311</v>
      </c>
      <c r="C163" s="5" t="s">
        <v>312</v>
      </c>
      <c r="D163" s="87" t="str">
        <f>VLOOKUP(名前リスト[[#This Row],[管理番号]],まとめ表_バック金額[[#All],[管理番号]:[バック金額合計]],4,FALSE)</f>
        <v/>
      </c>
      <c r="E163" s="80" t="str">
        <f>VLOOKUP(名前リスト[[#This Row],[管理番号]],まとめ表_各店舗件数[[#All],[管理番号]:[合計件数]],4,FALSE)</f>
        <v/>
      </c>
      <c r="F163" s="111" t="str">
        <f>VLOOKUP(名前リスト[[#This Row],[管理番号]],まとめ表_各Aパターン件数[[#All],[管理番号]:[Aパターン]],4,FALSE)</f>
        <v/>
      </c>
      <c r="G163" s="111"/>
      <c r="H16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3" s="84"/>
    </row>
    <row r="164" spans="1:11" ht="15" customHeight="1">
      <c r="A164" s="3">
        <v>163</v>
      </c>
      <c r="B164" s="58" t="s">
        <v>313</v>
      </c>
      <c r="C164" s="5" t="s">
        <v>314</v>
      </c>
      <c r="D164" s="87" t="str">
        <f>VLOOKUP(名前リスト[[#This Row],[管理番号]],まとめ表_バック金額[[#All],[管理番号]:[バック金額合計]],4,FALSE)</f>
        <v/>
      </c>
      <c r="E164" s="80" t="str">
        <f>VLOOKUP(名前リスト[[#This Row],[管理番号]],まとめ表_各店舗件数[[#All],[管理番号]:[合計件数]],4,FALSE)</f>
        <v/>
      </c>
      <c r="F164" s="111" t="str">
        <f>VLOOKUP(名前リスト[[#This Row],[管理番号]],まとめ表_各Aパターン件数[[#All],[管理番号]:[Aパターン]],4,FALSE)</f>
        <v/>
      </c>
      <c r="G164" s="111"/>
      <c r="H16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4" s="84"/>
    </row>
    <row r="165" spans="1:11" ht="15" customHeight="1">
      <c r="A165" s="3">
        <v>164</v>
      </c>
      <c r="B165" s="58" t="s">
        <v>315</v>
      </c>
      <c r="C165" s="5" t="s">
        <v>316</v>
      </c>
      <c r="D165" s="87" t="str">
        <f>VLOOKUP(名前リスト[[#This Row],[管理番号]],まとめ表_バック金額[[#All],[管理番号]:[バック金額合計]],4,FALSE)</f>
        <v/>
      </c>
      <c r="E165" s="80" t="str">
        <f>VLOOKUP(名前リスト[[#This Row],[管理番号]],まとめ表_各店舗件数[[#All],[管理番号]:[合計件数]],4,FALSE)</f>
        <v/>
      </c>
      <c r="F165" s="111" t="str">
        <f>VLOOKUP(名前リスト[[#This Row],[管理番号]],まとめ表_各Aパターン件数[[#All],[管理番号]:[Aパターン]],4,FALSE)</f>
        <v/>
      </c>
      <c r="G165" s="111"/>
      <c r="H16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5" s="84"/>
    </row>
    <row r="166" spans="1:11" ht="15" customHeight="1">
      <c r="A166" s="3">
        <v>165</v>
      </c>
      <c r="B166" s="58" t="s">
        <v>330</v>
      </c>
      <c r="C166" s="58" t="s">
        <v>330</v>
      </c>
      <c r="D166" s="87" t="str">
        <f>VLOOKUP(名前リスト[[#This Row],[管理番号]],まとめ表_バック金額[[#All],[管理番号]:[バック金額合計]],4,FALSE)</f>
        <v/>
      </c>
      <c r="E166" s="80" t="str">
        <f>VLOOKUP(名前リスト[[#This Row],[管理番号]],まとめ表_各店舗件数[[#All],[管理番号]:[合計件数]],4,FALSE)</f>
        <v/>
      </c>
      <c r="F166" s="111" t="str">
        <f>VLOOKUP(名前リスト[[#This Row],[管理番号]],まとめ表_各Aパターン件数[[#All],[管理番号]:[Aパターン]],4,FALSE)</f>
        <v/>
      </c>
      <c r="G166" s="111"/>
      <c r="H16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6" s="84"/>
    </row>
    <row r="167" spans="1:11" ht="15" customHeight="1">
      <c r="A167" s="3">
        <v>166</v>
      </c>
      <c r="B167" s="58" t="s">
        <v>331</v>
      </c>
      <c r="C167" s="58" t="s">
        <v>331</v>
      </c>
      <c r="D167" s="87" t="str">
        <f>VLOOKUP(名前リスト[[#This Row],[管理番号]],まとめ表_バック金額[[#All],[管理番号]:[バック金額合計]],4,FALSE)</f>
        <v/>
      </c>
      <c r="E167" s="80" t="str">
        <f>VLOOKUP(名前リスト[[#This Row],[管理番号]],まとめ表_各店舗件数[[#All],[管理番号]:[合計件数]],4,FALSE)</f>
        <v/>
      </c>
      <c r="F167" s="111" t="str">
        <f>VLOOKUP(名前リスト[[#This Row],[管理番号]],まとめ表_各Aパターン件数[[#All],[管理番号]:[Aパターン]],4,FALSE)</f>
        <v/>
      </c>
      <c r="G167" s="111"/>
      <c r="H16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7" s="84"/>
    </row>
    <row r="168" spans="1:11" ht="15" customHeight="1">
      <c r="A168" s="3">
        <v>167</v>
      </c>
      <c r="B168" s="58" t="s">
        <v>332</v>
      </c>
      <c r="C168" s="58" t="s">
        <v>332</v>
      </c>
      <c r="D168" s="87" t="str">
        <f>VLOOKUP(名前リスト[[#This Row],[管理番号]],まとめ表_バック金額[[#All],[管理番号]:[バック金額合計]],4,FALSE)</f>
        <v/>
      </c>
      <c r="E168" s="80" t="str">
        <f>VLOOKUP(名前リスト[[#This Row],[管理番号]],まとめ表_各店舗件数[[#All],[管理番号]:[合計件数]],4,FALSE)</f>
        <v/>
      </c>
      <c r="F168" s="111" t="str">
        <f>VLOOKUP(名前リスト[[#This Row],[管理番号]],まとめ表_各Aパターン件数[[#All],[管理番号]:[Aパターン]],4,FALSE)</f>
        <v/>
      </c>
      <c r="G168" s="111"/>
      <c r="H16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8" s="84"/>
    </row>
    <row r="169" spans="1:11" ht="15" customHeight="1">
      <c r="A169" s="3">
        <v>168</v>
      </c>
      <c r="B169" s="58" t="s">
        <v>333</v>
      </c>
      <c r="C169" s="58" t="s">
        <v>333</v>
      </c>
      <c r="D169" s="87" t="str">
        <f>VLOOKUP(名前リスト[[#This Row],[管理番号]],まとめ表_バック金額[[#All],[管理番号]:[バック金額合計]],4,FALSE)</f>
        <v/>
      </c>
      <c r="E169" s="80" t="str">
        <f>VLOOKUP(名前リスト[[#This Row],[管理番号]],まとめ表_各店舗件数[[#All],[管理番号]:[合計件数]],4,FALSE)</f>
        <v/>
      </c>
      <c r="F169" s="111" t="str">
        <f>VLOOKUP(名前リスト[[#This Row],[管理番号]],まとめ表_各Aパターン件数[[#All],[管理番号]:[Aパターン]],4,FALSE)</f>
        <v/>
      </c>
      <c r="G169" s="111"/>
      <c r="H16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69" s="84"/>
    </row>
    <row r="170" spans="1:11" ht="15" customHeight="1">
      <c r="A170" s="3">
        <v>169</v>
      </c>
      <c r="B170" s="58" t="s">
        <v>334</v>
      </c>
      <c r="C170" s="58" t="s">
        <v>334</v>
      </c>
      <c r="D170" s="87" t="str">
        <f>VLOOKUP(名前リスト[[#This Row],[管理番号]],まとめ表_バック金額[[#All],[管理番号]:[バック金額合計]],4,FALSE)</f>
        <v/>
      </c>
      <c r="E170" s="80" t="str">
        <f>VLOOKUP(名前リスト[[#This Row],[管理番号]],まとめ表_各店舗件数[[#All],[管理番号]:[合計件数]],4,FALSE)</f>
        <v/>
      </c>
      <c r="F170" s="111" t="str">
        <f>VLOOKUP(名前リスト[[#This Row],[管理番号]],まとめ表_各Aパターン件数[[#All],[管理番号]:[Aパターン]],4,FALSE)</f>
        <v/>
      </c>
      <c r="G170" s="111"/>
      <c r="H17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0" s="84"/>
    </row>
    <row r="171" spans="1:11" ht="15" customHeight="1">
      <c r="A171" s="3">
        <v>170</v>
      </c>
      <c r="B171" s="58" t="s">
        <v>335</v>
      </c>
      <c r="C171" s="58" t="s">
        <v>335</v>
      </c>
      <c r="D171" s="87" t="str">
        <f>VLOOKUP(名前リスト[[#This Row],[管理番号]],まとめ表_バック金額[[#All],[管理番号]:[バック金額合計]],4,FALSE)</f>
        <v/>
      </c>
      <c r="E171" s="80" t="str">
        <f>VLOOKUP(名前リスト[[#This Row],[管理番号]],まとめ表_各店舗件数[[#All],[管理番号]:[合計件数]],4,FALSE)</f>
        <v/>
      </c>
      <c r="F171" s="111" t="str">
        <f>VLOOKUP(名前リスト[[#This Row],[管理番号]],まとめ表_各Aパターン件数[[#All],[管理番号]:[Aパターン]],4,FALSE)</f>
        <v/>
      </c>
      <c r="G171" s="111"/>
      <c r="H17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1" s="84"/>
    </row>
    <row r="172" spans="1:11" ht="15" customHeight="1">
      <c r="A172" s="3">
        <v>171</v>
      </c>
      <c r="B172" s="58" t="s">
        <v>336</v>
      </c>
      <c r="C172" s="58" t="s">
        <v>336</v>
      </c>
      <c r="D172" s="87" t="str">
        <f>VLOOKUP(名前リスト[[#This Row],[管理番号]],まとめ表_バック金額[[#All],[管理番号]:[バック金額合計]],4,FALSE)</f>
        <v/>
      </c>
      <c r="E172" s="80" t="str">
        <f>VLOOKUP(名前リスト[[#This Row],[管理番号]],まとめ表_各店舗件数[[#All],[管理番号]:[合計件数]],4,FALSE)</f>
        <v/>
      </c>
      <c r="F172" s="111" t="str">
        <f>VLOOKUP(名前リスト[[#This Row],[管理番号]],まとめ表_各Aパターン件数[[#All],[管理番号]:[Aパターン]],4,FALSE)</f>
        <v/>
      </c>
      <c r="G172" s="111"/>
      <c r="H17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2" s="84"/>
    </row>
    <row r="173" spans="1:11" ht="15" customHeight="1">
      <c r="A173" s="3">
        <v>172</v>
      </c>
      <c r="B173" s="58" t="s">
        <v>337</v>
      </c>
      <c r="C173" s="58" t="s">
        <v>337</v>
      </c>
      <c r="D173" s="87" t="str">
        <f>VLOOKUP(名前リスト[[#This Row],[管理番号]],まとめ表_バック金額[[#All],[管理番号]:[バック金額合計]],4,FALSE)</f>
        <v/>
      </c>
      <c r="E173" s="80" t="str">
        <f>VLOOKUP(名前リスト[[#This Row],[管理番号]],まとめ表_各店舗件数[[#All],[管理番号]:[合計件数]],4,FALSE)</f>
        <v/>
      </c>
      <c r="F173" s="111" t="str">
        <f>VLOOKUP(名前リスト[[#This Row],[管理番号]],まとめ表_各Aパターン件数[[#All],[管理番号]:[Aパターン]],4,FALSE)</f>
        <v/>
      </c>
      <c r="G173" s="111"/>
      <c r="H17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3" s="84"/>
    </row>
    <row r="174" spans="1:11" ht="15" customHeight="1">
      <c r="A174" s="3">
        <v>173</v>
      </c>
      <c r="B174" s="58" t="s">
        <v>338</v>
      </c>
      <c r="C174" s="58" t="s">
        <v>338</v>
      </c>
      <c r="D174" s="87" t="str">
        <f>VLOOKUP(名前リスト[[#This Row],[管理番号]],まとめ表_バック金額[[#All],[管理番号]:[バック金額合計]],4,FALSE)</f>
        <v/>
      </c>
      <c r="E174" s="80" t="str">
        <f>VLOOKUP(名前リスト[[#This Row],[管理番号]],まとめ表_各店舗件数[[#All],[管理番号]:[合計件数]],4,FALSE)</f>
        <v/>
      </c>
      <c r="F174" s="111" t="str">
        <f>VLOOKUP(名前リスト[[#This Row],[管理番号]],まとめ表_各Aパターン件数[[#All],[管理番号]:[Aパターン]],4,FALSE)</f>
        <v/>
      </c>
      <c r="G174" s="111"/>
      <c r="H17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4" s="84"/>
    </row>
    <row r="175" spans="1:11" ht="15" customHeight="1">
      <c r="A175" s="3">
        <v>174</v>
      </c>
      <c r="B175" s="58" t="s">
        <v>339</v>
      </c>
      <c r="C175" s="58" t="s">
        <v>339</v>
      </c>
      <c r="D175" s="87" t="str">
        <f>VLOOKUP(名前リスト[[#This Row],[管理番号]],まとめ表_バック金額[[#All],[管理番号]:[バック金額合計]],4,FALSE)</f>
        <v/>
      </c>
      <c r="E175" s="80" t="str">
        <f>VLOOKUP(名前リスト[[#This Row],[管理番号]],まとめ表_各店舗件数[[#All],[管理番号]:[合計件数]],4,FALSE)</f>
        <v/>
      </c>
      <c r="F175" s="111" t="str">
        <f>VLOOKUP(名前リスト[[#This Row],[管理番号]],まとめ表_各Aパターン件数[[#All],[管理番号]:[Aパターン]],4,FALSE)</f>
        <v/>
      </c>
      <c r="G175" s="111"/>
      <c r="H17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5" s="84"/>
    </row>
    <row r="176" spans="1:11" ht="15" customHeight="1">
      <c r="A176" s="3">
        <v>175</v>
      </c>
      <c r="B176" s="58" t="s">
        <v>340</v>
      </c>
      <c r="C176" s="58" t="s">
        <v>340</v>
      </c>
      <c r="D176" s="87" t="str">
        <f>VLOOKUP(名前リスト[[#This Row],[管理番号]],まとめ表_バック金額[[#All],[管理番号]:[バック金額合計]],4,FALSE)</f>
        <v/>
      </c>
      <c r="E176" s="80" t="str">
        <f>VLOOKUP(名前リスト[[#This Row],[管理番号]],まとめ表_各店舗件数[[#All],[管理番号]:[合計件数]],4,FALSE)</f>
        <v/>
      </c>
      <c r="F176" s="111" t="str">
        <f>VLOOKUP(名前リスト[[#This Row],[管理番号]],まとめ表_各Aパターン件数[[#All],[管理番号]:[Aパターン]],4,FALSE)</f>
        <v/>
      </c>
      <c r="G176" s="111"/>
      <c r="H17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6" s="84"/>
    </row>
    <row r="177" spans="1:11" ht="15" customHeight="1">
      <c r="A177" s="3">
        <v>176</v>
      </c>
      <c r="B177" s="58" t="s">
        <v>341</v>
      </c>
      <c r="C177" s="58" t="s">
        <v>341</v>
      </c>
      <c r="D177" s="87" t="str">
        <f>VLOOKUP(名前リスト[[#This Row],[管理番号]],まとめ表_バック金額[[#All],[管理番号]:[バック金額合計]],4,FALSE)</f>
        <v/>
      </c>
      <c r="E177" s="80" t="str">
        <f>VLOOKUP(名前リスト[[#This Row],[管理番号]],まとめ表_各店舗件数[[#All],[管理番号]:[合計件数]],4,FALSE)</f>
        <v/>
      </c>
      <c r="F177" s="111" t="str">
        <f>VLOOKUP(名前リスト[[#This Row],[管理番号]],まとめ表_各Aパターン件数[[#All],[管理番号]:[Aパターン]],4,FALSE)</f>
        <v/>
      </c>
      <c r="G177" s="111"/>
      <c r="H17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7" s="84"/>
    </row>
    <row r="178" spans="1:11" ht="15" customHeight="1">
      <c r="A178" s="3">
        <v>177</v>
      </c>
      <c r="B178" s="4" t="s">
        <v>345</v>
      </c>
      <c r="C178" s="5" t="s">
        <v>345</v>
      </c>
      <c r="D178" s="87" t="str">
        <f>VLOOKUP(名前リスト[[#This Row],[管理番号]],まとめ表_バック金額[[#All],[管理番号]:[バック金額合計]],4,FALSE)</f>
        <v/>
      </c>
      <c r="E178" s="80" t="str">
        <f>VLOOKUP(名前リスト[[#This Row],[管理番号]],まとめ表_各店舗件数[[#All],[管理番号]:[合計件数]],4,FALSE)</f>
        <v/>
      </c>
      <c r="F178" s="111" t="str">
        <f>VLOOKUP(名前リスト[[#This Row],[管理番号]],まとめ表_各Aパターン件数[[#All],[管理番号]:[Aパターン]],4,FALSE)</f>
        <v/>
      </c>
      <c r="G178" s="111"/>
      <c r="H17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8" s="84"/>
    </row>
    <row r="179" spans="1:11" ht="15" customHeight="1">
      <c r="A179" s="3">
        <v>178</v>
      </c>
      <c r="B179" s="4" t="s">
        <v>346</v>
      </c>
      <c r="C179" s="5" t="s">
        <v>346</v>
      </c>
      <c r="D179" s="87" t="str">
        <f>VLOOKUP(名前リスト[[#This Row],[管理番号]],まとめ表_バック金額[[#All],[管理番号]:[バック金額合計]],4,FALSE)</f>
        <v/>
      </c>
      <c r="E179" s="80" t="str">
        <f>VLOOKUP(名前リスト[[#This Row],[管理番号]],まとめ表_各店舗件数[[#All],[管理番号]:[合計件数]],4,FALSE)</f>
        <v/>
      </c>
      <c r="F179" s="111" t="str">
        <f>VLOOKUP(名前リスト[[#This Row],[管理番号]],まとめ表_各Aパターン件数[[#All],[管理番号]:[Aパターン]],4,FALSE)</f>
        <v/>
      </c>
      <c r="G179" s="111"/>
      <c r="H17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79" s="84"/>
    </row>
    <row r="180" spans="1:11" ht="15" customHeight="1">
      <c r="A180" s="3">
        <v>179</v>
      </c>
      <c r="B180" s="4" t="s">
        <v>347</v>
      </c>
      <c r="C180" s="5" t="s">
        <v>347</v>
      </c>
      <c r="D180" s="87" t="str">
        <f>VLOOKUP(名前リスト[[#This Row],[管理番号]],まとめ表_バック金額[[#All],[管理番号]:[バック金額合計]],4,FALSE)</f>
        <v/>
      </c>
      <c r="E180" s="80" t="str">
        <f>VLOOKUP(名前リスト[[#This Row],[管理番号]],まとめ表_各店舗件数[[#All],[管理番号]:[合計件数]],4,FALSE)</f>
        <v/>
      </c>
      <c r="F180" s="111" t="str">
        <f>VLOOKUP(名前リスト[[#This Row],[管理番号]],まとめ表_各Aパターン件数[[#All],[管理番号]:[Aパターン]],4,FALSE)</f>
        <v/>
      </c>
      <c r="G180" s="111"/>
      <c r="H18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0" s="84"/>
    </row>
    <row r="181" spans="1:11" ht="15" customHeight="1">
      <c r="A181" s="3">
        <v>180</v>
      </c>
      <c r="B181" s="4" t="s">
        <v>348</v>
      </c>
      <c r="C181" s="5" t="s">
        <v>348</v>
      </c>
      <c r="D181" s="87" t="str">
        <f>VLOOKUP(名前リスト[[#This Row],[管理番号]],まとめ表_バック金額[[#All],[管理番号]:[バック金額合計]],4,FALSE)</f>
        <v/>
      </c>
      <c r="E181" s="80" t="str">
        <f>VLOOKUP(名前リスト[[#This Row],[管理番号]],まとめ表_各店舗件数[[#All],[管理番号]:[合計件数]],4,FALSE)</f>
        <v/>
      </c>
      <c r="F181" s="111" t="str">
        <f>VLOOKUP(名前リスト[[#This Row],[管理番号]],まとめ表_各Aパターン件数[[#All],[管理番号]:[Aパターン]],4,FALSE)</f>
        <v/>
      </c>
      <c r="G181" s="111"/>
      <c r="H18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1" s="84"/>
    </row>
    <row r="182" spans="1:11" ht="15" customHeight="1">
      <c r="A182" s="3">
        <v>181</v>
      </c>
      <c r="B182" s="4" t="s">
        <v>349</v>
      </c>
      <c r="C182" s="5" t="s">
        <v>349</v>
      </c>
      <c r="D182" s="87" t="str">
        <f>VLOOKUP(名前リスト[[#This Row],[管理番号]],まとめ表_バック金額[[#All],[管理番号]:[バック金額合計]],4,FALSE)</f>
        <v/>
      </c>
      <c r="E182" s="80" t="str">
        <f>VLOOKUP(名前リスト[[#This Row],[管理番号]],まとめ表_各店舗件数[[#All],[管理番号]:[合計件数]],4,FALSE)</f>
        <v/>
      </c>
      <c r="F182" s="111" t="str">
        <f>VLOOKUP(名前リスト[[#This Row],[管理番号]],まとめ表_各Aパターン件数[[#All],[管理番号]:[Aパターン]],4,FALSE)</f>
        <v/>
      </c>
      <c r="G182" s="111"/>
      <c r="H18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2" s="84"/>
    </row>
    <row r="183" spans="1:11" ht="15" customHeight="1">
      <c r="A183" s="3">
        <v>182</v>
      </c>
      <c r="B183" s="4" t="s">
        <v>350</v>
      </c>
      <c r="C183" s="5" t="s">
        <v>350</v>
      </c>
      <c r="D183" s="87" t="str">
        <f>VLOOKUP(名前リスト[[#This Row],[管理番号]],まとめ表_バック金額[[#All],[管理番号]:[バック金額合計]],4,FALSE)</f>
        <v/>
      </c>
      <c r="E183" s="80" t="str">
        <f>VLOOKUP(名前リスト[[#This Row],[管理番号]],まとめ表_各店舗件数[[#All],[管理番号]:[合計件数]],4,FALSE)</f>
        <v/>
      </c>
      <c r="F183" s="111" t="str">
        <f>VLOOKUP(名前リスト[[#This Row],[管理番号]],まとめ表_各Aパターン件数[[#All],[管理番号]:[Aパターン]],4,FALSE)</f>
        <v/>
      </c>
      <c r="G183" s="111"/>
      <c r="H18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3" s="84"/>
    </row>
    <row r="184" spans="1:11" ht="15" customHeight="1">
      <c r="A184" s="3">
        <v>183</v>
      </c>
      <c r="B184" s="4" t="s">
        <v>351</v>
      </c>
      <c r="C184" s="5" t="s">
        <v>351</v>
      </c>
      <c r="D184" s="87" t="str">
        <f>VLOOKUP(名前リスト[[#This Row],[管理番号]],まとめ表_バック金額[[#All],[管理番号]:[バック金額合計]],4,FALSE)</f>
        <v/>
      </c>
      <c r="E184" s="80" t="str">
        <f>VLOOKUP(名前リスト[[#This Row],[管理番号]],まとめ表_各店舗件数[[#All],[管理番号]:[合計件数]],4,FALSE)</f>
        <v/>
      </c>
      <c r="F184" s="111" t="str">
        <f>VLOOKUP(名前リスト[[#This Row],[管理番号]],まとめ表_各Aパターン件数[[#All],[管理番号]:[Aパターン]],4,FALSE)</f>
        <v/>
      </c>
      <c r="G184" s="111"/>
      <c r="H18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4" s="84"/>
    </row>
    <row r="185" spans="1:11" ht="15" customHeight="1">
      <c r="A185" s="3">
        <v>184</v>
      </c>
      <c r="B185" s="58" t="s">
        <v>352</v>
      </c>
      <c r="C185" s="91" t="s">
        <v>352</v>
      </c>
      <c r="D185" s="87" t="str">
        <f>VLOOKUP(名前リスト[[#This Row],[管理番号]],まとめ表_バック金額[[#All],[管理番号]:[バック金額合計]],4,FALSE)</f>
        <v/>
      </c>
      <c r="E185" s="80" t="str">
        <f>VLOOKUP(名前リスト[[#This Row],[管理番号]],まとめ表_各店舗件数[[#All],[管理番号]:[合計件数]],4,FALSE)</f>
        <v/>
      </c>
      <c r="F185" s="111" t="str">
        <f>VLOOKUP(名前リスト[[#This Row],[管理番号]],まとめ表_各Aパターン件数[[#All],[管理番号]:[Aパターン]],4,FALSE)</f>
        <v/>
      </c>
      <c r="G185" s="111"/>
      <c r="H18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5" s="84"/>
    </row>
    <row r="186" spans="1:11" ht="15" customHeight="1">
      <c r="A186" s="3">
        <v>185</v>
      </c>
      <c r="B186" s="58" t="s">
        <v>353</v>
      </c>
      <c r="C186" s="91" t="s">
        <v>353</v>
      </c>
      <c r="D186" s="87" t="str">
        <f>VLOOKUP(名前リスト[[#This Row],[管理番号]],まとめ表_バック金額[[#All],[管理番号]:[バック金額合計]],4,FALSE)</f>
        <v/>
      </c>
      <c r="E186" s="80" t="str">
        <f>VLOOKUP(名前リスト[[#This Row],[管理番号]],まとめ表_各店舗件数[[#All],[管理番号]:[合計件数]],4,FALSE)</f>
        <v/>
      </c>
      <c r="F186" s="111" t="str">
        <f>VLOOKUP(名前リスト[[#This Row],[管理番号]],まとめ表_各Aパターン件数[[#All],[管理番号]:[Aパターン]],4,FALSE)</f>
        <v/>
      </c>
      <c r="G186" s="111"/>
      <c r="H18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6" s="84"/>
    </row>
    <row r="187" spans="1:11" ht="15" customHeight="1">
      <c r="A187" s="3">
        <v>186</v>
      </c>
      <c r="B187" s="58" t="s">
        <v>354</v>
      </c>
      <c r="C187" s="91" t="s">
        <v>354</v>
      </c>
      <c r="D187" s="87" t="str">
        <f>VLOOKUP(名前リスト[[#This Row],[管理番号]],まとめ表_バック金額[[#All],[管理番号]:[バック金額合計]],4,FALSE)</f>
        <v/>
      </c>
      <c r="E187" s="80" t="str">
        <f>VLOOKUP(名前リスト[[#This Row],[管理番号]],まとめ表_各店舗件数[[#All],[管理番号]:[合計件数]],4,FALSE)</f>
        <v/>
      </c>
      <c r="F187" s="111" t="str">
        <f>VLOOKUP(名前リスト[[#This Row],[管理番号]],まとめ表_各Aパターン件数[[#All],[管理番号]:[Aパターン]],4,FALSE)</f>
        <v/>
      </c>
      <c r="G187" s="111"/>
      <c r="H18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7" s="84"/>
    </row>
    <row r="188" spans="1:11" ht="15" customHeight="1">
      <c r="A188" s="3">
        <v>187</v>
      </c>
      <c r="B188" s="58" t="s">
        <v>355</v>
      </c>
      <c r="C188" s="91" t="s">
        <v>355</v>
      </c>
      <c r="D188" s="87" t="str">
        <f>VLOOKUP(名前リスト[[#This Row],[管理番号]],まとめ表_バック金額[[#All],[管理番号]:[バック金額合計]],4,FALSE)</f>
        <v/>
      </c>
      <c r="E188" s="80" t="str">
        <f>VLOOKUP(名前リスト[[#This Row],[管理番号]],まとめ表_各店舗件数[[#All],[管理番号]:[合計件数]],4,FALSE)</f>
        <v/>
      </c>
      <c r="F188" s="111" t="str">
        <f>VLOOKUP(名前リスト[[#This Row],[管理番号]],まとめ表_各Aパターン件数[[#All],[管理番号]:[Aパターン]],4,FALSE)</f>
        <v/>
      </c>
      <c r="G188" s="111"/>
      <c r="H18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8" s="84"/>
    </row>
    <row r="189" spans="1:11" ht="15" customHeight="1">
      <c r="A189" s="3">
        <v>188</v>
      </c>
      <c r="B189" s="58" t="s">
        <v>356</v>
      </c>
      <c r="C189" s="91" t="s">
        <v>356</v>
      </c>
      <c r="D189" s="87" t="str">
        <f>VLOOKUP(名前リスト[[#This Row],[管理番号]],まとめ表_バック金額[[#All],[管理番号]:[バック金額合計]],4,FALSE)</f>
        <v/>
      </c>
      <c r="E189" s="80" t="str">
        <f>VLOOKUP(名前リスト[[#This Row],[管理番号]],まとめ表_各店舗件数[[#All],[管理番号]:[合計件数]],4,FALSE)</f>
        <v/>
      </c>
      <c r="F189" s="111" t="str">
        <f>VLOOKUP(名前リスト[[#This Row],[管理番号]],まとめ表_各Aパターン件数[[#All],[管理番号]:[Aパターン]],4,FALSE)</f>
        <v/>
      </c>
      <c r="G189" s="111"/>
      <c r="H18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89" s="84"/>
    </row>
    <row r="190" spans="1:11" ht="15" customHeight="1">
      <c r="A190" s="3">
        <v>189</v>
      </c>
      <c r="B190" s="58" t="s">
        <v>358</v>
      </c>
      <c r="C190" s="91" t="s">
        <v>358</v>
      </c>
      <c r="D190" s="87" t="str">
        <f>VLOOKUP(名前リスト[[#This Row],[管理番号]],まとめ表_バック金額[[#All],[管理番号]:[バック金額合計]],4,FALSE)</f>
        <v/>
      </c>
      <c r="E190" s="80" t="str">
        <f>VLOOKUP(名前リスト[[#This Row],[管理番号]],まとめ表_各店舗件数[[#All],[管理番号]:[合計件数]],4,FALSE)</f>
        <v/>
      </c>
      <c r="F190" s="111" t="str">
        <f>VLOOKUP(名前リスト[[#This Row],[管理番号]],まとめ表_各Aパターン件数[[#All],[管理番号]:[Aパターン]],4,FALSE)</f>
        <v/>
      </c>
      <c r="G190" s="111"/>
      <c r="H19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0" s="84"/>
    </row>
    <row r="191" spans="1:11" ht="15" customHeight="1">
      <c r="A191" s="3">
        <v>190</v>
      </c>
      <c r="B191" s="58" t="s">
        <v>359</v>
      </c>
      <c r="C191" s="58" t="s">
        <v>359</v>
      </c>
      <c r="D191" s="87" t="str">
        <f>VLOOKUP(名前リスト[[#This Row],[管理番号]],まとめ表_バック金額[[#All],[管理番号]:[バック金額合計]],4,FALSE)</f>
        <v/>
      </c>
      <c r="E191" s="80" t="str">
        <f>VLOOKUP(名前リスト[[#This Row],[管理番号]],まとめ表_各店舗件数[[#All],[管理番号]:[合計件数]],4,FALSE)</f>
        <v/>
      </c>
      <c r="F191" s="111" t="str">
        <f>VLOOKUP(名前リスト[[#This Row],[管理番号]],まとめ表_各Aパターン件数[[#All],[管理番号]:[Aパターン]],4,FALSE)</f>
        <v/>
      </c>
      <c r="G191" s="111"/>
      <c r="H19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1" s="84"/>
    </row>
    <row r="192" spans="1:11" ht="15" customHeight="1">
      <c r="A192" s="3">
        <v>191</v>
      </c>
      <c r="B192" s="4" t="s">
        <v>357</v>
      </c>
      <c r="C192" s="4" t="s">
        <v>357</v>
      </c>
      <c r="D192" s="87" t="str">
        <f>VLOOKUP(名前リスト[[#This Row],[管理番号]],まとめ表_バック金額[[#All],[管理番号]:[バック金額合計]],4,FALSE)</f>
        <v/>
      </c>
      <c r="E192" s="80" t="str">
        <f>VLOOKUP(名前リスト[[#This Row],[管理番号]],まとめ表_各店舗件数[[#All],[管理番号]:[合計件数]],4,FALSE)</f>
        <v/>
      </c>
      <c r="F192" s="111" t="str">
        <f>VLOOKUP(名前リスト[[#This Row],[管理番号]],まとめ表_各Aパターン件数[[#All],[管理番号]:[Aパターン]],4,FALSE)</f>
        <v/>
      </c>
      <c r="G192" s="111"/>
      <c r="H19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2" s="84"/>
    </row>
    <row r="193" spans="1:11" ht="15" customHeight="1">
      <c r="A193" s="3">
        <v>192</v>
      </c>
      <c r="B193" s="58" t="s">
        <v>360</v>
      </c>
      <c r="C193" s="58" t="s">
        <v>360</v>
      </c>
      <c r="D193" s="87" t="str">
        <f>VLOOKUP(名前リスト[[#This Row],[管理番号]],まとめ表_バック金額[[#All],[管理番号]:[バック金額合計]],4,FALSE)</f>
        <v/>
      </c>
      <c r="E193" s="80" t="str">
        <f>VLOOKUP(名前リスト[[#This Row],[管理番号]],まとめ表_各店舗件数[[#All],[管理番号]:[合計件数]],4,FALSE)</f>
        <v/>
      </c>
      <c r="F193" s="111" t="str">
        <f>VLOOKUP(名前リスト[[#This Row],[管理番号]],まとめ表_各Aパターン件数[[#All],[管理番号]:[Aパターン]],4,FALSE)</f>
        <v/>
      </c>
      <c r="G193" s="111"/>
      <c r="H19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3" s="84"/>
    </row>
    <row r="194" spans="1:11" ht="15" customHeight="1">
      <c r="A194" s="3">
        <v>193</v>
      </c>
      <c r="B194" s="4" t="s">
        <v>361</v>
      </c>
      <c r="C194" s="4" t="s">
        <v>361</v>
      </c>
      <c r="D194" s="87" t="str">
        <f>VLOOKUP(名前リスト[[#This Row],[管理番号]],まとめ表_バック金額[[#All],[管理番号]:[バック金額合計]],4,FALSE)</f>
        <v/>
      </c>
      <c r="E194" s="80" t="str">
        <f>VLOOKUP(名前リスト[[#This Row],[管理番号]],まとめ表_各店舗件数[[#All],[管理番号]:[合計件数]],4,FALSE)</f>
        <v/>
      </c>
      <c r="F194" s="111" t="str">
        <f>VLOOKUP(名前リスト[[#This Row],[管理番号]],まとめ表_各Aパターン件数[[#All],[管理番号]:[Aパターン]],4,FALSE)</f>
        <v/>
      </c>
      <c r="G194" s="111"/>
      <c r="H19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4" s="84"/>
    </row>
    <row r="195" spans="1:11" ht="15" customHeight="1">
      <c r="A195" s="3">
        <v>194</v>
      </c>
      <c r="B195" s="4" t="s">
        <v>362</v>
      </c>
      <c r="C195" s="4" t="s">
        <v>362</v>
      </c>
      <c r="D195" s="87" t="str">
        <f>VLOOKUP(名前リスト[[#This Row],[管理番号]],まとめ表_バック金額[[#All],[管理番号]:[バック金額合計]],4,FALSE)</f>
        <v/>
      </c>
      <c r="E195" s="80" t="str">
        <f>VLOOKUP(名前リスト[[#This Row],[管理番号]],まとめ表_各店舗件数[[#All],[管理番号]:[合計件数]],4,FALSE)</f>
        <v/>
      </c>
      <c r="F195" s="111" t="str">
        <f>VLOOKUP(名前リスト[[#This Row],[管理番号]],まとめ表_各Aパターン件数[[#All],[管理番号]:[Aパターン]],4,FALSE)</f>
        <v/>
      </c>
      <c r="G195" s="111"/>
      <c r="H19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5" s="84"/>
    </row>
    <row r="196" spans="1:11" ht="15" customHeight="1">
      <c r="A196" s="3">
        <v>195</v>
      </c>
      <c r="B196" s="4" t="s">
        <v>363</v>
      </c>
      <c r="C196" s="4" t="s">
        <v>363</v>
      </c>
      <c r="D196" s="87" t="str">
        <f>VLOOKUP(名前リスト[[#This Row],[管理番号]],まとめ表_バック金額[[#All],[管理番号]:[バック金額合計]],4,FALSE)</f>
        <v/>
      </c>
      <c r="E196" s="80" t="str">
        <f>VLOOKUP(名前リスト[[#This Row],[管理番号]],まとめ表_各店舗件数[[#All],[管理番号]:[合計件数]],4,FALSE)</f>
        <v/>
      </c>
      <c r="F196" s="111" t="str">
        <f>VLOOKUP(名前リスト[[#This Row],[管理番号]],まとめ表_各Aパターン件数[[#All],[管理番号]:[Aパターン]],4,FALSE)</f>
        <v/>
      </c>
      <c r="G196" s="111"/>
      <c r="H19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6" s="84"/>
    </row>
    <row r="197" spans="1:11" ht="15" customHeight="1">
      <c r="A197" s="3">
        <v>196</v>
      </c>
      <c r="B197" s="4" t="s">
        <v>364</v>
      </c>
      <c r="C197" s="4" t="s">
        <v>364</v>
      </c>
      <c r="D197" s="87" t="str">
        <f>VLOOKUP(名前リスト[[#This Row],[管理番号]],まとめ表_バック金額[[#All],[管理番号]:[バック金額合計]],4,FALSE)</f>
        <v/>
      </c>
      <c r="E197" s="80" t="str">
        <f>VLOOKUP(名前リスト[[#This Row],[管理番号]],まとめ表_各店舗件数[[#All],[管理番号]:[合計件数]],4,FALSE)</f>
        <v/>
      </c>
      <c r="F197" s="111" t="str">
        <f>VLOOKUP(名前リスト[[#This Row],[管理番号]],まとめ表_各Aパターン件数[[#All],[管理番号]:[Aパターン]],4,FALSE)</f>
        <v/>
      </c>
      <c r="G197" s="111"/>
      <c r="H19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7" s="84"/>
    </row>
    <row r="198" spans="1:11" ht="15" customHeight="1">
      <c r="A198" s="3">
        <v>197</v>
      </c>
      <c r="B198" s="4" t="s">
        <v>365</v>
      </c>
      <c r="C198" s="4" t="s">
        <v>365</v>
      </c>
      <c r="D198" s="87" t="str">
        <f>VLOOKUP(名前リスト[[#This Row],[管理番号]],まとめ表_バック金額[[#All],[管理番号]:[バック金額合計]],4,FALSE)</f>
        <v/>
      </c>
      <c r="E198" s="80" t="str">
        <f>VLOOKUP(名前リスト[[#This Row],[管理番号]],まとめ表_各店舗件数[[#All],[管理番号]:[合計件数]],4,FALSE)</f>
        <v/>
      </c>
      <c r="F198" s="111" t="str">
        <f>VLOOKUP(名前リスト[[#This Row],[管理番号]],まとめ表_各Aパターン件数[[#All],[管理番号]:[Aパターン]],4,FALSE)</f>
        <v/>
      </c>
      <c r="G198" s="111"/>
      <c r="H19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8" s="84"/>
    </row>
    <row r="199" spans="1:11" ht="15" customHeight="1">
      <c r="A199" s="3">
        <v>198</v>
      </c>
      <c r="B199" s="4" t="s">
        <v>382</v>
      </c>
      <c r="C199" s="4" t="s">
        <v>382</v>
      </c>
      <c r="D199" s="87" t="str">
        <f>VLOOKUP(名前リスト[[#This Row],[管理番号]],まとめ表_バック金額[[#All],[管理番号]:[バック金額合計]],4,FALSE)</f>
        <v/>
      </c>
      <c r="E199" s="80" t="str">
        <f>VLOOKUP(名前リスト[[#This Row],[管理番号]],まとめ表_各店舗件数[[#All],[管理番号]:[合計件数]],4,FALSE)</f>
        <v/>
      </c>
      <c r="F199" s="111" t="str">
        <f>VLOOKUP(名前リスト[[#This Row],[管理番号]],まとめ表_各Aパターン件数[[#All],[管理番号]:[Aパターン]],4,FALSE)</f>
        <v/>
      </c>
      <c r="G199" s="111"/>
      <c r="H19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1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1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199" s="84"/>
    </row>
    <row r="200" spans="1:11" ht="15" customHeight="1">
      <c r="A200" s="3">
        <v>199</v>
      </c>
      <c r="B200" s="4" t="s">
        <v>383</v>
      </c>
      <c r="C200" s="4" t="s">
        <v>383</v>
      </c>
      <c r="D200" s="87" t="str">
        <f>VLOOKUP(名前リスト[[#This Row],[管理番号]],まとめ表_バック金額[[#All],[管理番号]:[バック金額合計]],4,FALSE)</f>
        <v/>
      </c>
      <c r="E200" s="80" t="str">
        <f>VLOOKUP(名前リスト[[#This Row],[管理番号]],まとめ表_各店舗件数[[#All],[管理番号]:[合計件数]],4,FALSE)</f>
        <v/>
      </c>
      <c r="F200" s="111" t="str">
        <f>VLOOKUP(名前リスト[[#This Row],[管理番号]],まとめ表_各Aパターン件数[[#All],[管理番号]:[Aパターン]],4,FALSE)</f>
        <v/>
      </c>
      <c r="G200" s="111"/>
      <c r="H200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0" s="84"/>
    </row>
    <row r="201" spans="1:11" ht="15" customHeight="1">
      <c r="A201" s="3">
        <v>200</v>
      </c>
      <c r="B201" s="4" t="s">
        <v>384</v>
      </c>
      <c r="C201" s="4" t="s">
        <v>384</v>
      </c>
      <c r="D201" s="87" t="str">
        <f>VLOOKUP(名前リスト[[#This Row],[管理番号]],まとめ表_バック金額[[#All],[管理番号]:[バック金額合計]],4,FALSE)</f>
        <v/>
      </c>
      <c r="E201" s="80" t="str">
        <f>VLOOKUP(名前リスト[[#This Row],[管理番号]],まとめ表_各店舗件数[[#All],[管理番号]:[合計件数]],4,FALSE)</f>
        <v/>
      </c>
      <c r="F201" s="111" t="str">
        <f>VLOOKUP(名前リスト[[#This Row],[管理番号]],まとめ表_各Aパターン件数[[#All],[管理番号]:[Aパターン]],4,FALSE)</f>
        <v/>
      </c>
      <c r="G201" s="111"/>
      <c r="H201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1" s="84"/>
    </row>
    <row r="202" spans="1:11" ht="15" customHeight="1">
      <c r="A202" s="3">
        <v>201</v>
      </c>
      <c r="B202" s="4" t="s">
        <v>385</v>
      </c>
      <c r="C202" s="4" t="s">
        <v>385</v>
      </c>
      <c r="D202" s="87" t="str">
        <f>VLOOKUP(名前リスト[[#This Row],[管理番号]],まとめ表_バック金額[[#All],[管理番号]:[バック金額合計]],4,FALSE)</f>
        <v/>
      </c>
      <c r="E202" s="80" t="str">
        <f>VLOOKUP(名前リスト[[#This Row],[管理番号]],まとめ表_各店舗件数[[#All],[管理番号]:[合計件数]],4,FALSE)</f>
        <v/>
      </c>
      <c r="F202" s="111" t="str">
        <f>VLOOKUP(名前リスト[[#This Row],[管理番号]],まとめ表_各Aパターン件数[[#All],[管理番号]:[Aパターン]],4,FALSE)</f>
        <v/>
      </c>
      <c r="G202" s="111"/>
      <c r="H202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2" s="84"/>
    </row>
    <row r="203" spans="1:11" ht="15" customHeight="1">
      <c r="A203" s="80">
        <v>202</v>
      </c>
      <c r="B203" s="81" t="s">
        <v>386</v>
      </c>
      <c r="C203" s="81" t="s">
        <v>386</v>
      </c>
      <c r="D203" s="87" t="str">
        <f>VLOOKUP(名前リスト[[#This Row],[管理番号]],まとめ表_バック金額[[#All],[管理番号]:[バック金額合計]],4,FALSE)</f>
        <v/>
      </c>
      <c r="E203" s="80" t="str">
        <f>VLOOKUP(名前リスト[[#This Row],[管理番号]],まとめ表_各店舗件数[[#All],[管理番号]:[合計件数]],4,FALSE)</f>
        <v/>
      </c>
      <c r="F203" s="111" t="str">
        <f>VLOOKUP(名前リスト[[#This Row],[管理番号]],まとめ表_各Aパターン件数[[#All],[管理番号]:[Aパターン]],4,FALSE)</f>
        <v/>
      </c>
      <c r="G203" s="111"/>
      <c r="H203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3" s="84"/>
    </row>
    <row r="204" spans="1:11" ht="15" customHeight="1">
      <c r="A204" s="80">
        <v>203</v>
      </c>
      <c r="B204" s="90" t="s">
        <v>387</v>
      </c>
      <c r="C204" s="90" t="s">
        <v>387</v>
      </c>
      <c r="D204" s="87" t="str">
        <f>VLOOKUP(名前リスト[[#This Row],[管理番号]],まとめ表_バック金額[[#All],[管理番号]:[バック金額合計]],4,FALSE)</f>
        <v/>
      </c>
      <c r="E204" s="80" t="str">
        <f>VLOOKUP(名前リスト[[#This Row],[管理番号]],まとめ表_各店舗件数[[#All],[管理番号]:[合計件数]],4,FALSE)</f>
        <v/>
      </c>
      <c r="F204" s="111" t="str">
        <f>VLOOKUP(名前リスト[[#This Row],[管理番号]],まとめ表_各Aパターン件数[[#All],[管理番号]:[Aパターン]],4,FALSE)</f>
        <v/>
      </c>
      <c r="G204" s="111"/>
      <c r="H204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  <c r="K204" s="84"/>
    </row>
    <row r="205" spans="1:11" ht="15" customHeight="1">
      <c r="A205" s="80">
        <v>204</v>
      </c>
      <c r="B205" s="80" t="s">
        <v>388</v>
      </c>
      <c r="C205" s="80" t="s">
        <v>388</v>
      </c>
      <c r="D205" s="87" t="str">
        <f>VLOOKUP(名前リスト[[#This Row],[管理番号]],まとめ表_バック金額[[#All],[管理番号]:[バック金額合計]],4,FALSE)</f>
        <v/>
      </c>
      <c r="E205" s="80" t="str">
        <f>VLOOKUP(名前リスト[[#This Row],[管理番号]],まとめ表_各店舗件数[[#All],[管理番号]:[合計件数]],4,FALSE)</f>
        <v/>
      </c>
      <c r="F205" s="111" t="str">
        <f>VLOOKUP(名前リスト[[#This Row],[管理番号]],まとめ表_各Aパターン件数[[#All],[管理番号]:[Aパターン]],4,FALSE)</f>
        <v/>
      </c>
      <c r="G205" s="111"/>
      <c r="H205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6" spans="1:11" ht="15" customHeight="1">
      <c r="A206" s="80">
        <v>205</v>
      </c>
      <c r="B206" s="80" t="s">
        <v>389</v>
      </c>
      <c r="C206" s="80" t="s">
        <v>389</v>
      </c>
      <c r="D206" s="87" t="str">
        <f>VLOOKUP(名前リスト[[#This Row],[管理番号]],まとめ表_バック金額[[#All],[管理番号]:[バック金額合計]],4,FALSE)</f>
        <v/>
      </c>
      <c r="E206" s="80" t="str">
        <f>VLOOKUP(名前リスト[[#This Row],[管理番号]],まとめ表_各店舗件数[[#All],[管理番号]:[合計件数]],4,FALSE)</f>
        <v/>
      </c>
      <c r="F206" s="111" t="str">
        <f>VLOOKUP(名前リスト[[#This Row],[管理番号]],まとめ表_各Aパターン件数[[#All],[管理番号]:[Aパターン]],4,FALSE)</f>
        <v/>
      </c>
      <c r="G206" s="111"/>
      <c r="H206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7" spans="1:11" ht="15" customHeight="1">
      <c r="A207" s="80">
        <v>206</v>
      </c>
      <c r="B207" s="130" t="s">
        <v>401</v>
      </c>
      <c r="C207" s="80" t="s">
        <v>400</v>
      </c>
      <c r="D207" s="87" t="str">
        <f>VLOOKUP(名前リスト[[#This Row],[管理番号]],まとめ表_バック金額[[#All],[管理番号]:[バック金額合計]],4,FALSE)</f>
        <v/>
      </c>
      <c r="E207" s="80" t="str">
        <f>VLOOKUP(名前リスト[[#This Row],[管理番号]],まとめ表_各店舗件数[[#All],[管理番号]:[合計件数]],4,FALSE)</f>
        <v/>
      </c>
      <c r="F207" s="111" t="str">
        <f>VLOOKUP(名前リスト[[#This Row],[管理番号]],まとめ表_各Aパターン件数[[#All],[管理番号]:[Aパターン]],4,FALSE)</f>
        <v/>
      </c>
      <c r="G207" s="111"/>
      <c r="H20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8" spans="1:11" ht="15" customHeight="1">
      <c r="A208" s="80">
        <v>207</v>
      </c>
      <c r="B208" s="130" t="s">
        <v>403</v>
      </c>
      <c r="C208" s="80" t="s">
        <v>402</v>
      </c>
      <c r="D208" s="87" t="str">
        <f>VLOOKUP(名前リスト[[#This Row],[管理番号]],まとめ表_バック金額[[#All],[管理番号]:[バック金額合計]],4,FALSE)</f>
        <v/>
      </c>
      <c r="E208" s="80" t="str">
        <f>VLOOKUP(名前リスト[[#This Row],[管理番号]],まとめ表_各店舗件数[[#All],[管理番号]:[合計件数]],4,FALSE)</f>
        <v/>
      </c>
      <c r="F208" s="111" t="str">
        <f>VLOOKUP(名前リスト[[#This Row],[管理番号]],まとめ表_各Aパターン件数[[#All],[管理番号]:[Aパターン]],4,FALSE)</f>
        <v/>
      </c>
      <c r="G208" s="111"/>
      <c r="H208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09" spans="1:10" ht="15" customHeight="1">
      <c r="A209" s="80">
        <v>208</v>
      </c>
      <c r="B209" s="130" t="s">
        <v>405</v>
      </c>
      <c r="C209" s="80" t="s">
        <v>404</v>
      </c>
      <c r="D209" s="87" t="str">
        <f>VLOOKUP(名前リスト[[#This Row],[管理番号]],まとめ表_バック金額[[#All],[管理番号]:[バック金額合計]],4,FALSE)</f>
        <v/>
      </c>
      <c r="E209" s="80" t="str">
        <f>VLOOKUP(名前リスト[[#This Row],[管理番号]],まとめ表_各店舗件数[[#All],[管理番号]:[合計件数]],4,FALSE)</f>
        <v/>
      </c>
      <c r="F209" s="111" t="str">
        <f>VLOOKUP(名前リスト[[#This Row],[管理番号]],まとめ表_各Aパターン件数[[#All],[管理番号]:[Aパターン]],4,FALSE)</f>
        <v/>
      </c>
      <c r="G209" s="111"/>
      <c r="H209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0" spans="1:10" ht="15" customHeight="1">
      <c r="A210" s="80">
        <v>209</v>
      </c>
      <c r="B210" s="130" t="s">
        <v>500</v>
      </c>
      <c r="C210" s="80" t="s">
        <v>500</v>
      </c>
      <c r="D210" s="87" t="str">
        <f>VLOOKUP(名前リスト[[#This Row],[管理番号]],まとめ表_バック金額[[#All],[管理番号]:[バック金額合計]],4,FALSE)</f>
        <v/>
      </c>
      <c r="E210" s="80" t="str">
        <f>VLOOKUP(名前リスト[[#This Row],[管理番号]],まとめ表_各店舗件数[[#All],[管理番号]:[合計件数]],4,FALSE)</f>
        <v/>
      </c>
      <c r="F210" s="111" t="str">
        <f>VLOOKUP(名前リスト[[#This Row],[管理番号]],まとめ表_各Aパターン件数[[#All],[管理番号]:[Aパターン]],4,FALSE)</f>
        <v/>
      </c>
      <c r="G210" s="131"/>
      <c r="H2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1" spans="1:10" ht="15" customHeight="1">
      <c r="A211" s="80">
        <v>210</v>
      </c>
      <c r="B211" s="130" t="s">
        <v>501</v>
      </c>
      <c r="C211" s="80" t="s">
        <v>501</v>
      </c>
      <c r="D211" s="87" t="str">
        <f>VLOOKUP(名前リスト[[#This Row],[管理番号]],まとめ表_バック金額[[#All],[管理番号]:[バック金額合計]],4,FALSE)</f>
        <v/>
      </c>
      <c r="E211" s="80" t="str">
        <f>VLOOKUP(名前リスト[[#This Row],[管理番号]],まとめ表_各店舗件数[[#All],[管理番号]:[合計件数]],4,FALSE)</f>
        <v/>
      </c>
      <c r="F211" s="111" t="str">
        <f>VLOOKUP(名前リスト[[#This Row],[管理番号]],まとめ表_各Aパターン件数[[#All],[管理番号]:[Aパターン]],4,FALSE)</f>
        <v/>
      </c>
      <c r="G211" s="131"/>
      <c r="H2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2" spans="1:10" ht="15" customHeight="1">
      <c r="A212" s="80">
        <v>211</v>
      </c>
      <c r="B212" s="130" t="s">
        <v>502</v>
      </c>
      <c r="C212" s="80" t="s">
        <v>502</v>
      </c>
      <c r="D212" s="87" t="str">
        <f>VLOOKUP(名前リスト[[#This Row],[管理番号]],まとめ表_バック金額[[#All],[管理番号]:[バック金額合計]],4,FALSE)</f>
        <v/>
      </c>
      <c r="E212" s="80" t="str">
        <f>VLOOKUP(名前リスト[[#This Row],[管理番号]],まとめ表_各店舗件数[[#All],[管理番号]:[合計件数]],4,FALSE)</f>
        <v/>
      </c>
      <c r="F212" s="111" t="str">
        <f>VLOOKUP(名前リスト[[#This Row],[管理番号]],まとめ表_各Aパターン件数[[#All],[管理番号]:[Aパターン]],4,FALSE)</f>
        <v/>
      </c>
      <c r="G212" s="131"/>
      <c r="H2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3" spans="1:10" ht="15" customHeight="1">
      <c r="A213" s="80">
        <v>212</v>
      </c>
      <c r="B213" s="130" t="s">
        <v>503</v>
      </c>
      <c r="C213" s="80" t="s">
        <v>503</v>
      </c>
      <c r="D213" s="87" t="str">
        <f>VLOOKUP(名前リスト[[#This Row],[管理番号]],まとめ表_バック金額[[#All],[管理番号]:[バック金額合計]],4,FALSE)</f>
        <v/>
      </c>
      <c r="E213" s="80" t="str">
        <f>VLOOKUP(名前リスト[[#This Row],[管理番号]],まとめ表_各店舗件数[[#All],[管理番号]:[合計件数]],4,FALSE)</f>
        <v/>
      </c>
      <c r="F213" s="111" t="str">
        <f>VLOOKUP(名前リスト[[#This Row],[管理番号]],まとめ表_各Aパターン件数[[#All],[管理番号]:[Aパターン]],4,FALSE)</f>
        <v/>
      </c>
      <c r="G213" s="131"/>
      <c r="H2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4" spans="1:10" ht="15" customHeight="1">
      <c r="A214" s="80">
        <v>213</v>
      </c>
      <c r="B214" s="130" t="s">
        <v>504</v>
      </c>
      <c r="C214" s="80" t="s">
        <v>504</v>
      </c>
      <c r="D214" s="87" t="str">
        <f>VLOOKUP(名前リスト[[#This Row],[管理番号]],まとめ表_バック金額[[#All],[管理番号]:[バック金額合計]],4,FALSE)</f>
        <v/>
      </c>
      <c r="E214" s="80" t="str">
        <f>VLOOKUP(名前リスト[[#This Row],[管理番号]],まとめ表_各店舗件数[[#All],[管理番号]:[合計件数]],4,FALSE)</f>
        <v/>
      </c>
      <c r="F214" s="111" t="str">
        <f>VLOOKUP(名前リスト[[#This Row],[管理番号]],まとめ表_各Aパターン件数[[#All],[管理番号]:[Aパターン]],4,FALSE)</f>
        <v/>
      </c>
      <c r="G214" s="131"/>
      <c r="H2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5" spans="1:10" ht="15" customHeight="1">
      <c r="A215" s="80">
        <v>214</v>
      </c>
      <c r="B215" s="130" t="s">
        <v>508</v>
      </c>
      <c r="C215" s="130" t="s">
        <v>508</v>
      </c>
      <c r="D215" s="87" t="str">
        <f>VLOOKUP(名前リスト[[#This Row],[管理番号]],まとめ表_バック金額[[#All],[管理番号]:[バック金額合計]],4,FALSE)</f>
        <v/>
      </c>
      <c r="E215" s="80" t="str">
        <f>VLOOKUP(名前リスト[[#This Row],[管理番号]],まとめ表_各店舗件数[[#All],[管理番号]:[合計件数]],4,FALSE)</f>
        <v/>
      </c>
      <c r="F215" s="111" t="str">
        <f>VLOOKUP(名前リスト[[#This Row],[管理番号]],まとめ表_各Aパターン件数[[#All],[管理番号]:[Aパターン]],4,FALSE)</f>
        <v/>
      </c>
      <c r="G215" s="131"/>
      <c r="H2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6" spans="1:10" ht="15" customHeight="1">
      <c r="A216" s="80">
        <v>215</v>
      </c>
      <c r="B216" s="130" t="s">
        <v>505</v>
      </c>
      <c r="C216" s="80" t="s">
        <v>505</v>
      </c>
      <c r="D216" s="87" t="str">
        <f>VLOOKUP(名前リスト[[#This Row],[管理番号]],まとめ表_バック金額[[#All],[管理番号]:[バック金額合計]],4,FALSE)</f>
        <v/>
      </c>
      <c r="E216" s="80" t="str">
        <f>VLOOKUP(名前リスト[[#This Row],[管理番号]],まとめ表_各店舗件数[[#All],[管理番号]:[合計件数]],4,FALSE)</f>
        <v/>
      </c>
      <c r="F216" s="111" t="str">
        <f>VLOOKUP(名前リスト[[#This Row],[管理番号]],まとめ表_各Aパターン件数[[#All],[管理番号]:[Aパターン]],4,FALSE)</f>
        <v/>
      </c>
      <c r="G216" s="131"/>
      <c r="H2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7" spans="1:10" ht="15" customHeight="1">
      <c r="A217" s="80">
        <v>216</v>
      </c>
      <c r="B217" s="130" t="s">
        <v>506</v>
      </c>
      <c r="C217" s="80" t="s">
        <v>506</v>
      </c>
      <c r="D217" s="87" t="str">
        <f>VLOOKUP(名前リスト[[#This Row],[管理番号]],まとめ表_バック金額[[#All],[管理番号]:[バック金額合計]],4,FALSE)</f>
        <v/>
      </c>
      <c r="E217" s="80" t="str">
        <f>VLOOKUP(名前リスト[[#This Row],[管理番号]],まとめ表_各店舗件数[[#All],[管理番号]:[合計件数]],4,FALSE)</f>
        <v/>
      </c>
      <c r="F217" s="111" t="str">
        <f>VLOOKUP(名前リスト[[#This Row],[管理番号]],まとめ表_各Aパターン件数[[#All],[管理番号]:[Aパターン]],4,FALSE)</f>
        <v/>
      </c>
      <c r="G217" s="131"/>
      <c r="H2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8" spans="1:10" ht="15" customHeight="1">
      <c r="A218" s="80">
        <v>217</v>
      </c>
      <c r="B218" s="130" t="s">
        <v>507</v>
      </c>
      <c r="C218" s="80" t="s">
        <v>507</v>
      </c>
      <c r="D218" s="87" t="str">
        <f>VLOOKUP(名前リスト[[#This Row],[管理番号]],まとめ表_バック金額[[#All],[管理番号]:[バック金額合計]],4,FALSE)</f>
        <v/>
      </c>
      <c r="E218" s="80" t="str">
        <f>VLOOKUP(名前リスト[[#This Row],[管理番号]],まとめ表_各店舗件数[[#All],[管理番号]:[合計件数]],4,FALSE)</f>
        <v/>
      </c>
      <c r="F218" s="111" t="str">
        <f>VLOOKUP(名前リスト[[#This Row],[管理番号]],まとめ表_各Aパターン件数[[#All],[管理番号]:[Aパターン]],4,FALSE)</f>
        <v/>
      </c>
      <c r="G218" s="131"/>
      <c r="H2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19" spans="1:10" ht="15" customHeight="1">
      <c r="A219" s="80">
        <v>218</v>
      </c>
      <c r="B219" s="130" t="s">
        <v>509</v>
      </c>
      <c r="C219" s="80" t="s">
        <v>509</v>
      </c>
      <c r="D219" s="87" t="str">
        <f>VLOOKUP(名前リスト[[#This Row],[管理番号]],まとめ表_バック金額[[#All],[管理番号]:[バック金額合計]],4,FALSE)</f>
        <v/>
      </c>
      <c r="E219" s="80" t="str">
        <f>VLOOKUP(名前リスト[[#This Row],[管理番号]],まとめ表_各店舗件数[[#All],[管理番号]:[合計件数]],4,FALSE)</f>
        <v/>
      </c>
      <c r="F219" s="111" t="str">
        <f>VLOOKUP(名前リスト[[#This Row],[管理番号]],まとめ表_各Aパターン件数[[#All],[管理番号]:[Aパターン]],4,FALSE)</f>
        <v/>
      </c>
      <c r="G219" s="131"/>
      <c r="H2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0" spans="1:10" ht="15" customHeight="1">
      <c r="A220" s="80">
        <v>219</v>
      </c>
      <c r="B220" s="130"/>
      <c r="C220" s="80" t="s">
        <v>512</v>
      </c>
      <c r="D220" s="87" t="str">
        <f>VLOOKUP(名前リスト[[#This Row],[管理番号]],まとめ表_バック金額[[#All],[管理番号]:[バック金額合計]],4,FALSE)</f>
        <v/>
      </c>
      <c r="E220" s="80" t="str">
        <f>VLOOKUP(名前リスト[[#This Row],[管理番号]],まとめ表_各店舗件数[[#All],[管理番号]:[合計件数]],4,FALSE)</f>
        <v/>
      </c>
      <c r="F220" s="111" t="str">
        <f>VLOOKUP(名前リスト[[#This Row],[管理番号]],まとめ表_各Aパターン件数[[#All],[管理番号]:[Aパターン]],4,FALSE)</f>
        <v/>
      </c>
      <c r="G220" s="131"/>
      <c r="H2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1" spans="1:10" ht="15" customHeight="1">
      <c r="A221" s="80">
        <v>220</v>
      </c>
      <c r="B221" s="130"/>
      <c r="C221" s="80" t="s">
        <v>513</v>
      </c>
      <c r="D221" s="87" t="str">
        <f>VLOOKUP(名前リスト[[#This Row],[管理番号]],まとめ表_バック金額[[#All],[管理番号]:[バック金額合計]],4,FALSE)</f>
        <v/>
      </c>
      <c r="E221" s="80" t="str">
        <f>VLOOKUP(名前リスト[[#This Row],[管理番号]],まとめ表_各店舗件数[[#All],[管理番号]:[合計件数]],4,FALSE)</f>
        <v/>
      </c>
      <c r="F221" s="111" t="str">
        <f>VLOOKUP(名前リスト[[#This Row],[管理番号]],まとめ表_各Aパターン件数[[#All],[管理番号]:[Aパターン]],4,FALSE)</f>
        <v/>
      </c>
      <c r="G221" s="131"/>
      <c r="H2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2" spans="1:10" ht="15" customHeight="1">
      <c r="A222" s="80">
        <v>221</v>
      </c>
      <c r="B222" s="130"/>
      <c r="C222" s="80" t="s">
        <v>514</v>
      </c>
      <c r="D222" s="87" t="str">
        <f>VLOOKUP(名前リスト[[#This Row],[管理番号]],まとめ表_バック金額[[#All],[管理番号]:[バック金額合計]],4,FALSE)</f>
        <v/>
      </c>
      <c r="E222" s="80" t="str">
        <f>VLOOKUP(名前リスト[[#This Row],[管理番号]],まとめ表_各店舗件数[[#All],[管理番号]:[合計件数]],4,FALSE)</f>
        <v/>
      </c>
      <c r="F222" s="111" t="str">
        <f>VLOOKUP(名前リスト[[#This Row],[管理番号]],まとめ表_各Aパターン件数[[#All],[管理番号]:[Aパターン]],4,FALSE)</f>
        <v/>
      </c>
      <c r="G222" s="131"/>
      <c r="H2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3" spans="1:10" ht="15" customHeight="1">
      <c r="A223" s="138">
        <v>222</v>
      </c>
      <c r="B223" s="138"/>
      <c r="C223" s="138" t="s">
        <v>523</v>
      </c>
      <c r="D223" s="87" t="str">
        <f>VLOOKUP(名前リスト[[#This Row],[管理番号]],まとめ表_バック金額[[#All],[管理番号]:[バック金額合計]],4,FALSE)</f>
        <v/>
      </c>
      <c r="E223" s="130" t="str">
        <f>VLOOKUP(名前リスト[[#This Row],[管理番号]],まとめ表_各店舗件数[[#All],[管理番号]:[合計件数]],4,FALSE)</f>
        <v/>
      </c>
      <c r="F223" s="131" t="str">
        <f>VLOOKUP(名前リスト[[#This Row],[管理番号]],まとめ表_各Aパターン件数[[#All],[管理番号]:[Aパターン]],4,FALSE)</f>
        <v/>
      </c>
      <c r="G223" s="131"/>
      <c r="H2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4" spans="1:10" ht="15" customHeight="1">
      <c r="A224" s="138">
        <v>223</v>
      </c>
      <c r="B224" s="138"/>
      <c r="C224" s="138" t="s">
        <v>524</v>
      </c>
      <c r="D224" s="87" t="str">
        <f>VLOOKUP(名前リスト[[#This Row],[管理番号]],まとめ表_バック金額[[#All],[管理番号]:[バック金額合計]],4,FALSE)</f>
        <v/>
      </c>
      <c r="E224" s="130" t="str">
        <f>VLOOKUP(名前リスト[[#This Row],[管理番号]],まとめ表_各店舗件数[[#All],[管理番号]:[合計件数]],4,FALSE)</f>
        <v/>
      </c>
      <c r="F224" s="131" t="str">
        <f>VLOOKUP(名前リスト[[#This Row],[管理番号]],まとめ表_各Aパターン件数[[#All],[管理番号]:[Aパターン]],4,FALSE)</f>
        <v/>
      </c>
      <c r="G224" s="131"/>
      <c r="H2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5" spans="1:10" ht="15" customHeight="1">
      <c r="A225" s="138">
        <v>224</v>
      </c>
      <c r="B225" s="138"/>
      <c r="C225" s="138" t="s">
        <v>525</v>
      </c>
      <c r="D225" s="87" t="str">
        <f>VLOOKUP(名前リスト[[#This Row],[管理番号]],まとめ表_バック金額[[#All],[管理番号]:[バック金額合計]],4,FALSE)</f>
        <v/>
      </c>
      <c r="E225" s="130" t="str">
        <f>VLOOKUP(名前リスト[[#This Row],[管理番号]],まとめ表_各店舗件数[[#All],[管理番号]:[合計件数]],4,FALSE)</f>
        <v/>
      </c>
      <c r="F225" s="131" t="str">
        <f>VLOOKUP(名前リスト[[#This Row],[管理番号]],まとめ表_各Aパターン件数[[#All],[管理番号]:[Aパターン]],4,FALSE)</f>
        <v/>
      </c>
      <c r="G225" s="131"/>
      <c r="H2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6" spans="1:10" ht="15" customHeight="1">
      <c r="A226" s="138">
        <v>225</v>
      </c>
      <c r="B226" s="138"/>
      <c r="C226" s="138" t="s">
        <v>526</v>
      </c>
      <c r="D226" s="87" t="str">
        <f>VLOOKUP(名前リスト[[#This Row],[管理番号]],まとめ表_バック金額[[#All],[管理番号]:[バック金額合計]],4,FALSE)</f>
        <v/>
      </c>
      <c r="E226" s="130" t="str">
        <f>VLOOKUP(名前リスト[[#This Row],[管理番号]],まとめ表_各店舗件数[[#All],[管理番号]:[合計件数]],4,FALSE)</f>
        <v/>
      </c>
      <c r="F226" s="131" t="str">
        <f>VLOOKUP(名前リスト[[#This Row],[管理番号]],まとめ表_各Aパターン件数[[#All],[管理番号]:[Aパターン]],4,FALSE)</f>
        <v/>
      </c>
      <c r="G226" s="131"/>
      <c r="H2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7" spans="1:10" ht="15" customHeight="1">
      <c r="A227" s="138">
        <v>226</v>
      </c>
      <c r="B227" s="138"/>
      <c r="C227" s="138" t="s">
        <v>527</v>
      </c>
      <c r="D227" s="87" t="str">
        <f>VLOOKUP(名前リスト[[#This Row],[管理番号]],まとめ表_バック金額[[#All],[管理番号]:[バック金額合計]],4,FALSE)</f>
        <v/>
      </c>
      <c r="E227" s="130" t="str">
        <f>VLOOKUP(名前リスト[[#This Row],[管理番号]],まとめ表_各店舗件数[[#All],[管理番号]:[合計件数]],4,FALSE)</f>
        <v/>
      </c>
      <c r="F227" s="131" t="str">
        <f>VLOOKUP(名前リスト[[#This Row],[管理番号]],まとめ表_各Aパターン件数[[#All],[管理番号]:[Aパターン]],4,FALSE)</f>
        <v/>
      </c>
      <c r="G227" s="131"/>
      <c r="H2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8" spans="1:10" ht="15" customHeight="1">
      <c r="A228" s="138">
        <v>227</v>
      </c>
      <c r="B228" s="138"/>
      <c r="C228" s="138" t="s">
        <v>528</v>
      </c>
      <c r="D228" s="87" t="str">
        <f>VLOOKUP(名前リスト[[#This Row],[管理番号]],まとめ表_バック金額[[#All],[管理番号]:[バック金額合計]],4,FALSE)</f>
        <v/>
      </c>
      <c r="E228" s="130" t="str">
        <f>VLOOKUP(名前リスト[[#This Row],[管理番号]],まとめ表_各店舗件数[[#All],[管理番号]:[合計件数]],4,FALSE)</f>
        <v/>
      </c>
      <c r="F228" s="131" t="str">
        <f>VLOOKUP(名前リスト[[#This Row],[管理番号]],まとめ表_各Aパターン件数[[#All],[管理番号]:[Aパターン]],4,FALSE)</f>
        <v/>
      </c>
      <c r="G228" s="131"/>
      <c r="H2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29" spans="1:10" ht="15" customHeight="1">
      <c r="A229" s="138">
        <v>228</v>
      </c>
      <c r="B229" s="138"/>
      <c r="C229" s="138" t="s">
        <v>529</v>
      </c>
      <c r="D229" s="87" t="str">
        <f>VLOOKUP(名前リスト[[#This Row],[管理番号]],まとめ表_バック金額[[#All],[管理番号]:[バック金額合計]],4,FALSE)</f>
        <v/>
      </c>
      <c r="E229" s="130" t="str">
        <f>VLOOKUP(名前リスト[[#This Row],[管理番号]],まとめ表_各店舗件数[[#All],[管理番号]:[合計件数]],4,FALSE)</f>
        <v/>
      </c>
      <c r="F229" s="131" t="str">
        <f>VLOOKUP(名前リスト[[#This Row],[管理番号]],まとめ表_各Aパターン件数[[#All],[管理番号]:[Aパターン]],4,FALSE)</f>
        <v/>
      </c>
      <c r="G229" s="131"/>
      <c r="H2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0" spans="1:10" ht="15" customHeight="1">
      <c r="A230" s="138">
        <v>229</v>
      </c>
      <c r="B230" s="138"/>
      <c r="C230" s="138" t="s">
        <v>530</v>
      </c>
      <c r="D230" s="87" t="str">
        <f>VLOOKUP(名前リスト[[#This Row],[管理番号]],まとめ表_バック金額[[#All],[管理番号]:[バック金額合計]],4,FALSE)</f>
        <v/>
      </c>
      <c r="E230" s="130" t="str">
        <f>VLOOKUP(名前リスト[[#This Row],[管理番号]],まとめ表_各店舗件数[[#All],[管理番号]:[合計件数]],4,FALSE)</f>
        <v/>
      </c>
      <c r="F230" s="131" t="str">
        <f>VLOOKUP(名前リスト[[#This Row],[管理番号]],まとめ表_各Aパターン件数[[#All],[管理番号]:[Aパターン]],4,FALSE)</f>
        <v/>
      </c>
      <c r="G230" s="131"/>
      <c r="H2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1" spans="1:10" ht="15" customHeight="1">
      <c r="A231" s="138">
        <v>230</v>
      </c>
      <c r="B231" s="138"/>
      <c r="C231" s="138" t="s">
        <v>531</v>
      </c>
      <c r="D231" s="87" t="str">
        <f>VLOOKUP(名前リスト[[#This Row],[管理番号]],まとめ表_バック金額[[#All],[管理番号]:[バック金額合計]],4,FALSE)</f>
        <v/>
      </c>
      <c r="E231" s="130" t="str">
        <f>VLOOKUP(名前リスト[[#This Row],[管理番号]],まとめ表_各店舗件数[[#All],[管理番号]:[合計件数]],4,FALSE)</f>
        <v/>
      </c>
      <c r="F231" s="131" t="str">
        <f>VLOOKUP(名前リスト[[#This Row],[管理番号]],まとめ表_各Aパターン件数[[#All],[管理番号]:[Aパターン]],4,FALSE)</f>
        <v/>
      </c>
      <c r="G231" s="131"/>
      <c r="H2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2" spans="1:10" ht="15" customHeight="1">
      <c r="A232" s="138">
        <v>231</v>
      </c>
      <c r="B232" s="138"/>
      <c r="C232" s="138" t="s">
        <v>532</v>
      </c>
      <c r="D232" s="87" t="str">
        <f>VLOOKUP(名前リスト[[#This Row],[管理番号]],まとめ表_バック金額[[#All],[管理番号]:[バック金額合計]],4,FALSE)</f>
        <v/>
      </c>
      <c r="E232" s="130" t="str">
        <f>VLOOKUP(名前リスト[[#This Row],[管理番号]],まとめ表_各店舗件数[[#All],[管理番号]:[合計件数]],4,FALSE)</f>
        <v/>
      </c>
      <c r="F232" s="131" t="str">
        <f>VLOOKUP(名前リスト[[#This Row],[管理番号]],まとめ表_各Aパターン件数[[#All],[管理番号]:[Aパターン]],4,FALSE)</f>
        <v/>
      </c>
      <c r="G232" s="131"/>
      <c r="H2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3" spans="1:10" ht="15" customHeight="1">
      <c r="A233" s="138">
        <v>232</v>
      </c>
      <c r="B233" s="138"/>
      <c r="C233" s="138" t="s">
        <v>533</v>
      </c>
      <c r="D233" s="87" t="str">
        <f>VLOOKUP(名前リスト[[#This Row],[管理番号]],まとめ表_バック金額[[#All],[管理番号]:[バック金額合計]],4,FALSE)</f>
        <v/>
      </c>
      <c r="E233" s="130" t="str">
        <f>VLOOKUP(名前リスト[[#This Row],[管理番号]],まとめ表_各店舗件数[[#All],[管理番号]:[合計件数]],4,FALSE)</f>
        <v/>
      </c>
      <c r="F233" s="131" t="str">
        <f>VLOOKUP(名前リスト[[#This Row],[管理番号]],まとめ表_各Aパターン件数[[#All],[管理番号]:[Aパターン]],4,FALSE)</f>
        <v/>
      </c>
      <c r="G233" s="131"/>
      <c r="H2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4" spans="1:10" ht="15" customHeight="1">
      <c r="A234" s="138">
        <v>233</v>
      </c>
      <c r="B234" s="138"/>
      <c r="C234" s="138" t="s">
        <v>534</v>
      </c>
      <c r="D234" s="87" t="str">
        <f>VLOOKUP(名前リスト[[#This Row],[管理番号]],まとめ表_バック金額[[#All],[管理番号]:[バック金額合計]],4,FALSE)</f>
        <v/>
      </c>
      <c r="E234" s="130" t="str">
        <f>VLOOKUP(名前リスト[[#This Row],[管理番号]],まとめ表_各店舗件数[[#All],[管理番号]:[合計件数]],4,FALSE)</f>
        <v/>
      </c>
      <c r="F234" s="131" t="str">
        <f>VLOOKUP(名前リスト[[#This Row],[管理番号]],まとめ表_各Aパターン件数[[#All],[管理番号]:[Aパターン]],4,FALSE)</f>
        <v/>
      </c>
      <c r="G234" s="131"/>
      <c r="H2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5" spans="1:10" ht="15" customHeight="1">
      <c r="A235" s="138">
        <v>234</v>
      </c>
      <c r="B235" s="138"/>
      <c r="C235" s="138" t="s">
        <v>535</v>
      </c>
      <c r="D235" s="87" t="str">
        <f>VLOOKUP(名前リスト[[#This Row],[管理番号]],まとめ表_バック金額[[#All],[管理番号]:[バック金額合計]],4,FALSE)</f>
        <v/>
      </c>
      <c r="E235" s="130" t="str">
        <f>VLOOKUP(名前リスト[[#This Row],[管理番号]],まとめ表_各店舗件数[[#All],[管理番号]:[合計件数]],4,FALSE)</f>
        <v/>
      </c>
      <c r="F235" s="131" t="str">
        <f>VLOOKUP(名前リスト[[#This Row],[管理番号]],まとめ表_各Aパターン件数[[#All],[管理番号]:[Aパターン]],4,FALSE)</f>
        <v/>
      </c>
      <c r="G235" s="131"/>
      <c r="H2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6" spans="1:10" ht="15" customHeight="1">
      <c r="A236" s="138">
        <v>235</v>
      </c>
      <c r="B236" s="138"/>
      <c r="C236" s="138"/>
      <c r="D236" s="87" t="str">
        <f>VLOOKUP(名前リスト[[#This Row],[管理番号]],まとめ表_バック金額[[#All],[管理番号]:[バック金額合計]],4,FALSE)</f>
        <v/>
      </c>
      <c r="E236" s="130" t="str">
        <f>VLOOKUP(名前リスト[[#This Row],[管理番号]],まとめ表_各店舗件数[[#All],[管理番号]:[合計件数]],4,FALSE)</f>
        <v/>
      </c>
      <c r="F236" s="131" t="str">
        <f>VLOOKUP(名前リスト[[#This Row],[管理番号]],まとめ表_各Aパターン件数[[#All],[管理番号]:[Aパターン]],4,FALSE)</f>
        <v/>
      </c>
      <c r="G236" s="131"/>
      <c r="H2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7" spans="1:10" ht="15" customHeight="1">
      <c r="A237" s="138">
        <v>236</v>
      </c>
      <c r="B237" s="138"/>
      <c r="C237" s="138" t="s">
        <v>536</v>
      </c>
      <c r="D237" s="87" t="str">
        <f>VLOOKUP(名前リスト[[#This Row],[管理番号]],まとめ表_バック金額[[#All],[管理番号]:[バック金額合計]],4,FALSE)</f>
        <v/>
      </c>
      <c r="E237" s="130" t="str">
        <f>VLOOKUP(名前リスト[[#This Row],[管理番号]],まとめ表_各店舗件数[[#All],[管理番号]:[合計件数]],4,FALSE)</f>
        <v/>
      </c>
      <c r="F237" s="131" t="str">
        <f>VLOOKUP(名前リスト[[#This Row],[管理番号]],まとめ表_各Aパターン件数[[#All],[管理番号]:[Aパターン]],4,FALSE)</f>
        <v/>
      </c>
      <c r="G237" s="131"/>
      <c r="H2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8" spans="1:10" ht="15" customHeight="1">
      <c r="A238" s="138">
        <v>237</v>
      </c>
      <c r="B238" s="138"/>
      <c r="C238" s="138" t="s">
        <v>537</v>
      </c>
      <c r="D238" s="87" t="str">
        <f>VLOOKUP(名前リスト[[#This Row],[管理番号]],まとめ表_バック金額[[#All],[管理番号]:[バック金額合計]],4,FALSE)</f>
        <v/>
      </c>
      <c r="E238" s="130" t="str">
        <f>VLOOKUP(名前リスト[[#This Row],[管理番号]],まとめ表_各店舗件数[[#All],[管理番号]:[合計件数]],4,FALSE)</f>
        <v/>
      </c>
      <c r="F238" s="131" t="str">
        <f>VLOOKUP(名前リスト[[#This Row],[管理番号]],まとめ表_各Aパターン件数[[#All],[管理番号]:[Aパターン]],4,FALSE)</f>
        <v/>
      </c>
      <c r="G238" s="131"/>
      <c r="H2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39" spans="1:10" ht="15" customHeight="1">
      <c r="A239" s="138">
        <v>238</v>
      </c>
      <c r="B239" s="138"/>
      <c r="C239" s="138" t="s">
        <v>538</v>
      </c>
      <c r="D239" s="87" t="str">
        <f>VLOOKUP(名前リスト[[#This Row],[管理番号]],まとめ表_バック金額[[#All],[管理番号]:[バック金額合計]],4,FALSE)</f>
        <v/>
      </c>
      <c r="E239" s="130" t="str">
        <f>VLOOKUP(名前リスト[[#This Row],[管理番号]],まとめ表_各店舗件数[[#All],[管理番号]:[合計件数]],4,FALSE)</f>
        <v/>
      </c>
      <c r="F239" s="131" t="str">
        <f>VLOOKUP(名前リスト[[#This Row],[管理番号]],まとめ表_各Aパターン件数[[#All],[管理番号]:[Aパターン]],4,FALSE)</f>
        <v/>
      </c>
      <c r="G239" s="131"/>
      <c r="H2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0" spans="1:10" ht="15" customHeight="1">
      <c r="A240" s="138">
        <v>239</v>
      </c>
      <c r="B240" s="138"/>
      <c r="C240" s="138" t="s">
        <v>539</v>
      </c>
      <c r="D240" s="87" t="str">
        <f>VLOOKUP(名前リスト[[#This Row],[管理番号]],まとめ表_バック金額[[#All],[管理番号]:[バック金額合計]],4,FALSE)</f>
        <v/>
      </c>
      <c r="E240" s="130" t="str">
        <f>VLOOKUP(名前リスト[[#This Row],[管理番号]],まとめ表_各店舗件数[[#All],[管理番号]:[合計件数]],4,FALSE)</f>
        <v/>
      </c>
      <c r="F240" s="131" t="str">
        <f>VLOOKUP(名前リスト[[#This Row],[管理番号]],まとめ表_各Aパターン件数[[#All],[管理番号]:[Aパターン]],4,FALSE)</f>
        <v/>
      </c>
      <c r="G240" s="131"/>
      <c r="H2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1" spans="1:10" ht="15" customHeight="1">
      <c r="A241" s="138">
        <v>240</v>
      </c>
      <c r="B241" s="138"/>
      <c r="C241" s="138" t="s">
        <v>540</v>
      </c>
      <c r="D241" s="87" t="str">
        <f>VLOOKUP(名前リスト[[#This Row],[管理番号]],まとめ表_バック金額[[#All],[管理番号]:[バック金額合計]],4,FALSE)</f>
        <v/>
      </c>
      <c r="E241" s="130" t="str">
        <f>VLOOKUP(名前リスト[[#This Row],[管理番号]],まとめ表_各店舗件数[[#All],[管理番号]:[合計件数]],4,FALSE)</f>
        <v/>
      </c>
      <c r="F241" s="131" t="str">
        <f>VLOOKUP(名前リスト[[#This Row],[管理番号]],まとめ表_各Aパターン件数[[#All],[管理番号]:[Aパターン]],4,FALSE)</f>
        <v/>
      </c>
      <c r="G241" s="131"/>
      <c r="H2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2" spans="1:10" ht="15" customHeight="1">
      <c r="A242" s="138">
        <v>241</v>
      </c>
      <c r="B242" s="138"/>
      <c r="C242" s="138" t="s">
        <v>541</v>
      </c>
      <c r="D242" s="87" t="str">
        <f>VLOOKUP(名前リスト[[#This Row],[管理番号]],まとめ表_バック金額[[#All],[管理番号]:[バック金額合計]],4,FALSE)</f>
        <v/>
      </c>
      <c r="E242" s="130" t="str">
        <f>VLOOKUP(名前リスト[[#This Row],[管理番号]],まとめ表_各店舗件数[[#All],[管理番号]:[合計件数]],4,FALSE)</f>
        <v/>
      </c>
      <c r="F242" s="131" t="str">
        <f>VLOOKUP(名前リスト[[#This Row],[管理番号]],まとめ表_各Aパターン件数[[#All],[管理番号]:[Aパターン]],4,FALSE)</f>
        <v/>
      </c>
      <c r="G242" s="131"/>
      <c r="H2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3" spans="1:10" ht="15" customHeight="1">
      <c r="A243" s="138">
        <v>242</v>
      </c>
      <c r="B243" s="138"/>
      <c r="C243" s="138" t="s">
        <v>544</v>
      </c>
      <c r="D243" s="87" t="str">
        <f>VLOOKUP(名前リスト[[#This Row],[管理番号]],まとめ表_バック金額[[#All],[管理番号]:[バック金額合計]],4,FALSE)</f>
        <v/>
      </c>
      <c r="E243" s="130" t="str">
        <f>VLOOKUP(名前リスト[[#This Row],[管理番号]],まとめ表_各店舗件数[[#All],[管理番号]:[合計件数]],4,FALSE)</f>
        <v/>
      </c>
      <c r="F243" s="131" t="str">
        <f>VLOOKUP(名前リスト[[#This Row],[管理番号]],まとめ表_各Aパターン件数[[#All],[管理番号]:[Aパターン]],4,FALSE)</f>
        <v/>
      </c>
      <c r="G243" s="131"/>
      <c r="H2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4" spans="1:10" ht="15" customHeight="1">
      <c r="A244" s="138">
        <v>243</v>
      </c>
      <c r="B244" s="138"/>
      <c r="C244" s="138" t="s">
        <v>545</v>
      </c>
      <c r="D244" s="87" t="str">
        <f>VLOOKUP(名前リスト[[#This Row],[管理番号]],まとめ表_バック金額[[#All],[管理番号]:[バック金額合計]],4,FALSE)</f>
        <v/>
      </c>
      <c r="E244" s="130" t="str">
        <f>VLOOKUP(名前リスト[[#This Row],[管理番号]],まとめ表_各店舗件数[[#All],[管理番号]:[合計件数]],4,FALSE)</f>
        <v/>
      </c>
      <c r="F244" s="131" t="str">
        <f>VLOOKUP(名前リスト[[#This Row],[管理番号]],まとめ表_各Aパターン件数[[#All],[管理番号]:[Aパターン]],4,FALSE)</f>
        <v/>
      </c>
      <c r="G244" s="131"/>
      <c r="H2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4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4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5" spans="1:10" ht="15" customHeight="1">
      <c r="A245" s="138">
        <v>244</v>
      </c>
      <c r="B245" s="138"/>
      <c r="C245" s="138" t="s">
        <v>546</v>
      </c>
      <c r="D245" s="87" t="str">
        <f>VLOOKUP(名前リスト[[#This Row],[管理番号]],まとめ表_バック金額[[#All],[管理番号]:[バック金額合計]],4,FALSE)</f>
        <v/>
      </c>
      <c r="E245" s="130" t="str">
        <f>VLOOKUP(名前リスト[[#This Row],[管理番号]],まとめ表_各店舗件数[[#All],[管理番号]:[合計件数]],4,FALSE)</f>
        <v/>
      </c>
      <c r="F245" s="131" t="str">
        <f>VLOOKUP(名前リスト[[#This Row],[管理番号]],まとめ表_各Aパターン件数[[#All],[管理番号]:[Aパターン]],4,FALSE)</f>
        <v/>
      </c>
      <c r="G245" s="131"/>
      <c r="H2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6" spans="1:10" ht="15" customHeight="1">
      <c r="A246" s="138">
        <v>255</v>
      </c>
      <c r="B246" s="138"/>
      <c r="C246" s="138" t="s">
        <v>547</v>
      </c>
      <c r="D246" s="87" t="str">
        <f>VLOOKUP(名前リスト[[#This Row],[管理番号]],まとめ表_バック金額[[#All],[管理番号]:[バック金額合計]],4,FALSE)</f>
        <v/>
      </c>
      <c r="E246" s="130" t="str">
        <f>VLOOKUP(名前リスト[[#This Row],[管理番号]],まとめ表_各店舗件数[[#All],[管理番号]:[合計件数]],4,FALSE)</f>
        <v/>
      </c>
      <c r="F246" s="131" t="str">
        <f>VLOOKUP(名前リスト[[#This Row],[管理番号]],まとめ表_各Aパターン件数[[#All],[管理番号]:[Aパターン]],4,FALSE)</f>
        <v/>
      </c>
      <c r="G246" s="131"/>
      <c r="H2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7" spans="1:10" ht="15" customHeight="1">
      <c r="A247" s="138">
        <v>256</v>
      </c>
      <c r="B247" s="138"/>
      <c r="C247" s="138" t="s">
        <v>548</v>
      </c>
      <c r="D247" s="87" t="str">
        <f>VLOOKUP(名前リスト[[#This Row],[管理番号]],まとめ表_バック金額[[#All],[管理番号]:[バック金額合計]],4,FALSE)</f>
        <v/>
      </c>
      <c r="E247" s="130" t="str">
        <f>VLOOKUP(名前リスト[[#This Row],[管理番号]],まとめ表_各店舗件数[[#All],[管理番号]:[合計件数]],4,FALSE)</f>
        <v/>
      </c>
      <c r="F247" s="131" t="str">
        <f>VLOOKUP(名前リスト[[#This Row],[管理番号]],まとめ表_各Aパターン件数[[#All],[管理番号]:[Aパターン]],4,FALSE)</f>
        <v/>
      </c>
      <c r="G247" s="131"/>
      <c r="H2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7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7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8" spans="1:10" ht="15" customHeight="1">
      <c r="A248" s="138">
        <v>257</v>
      </c>
      <c r="B248" s="138"/>
      <c r="C248" s="138" t="s">
        <v>549</v>
      </c>
      <c r="D248" s="87" t="str">
        <f>VLOOKUP(名前リスト[[#This Row],[管理番号]],まとめ表_バック金額[[#All],[管理番号]:[バック金額合計]],4,FALSE)</f>
        <v/>
      </c>
      <c r="E248" s="130" t="str">
        <f>VLOOKUP(名前リスト[[#This Row],[管理番号]],まとめ表_各店舗件数[[#All],[管理番号]:[合計件数]],4,FALSE)</f>
        <v/>
      </c>
      <c r="F248" s="131" t="str">
        <f>VLOOKUP(名前リスト[[#This Row],[管理番号]],まとめ表_各Aパターン件数[[#All],[管理番号]:[Aパターン]],4,FALSE)</f>
        <v/>
      </c>
      <c r="G248" s="131"/>
      <c r="H2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8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8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49" spans="1:10" ht="15" customHeight="1">
      <c r="A249" s="138">
        <v>258</v>
      </c>
      <c r="B249" s="138"/>
      <c r="C249" s="138" t="s">
        <v>550</v>
      </c>
      <c r="D249" s="87" t="str">
        <f>VLOOKUP(名前リスト[[#This Row],[管理番号]],まとめ表_バック金額[[#All],[管理番号]:[バック金額合計]],4,FALSE)</f>
        <v/>
      </c>
      <c r="E249" s="130" t="str">
        <f>VLOOKUP(名前リスト[[#This Row],[管理番号]],まとめ表_各店舗件数[[#All],[管理番号]:[合計件数]],4,FALSE)</f>
        <v/>
      </c>
      <c r="F249" s="131" t="str">
        <f>VLOOKUP(名前リスト[[#This Row],[管理番号]],まとめ表_各Aパターン件数[[#All],[管理番号]:[Aパターン]],4,FALSE)</f>
        <v/>
      </c>
      <c r="G249" s="131"/>
      <c r="H2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49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49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0" spans="1:10" ht="15" customHeight="1">
      <c r="A250" s="138">
        <v>259</v>
      </c>
      <c r="B250" s="138"/>
      <c r="C250" s="138" t="s">
        <v>551</v>
      </c>
      <c r="D250" s="87" t="str">
        <f>VLOOKUP(名前リスト[[#This Row],[管理番号]],まとめ表_バック金額[[#All],[管理番号]:[バック金額合計]],4,FALSE)</f>
        <v/>
      </c>
      <c r="E250" s="130" t="str">
        <f>VLOOKUP(名前リスト[[#This Row],[管理番号]],まとめ表_各店舗件数[[#All],[管理番号]:[合計件数]],4,FALSE)</f>
        <v/>
      </c>
      <c r="F250" s="131" t="str">
        <f>VLOOKUP(名前リスト[[#This Row],[管理番号]],まとめ表_各Aパターン件数[[#All],[管理番号]:[Aパターン]],4,FALSE)</f>
        <v/>
      </c>
      <c r="G250" s="131"/>
      <c r="H2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0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0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1" spans="1:10" ht="15" customHeight="1">
      <c r="A251" s="138">
        <v>260</v>
      </c>
      <c r="B251" s="138"/>
      <c r="C251" s="138" t="s">
        <v>552</v>
      </c>
      <c r="D251" s="87" t="str">
        <f>VLOOKUP(名前リスト[[#This Row],[管理番号]],まとめ表_バック金額[[#All],[管理番号]:[バック金額合計]],4,FALSE)</f>
        <v/>
      </c>
      <c r="E251" s="130" t="str">
        <f>VLOOKUP(名前リスト[[#This Row],[管理番号]],まとめ表_各店舗件数[[#All],[管理番号]:[合計件数]],4,FALSE)</f>
        <v/>
      </c>
      <c r="F251" s="131" t="str">
        <f>VLOOKUP(名前リスト[[#This Row],[管理番号]],まとめ表_各Aパターン件数[[#All],[管理番号]:[Aパターン]],4,FALSE)</f>
        <v/>
      </c>
      <c r="G251" s="131"/>
      <c r="H2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1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1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2" spans="1:10" ht="15" customHeight="1">
      <c r="A252" s="138">
        <v>261</v>
      </c>
      <c r="B252" s="138"/>
      <c r="C252" s="138" t="s">
        <v>553</v>
      </c>
      <c r="D252" s="87" t="str">
        <f>VLOOKUP(名前リスト[[#This Row],[管理番号]],まとめ表_バック金額[[#All],[管理番号]:[バック金額合計]],4,FALSE)</f>
        <v/>
      </c>
      <c r="E252" s="130" t="str">
        <f>VLOOKUP(名前リスト[[#This Row],[管理番号]],まとめ表_各店舗件数[[#All],[管理番号]:[合計件数]],4,FALSE)</f>
        <v/>
      </c>
      <c r="F252" s="131" t="str">
        <f>VLOOKUP(名前リスト[[#This Row],[管理番号]],まとめ表_各Aパターン件数[[#All],[管理番号]:[Aパターン]],4,FALSE)</f>
        <v/>
      </c>
      <c r="G252" s="131"/>
      <c r="H25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2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2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3" spans="1:10" ht="15" customHeight="1">
      <c r="A253" s="138">
        <v>262</v>
      </c>
      <c r="B253" s="138"/>
      <c r="C253" s="138" t="s">
        <v>554</v>
      </c>
      <c r="D253" s="87" t="str">
        <f>VLOOKUP(名前リスト[[#This Row],[管理番号]],まとめ表_バック金額[[#All],[管理番号]:[バック金額合計]],4,FALSE)</f>
        <v/>
      </c>
      <c r="E253" s="130" t="str">
        <f>VLOOKUP(名前リスト[[#This Row],[管理番号]],まとめ表_各店舗件数[[#All],[管理番号]:[合計件数]],4,FALSE)</f>
        <v/>
      </c>
      <c r="F253" s="131" t="str">
        <f>VLOOKUP(名前リスト[[#This Row],[管理番号]],まとめ表_各Aパターン件数[[#All],[管理番号]:[Aパターン]],4,FALSE)</f>
        <v/>
      </c>
      <c r="G253" s="131"/>
      <c r="H25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3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3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4" spans="1:10" ht="15" customHeight="1">
      <c r="A254" s="138">
        <v>263</v>
      </c>
      <c r="B254" s="138"/>
      <c r="C254" s="138" t="s">
        <v>555</v>
      </c>
      <c r="D254" s="87">
        <f>VLOOKUP(名前リスト[[#This Row],[管理番号]],まとめ表_バック金額[[#All],[管理番号]:[バック金額合計]],4,FALSE)</f>
        <v>33000</v>
      </c>
      <c r="E254" s="130">
        <f>VLOOKUP(名前リスト[[#This Row],[管理番号]],まとめ表_各店舗件数[[#All],[管理番号]:[合計件数]],4,FALSE)</f>
        <v>2</v>
      </c>
      <c r="F254" s="131">
        <f>VLOOKUP(名前リスト[[#This Row],[管理番号]],まとめ表_各Aパターン件数[[#All],[管理番号]:[Aパターン]],4,FALSE)</f>
        <v>3</v>
      </c>
      <c r="G254" s="131"/>
      <c r="H25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4" s="131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>33000</v>
      </c>
      <c r="J254" s="139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>1</v>
      </c>
    </row>
    <row r="255" spans="1:10" ht="15" customHeight="1">
      <c r="A255" s="138">
        <v>264</v>
      </c>
      <c r="B255" s="138"/>
      <c r="C255" s="138" t="s">
        <v>556</v>
      </c>
      <c r="D255" s="87" t="str">
        <f>VLOOKUP(名前リスト[[#This Row],[管理番号]],まとめ表_バック金額[[#All],[管理番号]:[バック金額合計]],4,FALSE)</f>
        <v/>
      </c>
      <c r="E255" s="130" t="str">
        <f>VLOOKUP(名前リスト[[#This Row],[管理番号]],まとめ表_各店舗件数[[#All],[管理番号]:[合計件数]],4,FALSE)</f>
        <v/>
      </c>
      <c r="F255" s="131" t="str">
        <f>VLOOKUP(名前リスト[[#This Row],[管理番号]],まとめ表_各Aパターン件数[[#All],[管理番号]:[Aパターン]],4,FALSE)</f>
        <v/>
      </c>
      <c r="G255" s="131"/>
      <c r="H25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5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5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6" spans="1:10" ht="15" customHeight="1">
      <c r="A256" s="138">
        <v>265</v>
      </c>
      <c r="B256" s="138"/>
      <c r="C256" s="138" t="s">
        <v>557</v>
      </c>
      <c r="D256" s="87" t="str">
        <f>VLOOKUP(名前リスト[[#This Row],[管理番号]],まとめ表_バック金額[[#All],[管理番号]:[バック金額合計]],4,FALSE)</f>
        <v/>
      </c>
      <c r="E256" s="130" t="str">
        <f>VLOOKUP(名前リスト[[#This Row],[管理番号]],まとめ表_各店舗件数[[#All],[管理番号]:[合計件数]],4,FALSE)</f>
        <v/>
      </c>
      <c r="F256" s="131" t="str">
        <f>VLOOKUP(名前リスト[[#This Row],[管理番号]],まとめ表_各Aパターン件数[[#All],[管理番号]:[Aパターン]],4,FALSE)</f>
        <v/>
      </c>
      <c r="G256" s="131"/>
      <c r="H25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6" s="131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6" s="139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7" spans="1:10" ht="15" customHeight="1">
      <c r="A257" s="80">
        <v>1000</v>
      </c>
      <c r="B257" s="80"/>
      <c r="C257" s="130" t="s">
        <v>406</v>
      </c>
      <c r="D257" s="87" t="str">
        <f>VLOOKUP(名前リスト[[#This Row],[管理番号]],まとめ表_バック金額[[#All],[管理番号]:[バック金額合計]],4,FALSE)</f>
        <v/>
      </c>
      <c r="E257" s="80" t="str">
        <f>VLOOKUP(名前リスト[[#This Row],[管理番号]],まとめ表_各店舗件数[[#All],[管理番号]:[合計件数]],4,FALSE)</f>
        <v/>
      </c>
      <c r="F257" s="111" t="str">
        <f>VLOOKUP(名前リスト[[#This Row],[管理番号]],まとめ表_各Aパターン件数[[#All],[管理番号]:[Aパターン]],4,FALSE)</f>
        <v/>
      </c>
      <c r="G257" s="111"/>
      <c r="H257" s="11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8" spans="1:10" ht="15" customHeight="1">
      <c r="A258" s="80">
        <v>1001</v>
      </c>
      <c r="B258" s="80"/>
      <c r="C258" s="80" t="s">
        <v>407</v>
      </c>
      <c r="D258" s="87" t="str">
        <f>VLOOKUP(名前リスト[[#This Row],[管理番号]],まとめ表_バック金額[[#All],[管理番号]:[バック金額合計]],4,FALSE)</f>
        <v/>
      </c>
      <c r="E258" s="80" t="str">
        <f>VLOOKUP(名前リスト[[#This Row],[管理番号]],まとめ表_各店舗件数[[#All],[管理番号]:[合計件数]],4,FALSE)</f>
        <v/>
      </c>
      <c r="F258" s="111" t="str">
        <f>VLOOKUP(名前リスト[[#This Row],[管理番号]],まとめ表_各Aパターン件数[[#All],[管理番号]:[Aパターン]],4,FALSE)</f>
        <v/>
      </c>
      <c r="G258" s="132"/>
      <c r="H258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59" spans="1:10" ht="15" customHeight="1">
      <c r="A259" s="80">
        <v>1002</v>
      </c>
      <c r="B259" s="80"/>
      <c r="C259" s="80" t="s">
        <v>408</v>
      </c>
      <c r="D259" s="87" t="str">
        <f>VLOOKUP(名前リスト[[#This Row],[管理番号]],まとめ表_バック金額[[#All],[管理番号]:[バック金額合計]],4,FALSE)</f>
        <v/>
      </c>
      <c r="E259" s="80" t="str">
        <f>VLOOKUP(名前リスト[[#This Row],[管理番号]],まとめ表_各店舗件数[[#All],[管理番号]:[合計件数]],4,FALSE)</f>
        <v/>
      </c>
      <c r="F259" s="111" t="str">
        <f>VLOOKUP(名前リスト[[#This Row],[管理番号]],まとめ表_各Aパターン件数[[#All],[管理番号]:[Aパターン]],4,FALSE)</f>
        <v/>
      </c>
      <c r="G259" s="132"/>
      <c r="H259" s="132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5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5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0" spans="1:10" ht="15" customHeight="1">
      <c r="A260" s="80">
        <v>1003</v>
      </c>
      <c r="B260" s="80"/>
      <c r="C260" s="80" t="s">
        <v>409</v>
      </c>
      <c r="D260" s="87" t="str">
        <f>VLOOKUP(名前リスト[[#This Row],[管理番号]],まとめ表_バック金額[[#All],[管理番号]:[バック金額合計]],4,FALSE)</f>
        <v/>
      </c>
      <c r="E260" s="80" t="str">
        <f>VLOOKUP(名前リスト[[#This Row],[管理番号]],まとめ表_各店舗件数[[#All],[管理番号]:[合計件数]],4,FALSE)</f>
        <v/>
      </c>
      <c r="F260" s="111" t="str">
        <f>VLOOKUP(名前リスト[[#This Row],[管理番号]],まとめ表_各Aパターン件数[[#All],[管理番号]:[Aパターン]],4,FALSE)</f>
        <v/>
      </c>
      <c r="G260" s="131"/>
      <c r="H26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1" spans="1:10" ht="15" customHeight="1">
      <c r="A261" s="80">
        <v>1004</v>
      </c>
      <c r="B261" s="80"/>
      <c r="C261" s="80" t="s">
        <v>410</v>
      </c>
      <c r="D261" s="87" t="str">
        <f>VLOOKUP(名前リスト[[#This Row],[管理番号]],まとめ表_バック金額[[#All],[管理番号]:[バック金額合計]],4,FALSE)</f>
        <v/>
      </c>
      <c r="E261" s="80" t="str">
        <f>VLOOKUP(名前リスト[[#This Row],[管理番号]],まとめ表_各店舗件数[[#All],[管理番号]:[合計件数]],4,FALSE)</f>
        <v/>
      </c>
      <c r="F261" s="111" t="str">
        <f>VLOOKUP(名前リスト[[#This Row],[管理番号]],まとめ表_各Aパターン件数[[#All],[管理番号]:[Aパターン]],4,FALSE)</f>
        <v/>
      </c>
      <c r="G261" s="131"/>
      <c r="H26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2" spans="1:10" ht="15" customHeight="1">
      <c r="A262" s="80">
        <v>1005</v>
      </c>
      <c r="B262" s="80"/>
      <c r="C262" s="80" t="s">
        <v>411</v>
      </c>
      <c r="D262" s="87" t="str">
        <f>VLOOKUP(名前リスト[[#This Row],[管理番号]],まとめ表_バック金額[[#All],[管理番号]:[バック金額合計]],4,FALSE)</f>
        <v/>
      </c>
      <c r="E262" s="80" t="str">
        <f>VLOOKUP(名前リスト[[#This Row],[管理番号]],まとめ表_各店舗件数[[#All],[管理番号]:[合計件数]],4,FALSE)</f>
        <v/>
      </c>
      <c r="F262" s="111" t="str">
        <f>VLOOKUP(名前リスト[[#This Row],[管理番号]],まとめ表_各Aパターン件数[[#All],[管理番号]:[Aパターン]],4,FALSE)</f>
        <v/>
      </c>
      <c r="G262" s="131"/>
      <c r="H26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3" spans="1:10" ht="15" customHeight="1">
      <c r="A263" s="80">
        <v>1006</v>
      </c>
      <c r="B263" s="80"/>
      <c r="C263" s="80" t="s">
        <v>412</v>
      </c>
      <c r="D263" s="87" t="str">
        <f>VLOOKUP(名前リスト[[#This Row],[管理番号]],まとめ表_バック金額[[#All],[管理番号]:[バック金額合計]],4,FALSE)</f>
        <v/>
      </c>
      <c r="E263" s="80" t="str">
        <f>VLOOKUP(名前リスト[[#This Row],[管理番号]],まとめ表_各店舗件数[[#All],[管理番号]:[合計件数]],4,FALSE)</f>
        <v/>
      </c>
      <c r="F263" s="111" t="str">
        <f>VLOOKUP(名前リスト[[#This Row],[管理番号]],まとめ表_各Aパターン件数[[#All],[管理番号]:[Aパターン]],4,FALSE)</f>
        <v/>
      </c>
      <c r="G263" s="131"/>
      <c r="H26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4" spans="1:10" ht="15" customHeight="1">
      <c r="A264" s="80">
        <v>1007</v>
      </c>
      <c r="B264" s="80"/>
      <c r="C264" s="80" t="s">
        <v>413</v>
      </c>
      <c r="D264" s="87" t="str">
        <f>VLOOKUP(名前リスト[[#This Row],[管理番号]],まとめ表_バック金額[[#All],[管理番号]:[バック金額合計]],4,FALSE)</f>
        <v/>
      </c>
      <c r="E264" s="80" t="str">
        <f>VLOOKUP(名前リスト[[#This Row],[管理番号]],まとめ表_各店舗件数[[#All],[管理番号]:[合計件数]],4,FALSE)</f>
        <v/>
      </c>
      <c r="F264" s="111" t="str">
        <f>VLOOKUP(名前リスト[[#This Row],[管理番号]],まとめ表_各Aパターン件数[[#All],[管理番号]:[Aパターン]],4,FALSE)</f>
        <v/>
      </c>
      <c r="G264" s="131"/>
      <c r="H26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5" spans="1:10" ht="15" customHeight="1">
      <c r="A265" s="80">
        <v>1008</v>
      </c>
      <c r="B265" s="80"/>
      <c r="C265" s="80" t="s">
        <v>414</v>
      </c>
      <c r="D265" s="87" t="str">
        <f>VLOOKUP(名前リスト[[#This Row],[管理番号]],まとめ表_バック金額[[#All],[管理番号]:[バック金額合計]],4,FALSE)</f>
        <v/>
      </c>
      <c r="E265" s="80" t="str">
        <f>VLOOKUP(名前リスト[[#This Row],[管理番号]],まとめ表_各店舗件数[[#All],[管理番号]:[合計件数]],4,FALSE)</f>
        <v/>
      </c>
      <c r="F265" s="111" t="str">
        <f>VLOOKUP(名前リスト[[#This Row],[管理番号]],まとめ表_各Aパターン件数[[#All],[管理番号]:[Aパターン]],4,FALSE)</f>
        <v/>
      </c>
      <c r="G265" s="131"/>
      <c r="H26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6" spans="1:10" ht="15" customHeight="1">
      <c r="A266" s="80">
        <v>1009</v>
      </c>
      <c r="B266" s="80"/>
      <c r="C266" s="80" t="s">
        <v>415</v>
      </c>
      <c r="D266" s="87" t="str">
        <f>VLOOKUP(名前リスト[[#This Row],[管理番号]],まとめ表_バック金額[[#All],[管理番号]:[バック金額合計]],4,FALSE)</f>
        <v/>
      </c>
      <c r="E266" s="80" t="str">
        <f>VLOOKUP(名前リスト[[#This Row],[管理番号]],まとめ表_各店舗件数[[#All],[管理番号]:[合計件数]],4,FALSE)</f>
        <v/>
      </c>
      <c r="F266" s="111" t="str">
        <f>VLOOKUP(名前リスト[[#This Row],[管理番号]],まとめ表_各Aパターン件数[[#All],[管理番号]:[Aパターン]],4,FALSE)</f>
        <v/>
      </c>
      <c r="G266" s="131"/>
      <c r="H26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7" spans="1:10" ht="15" customHeight="1">
      <c r="A267" s="80">
        <v>1010</v>
      </c>
      <c r="B267" s="80"/>
      <c r="C267" s="80" t="s">
        <v>416</v>
      </c>
      <c r="D267" s="87" t="str">
        <f>VLOOKUP(名前リスト[[#This Row],[管理番号]],まとめ表_バック金額[[#All],[管理番号]:[バック金額合計]],4,FALSE)</f>
        <v/>
      </c>
      <c r="E267" s="80" t="str">
        <f>VLOOKUP(名前リスト[[#This Row],[管理番号]],まとめ表_各店舗件数[[#All],[管理番号]:[合計件数]],4,FALSE)</f>
        <v/>
      </c>
      <c r="F267" s="111" t="str">
        <f>VLOOKUP(名前リスト[[#This Row],[管理番号]],まとめ表_各Aパターン件数[[#All],[管理番号]:[Aパターン]],4,FALSE)</f>
        <v/>
      </c>
      <c r="G267" s="131"/>
      <c r="H26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8" spans="1:10" ht="15" customHeight="1">
      <c r="A268" s="80">
        <v>1011</v>
      </c>
      <c r="B268" s="80"/>
      <c r="C268" s="80" t="s">
        <v>417</v>
      </c>
      <c r="D268" s="87" t="str">
        <f>VLOOKUP(名前リスト[[#This Row],[管理番号]],まとめ表_バック金額[[#All],[管理番号]:[バック金額合計]],4,FALSE)</f>
        <v/>
      </c>
      <c r="E268" s="80" t="str">
        <f>VLOOKUP(名前リスト[[#This Row],[管理番号]],まとめ表_各店舗件数[[#All],[管理番号]:[合計件数]],4,FALSE)</f>
        <v/>
      </c>
      <c r="F268" s="111" t="str">
        <f>VLOOKUP(名前リスト[[#This Row],[管理番号]],まとめ表_各Aパターン件数[[#All],[管理番号]:[Aパターン]],4,FALSE)</f>
        <v/>
      </c>
      <c r="G268" s="131"/>
      <c r="H26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69" spans="1:10" ht="15" customHeight="1">
      <c r="A269" s="80">
        <v>1012</v>
      </c>
      <c r="B269" s="80"/>
      <c r="C269" s="80" t="s">
        <v>418</v>
      </c>
      <c r="D269" s="87" t="str">
        <f>VLOOKUP(名前リスト[[#This Row],[管理番号]],まとめ表_バック金額[[#All],[管理番号]:[バック金額合計]],4,FALSE)</f>
        <v/>
      </c>
      <c r="E269" s="80" t="str">
        <f>VLOOKUP(名前リスト[[#This Row],[管理番号]],まとめ表_各店舗件数[[#All],[管理番号]:[合計件数]],4,FALSE)</f>
        <v/>
      </c>
      <c r="F269" s="111" t="str">
        <f>VLOOKUP(名前リスト[[#This Row],[管理番号]],まとめ表_各Aパターン件数[[#All],[管理番号]:[Aパターン]],4,FALSE)</f>
        <v/>
      </c>
      <c r="G269" s="131"/>
      <c r="H26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6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6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0" spans="1:10" ht="15" customHeight="1">
      <c r="A270" s="80">
        <v>1013</v>
      </c>
      <c r="B270" s="80"/>
      <c r="C270" s="80" t="s">
        <v>419</v>
      </c>
      <c r="D270" s="87" t="str">
        <f>VLOOKUP(名前リスト[[#This Row],[管理番号]],まとめ表_バック金額[[#All],[管理番号]:[バック金額合計]],4,FALSE)</f>
        <v/>
      </c>
      <c r="E270" s="80" t="str">
        <f>VLOOKUP(名前リスト[[#This Row],[管理番号]],まとめ表_各店舗件数[[#All],[管理番号]:[合計件数]],4,FALSE)</f>
        <v/>
      </c>
      <c r="F270" s="111" t="str">
        <f>VLOOKUP(名前リスト[[#This Row],[管理番号]],まとめ表_各Aパターン件数[[#All],[管理番号]:[Aパターン]],4,FALSE)</f>
        <v/>
      </c>
      <c r="G270" s="131"/>
      <c r="H27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1" spans="1:10" ht="15" customHeight="1">
      <c r="A271" s="80">
        <v>1014</v>
      </c>
      <c r="B271" s="80"/>
      <c r="C271" s="80" t="s">
        <v>420</v>
      </c>
      <c r="D271" s="87" t="str">
        <f>VLOOKUP(名前リスト[[#This Row],[管理番号]],まとめ表_バック金額[[#All],[管理番号]:[バック金額合計]],4,FALSE)</f>
        <v/>
      </c>
      <c r="E271" s="80" t="str">
        <f>VLOOKUP(名前リスト[[#This Row],[管理番号]],まとめ表_各店舗件数[[#All],[管理番号]:[合計件数]],4,FALSE)</f>
        <v/>
      </c>
      <c r="F271" s="111" t="str">
        <f>VLOOKUP(名前リスト[[#This Row],[管理番号]],まとめ表_各Aパターン件数[[#All],[管理番号]:[Aパターン]],4,FALSE)</f>
        <v/>
      </c>
      <c r="G271" s="131"/>
      <c r="H27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2" spans="1:10" ht="15" customHeight="1">
      <c r="A272" s="80">
        <v>1015</v>
      </c>
      <c r="B272" s="80"/>
      <c r="C272" s="80" t="s">
        <v>421</v>
      </c>
      <c r="D272" s="87" t="str">
        <f>VLOOKUP(名前リスト[[#This Row],[管理番号]],まとめ表_バック金額[[#All],[管理番号]:[バック金額合計]],4,FALSE)</f>
        <v/>
      </c>
      <c r="E272" s="80" t="str">
        <f>VLOOKUP(名前リスト[[#This Row],[管理番号]],まとめ表_各店舗件数[[#All],[管理番号]:[合計件数]],4,FALSE)</f>
        <v/>
      </c>
      <c r="F272" s="111" t="str">
        <f>VLOOKUP(名前リスト[[#This Row],[管理番号]],まとめ表_各Aパターン件数[[#All],[管理番号]:[Aパターン]],4,FALSE)</f>
        <v/>
      </c>
      <c r="G272" s="131"/>
      <c r="H27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3" spans="1:10" ht="15" customHeight="1">
      <c r="A273" s="80">
        <v>1016</v>
      </c>
      <c r="B273" s="80"/>
      <c r="C273" s="80" t="s">
        <v>422</v>
      </c>
      <c r="D273" s="87" t="str">
        <f>VLOOKUP(名前リスト[[#This Row],[管理番号]],まとめ表_バック金額[[#All],[管理番号]:[バック金額合計]],4,FALSE)</f>
        <v/>
      </c>
      <c r="E273" s="80" t="str">
        <f>VLOOKUP(名前リスト[[#This Row],[管理番号]],まとめ表_各店舗件数[[#All],[管理番号]:[合計件数]],4,FALSE)</f>
        <v/>
      </c>
      <c r="F273" s="111" t="str">
        <f>VLOOKUP(名前リスト[[#This Row],[管理番号]],まとめ表_各Aパターン件数[[#All],[管理番号]:[Aパターン]],4,FALSE)</f>
        <v/>
      </c>
      <c r="G273" s="131"/>
      <c r="H27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4" spans="1:10" ht="15" customHeight="1">
      <c r="A274" s="80">
        <v>1017</v>
      </c>
      <c r="B274" s="80"/>
      <c r="C274" s="80" t="s">
        <v>423</v>
      </c>
      <c r="D274" s="87" t="str">
        <f>VLOOKUP(名前リスト[[#This Row],[管理番号]],まとめ表_バック金額[[#All],[管理番号]:[バック金額合計]],4,FALSE)</f>
        <v/>
      </c>
      <c r="E274" s="80" t="str">
        <f>VLOOKUP(名前リスト[[#This Row],[管理番号]],まとめ表_各店舗件数[[#All],[管理番号]:[合計件数]],4,FALSE)</f>
        <v/>
      </c>
      <c r="F274" s="111" t="str">
        <f>VLOOKUP(名前リスト[[#This Row],[管理番号]],まとめ表_各Aパターン件数[[#All],[管理番号]:[Aパターン]],4,FALSE)</f>
        <v/>
      </c>
      <c r="G274" s="131"/>
      <c r="H27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5" spans="1:10" ht="15" customHeight="1">
      <c r="A275" s="80">
        <v>1018</v>
      </c>
      <c r="B275" s="80"/>
      <c r="C275" s="80" t="s">
        <v>424</v>
      </c>
      <c r="D275" s="87" t="str">
        <f>VLOOKUP(名前リスト[[#This Row],[管理番号]],まとめ表_バック金額[[#All],[管理番号]:[バック金額合計]],4,FALSE)</f>
        <v/>
      </c>
      <c r="E275" s="80" t="str">
        <f>VLOOKUP(名前リスト[[#This Row],[管理番号]],まとめ表_各店舗件数[[#All],[管理番号]:[合計件数]],4,FALSE)</f>
        <v/>
      </c>
      <c r="F275" s="111" t="str">
        <f>VLOOKUP(名前リスト[[#This Row],[管理番号]],まとめ表_各Aパターン件数[[#All],[管理番号]:[Aパターン]],4,FALSE)</f>
        <v/>
      </c>
      <c r="G275" s="131"/>
      <c r="H27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6" spans="1:10" ht="15" customHeight="1">
      <c r="A276" s="80">
        <v>1019</v>
      </c>
      <c r="B276" s="80"/>
      <c r="C276" s="80" t="s">
        <v>425</v>
      </c>
      <c r="D276" s="87" t="str">
        <f>VLOOKUP(名前リスト[[#This Row],[管理番号]],まとめ表_バック金額[[#All],[管理番号]:[バック金額合計]],4,FALSE)</f>
        <v/>
      </c>
      <c r="E276" s="80" t="str">
        <f>VLOOKUP(名前リスト[[#This Row],[管理番号]],まとめ表_各店舗件数[[#All],[管理番号]:[合計件数]],4,FALSE)</f>
        <v/>
      </c>
      <c r="F276" s="111" t="str">
        <f>VLOOKUP(名前リスト[[#This Row],[管理番号]],まとめ表_各Aパターン件数[[#All],[管理番号]:[Aパターン]],4,FALSE)</f>
        <v/>
      </c>
      <c r="G276" s="131"/>
      <c r="H27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7" spans="1:10" ht="15" customHeight="1">
      <c r="A277" s="80">
        <v>1020</v>
      </c>
      <c r="B277" s="80"/>
      <c r="C277" s="80" t="s">
        <v>426</v>
      </c>
      <c r="D277" s="87" t="str">
        <f>VLOOKUP(名前リスト[[#This Row],[管理番号]],まとめ表_バック金額[[#All],[管理番号]:[バック金額合計]],4,FALSE)</f>
        <v/>
      </c>
      <c r="E277" s="80" t="str">
        <f>VLOOKUP(名前リスト[[#This Row],[管理番号]],まとめ表_各店舗件数[[#All],[管理番号]:[合計件数]],4,FALSE)</f>
        <v/>
      </c>
      <c r="F277" s="111" t="str">
        <f>VLOOKUP(名前リスト[[#This Row],[管理番号]],まとめ表_各Aパターン件数[[#All],[管理番号]:[Aパターン]],4,FALSE)</f>
        <v/>
      </c>
      <c r="G277" s="131"/>
      <c r="H27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8" spans="1:10" ht="15" customHeight="1">
      <c r="A278" s="80">
        <v>1021</v>
      </c>
      <c r="B278" s="80"/>
      <c r="C278" s="80" t="s">
        <v>427</v>
      </c>
      <c r="D278" s="87" t="str">
        <f>VLOOKUP(名前リスト[[#This Row],[管理番号]],まとめ表_バック金額[[#All],[管理番号]:[バック金額合計]],4,FALSE)</f>
        <v/>
      </c>
      <c r="E278" s="80" t="str">
        <f>VLOOKUP(名前リスト[[#This Row],[管理番号]],まとめ表_各店舗件数[[#All],[管理番号]:[合計件数]],4,FALSE)</f>
        <v/>
      </c>
      <c r="F278" s="111" t="str">
        <f>VLOOKUP(名前リスト[[#This Row],[管理番号]],まとめ表_各Aパターン件数[[#All],[管理番号]:[Aパターン]],4,FALSE)</f>
        <v/>
      </c>
      <c r="G278" s="131"/>
      <c r="H27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79" spans="1:10" ht="15" customHeight="1">
      <c r="A279" s="80">
        <v>1022</v>
      </c>
      <c r="B279" s="80"/>
      <c r="C279" s="80" t="s">
        <v>428</v>
      </c>
      <c r="D279" s="87" t="str">
        <f>VLOOKUP(名前リスト[[#This Row],[管理番号]],まとめ表_バック金額[[#All],[管理番号]:[バック金額合計]],4,FALSE)</f>
        <v/>
      </c>
      <c r="E279" s="80" t="str">
        <f>VLOOKUP(名前リスト[[#This Row],[管理番号]],まとめ表_各店舗件数[[#All],[管理番号]:[合計件数]],4,FALSE)</f>
        <v/>
      </c>
      <c r="F279" s="111" t="str">
        <f>VLOOKUP(名前リスト[[#This Row],[管理番号]],まとめ表_各Aパターン件数[[#All],[管理番号]:[Aパターン]],4,FALSE)</f>
        <v/>
      </c>
      <c r="G279" s="131"/>
      <c r="H27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7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7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0" spans="1:10" ht="15" customHeight="1">
      <c r="A280" s="80">
        <v>1023</v>
      </c>
      <c r="B280" s="80"/>
      <c r="C280" s="80" t="s">
        <v>429</v>
      </c>
      <c r="D280" s="87" t="str">
        <f>VLOOKUP(名前リスト[[#This Row],[管理番号]],まとめ表_バック金額[[#All],[管理番号]:[バック金額合計]],4,FALSE)</f>
        <v/>
      </c>
      <c r="E280" s="80" t="str">
        <f>VLOOKUP(名前リスト[[#This Row],[管理番号]],まとめ表_各店舗件数[[#All],[管理番号]:[合計件数]],4,FALSE)</f>
        <v/>
      </c>
      <c r="F280" s="111" t="str">
        <f>VLOOKUP(名前リスト[[#This Row],[管理番号]],まとめ表_各Aパターン件数[[#All],[管理番号]:[Aパターン]],4,FALSE)</f>
        <v/>
      </c>
      <c r="G280" s="131"/>
      <c r="H28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1" spans="1:10" ht="15" customHeight="1">
      <c r="A281" s="80">
        <v>1024</v>
      </c>
      <c r="B281" s="80"/>
      <c r="C281" s="80" t="s">
        <v>430</v>
      </c>
      <c r="D281" s="87" t="str">
        <f>VLOOKUP(名前リスト[[#This Row],[管理番号]],まとめ表_バック金額[[#All],[管理番号]:[バック金額合計]],4,FALSE)</f>
        <v/>
      </c>
      <c r="E281" s="80" t="str">
        <f>VLOOKUP(名前リスト[[#This Row],[管理番号]],まとめ表_各店舗件数[[#All],[管理番号]:[合計件数]],4,FALSE)</f>
        <v/>
      </c>
      <c r="F281" s="111" t="str">
        <f>VLOOKUP(名前リスト[[#This Row],[管理番号]],まとめ表_各Aパターン件数[[#All],[管理番号]:[Aパターン]],4,FALSE)</f>
        <v/>
      </c>
      <c r="G281" s="131"/>
      <c r="H28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2" spans="1:10" ht="15" customHeight="1">
      <c r="A282" s="80">
        <v>1025</v>
      </c>
      <c r="B282" s="80"/>
      <c r="C282" s="80" t="s">
        <v>431</v>
      </c>
      <c r="D282" s="87" t="str">
        <f>VLOOKUP(名前リスト[[#This Row],[管理番号]],まとめ表_バック金額[[#All],[管理番号]:[バック金額合計]],4,FALSE)</f>
        <v/>
      </c>
      <c r="E282" s="80" t="str">
        <f>VLOOKUP(名前リスト[[#This Row],[管理番号]],まとめ表_各店舗件数[[#All],[管理番号]:[合計件数]],4,FALSE)</f>
        <v/>
      </c>
      <c r="F282" s="111" t="str">
        <f>VLOOKUP(名前リスト[[#This Row],[管理番号]],まとめ表_各Aパターン件数[[#All],[管理番号]:[Aパターン]],4,FALSE)</f>
        <v/>
      </c>
      <c r="G282" s="131"/>
      <c r="H28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3" spans="1:10" ht="15" customHeight="1">
      <c r="A283" s="80">
        <v>1026</v>
      </c>
      <c r="B283" s="80"/>
      <c r="C283" s="80" t="s">
        <v>432</v>
      </c>
      <c r="D283" s="87" t="str">
        <f>VLOOKUP(名前リスト[[#This Row],[管理番号]],まとめ表_バック金額[[#All],[管理番号]:[バック金額合計]],4,FALSE)</f>
        <v/>
      </c>
      <c r="E283" s="80" t="str">
        <f>VLOOKUP(名前リスト[[#This Row],[管理番号]],まとめ表_各店舗件数[[#All],[管理番号]:[合計件数]],4,FALSE)</f>
        <v/>
      </c>
      <c r="F283" s="111" t="str">
        <f>VLOOKUP(名前リスト[[#This Row],[管理番号]],まとめ表_各Aパターン件数[[#All],[管理番号]:[Aパターン]],4,FALSE)</f>
        <v/>
      </c>
      <c r="G283" s="131"/>
      <c r="H28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4" spans="1:10" ht="15" customHeight="1">
      <c r="A284" s="80">
        <v>1027</v>
      </c>
      <c r="B284" s="80"/>
      <c r="C284" s="80" t="s">
        <v>433</v>
      </c>
      <c r="D284" s="87" t="str">
        <f>VLOOKUP(名前リスト[[#This Row],[管理番号]],まとめ表_バック金額[[#All],[管理番号]:[バック金額合計]],4,FALSE)</f>
        <v/>
      </c>
      <c r="E284" s="80" t="str">
        <f>VLOOKUP(名前リスト[[#This Row],[管理番号]],まとめ表_各店舗件数[[#All],[管理番号]:[合計件数]],4,FALSE)</f>
        <v/>
      </c>
      <c r="F284" s="111" t="str">
        <f>VLOOKUP(名前リスト[[#This Row],[管理番号]],まとめ表_各Aパターン件数[[#All],[管理番号]:[Aパターン]],4,FALSE)</f>
        <v/>
      </c>
      <c r="G284" s="131"/>
      <c r="H28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5" spans="1:10" ht="15" customHeight="1">
      <c r="A285" s="80">
        <v>1028</v>
      </c>
      <c r="B285" s="80"/>
      <c r="C285" s="80" t="s">
        <v>434</v>
      </c>
      <c r="D285" s="87" t="str">
        <f>VLOOKUP(名前リスト[[#This Row],[管理番号]],まとめ表_バック金額[[#All],[管理番号]:[バック金額合計]],4,FALSE)</f>
        <v/>
      </c>
      <c r="E285" s="80" t="str">
        <f>VLOOKUP(名前リスト[[#This Row],[管理番号]],まとめ表_各店舗件数[[#All],[管理番号]:[合計件数]],4,FALSE)</f>
        <v/>
      </c>
      <c r="F285" s="111" t="str">
        <f>VLOOKUP(名前リスト[[#This Row],[管理番号]],まとめ表_各Aパターン件数[[#All],[管理番号]:[Aパターン]],4,FALSE)</f>
        <v/>
      </c>
      <c r="G285" s="131"/>
      <c r="H28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6" spans="1:10" ht="15" customHeight="1">
      <c r="A286" s="80">
        <v>1029</v>
      </c>
      <c r="B286" s="80"/>
      <c r="C286" s="80" t="s">
        <v>435</v>
      </c>
      <c r="D286" s="87" t="str">
        <f>VLOOKUP(名前リスト[[#This Row],[管理番号]],まとめ表_バック金額[[#All],[管理番号]:[バック金額合計]],4,FALSE)</f>
        <v/>
      </c>
      <c r="E286" s="80" t="str">
        <f>VLOOKUP(名前リスト[[#This Row],[管理番号]],まとめ表_各店舗件数[[#All],[管理番号]:[合計件数]],4,FALSE)</f>
        <v/>
      </c>
      <c r="F286" s="111" t="str">
        <f>VLOOKUP(名前リスト[[#This Row],[管理番号]],まとめ表_各Aパターン件数[[#All],[管理番号]:[Aパターン]],4,FALSE)</f>
        <v/>
      </c>
      <c r="G286" s="131"/>
      <c r="H28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7" spans="1:10" ht="15" customHeight="1">
      <c r="A287" s="80">
        <v>1030</v>
      </c>
      <c r="B287" s="80"/>
      <c r="C287" s="80" t="s">
        <v>436</v>
      </c>
      <c r="D287" s="87" t="str">
        <f>VLOOKUP(名前リスト[[#This Row],[管理番号]],まとめ表_バック金額[[#All],[管理番号]:[バック金額合計]],4,FALSE)</f>
        <v/>
      </c>
      <c r="E287" s="80" t="str">
        <f>VLOOKUP(名前リスト[[#This Row],[管理番号]],まとめ表_各店舗件数[[#All],[管理番号]:[合計件数]],4,FALSE)</f>
        <v/>
      </c>
      <c r="F287" s="111" t="str">
        <f>VLOOKUP(名前リスト[[#This Row],[管理番号]],まとめ表_各Aパターン件数[[#All],[管理番号]:[Aパターン]],4,FALSE)</f>
        <v/>
      </c>
      <c r="G287" s="131"/>
      <c r="H28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8" spans="1:10" ht="15" customHeight="1">
      <c r="A288" s="80">
        <v>1031</v>
      </c>
      <c r="B288" s="80"/>
      <c r="C288" s="80" t="s">
        <v>437</v>
      </c>
      <c r="D288" s="87" t="str">
        <f>VLOOKUP(名前リスト[[#This Row],[管理番号]],まとめ表_バック金額[[#All],[管理番号]:[バック金額合計]],4,FALSE)</f>
        <v/>
      </c>
      <c r="E288" s="80" t="str">
        <f>VLOOKUP(名前リスト[[#This Row],[管理番号]],まとめ表_各店舗件数[[#All],[管理番号]:[合計件数]],4,FALSE)</f>
        <v/>
      </c>
      <c r="F288" s="111" t="str">
        <f>VLOOKUP(名前リスト[[#This Row],[管理番号]],まとめ表_各Aパターン件数[[#All],[管理番号]:[Aパターン]],4,FALSE)</f>
        <v/>
      </c>
      <c r="G288" s="131"/>
      <c r="H28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89" spans="1:10" ht="15" customHeight="1">
      <c r="A289" s="80">
        <v>1032</v>
      </c>
      <c r="B289" s="80"/>
      <c r="C289" s="80" t="s">
        <v>438</v>
      </c>
      <c r="D289" s="87" t="str">
        <f>VLOOKUP(名前リスト[[#This Row],[管理番号]],まとめ表_バック金額[[#All],[管理番号]:[バック金額合計]],4,FALSE)</f>
        <v/>
      </c>
      <c r="E289" s="80" t="str">
        <f>VLOOKUP(名前リスト[[#This Row],[管理番号]],まとめ表_各店舗件数[[#All],[管理番号]:[合計件数]],4,FALSE)</f>
        <v/>
      </c>
      <c r="F289" s="111" t="str">
        <f>VLOOKUP(名前リスト[[#This Row],[管理番号]],まとめ表_各Aパターン件数[[#All],[管理番号]:[Aパターン]],4,FALSE)</f>
        <v/>
      </c>
      <c r="G289" s="131"/>
      <c r="H28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8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8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0" spans="1:10" ht="15" customHeight="1">
      <c r="A290" s="80">
        <v>1033</v>
      </c>
      <c r="B290" s="80"/>
      <c r="C290" s="80" t="s">
        <v>439</v>
      </c>
      <c r="D290" s="87" t="str">
        <f>VLOOKUP(名前リスト[[#This Row],[管理番号]],まとめ表_バック金額[[#All],[管理番号]:[バック金額合計]],4,FALSE)</f>
        <v/>
      </c>
      <c r="E290" s="80" t="str">
        <f>VLOOKUP(名前リスト[[#This Row],[管理番号]],まとめ表_各店舗件数[[#All],[管理番号]:[合計件数]],4,FALSE)</f>
        <v/>
      </c>
      <c r="F290" s="111" t="str">
        <f>VLOOKUP(名前リスト[[#This Row],[管理番号]],まとめ表_各Aパターン件数[[#All],[管理番号]:[Aパターン]],4,FALSE)</f>
        <v/>
      </c>
      <c r="G290" s="131"/>
      <c r="H29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1" spans="1:10" ht="15" customHeight="1">
      <c r="A291" s="80">
        <v>1034</v>
      </c>
      <c r="B291" s="80"/>
      <c r="C291" s="80" t="s">
        <v>440</v>
      </c>
      <c r="D291" s="87" t="str">
        <f>VLOOKUP(名前リスト[[#This Row],[管理番号]],まとめ表_バック金額[[#All],[管理番号]:[バック金額合計]],4,FALSE)</f>
        <v/>
      </c>
      <c r="E291" s="80" t="str">
        <f>VLOOKUP(名前リスト[[#This Row],[管理番号]],まとめ表_各店舗件数[[#All],[管理番号]:[合計件数]],4,FALSE)</f>
        <v/>
      </c>
      <c r="F291" s="111" t="str">
        <f>VLOOKUP(名前リスト[[#This Row],[管理番号]],まとめ表_各Aパターン件数[[#All],[管理番号]:[Aパターン]],4,FALSE)</f>
        <v/>
      </c>
      <c r="G291" s="131"/>
      <c r="H29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2" spans="1:10" ht="15" customHeight="1">
      <c r="A292" s="80">
        <v>1035</v>
      </c>
      <c r="B292" s="80"/>
      <c r="C292" s="80" t="s">
        <v>441</v>
      </c>
      <c r="D292" s="87" t="str">
        <f>VLOOKUP(名前リスト[[#This Row],[管理番号]],まとめ表_バック金額[[#All],[管理番号]:[バック金額合計]],4,FALSE)</f>
        <v/>
      </c>
      <c r="E292" s="80" t="str">
        <f>VLOOKUP(名前リスト[[#This Row],[管理番号]],まとめ表_各店舗件数[[#All],[管理番号]:[合計件数]],4,FALSE)</f>
        <v/>
      </c>
      <c r="F292" s="111" t="str">
        <f>VLOOKUP(名前リスト[[#This Row],[管理番号]],まとめ表_各Aパターン件数[[#All],[管理番号]:[Aパターン]],4,FALSE)</f>
        <v/>
      </c>
      <c r="G292" s="131"/>
      <c r="H29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3" spans="1:10" ht="15" customHeight="1">
      <c r="A293" s="80">
        <v>1036</v>
      </c>
      <c r="B293" s="80"/>
      <c r="C293" s="130" t="s">
        <v>499</v>
      </c>
      <c r="D293" s="87" t="str">
        <f>VLOOKUP(名前リスト[[#This Row],[管理番号]],まとめ表_バック金額[[#All],[管理番号]:[バック金額合計]],4,FALSE)</f>
        <v/>
      </c>
      <c r="E293" s="80" t="str">
        <f>VLOOKUP(名前リスト[[#This Row],[管理番号]],まとめ表_各店舗件数[[#All],[管理番号]:[合計件数]],4,FALSE)</f>
        <v/>
      </c>
      <c r="F293" s="111" t="str">
        <f>VLOOKUP(名前リスト[[#This Row],[管理番号]],まとめ表_各Aパターン件数[[#All],[管理番号]:[Aパターン]],4,FALSE)</f>
        <v/>
      </c>
      <c r="G293" s="131"/>
      <c r="H29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4" spans="1:10" ht="15" customHeight="1">
      <c r="A294" s="80">
        <v>1037</v>
      </c>
      <c r="B294" s="80"/>
      <c r="C294" s="80" t="s">
        <v>442</v>
      </c>
      <c r="D294" s="87" t="str">
        <f>VLOOKUP(名前リスト[[#This Row],[管理番号]],まとめ表_バック金額[[#All],[管理番号]:[バック金額合計]],4,FALSE)</f>
        <v/>
      </c>
      <c r="E294" s="80" t="str">
        <f>VLOOKUP(名前リスト[[#This Row],[管理番号]],まとめ表_各店舗件数[[#All],[管理番号]:[合計件数]],4,FALSE)</f>
        <v/>
      </c>
      <c r="F294" s="111" t="str">
        <f>VLOOKUP(名前リスト[[#This Row],[管理番号]],まとめ表_各Aパターン件数[[#All],[管理番号]:[Aパターン]],4,FALSE)</f>
        <v/>
      </c>
      <c r="G294" s="131"/>
      <c r="H29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5" spans="1:10" ht="15" customHeight="1">
      <c r="A295" s="80">
        <v>1038</v>
      </c>
      <c r="B295" s="80"/>
      <c r="C295" s="80" t="s">
        <v>443</v>
      </c>
      <c r="D295" s="87" t="str">
        <f>VLOOKUP(名前リスト[[#This Row],[管理番号]],まとめ表_バック金額[[#All],[管理番号]:[バック金額合計]],4,FALSE)</f>
        <v/>
      </c>
      <c r="E295" s="80" t="str">
        <f>VLOOKUP(名前リスト[[#This Row],[管理番号]],まとめ表_各店舗件数[[#All],[管理番号]:[合計件数]],4,FALSE)</f>
        <v/>
      </c>
      <c r="F295" s="111" t="str">
        <f>VLOOKUP(名前リスト[[#This Row],[管理番号]],まとめ表_各Aパターン件数[[#All],[管理番号]:[Aパターン]],4,FALSE)</f>
        <v/>
      </c>
      <c r="G295" s="131"/>
      <c r="H29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6" spans="1:10" ht="15" customHeight="1">
      <c r="A296" s="80">
        <v>1039</v>
      </c>
      <c r="B296" s="80"/>
      <c r="C296" s="80" t="s">
        <v>444</v>
      </c>
      <c r="D296" s="87" t="str">
        <f>VLOOKUP(名前リスト[[#This Row],[管理番号]],まとめ表_バック金額[[#All],[管理番号]:[バック金額合計]],4,FALSE)</f>
        <v/>
      </c>
      <c r="E296" s="80" t="str">
        <f>VLOOKUP(名前リスト[[#This Row],[管理番号]],まとめ表_各店舗件数[[#All],[管理番号]:[合計件数]],4,FALSE)</f>
        <v/>
      </c>
      <c r="F296" s="111" t="str">
        <f>VLOOKUP(名前リスト[[#This Row],[管理番号]],まとめ表_各Aパターン件数[[#All],[管理番号]:[Aパターン]],4,FALSE)</f>
        <v/>
      </c>
      <c r="G296" s="131"/>
      <c r="H29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7" spans="1:10" ht="15" customHeight="1">
      <c r="A297" s="80">
        <v>1040</v>
      </c>
      <c r="B297" s="80"/>
      <c r="C297" s="80" t="s">
        <v>445</v>
      </c>
      <c r="D297" s="87" t="str">
        <f>VLOOKUP(名前リスト[[#This Row],[管理番号]],まとめ表_バック金額[[#All],[管理番号]:[バック金額合計]],4,FALSE)</f>
        <v/>
      </c>
      <c r="E297" s="80" t="str">
        <f>VLOOKUP(名前リスト[[#This Row],[管理番号]],まとめ表_各店舗件数[[#All],[管理番号]:[合計件数]],4,FALSE)</f>
        <v/>
      </c>
      <c r="F297" s="111" t="str">
        <f>VLOOKUP(名前リスト[[#This Row],[管理番号]],まとめ表_各Aパターン件数[[#All],[管理番号]:[Aパターン]],4,FALSE)</f>
        <v/>
      </c>
      <c r="G297" s="131"/>
      <c r="H29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8" spans="1:10" ht="15" customHeight="1">
      <c r="A298" s="80">
        <v>1041</v>
      </c>
      <c r="B298" s="80"/>
      <c r="C298" s="80" t="s">
        <v>446</v>
      </c>
      <c r="D298" s="87" t="str">
        <f>VLOOKUP(名前リスト[[#This Row],[管理番号]],まとめ表_バック金額[[#All],[管理番号]:[バック金額合計]],4,FALSE)</f>
        <v/>
      </c>
      <c r="E298" s="80" t="str">
        <f>VLOOKUP(名前リスト[[#This Row],[管理番号]],まとめ表_各店舗件数[[#All],[管理番号]:[合計件数]],4,FALSE)</f>
        <v/>
      </c>
      <c r="F298" s="111" t="str">
        <f>VLOOKUP(名前リスト[[#This Row],[管理番号]],まとめ表_各Aパターン件数[[#All],[管理番号]:[Aパターン]],4,FALSE)</f>
        <v/>
      </c>
      <c r="G298" s="131"/>
      <c r="H29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299" spans="1:10" ht="15" customHeight="1">
      <c r="A299" s="80">
        <v>1042</v>
      </c>
      <c r="B299" s="80"/>
      <c r="C299" s="80" t="s">
        <v>447</v>
      </c>
      <c r="D299" s="87" t="str">
        <f>VLOOKUP(名前リスト[[#This Row],[管理番号]],まとめ表_バック金額[[#All],[管理番号]:[バック金額合計]],4,FALSE)</f>
        <v/>
      </c>
      <c r="E299" s="80" t="str">
        <f>VLOOKUP(名前リスト[[#This Row],[管理番号]],まとめ表_各店舗件数[[#All],[管理番号]:[合計件数]],4,FALSE)</f>
        <v/>
      </c>
      <c r="F299" s="111" t="str">
        <f>VLOOKUP(名前リスト[[#This Row],[管理番号]],まとめ表_各Aパターン件数[[#All],[管理番号]:[Aパターン]],4,FALSE)</f>
        <v/>
      </c>
      <c r="G299" s="131"/>
      <c r="H29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29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29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0" spans="1:10" ht="15" customHeight="1">
      <c r="A300" s="80">
        <v>1043</v>
      </c>
      <c r="B300" s="80"/>
      <c r="C300" s="80" t="s">
        <v>448</v>
      </c>
      <c r="D300" s="87" t="str">
        <f>VLOOKUP(名前リスト[[#This Row],[管理番号]],まとめ表_バック金額[[#All],[管理番号]:[バック金額合計]],4,FALSE)</f>
        <v/>
      </c>
      <c r="E300" s="80" t="str">
        <f>VLOOKUP(名前リスト[[#This Row],[管理番号]],まとめ表_各店舗件数[[#All],[管理番号]:[合計件数]],4,FALSE)</f>
        <v/>
      </c>
      <c r="F300" s="111" t="str">
        <f>VLOOKUP(名前リスト[[#This Row],[管理番号]],まとめ表_各Aパターン件数[[#All],[管理番号]:[Aパターン]],4,FALSE)</f>
        <v/>
      </c>
      <c r="G300" s="131"/>
      <c r="H30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1" spans="1:10" ht="15" customHeight="1">
      <c r="A301" s="80">
        <v>1044</v>
      </c>
      <c r="B301" s="80"/>
      <c r="C301" s="80" t="s">
        <v>449</v>
      </c>
      <c r="D301" s="87" t="str">
        <f>VLOOKUP(名前リスト[[#This Row],[管理番号]],まとめ表_バック金額[[#All],[管理番号]:[バック金額合計]],4,FALSE)</f>
        <v/>
      </c>
      <c r="E301" s="80" t="str">
        <f>VLOOKUP(名前リスト[[#This Row],[管理番号]],まとめ表_各店舗件数[[#All],[管理番号]:[合計件数]],4,FALSE)</f>
        <v/>
      </c>
      <c r="F301" s="111" t="str">
        <f>VLOOKUP(名前リスト[[#This Row],[管理番号]],まとめ表_各Aパターン件数[[#All],[管理番号]:[Aパターン]],4,FALSE)</f>
        <v/>
      </c>
      <c r="G301" s="131"/>
      <c r="H30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2" spans="1:10" ht="15" customHeight="1">
      <c r="A302" s="80">
        <v>1045</v>
      </c>
      <c r="B302" s="80"/>
      <c r="C302" s="80" t="s">
        <v>450</v>
      </c>
      <c r="D302" s="87" t="str">
        <f>VLOOKUP(名前リスト[[#This Row],[管理番号]],まとめ表_バック金額[[#All],[管理番号]:[バック金額合計]],4,FALSE)</f>
        <v/>
      </c>
      <c r="E302" s="80" t="str">
        <f>VLOOKUP(名前リスト[[#This Row],[管理番号]],まとめ表_各店舗件数[[#All],[管理番号]:[合計件数]],4,FALSE)</f>
        <v/>
      </c>
      <c r="F302" s="111" t="str">
        <f>VLOOKUP(名前リスト[[#This Row],[管理番号]],まとめ表_各Aパターン件数[[#All],[管理番号]:[Aパターン]],4,FALSE)</f>
        <v/>
      </c>
      <c r="G302" s="131"/>
      <c r="H30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3" spans="1:10" ht="15" customHeight="1">
      <c r="A303" s="80">
        <v>1046</v>
      </c>
      <c r="B303" s="80"/>
      <c r="C303" s="80" t="s">
        <v>451</v>
      </c>
      <c r="D303" s="87" t="str">
        <f>VLOOKUP(名前リスト[[#This Row],[管理番号]],まとめ表_バック金額[[#All],[管理番号]:[バック金額合計]],4,FALSE)</f>
        <v/>
      </c>
      <c r="E303" s="80" t="str">
        <f>VLOOKUP(名前リスト[[#This Row],[管理番号]],まとめ表_各店舗件数[[#All],[管理番号]:[合計件数]],4,FALSE)</f>
        <v/>
      </c>
      <c r="F303" s="111" t="str">
        <f>VLOOKUP(名前リスト[[#This Row],[管理番号]],まとめ表_各Aパターン件数[[#All],[管理番号]:[Aパターン]],4,FALSE)</f>
        <v/>
      </c>
      <c r="G303" s="131"/>
      <c r="H30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4" spans="1:10" ht="15" customHeight="1">
      <c r="A304" s="80">
        <v>1047</v>
      </c>
      <c r="B304" s="80"/>
      <c r="C304" s="80" t="s">
        <v>452</v>
      </c>
      <c r="D304" s="87" t="str">
        <f>VLOOKUP(名前リスト[[#This Row],[管理番号]],まとめ表_バック金額[[#All],[管理番号]:[バック金額合計]],4,FALSE)</f>
        <v/>
      </c>
      <c r="E304" s="80" t="str">
        <f>VLOOKUP(名前リスト[[#This Row],[管理番号]],まとめ表_各店舗件数[[#All],[管理番号]:[合計件数]],4,FALSE)</f>
        <v/>
      </c>
      <c r="F304" s="111" t="str">
        <f>VLOOKUP(名前リスト[[#This Row],[管理番号]],まとめ表_各Aパターン件数[[#All],[管理番号]:[Aパターン]],4,FALSE)</f>
        <v/>
      </c>
      <c r="G304" s="131"/>
      <c r="H30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5" spans="1:10" ht="15" customHeight="1">
      <c r="A305" s="80">
        <v>1048</v>
      </c>
      <c r="B305" s="80"/>
      <c r="C305" s="80" t="s">
        <v>453</v>
      </c>
      <c r="D305" s="87" t="str">
        <f>VLOOKUP(名前リスト[[#This Row],[管理番号]],まとめ表_バック金額[[#All],[管理番号]:[バック金額合計]],4,FALSE)</f>
        <v/>
      </c>
      <c r="E305" s="80" t="str">
        <f>VLOOKUP(名前リスト[[#This Row],[管理番号]],まとめ表_各店舗件数[[#All],[管理番号]:[合計件数]],4,FALSE)</f>
        <v/>
      </c>
      <c r="F305" s="111" t="str">
        <f>VLOOKUP(名前リスト[[#This Row],[管理番号]],まとめ表_各Aパターン件数[[#All],[管理番号]:[Aパターン]],4,FALSE)</f>
        <v/>
      </c>
      <c r="G305" s="131"/>
      <c r="H30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6" spans="1:10" ht="15" customHeight="1">
      <c r="A306" s="80">
        <v>1049</v>
      </c>
      <c r="B306" s="80"/>
      <c r="C306" s="80" t="s">
        <v>454</v>
      </c>
      <c r="D306" s="87" t="str">
        <f>VLOOKUP(名前リスト[[#This Row],[管理番号]],まとめ表_バック金額[[#All],[管理番号]:[バック金額合計]],4,FALSE)</f>
        <v/>
      </c>
      <c r="E306" s="80" t="str">
        <f>VLOOKUP(名前リスト[[#This Row],[管理番号]],まとめ表_各店舗件数[[#All],[管理番号]:[合計件数]],4,FALSE)</f>
        <v/>
      </c>
      <c r="F306" s="111" t="str">
        <f>VLOOKUP(名前リスト[[#This Row],[管理番号]],まとめ表_各Aパターン件数[[#All],[管理番号]:[Aパターン]],4,FALSE)</f>
        <v/>
      </c>
      <c r="G306" s="131"/>
      <c r="H30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7" spans="1:10" ht="15" customHeight="1">
      <c r="A307" s="80">
        <v>1050</v>
      </c>
      <c r="B307" s="80"/>
      <c r="C307" s="80" t="s">
        <v>455</v>
      </c>
      <c r="D307" s="87" t="str">
        <f>VLOOKUP(名前リスト[[#This Row],[管理番号]],まとめ表_バック金額[[#All],[管理番号]:[バック金額合計]],4,FALSE)</f>
        <v/>
      </c>
      <c r="E307" s="80" t="str">
        <f>VLOOKUP(名前リスト[[#This Row],[管理番号]],まとめ表_各店舗件数[[#All],[管理番号]:[合計件数]],4,FALSE)</f>
        <v/>
      </c>
      <c r="F307" s="111" t="str">
        <f>VLOOKUP(名前リスト[[#This Row],[管理番号]],まとめ表_各Aパターン件数[[#All],[管理番号]:[Aパターン]],4,FALSE)</f>
        <v/>
      </c>
      <c r="G307" s="131"/>
      <c r="H30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8" spans="1:10" ht="15" customHeight="1">
      <c r="A308" s="80">
        <v>1051</v>
      </c>
      <c r="B308" s="80"/>
      <c r="C308" s="80" t="s">
        <v>456</v>
      </c>
      <c r="D308" s="87" t="str">
        <f>VLOOKUP(名前リスト[[#This Row],[管理番号]],まとめ表_バック金額[[#All],[管理番号]:[バック金額合計]],4,FALSE)</f>
        <v/>
      </c>
      <c r="E308" s="80" t="str">
        <f>VLOOKUP(名前リスト[[#This Row],[管理番号]],まとめ表_各店舗件数[[#All],[管理番号]:[合計件数]],4,FALSE)</f>
        <v/>
      </c>
      <c r="F308" s="111" t="str">
        <f>VLOOKUP(名前リスト[[#This Row],[管理番号]],まとめ表_各Aパターン件数[[#All],[管理番号]:[Aパターン]],4,FALSE)</f>
        <v/>
      </c>
      <c r="G308" s="131"/>
      <c r="H30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09" spans="1:10" ht="15" customHeight="1">
      <c r="A309" s="80">
        <v>1052</v>
      </c>
      <c r="B309" s="80"/>
      <c r="C309" s="80" t="s">
        <v>457</v>
      </c>
      <c r="D309" s="87" t="str">
        <f>VLOOKUP(名前リスト[[#This Row],[管理番号]],まとめ表_バック金額[[#All],[管理番号]:[バック金額合計]],4,FALSE)</f>
        <v/>
      </c>
      <c r="E309" s="80" t="str">
        <f>VLOOKUP(名前リスト[[#This Row],[管理番号]],まとめ表_各店舗件数[[#All],[管理番号]:[合計件数]],4,FALSE)</f>
        <v/>
      </c>
      <c r="F309" s="111" t="str">
        <f>VLOOKUP(名前リスト[[#This Row],[管理番号]],まとめ表_各Aパターン件数[[#All],[管理番号]:[Aパターン]],4,FALSE)</f>
        <v/>
      </c>
      <c r="G309" s="131"/>
      <c r="H30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0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0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0" spans="1:10" ht="15" customHeight="1">
      <c r="A310" s="80">
        <v>1053</v>
      </c>
      <c r="B310" s="80"/>
      <c r="C310" s="80" t="s">
        <v>458</v>
      </c>
      <c r="D310" s="87" t="str">
        <f>VLOOKUP(名前リスト[[#This Row],[管理番号]],まとめ表_バック金額[[#All],[管理番号]:[バック金額合計]],4,FALSE)</f>
        <v/>
      </c>
      <c r="E310" s="80" t="str">
        <f>VLOOKUP(名前リスト[[#This Row],[管理番号]],まとめ表_各店舗件数[[#All],[管理番号]:[合計件数]],4,FALSE)</f>
        <v/>
      </c>
      <c r="F310" s="111" t="str">
        <f>VLOOKUP(名前リスト[[#This Row],[管理番号]],まとめ表_各Aパターン件数[[#All],[管理番号]:[Aパターン]],4,FALSE)</f>
        <v/>
      </c>
      <c r="G310" s="131"/>
      <c r="H31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1" spans="1:10" ht="15" customHeight="1">
      <c r="A311" s="80">
        <v>1054</v>
      </c>
      <c r="B311" s="80"/>
      <c r="C311" s="80" t="s">
        <v>459</v>
      </c>
      <c r="D311" s="87" t="str">
        <f>VLOOKUP(名前リスト[[#This Row],[管理番号]],まとめ表_バック金額[[#All],[管理番号]:[バック金額合計]],4,FALSE)</f>
        <v/>
      </c>
      <c r="E311" s="80" t="str">
        <f>VLOOKUP(名前リスト[[#This Row],[管理番号]],まとめ表_各店舗件数[[#All],[管理番号]:[合計件数]],4,FALSE)</f>
        <v/>
      </c>
      <c r="F311" s="111" t="str">
        <f>VLOOKUP(名前リスト[[#This Row],[管理番号]],まとめ表_各Aパターン件数[[#All],[管理番号]:[Aパターン]],4,FALSE)</f>
        <v/>
      </c>
      <c r="G311" s="131"/>
      <c r="H31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2" spans="1:10" ht="15" customHeight="1">
      <c r="A312" s="80">
        <v>1055</v>
      </c>
      <c r="B312" s="80"/>
      <c r="C312" s="80" t="s">
        <v>460</v>
      </c>
      <c r="D312" s="87" t="str">
        <f>VLOOKUP(名前リスト[[#This Row],[管理番号]],まとめ表_バック金額[[#All],[管理番号]:[バック金額合計]],4,FALSE)</f>
        <v/>
      </c>
      <c r="E312" s="80" t="str">
        <f>VLOOKUP(名前リスト[[#This Row],[管理番号]],まとめ表_各店舗件数[[#All],[管理番号]:[合計件数]],4,FALSE)</f>
        <v/>
      </c>
      <c r="F312" s="111" t="str">
        <f>VLOOKUP(名前リスト[[#This Row],[管理番号]],まとめ表_各Aパターン件数[[#All],[管理番号]:[Aパターン]],4,FALSE)</f>
        <v/>
      </c>
      <c r="G312" s="131"/>
      <c r="H31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3" spans="1:10" ht="15" customHeight="1">
      <c r="A313" s="80">
        <v>1056</v>
      </c>
      <c r="B313" s="80"/>
      <c r="C313" s="80" t="s">
        <v>461</v>
      </c>
      <c r="D313" s="87" t="str">
        <f>VLOOKUP(名前リスト[[#This Row],[管理番号]],まとめ表_バック金額[[#All],[管理番号]:[バック金額合計]],4,FALSE)</f>
        <v/>
      </c>
      <c r="E313" s="80" t="str">
        <f>VLOOKUP(名前リスト[[#This Row],[管理番号]],まとめ表_各店舗件数[[#All],[管理番号]:[合計件数]],4,FALSE)</f>
        <v/>
      </c>
      <c r="F313" s="111" t="str">
        <f>VLOOKUP(名前リスト[[#This Row],[管理番号]],まとめ表_各Aパターン件数[[#All],[管理番号]:[Aパターン]],4,FALSE)</f>
        <v/>
      </c>
      <c r="G313" s="131"/>
      <c r="H31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4" spans="1:10" ht="15" customHeight="1">
      <c r="A314" s="80">
        <v>1057</v>
      </c>
      <c r="B314" s="80"/>
      <c r="C314" s="80" t="s">
        <v>462</v>
      </c>
      <c r="D314" s="87" t="str">
        <f>VLOOKUP(名前リスト[[#This Row],[管理番号]],まとめ表_バック金額[[#All],[管理番号]:[バック金額合計]],4,FALSE)</f>
        <v/>
      </c>
      <c r="E314" s="80" t="str">
        <f>VLOOKUP(名前リスト[[#This Row],[管理番号]],まとめ表_各店舗件数[[#All],[管理番号]:[合計件数]],4,FALSE)</f>
        <v/>
      </c>
      <c r="F314" s="111" t="str">
        <f>VLOOKUP(名前リスト[[#This Row],[管理番号]],まとめ表_各Aパターン件数[[#All],[管理番号]:[Aパターン]],4,FALSE)</f>
        <v/>
      </c>
      <c r="G314" s="131"/>
      <c r="H31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5" spans="1:10" ht="15" customHeight="1">
      <c r="A315" s="80">
        <v>1058</v>
      </c>
      <c r="B315" s="80"/>
      <c r="C315" s="80" t="s">
        <v>463</v>
      </c>
      <c r="D315" s="87" t="str">
        <f>VLOOKUP(名前リスト[[#This Row],[管理番号]],まとめ表_バック金額[[#All],[管理番号]:[バック金額合計]],4,FALSE)</f>
        <v/>
      </c>
      <c r="E315" s="80" t="str">
        <f>VLOOKUP(名前リスト[[#This Row],[管理番号]],まとめ表_各店舗件数[[#All],[管理番号]:[合計件数]],4,FALSE)</f>
        <v/>
      </c>
      <c r="F315" s="111" t="str">
        <f>VLOOKUP(名前リスト[[#This Row],[管理番号]],まとめ表_各Aパターン件数[[#All],[管理番号]:[Aパターン]],4,FALSE)</f>
        <v/>
      </c>
      <c r="G315" s="131"/>
      <c r="H31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6" spans="1:10" ht="15" customHeight="1">
      <c r="A316" s="80">
        <v>1059</v>
      </c>
      <c r="B316" s="80"/>
      <c r="C316" s="80" t="s">
        <v>464</v>
      </c>
      <c r="D316" s="87" t="str">
        <f>VLOOKUP(名前リスト[[#This Row],[管理番号]],まとめ表_バック金額[[#All],[管理番号]:[バック金額合計]],4,FALSE)</f>
        <v/>
      </c>
      <c r="E316" s="80" t="str">
        <f>VLOOKUP(名前リスト[[#This Row],[管理番号]],まとめ表_各店舗件数[[#All],[管理番号]:[合計件数]],4,FALSE)</f>
        <v/>
      </c>
      <c r="F316" s="111" t="str">
        <f>VLOOKUP(名前リスト[[#This Row],[管理番号]],まとめ表_各Aパターン件数[[#All],[管理番号]:[Aパターン]],4,FALSE)</f>
        <v/>
      </c>
      <c r="G316" s="131"/>
      <c r="H31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7" spans="1:10" ht="15" customHeight="1">
      <c r="A317" s="80">
        <v>1060</v>
      </c>
      <c r="B317" s="80"/>
      <c r="C317" s="80" t="s">
        <v>465</v>
      </c>
      <c r="D317" s="87" t="str">
        <f>VLOOKUP(名前リスト[[#This Row],[管理番号]],まとめ表_バック金額[[#All],[管理番号]:[バック金額合計]],4,FALSE)</f>
        <v/>
      </c>
      <c r="E317" s="80" t="str">
        <f>VLOOKUP(名前リスト[[#This Row],[管理番号]],まとめ表_各店舗件数[[#All],[管理番号]:[合計件数]],4,FALSE)</f>
        <v/>
      </c>
      <c r="F317" s="111" t="str">
        <f>VLOOKUP(名前リスト[[#This Row],[管理番号]],まとめ表_各Aパターン件数[[#All],[管理番号]:[Aパターン]],4,FALSE)</f>
        <v/>
      </c>
      <c r="G317" s="131"/>
      <c r="H31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8" spans="1:10" ht="15" customHeight="1">
      <c r="A318" s="80">
        <v>1061</v>
      </c>
      <c r="B318" s="80"/>
      <c r="C318" s="80" t="s">
        <v>466</v>
      </c>
      <c r="D318" s="87" t="str">
        <f>VLOOKUP(名前リスト[[#This Row],[管理番号]],まとめ表_バック金額[[#All],[管理番号]:[バック金額合計]],4,FALSE)</f>
        <v/>
      </c>
      <c r="E318" s="80" t="str">
        <f>VLOOKUP(名前リスト[[#This Row],[管理番号]],まとめ表_各店舗件数[[#All],[管理番号]:[合計件数]],4,FALSE)</f>
        <v/>
      </c>
      <c r="F318" s="111" t="str">
        <f>VLOOKUP(名前リスト[[#This Row],[管理番号]],まとめ表_各Aパターン件数[[#All],[管理番号]:[Aパターン]],4,FALSE)</f>
        <v/>
      </c>
      <c r="G318" s="131"/>
      <c r="H31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19" spans="1:10" ht="15" customHeight="1">
      <c r="A319" s="80">
        <v>1062</v>
      </c>
      <c r="B319" s="80"/>
      <c r="C319" s="80" t="s">
        <v>467</v>
      </c>
      <c r="D319" s="87" t="str">
        <f>VLOOKUP(名前リスト[[#This Row],[管理番号]],まとめ表_バック金額[[#All],[管理番号]:[バック金額合計]],4,FALSE)</f>
        <v/>
      </c>
      <c r="E319" s="80" t="str">
        <f>VLOOKUP(名前リスト[[#This Row],[管理番号]],まとめ表_各店舗件数[[#All],[管理番号]:[合計件数]],4,FALSE)</f>
        <v/>
      </c>
      <c r="F319" s="111" t="str">
        <f>VLOOKUP(名前リスト[[#This Row],[管理番号]],まとめ表_各Aパターン件数[[#All],[管理番号]:[Aパターン]],4,FALSE)</f>
        <v/>
      </c>
      <c r="G319" s="131"/>
      <c r="H31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1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1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0" spans="1:10" ht="15" customHeight="1">
      <c r="A320" s="80">
        <v>1063</v>
      </c>
      <c r="B320" s="80"/>
      <c r="C320" s="80" t="s">
        <v>468</v>
      </c>
      <c r="D320" s="87" t="str">
        <f>VLOOKUP(名前リスト[[#This Row],[管理番号]],まとめ表_バック金額[[#All],[管理番号]:[バック金額合計]],4,FALSE)</f>
        <v/>
      </c>
      <c r="E320" s="80" t="str">
        <f>VLOOKUP(名前リスト[[#This Row],[管理番号]],まとめ表_各店舗件数[[#All],[管理番号]:[合計件数]],4,FALSE)</f>
        <v/>
      </c>
      <c r="F320" s="111" t="str">
        <f>VLOOKUP(名前リスト[[#This Row],[管理番号]],まとめ表_各Aパターン件数[[#All],[管理番号]:[Aパターン]],4,FALSE)</f>
        <v/>
      </c>
      <c r="G320" s="131"/>
      <c r="H32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1" spans="1:10" ht="15" customHeight="1">
      <c r="A321" s="80">
        <v>1064</v>
      </c>
      <c r="B321" s="80"/>
      <c r="C321" s="80" t="s">
        <v>469</v>
      </c>
      <c r="D321" s="87" t="str">
        <f>VLOOKUP(名前リスト[[#This Row],[管理番号]],まとめ表_バック金額[[#All],[管理番号]:[バック金額合計]],4,FALSE)</f>
        <v/>
      </c>
      <c r="E321" s="80" t="str">
        <f>VLOOKUP(名前リスト[[#This Row],[管理番号]],まとめ表_各店舗件数[[#All],[管理番号]:[合計件数]],4,FALSE)</f>
        <v/>
      </c>
      <c r="F321" s="111" t="str">
        <f>VLOOKUP(名前リスト[[#This Row],[管理番号]],まとめ表_各Aパターン件数[[#All],[管理番号]:[Aパターン]],4,FALSE)</f>
        <v/>
      </c>
      <c r="G321" s="131"/>
      <c r="H32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2" spans="1:10" ht="15" customHeight="1">
      <c r="A322" s="80">
        <v>1065</v>
      </c>
      <c r="B322" s="80"/>
      <c r="C322" s="80" t="s">
        <v>470</v>
      </c>
      <c r="D322" s="87" t="str">
        <f>VLOOKUP(名前リスト[[#This Row],[管理番号]],まとめ表_バック金額[[#All],[管理番号]:[バック金額合計]],4,FALSE)</f>
        <v/>
      </c>
      <c r="E322" s="80" t="str">
        <f>VLOOKUP(名前リスト[[#This Row],[管理番号]],まとめ表_各店舗件数[[#All],[管理番号]:[合計件数]],4,FALSE)</f>
        <v/>
      </c>
      <c r="F322" s="111" t="str">
        <f>VLOOKUP(名前リスト[[#This Row],[管理番号]],まとめ表_各Aパターン件数[[#All],[管理番号]:[Aパターン]],4,FALSE)</f>
        <v/>
      </c>
      <c r="G322" s="131"/>
      <c r="H32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3" spans="1:10" ht="15" customHeight="1">
      <c r="A323" s="80">
        <v>1066</v>
      </c>
      <c r="B323" s="80"/>
      <c r="C323" s="80" t="s">
        <v>471</v>
      </c>
      <c r="D323" s="87" t="str">
        <f>VLOOKUP(名前リスト[[#This Row],[管理番号]],まとめ表_バック金額[[#All],[管理番号]:[バック金額合計]],4,FALSE)</f>
        <v/>
      </c>
      <c r="E323" s="80" t="str">
        <f>VLOOKUP(名前リスト[[#This Row],[管理番号]],まとめ表_各店舗件数[[#All],[管理番号]:[合計件数]],4,FALSE)</f>
        <v/>
      </c>
      <c r="F323" s="111" t="str">
        <f>VLOOKUP(名前リスト[[#This Row],[管理番号]],まとめ表_各Aパターン件数[[#All],[管理番号]:[Aパターン]],4,FALSE)</f>
        <v/>
      </c>
      <c r="G323" s="131"/>
      <c r="H32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4" spans="1:10" ht="15" customHeight="1">
      <c r="A324" s="80">
        <v>1067</v>
      </c>
      <c r="B324" s="80"/>
      <c r="C324" s="80" t="s">
        <v>471</v>
      </c>
      <c r="D324" s="87" t="str">
        <f>VLOOKUP(名前リスト[[#This Row],[管理番号]],まとめ表_バック金額[[#All],[管理番号]:[バック金額合計]],4,FALSE)</f>
        <v/>
      </c>
      <c r="E324" s="80" t="str">
        <f>VLOOKUP(名前リスト[[#This Row],[管理番号]],まとめ表_各店舗件数[[#All],[管理番号]:[合計件数]],4,FALSE)</f>
        <v/>
      </c>
      <c r="F324" s="111" t="str">
        <f>VLOOKUP(名前リスト[[#This Row],[管理番号]],まとめ表_各Aパターン件数[[#All],[管理番号]:[Aパターン]],4,FALSE)</f>
        <v/>
      </c>
      <c r="G324" s="131"/>
      <c r="H32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5" spans="1:10" ht="15" customHeight="1">
      <c r="A325" s="80">
        <v>1068</v>
      </c>
      <c r="B325" s="80"/>
      <c r="C325" s="80" t="s">
        <v>472</v>
      </c>
      <c r="D325" s="87" t="str">
        <f>VLOOKUP(名前リスト[[#This Row],[管理番号]],まとめ表_バック金額[[#All],[管理番号]:[バック金額合計]],4,FALSE)</f>
        <v/>
      </c>
      <c r="E325" s="80" t="str">
        <f>VLOOKUP(名前リスト[[#This Row],[管理番号]],まとめ表_各店舗件数[[#All],[管理番号]:[合計件数]],4,FALSE)</f>
        <v/>
      </c>
      <c r="F325" s="111" t="str">
        <f>VLOOKUP(名前リスト[[#This Row],[管理番号]],まとめ表_各Aパターン件数[[#All],[管理番号]:[Aパターン]],4,FALSE)</f>
        <v/>
      </c>
      <c r="G325" s="131"/>
      <c r="H32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6" spans="1:10" ht="15" customHeight="1">
      <c r="A326" s="80">
        <v>1069</v>
      </c>
      <c r="B326" s="80"/>
      <c r="C326" s="80" t="s">
        <v>473</v>
      </c>
      <c r="D326" s="87" t="str">
        <f>VLOOKUP(名前リスト[[#This Row],[管理番号]],まとめ表_バック金額[[#All],[管理番号]:[バック金額合計]],4,FALSE)</f>
        <v/>
      </c>
      <c r="E326" s="80" t="str">
        <f>VLOOKUP(名前リスト[[#This Row],[管理番号]],まとめ表_各店舗件数[[#All],[管理番号]:[合計件数]],4,FALSE)</f>
        <v/>
      </c>
      <c r="F326" s="111" t="str">
        <f>VLOOKUP(名前リスト[[#This Row],[管理番号]],まとめ表_各Aパターン件数[[#All],[管理番号]:[Aパターン]],4,FALSE)</f>
        <v/>
      </c>
      <c r="G326" s="131"/>
      <c r="H32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7" spans="1:10" ht="15" customHeight="1">
      <c r="A327" s="80">
        <v>1070</v>
      </c>
      <c r="B327" s="80"/>
      <c r="C327" s="80" t="s">
        <v>474</v>
      </c>
      <c r="D327" s="87" t="str">
        <f>VLOOKUP(名前リスト[[#This Row],[管理番号]],まとめ表_バック金額[[#All],[管理番号]:[バック金額合計]],4,FALSE)</f>
        <v/>
      </c>
      <c r="E327" s="80" t="str">
        <f>VLOOKUP(名前リスト[[#This Row],[管理番号]],まとめ表_各店舗件数[[#All],[管理番号]:[合計件数]],4,FALSE)</f>
        <v/>
      </c>
      <c r="F327" s="111" t="str">
        <f>VLOOKUP(名前リスト[[#This Row],[管理番号]],まとめ表_各Aパターン件数[[#All],[管理番号]:[Aパターン]],4,FALSE)</f>
        <v/>
      </c>
      <c r="G327" s="131"/>
      <c r="H32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8" spans="1:10" ht="15" customHeight="1">
      <c r="A328" s="80">
        <v>1071</v>
      </c>
      <c r="B328" s="80"/>
      <c r="C328" s="80" t="s">
        <v>475</v>
      </c>
      <c r="D328" s="87" t="str">
        <f>VLOOKUP(名前リスト[[#This Row],[管理番号]],まとめ表_バック金額[[#All],[管理番号]:[バック金額合計]],4,FALSE)</f>
        <v/>
      </c>
      <c r="E328" s="80" t="str">
        <f>VLOOKUP(名前リスト[[#This Row],[管理番号]],まとめ表_各店舗件数[[#All],[管理番号]:[合計件数]],4,FALSE)</f>
        <v/>
      </c>
      <c r="F328" s="111" t="str">
        <f>VLOOKUP(名前リスト[[#This Row],[管理番号]],まとめ表_各Aパターン件数[[#All],[管理番号]:[Aパターン]],4,FALSE)</f>
        <v/>
      </c>
      <c r="G328" s="131"/>
      <c r="H32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29" spans="1:10" ht="15" customHeight="1">
      <c r="A329" s="80">
        <v>1072</v>
      </c>
      <c r="B329" s="80"/>
      <c r="C329" s="80" t="s">
        <v>476</v>
      </c>
      <c r="D329" s="87" t="str">
        <f>VLOOKUP(名前リスト[[#This Row],[管理番号]],まとめ表_バック金額[[#All],[管理番号]:[バック金額合計]],4,FALSE)</f>
        <v/>
      </c>
      <c r="E329" s="80" t="str">
        <f>VLOOKUP(名前リスト[[#This Row],[管理番号]],まとめ表_各店舗件数[[#All],[管理番号]:[合計件数]],4,FALSE)</f>
        <v/>
      </c>
      <c r="F329" s="111" t="str">
        <f>VLOOKUP(名前リスト[[#This Row],[管理番号]],まとめ表_各Aパターン件数[[#All],[管理番号]:[Aパターン]],4,FALSE)</f>
        <v/>
      </c>
      <c r="G329" s="131"/>
      <c r="H32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2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2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0" spans="1:10" ht="15" customHeight="1">
      <c r="A330" s="80">
        <v>1073</v>
      </c>
      <c r="B330" s="80"/>
      <c r="C330" s="80" t="s">
        <v>477</v>
      </c>
      <c r="D330" s="87" t="str">
        <f>VLOOKUP(名前リスト[[#This Row],[管理番号]],まとめ表_バック金額[[#All],[管理番号]:[バック金額合計]],4,FALSE)</f>
        <v/>
      </c>
      <c r="E330" s="80" t="str">
        <f>VLOOKUP(名前リスト[[#This Row],[管理番号]],まとめ表_各店舗件数[[#All],[管理番号]:[合計件数]],4,FALSE)</f>
        <v/>
      </c>
      <c r="F330" s="111" t="str">
        <f>VLOOKUP(名前リスト[[#This Row],[管理番号]],まとめ表_各Aパターン件数[[#All],[管理番号]:[Aパターン]],4,FALSE)</f>
        <v/>
      </c>
      <c r="G330" s="131"/>
      <c r="H33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1" spans="1:10" ht="15" customHeight="1">
      <c r="A331" s="80">
        <v>1074</v>
      </c>
      <c r="B331" s="80"/>
      <c r="C331" s="80" t="s">
        <v>478</v>
      </c>
      <c r="D331" s="87" t="str">
        <f>VLOOKUP(名前リスト[[#This Row],[管理番号]],まとめ表_バック金額[[#All],[管理番号]:[バック金額合計]],4,FALSE)</f>
        <v/>
      </c>
      <c r="E331" s="80" t="str">
        <f>VLOOKUP(名前リスト[[#This Row],[管理番号]],まとめ表_各店舗件数[[#All],[管理番号]:[合計件数]],4,FALSE)</f>
        <v/>
      </c>
      <c r="F331" s="111" t="str">
        <f>VLOOKUP(名前リスト[[#This Row],[管理番号]],まとめ表_各Aパターン件数[[#All],[管理番号]:[Aパターン]],4,FALSE)</f>
        <v/>
      </c>
      <c r="G331" s="131"/>
      <c r="H33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2" spans="1:10" ht="15" customHeight="1">
      <c r="A332" s="80">
        <v>1075</v>
      </c>
      <c r="B332" s="80"/>
      <c r="C332" s="80" t="s">
        <v>479</v>
      </c>
      <c r="D332" s="87" t="str">
        <f>VLOOKUP(名前リスト[[#This Row],[管理番号]],まとめ表_バック金額[[#All],[管理番号]:[バック金額合計]],4,FALSE)</f>
        <v/>
      </c>
      <c r="E332" s="80" t="str">
        <f>VLOOKUP(名前リスト[[#This Row],[管理番号]],まとめ表_各店舗件数[[#All],[管理番号]:[合計件数]],4,FALSE)</f>
        <v/>
      </c>
      <c r="F332" s="111" t="str">
        <f>VLOOKUP(名前リスト[[#This Row],[管理番号]],まとめ表_各Aパターン件数[[#All],[管理番号]:[Aパターン]],4,FALSE)</f>
        <v/>
      </c>
      <c r="G332" s="131"/>
      <c r="H33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3" spans="1:10" ht="15" customHeight="1">
      <c r="A333" s="80">
        <v>1076</v>
      </c>
      <c r="B333" s="80"/>
      <c r="C333" s="80" t="s">
        <v>480</v>
      </c>
      <c r="D333" s="87" t="str">
        <f>VLOOKUP(名前リスト[[#This Row],[管理番号]],まとめ表_バック金額[[#All],[管理番号]:[バック金額合計]],4,FALSE)</f>
        <v/>
      </c>
      <c r="E333" s="80" t="str">
        <f>VLOOKUP(名前リスト[[#This Row],[管理番号]],まとめ表_各店舗件数[[#All],[管理番号]:[合計件数]],4,FALSE)</f>
        <v/>
      </c>
      <c r="F333" s="111" t="str">
        <f>VLOOKUP(名前リスト[[#This Row],[管理番号]],まとめ表_各Aパターン件数[[#All],[管理番号]:[Aパターン]],4,FALSE)</f>
        <v/>
      </c>
      <c r="G333" s="131"/>
      <c r="H33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4" spans="1:10" ht="15" customHeight="1">
      <c r="A334" s="80">
        <v>1077</v>
      </c>
      <c r="B334" s="80"/>
      <c r="C334" s="80" t="s">
        <v>481</v>
      </c>
      <c r="D334" s="87" t="str">
        <f>VLOOKUP(名前リスト[[#This Row],[管理番号]],まとめ表_バック金額[[#All],[管理番号]:[バック金額合計]],4,FALSE)</f>
        <v/>
      </c>
      <c r="E334" s="80" t="str">
        <f>VLOOKUP(名前リスト[[#This Row],[管理番号]],まとめ表_各店舗件数[[#All],[管理番号]:[合計件数]],4,FALSE)</f>
        <v/>
      </c>
      <c r="F334" s="111" t="str">
        <f>VLOOKUP(名前リスト[[#This Row],[管理番号]],まとめ表_各Aパターン件数[[#All],[管理番号]:[Aパターン]],4,FALSE)</f>
        <v/>
      </c>
      <c r="G334" s="131"/>
      <c r="H33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5" spans="1:10" ht="15" customHeight="1">
      <c r="A335" s="80">
        <v>1078</v>
      </c>
      <c r="B335" s="80"/>
      <c r="C335" s="80" t="s">
        <v>482</v>
      </c>
      <c r="D335" s="87" t="str">
        <f>VLOOKUP(名前リスト[[#This Row],[管理番号]],まとめ表_バック金額[[#All],[管理番号]:[バック金額合計]],4,FALSE)</f>
        <v/>
      </c>
      <c r="E335" s="80" t="str">
        <f>VLOOKUP(名前リスト[[#This Row],[管理番号]],まとめ表_各店舗件数[[#All],[管理番号]:[合計件数]],4,FALSE)</f>
        <v/>
      </c>
      <c r="F335" s="111" t="str">
        <f>VLOOKUP(名前リスト[[#This Row],[管理番号]],まとめ表_各Aパターン件数[[#All],[管理番号]:[Aパターン]],4,FALSE)</f>
        <v/>
      </c>
      <c r="G335" s="131"/>
      <c r="H33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6" spans="1:10" ht="15" customHeight="1">
      <c r="A336" s="80">
        <v>1079</v>
      </c>
      <c r="B336" s="80"/>
      <c r="C336" s="80" t="s">
        <v>483</v>
      </c>
      <c r="D336" s="87" t="str">
        <f>VLOOKUP(名前リスト[[#This Row],[管理番号]],まとめ表_バック金額[[#All],[管理番号]:[バック金額合計]],4,FALSE)</f>
        <v/>
      </c>
      <c r="E336" s="80" t="str">
        <f>VLOOKUP(名前リスト[[#This Row],[管理番号]],まとめ表_各店舗件数[[#All],[管理番号]:[合計件数]],4,FALSE)</f>
        <v/>
      </c>
      <c r="F336" s="111" t="str">
        <f>VLOOKUP(名前リスト[[#This Row],[管理番号]],まとめ表_各Aパターン件数[[#All],[管理番号]:[Aパターン]],4,FALSE)</f>
        <v/>
      </c>
      <c r="G336" s="131"/>
      <c r="H33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7" spans="1:10" ht="15" customHeight="1">
      <c r="A337" s="80">
        <v>1080</v>
      </c>
      <c r="B337" s="80"/>
      <c r="C337" s="80" t="s">
        <v>484</v>
      </c>
      <c r="D337" s="87" t="str">
        <f>VLOOKUP(名前リスト[[#This Row],[管理番号]],まとめ表_バック金額[[#All],[管理番号]:[バック金額合計]],4,FALSE)</f>
        <v/>
      </c>
      <c r="E337" s="80" t="str">
        <f>VLOOKUP(名前リスト[[#This Row],[管理番号]],まとめ表_各店舗件数[[#All],[管理番号]:[合計件数]],4,FALSE)</f>
        <v/>
      </c>
      <c r="F337" s="111" t="str">
        <f>VLOOKUP(名前リスト[[#This Row],[管理番号]],まとめ表_各Aパターン件数[[#All],[管理番号]:[Aパターン]],4,FALSE)</f>
        <v/>
      </c>
      <c r="G337" s="131"/>
      <c r="H33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8" spans="1:10" ht="15" customHeight="1">
      <c r="A338" s="80">
        <v>1081</v>
      </c>
      <c r="B338" s="80"/>
      <c r="C338" s="80" t="s">
        <v>485</v>
      </c>
      <c r="D338" s="87" t="str">
        <f>VLOOKUP(名前リスト[[#This Row],[管理番号]],まとめ表_バック金額[[#All],[管理番号]:[バック金額合計]],4,FALSE)</f>
        <v/>
      </c>
      <c r="E338" s="80" t="str">
        <f>VLOOKUP(名前リスト[[#This Row],[管理番号]],まとめ表_各店舗件数[[#All],[管理番号]:[合計件数]],4,FALSE)</f>
        <v/>
      </c>
      <c r="F338" s="111" t="str">
        <f>VLOOKUP(名前リスト[[#This Row],[管理番号]],まとめ表_各Aパターン件数[[#All],[管理番号]:[Aパターン]],4,FALSE)</f>
        <v/>
      </c>
      <c r="G338" s="131"/>
      <c r="H33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39" spans="1:10" ht="15" customHeight="1">
      <c r="A339" s="80">
        <v>1082</v>
      </c>
      <c r="B339" s="80"/>
      <c r="C339" s="80" t="s">
        <v>486</v>
      </c>
      <c r="D339" s="87" t="str">
        <f>VLOOKUP(名前リスト[[#This Row],[管理番号]],まとめ表_バック金額[[#All],[管理番号]:[バック金額合計]],4,FALSE)</f>
        <v/>
      </c>
      <c r="E339" s="80" t="str">
        <f>VLOOKUP(名前リスト[[#This Row],[管理番号]],まとめ表_各店舗件数[[#All],[管理番号]:[合計件数]],4,FALSE)</f>
        <v/>
      </c>
      <c r="F339" s="111" t="str">
        <f>VLOOKUP(名前リスト[[#This Row],[管理番号]],まとめ表_各Aパターン件数[[#All],[管理番号]:[Aパターン]],4,FALSE)</f>
        <v/>
      </c>
      <c r="G339" s="131"/>
      <c r="H33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3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3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0" spans="1:10" ht="15" customHeight="1">
      <c r="A340" s="80">
        <v>1083</v>
      </c>
      <c r="B340" s="80"/>
      <c r="C340" s="80" t="s">
        <v>487</v>
      </c>
      <c r="D340" s="87" t="str">
        <f>VLOOKUP(名前リスト[[#This Row],[管理番号]],まとめ表_バック金額[[#All],[管理番号]:[バック金額合計]],4,FALSE)</f>
        <v/>
      </c>
      <c r="E340" s="80" t="str">
        <f>VLOOKUP(名前リスト[[#This Row],[管理番号]],まとめ表_各店舗件数[[#All],[管理番号]:[合計件数]],4,FALSE)</f>
        <v/>
      </c>
      <c r="F340" s="111" t="str">
        <f>VLOOKUP(名前リスト[[#This Row],[管理番号]],まとめ表_各Aパターン件数[[#All],[管理番号]:[Aパターン]],4,FALSE)</f>
        <v/>
      </c>
      <c r="G340" s="131"/>
      <c r="H34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1" spans="1:10" ht="15" customHeight="1">
      <c r="A341" s="80">
        <v>1084</v>
      </c>
      <c r="B341" s="80"/>
      <c r="C341" s="80" t="s">
        <v>488</v>
      </c>
      <c r="D341" s="87" t="str">
        <f>VLOOKUP(名前リスト[[#This Row],[管理番号]],まとめ表_バック金額[[#All],[管理番号]:[バック金額合計]],4,FALSE)</f>
        <v/>
      </c>
      <c r="E341" s="80" t="str">
        <f>VLOOKUP(名前リスト[[#This Row],[管理番号]],まとめ表_各店舗件数[[#All],[管理番号]:[合計件数]],4,FALSE)</f>
        <v/>
      </c>
      <c r="F341" s="111" t="str">
        <f>VLOOKUP(名前リスト[[#This Row],[管理番号]],まとめ表_各Aパターン件数[[#All],[管理番号]:[Aパターン]],4,FALSE)</f>
        <v/>
      </c>
      <c r="G341" s="131"/>
      <c r="H34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2" spans="1:10" ht="15" customHeight="1">
      <c r="A342" s="80">
        <v>1085</v>
      </c>
      <c r="B342" s="80"/>
      <c r="C342" s="80" t="s">
        <v>489</v>
      </c>
      <c r="D342" s="87" t="str">
        <f>VLOOKUP(名前リスト[[#This Row],[管理番号]],まとめ表_バック金額[[#All],[管理番号]:[バック金額合計]],4,FALSE)</f>
        <v/>
      </c>
      <c r="E342" s="80" t="str">
        <f>VLOOKUP(名前リスト[[#This Row],[管理番号]],まとめ表_各店舗件数[[#All],[管理番号]:[合計件数]],4,FALSE)</f>
        <v/>
      </c>
      <c r="F342" s="111" t="str">
        <f>VLOOKUP(名前リスト[[#This Row],[管理番号]],まとめ表_各Aパターン件数[[#All],[管理番号]:[Aパターン]],4,FALSE)</f>
        <v/>
      </c>
      <c r="G342" s="131"/>
      <c r="H342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2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2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3" spans="1:10" ht="15" customHeight="1">
      <c r="A343" s="80">
        <v>1086</v>
      </c>
      <c r="B343" s="80"/>
      <c r="C343" s="80" t="s">
        <v>490</v>
      </c>
      <c r="D343" s="87" t="str">
        <f>VLOOKUP(名前リスト[[#This Row],[管理番号]],まとめ表_バック金額[[#All],[管理番号]:[バック金額合計]],4,FALSE)</f>
        <v/>
      </c>
      <c r="E343" s="80" t="str">
        <f>VLOOKUP(名前リスト[[#This Row],[管理番号]],まとめ表_各店舗件数[[#All],[管理番号]:[合計件数]],4,FALSE)</f>
        <v/>
      </c>
      <c r="F343" s="111" t="str">
        <f>VLOOKUP(名前リスト[[#This Row],[管理番号]],まとめ表_各Aパターン件数[[#All],[管理番号]:[Aパターン]],4,FALSE)</f>
        <v/>
      </c>
      <c r="G343" s="131"/>
      <c r="H343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3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3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4" spans="1:10" ht="15" customHeight="1">
      <c r="A344" s="80">
        <v>1087</v>
      </c>
      <c r="B344" s="80"/>
      <c r="C344" s="80" t="s">
        <v>491</v>
      </c>
      <c r="D344" s="87" t="str">
        <f>VLOOKUP(名前リスト[[#This Row],[管理番号]],まとめ表_バック金額[[#All],[管理番号]:[バック金額合計]],4,FALSE)</f>
        <v/>
      </c>
      <c r="E344" s="80" t="str">
        <f>VLOOKUP(名前リスト[[#This Row],[管理番号]],まとめ表_各店舗件数[[#All],[管理番号]:[合計件数]],4,FALSE)</f>
        <v/>
      </c>
      <c r="F344" s="111" t="str">
        <f>VLOOKUP(名前リスト[[#This Row],[管理番号]],まとめ表_各Aパターン件数[[#All],[管理番号]:[Aパターン]],4,FALSE)</f>
        <v/>
      </c>
      <c r="G344" s="131"/>
      <c r="H344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4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4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5" spans="1:10" ht="15" customHeight="1">
      <c r="A345" s="80">
        <v>1088</v>
      </c>
      <c r="B345" s="80"/>
      <c r="C345" s="80" t="s">
        <v>492</v>
      </c>
      <c r="D345" s="87" t="str">
        <f>VLOOKUP(名前リスト[[#This Row],[管理番号]],まとめ表_バック金額[[#All],[管理番号]:[バック金額合計]],4,FALSE)</f>
        <v/>
      </c>
      <c r="E345" s="80" t="str">
        <f>VLOOKUP(名前リスト[[#This Row],[管理番号]],まとめ表_各店舗件数[[#All],[管理番号]:[合計件数]],4,FALSE)</f>
        <v/>
      </c>
      <c r="F345" s="111" t="str">
        <f>VLOOKUP(名前リスト[[#This Row],[管理番号]],まとめ表_各Aパターン件数[[#All],[管理番号]:[Aパターン]],4,FALSE)</f>
        <v/>
      </c>
      <c r="G345" s="131"/>
      <c r="H345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5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5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6" spans="1:10" ht="15" customHeight="1">
      <c r="A346" s="80">
        <v>1089</v>
      </c>
      <c r="B346" s="80"/>
      <c r="C346" s="80" t="s">
        <v>493</v>
      </c>
      <c r="D346" s="87" t="str">
        <f>VLOOKUP(名前リスト[[#This Row],[管理番号]],まとめ表_バック金額[[#All],[管理番号]:[バック金額合計]],4,FALSE)</f>
        <v/>
      </c>
      <c r="E346" s="80" t="str">
        <f>VLOOKUP(名前リスト[[#This Row],[管理番号]],まとめ表_各店舗件数[[#All],[管理番号]:[合計件数]],4,FALSE)</f>
        <v/>
      </c>
      <c r="F346" s="111" t="str">
        <f>VLOOKUP(名前リスト[[#This Row],[管理番号]],まとめ表_各Aパターン件数[[#All],[管理番号]:[Aパターン]],4,FALSE)</f>
        <v/>
      </c>
      <c r="G346" s="131"/>
      <c r="H346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6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6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7" spans="1:10" ht="15" customHeight="1">
      <c r="A347" s="80">
        <v>1090</v>
      </c>
      <c r="B347" s="135"/>
      <c r="C347" s="135" t="s">
        <v>494</v>
      </c>
      <c r="D347" s="87" t="str">
        <f>VLOOKUP(名前リスト[[#This Row],[管理番号]],まとめ表_バック金額[[#All],[管理番号]:[バック金額合計]],4,FALSE)</f>
        <v/>
      </c>
      <c r="E347" s="80" t="str">
        <f>VLOOKUP(名前リスト[[#This Row],[管理番号]],まとめ表_各店舗件数[[#All],[管理番号]:[合計件数]],4,FALSE)</f>
        <v/>
      </c>
      <c r="F347" s="111" t="str">
        <f>VLOOKUP(名前リスト[[#This Row],[管理番号]],まとめ表_各Aパターン件数[[#All],[管理番号]:[Aパターン]],4,FALSE)</f>
        <v/>
      </c>
      <c r="G347" s="131"/>
      <c r="H347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7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7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8" spans="1:10" ht="15" customHeight="1">
      <c r="A348" s="136">
        <v>1091</v>
      </c>
      <c r="B348" s="80"/>
      <c r="C348" s="130"/>
      <c r="D348" s="87" t="str">
        <f>VLOOKUP(名前リスト[[#This Row],[管理番号]],まとめ表_バック金額[[#All],[管理番号]:[バック金額合計]],4,FALSE)</f>
        <v/>
      </c>
      <c r="E348" s="80" t="str">
        <f>VLOOKUP(名前リスト[[#This Row],[管理番号]],まとめ表_各店舗件数[[#All],[管理番号]:[合計件数]],4,FALSE)</f>
        <v/>
      </c>
      <c r="F348" s="111" t="str">
        <f>VLOOKUP(名前リスト[[#This Row],[管理番号]],まとめ表_各Aパターン件数[[#All],[管理番号]:[Aパターン]],4,FALSE)</f>
        <v/>
      </c>
      <c r="G348" s="131"/>
      <c r="H348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8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8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49" spans="1:10" ht="15" customHeight="1">
      <c r="A349" s="136">
        <v>1092</v>
      </c>
      <c r="B349" s="80"/>
      <c r="C349" s="80"/>
      <c r="D349" s="87" t="str">
        <f>VLOOKUP(名前リスト[[#This Row],[管理番号]],まとめ表_バック金額[[#All],[管理番号]:[バック金額合計]],4,FALSE)</f>
        <v/>
      </c>
      <c r="E349" s="80" t="str">
        <f>VLOOKUP(名前リスト[[#This Row],[管理番号]],まとめ表_各店舗件数[[#All],[管理番号]:[合計件数]],4,FALSE)</f>
        <v/>
      </c>
      <c r="F349" s="111" t="str">
        <f>VLOOKUP(名前リスト[[#This Row],[管理番号]],まとめ表_各Aパターン件数[[#All],[管理番号]:[Aパターン]],4,FALSE)</f>
        <v/>
      </c>
      <c r="G349" s="131"/>
      <c r="H349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49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49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0" spans="1:10" ht="15" customHeight="1">
      <c r="A350" s="136">
        <v>1093</v>
      </c>
      <c r="B350" s="80"/>
      <c r="C350" s="80"/>
      <c r="D350" s="87" t="str">
        <f>VLOOKUP(名前リスト[[#This Row],[管理番号]],まとめ表_バック金額[[#All],[管理番号]:[バック金額合計]],4,FALSE)</f>
        <v/>
      </c>
      <c r="E350" s="80" t="str">
        <f>VLOOKUP(名前リスト[[#This Row],[管理番号]],まとめ表_各店舗件数[[#All],[管理番号]:[合計件数]],4,FALSE)</f>
        <v/>
      </c>
      <c r="F350" s="111" t="str">
        <f>VLOOKUP(名前リスト[[#This Row],[管理番号]],まとめ表_各Aパターン件数[[#All],[管理番号]:[Aパターン]],4,FALSE)</f>
        <v/>
      </c>
      <c r="G350" s="131"/>
      <c r="H350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0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0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  <row r="351" spans="1:10" ht="15" customHeight="1">
      <c r="A351" s="136">
        <v>1094</v>
      </c>
      <c r="B351" s="130" t="s">
        <v>518</v>
      </c>
      <c r="C351" s="80"/>
      <c r="D351" s="87" t="str">
        <f>VLOOKUP(名前リスト[[#This Row],[管理番号]],まとめ表_バック金額[[#All],[管理番号]:[バック金額合計]],4,FALSE)</f>
        <v/>
      </c>
      <c r="E351" s="80" t="str">
        <f>VLOOKUP(名前リスト[[#This Row],[管理番号]],まとめ表_各店舗件数[[#All],[管理番号]:[合計件数]],4,FALSE)</f>
        <v/>
      </c>
      <c r="F351" s="111" t="str">
        <f>VLOOKUP(名前リスト[[#This Row],[管理番号]],まとめ表_各Aパターン件数[[#All],[管理番号]:[Aパターン]],4,FALSE)</f>
        <v/>
      </c>
      <c r="G351" s="131"/>
      <c r="H351" s="131" t="str">
        <f>IF(SUMIFS(Bパターン[[#All],[バック合計金額]],Bパターン[[#All],[管理番号]],名前リスト[[#This Row],[管理番号]])=0,"",SUMIFS(Bパターン[[#All],[バック合計金額]],Bパターン[[#All],[管理番号]],名前リスト[[#This Row],[管理番号]]))</f>
        <v/>
      </c>
      <c r="I351" s="120" t="str">
        <f>IF(SUM(名前リスト[[#This Row],[バック金額（飲み会）]],名前リスト[[#This Row],[Barバック]],名前リスト[[#This Row],[Bパターン]])=0,"",SUM(名前リスト[[#This Row],[バック金額（飲み会）]],名前リスト[[#This Row],[Barバック]],名前リスト[[#This Row],[Bパターン]]))</f>
        <v/>
      </c>
      <c r="J351" s="88" t="str">
        <f>IF(名前リスト[[#This Row],[バック総合計]]="","",IF(RANK(名前リスト[[#This Row],[バック総合計]],名前リスト[[#Data],[バック総合計]],0)&lt;= 10,RANK(名前リスト[[#This Row],[バック総合計]],名前リスト[[#Data],[バック総合計]],0),""))</f>
        <v/>
      </c>
    </row>
  </sheetData>
  <mergeCells count="3">
    <mergeCell ref="N1:N2"/>
    <mergeCell ref="O1:O2"/>
    <mergeCell ref="M1:M2"/>
  </mergeCells>
  <phoneticPr fontId="2"/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83" r:id="rId4" name="Button 615">
              <controlPr defaultSize="0" print="0" autoFill="0" autoPict="0" macro="[0]!順位抽出">
                <anchor moveWithCells="1" sizeWithCells="1">
                  <from>
                    <xdr:col>12</xdr:col>
                    <xdr:colOff>9525</xdr:colOff>
                    <xdr:row>2</xdr:row>
                    <xdr:rowOff>152400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F6164-04B5-42EF-A3C3-6F147C892CB7}">
  <sheetPr codeName="Sheet35"/>
  <dimension ref="A1:C15"/>
  <sheetViews>
    <sheetView workbookViewId="0">
      <selection sqref="A1:B1"/>
    </sheetView>
  </sheetViews>
  <sheetFormatPr defaultRowHeight="19.5"/>
  <cols>
    <col min="1" max="1" width="9.88671875" customWidth="1"/>
    <col min="3" max="3" width="15.33203125" customWidth="1"/>
  </cols>
  <sheetData>
    <row r="1" spans="1:3">
      <c r="A1" s="146" t="s">
        <v>324</v>
      </c>
      <c r="B1" s="146"/>
      <c r="C1" s="121">
        <v>60000</v>
      </c>
    </row>
    <row r="2" spans="1:3">
      <c r="A2" s="125" t="s">
        <v>234</v>
      </c>
      <c r="B2" s="119" t="s">
        <v>396</v>
      </c>
      <c r="C2" s="126" t="s">
        <v>397</v>
      </c>
    </row>
    <row r="3" spans="1:3">
      <c r="A3" s="124"/>
      <c r="B3" s="133"/>
      <c r="C3" s="122">
        <f>SUM(Bパターン[[#This Row],[B件数]]*Bバック金額)</f>
        <v>0</v>
      </c>
    </row>
    <row r="4" spans="1:3">
      <c r="A4" s="127"/>
      <c r="B4" s="128"/>
      <c r="C4" s="122">
        <f>SUM(Bパターン[[#This Row],[B件数]]*Bバック金額)</f>
        <v>0</v>
      </c>
    </row>
    <row r="5" spans="1:3">
      <c r="A5" s="127"/>
      <c r="B5" s="128"/>
      <c r="C5" s="122">
        <f>SUM(Bパターン[[#This Row],[B件数]]*Bバック金額)</f>
        <v>0</v>
      </c>
    </row>
    <row r="6" spans="1:3">
      <c r="A6" s="127"/>
      <c r="B6" s="128"/>
      <c r="C6" s="122">
        <f>SUM(Bパターン[[#This Row],[B件数]]*Bバック金額)</f>
        <v>0</v>
      </c>
    </row>
    <row r="7" spans="1:3">
      <c r="A7" s="127"/>
      <c r="B7" s="123"/>
      <c r="C7" s="122">
        <f>SUM(Bパターン[[#This Row],[B件数]]*Bバック金額)</f>
        <v>0</v>
      </c>
    </row>
    <row r="8" spans="1:3">
      <c r="A8" s="127"/>
      <c r="B8" s="123"/>
      <c r="C8" s="122">
        <f>SUM(Bパターン[[#This Row],[B件数]]*Bバック金額)</f>
        <v>0</v>
      </c>
    </row>
    <row r="9" spans="1:3">
      <c r="A9" s="127"/>
      <c r="B9" s="123"/>
      <c r="C9" s="122">
        <f>SUM(Bパターン[[#This Row],[B件数]]*Bバック金額)</f>
        <v>0</v>
      </c>
    </row>
    <row r="10" spans="1:3">
      <c r="A10" s="127"/>
      <c r="B10" s="123"/>
      <c r="C10" s="122">
        <f>SUM(Bパターン[[#This Row],[B件数]]*Bバック金額)</f>
        <v>0</v>
      </c>
    </row>
    <row r="11" spans="1:3">
      <c r="A11" s="127"/>
      <c r="B11" s="123"/>
      <c r="C11" s="122">
        <f>SUM(Bパターン[[#This Row],[B件数]]*Bバック金額)</f>
        <v>0</v>
      </c>
    </row>
    <row r="12" spans="1:3">
      <c r="A12" s="127"/>
      <c r="B12" s="123"/>
      <c r="C12" s="122">
        <f>SUM(Bパターン[[#This Row],[B件数]]*Bバック金額)</f>
        <v>0</v>
      </c>
    </row>
    <row r="13" spans="1:3">
      <c r="A13" s="134"/>
      <c r="B13" s="135"/>
      <c r="C13" s="122">
        <f>SUM(Bパターン[[#This Row],[B件数]]*Bバック金額)</f>
        <v>0</v>
      </c>
    </row>
    <row r="14" spans="1:3">
      <c r="A14" s="134"/>
      <c r="B14" s="135"/>
      <c r="C14" s="122">
        <f>SUM(Bパターン[[#This Row],[B件数]]*Bバック金額)</f>
        <v>0</v>
      </c>
    </row>
    <row r="15" spans="1:3">
      <c r="A15" s="134"/>
      <c r="B15" s="135"/>
      <c r="C15" s="122">
        <f>SUM(Bパターン[[#This Row],[B件数]]*Bバック金額)</f>
        <v>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07A1-D42C-4A1D-8BDA-6AEDF5B2B2CC}">
  <sheetPr codeName="Sheet29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9.88671875" customWidth="1"/>
  </cols>
  <sheetData>
    <row r="1" spans="1:28">
      <c r="A1" s="77" t="s">
        <v>234</v>
      </c>
      <c r="B1" s="11" t="s">
        <v>197</v>
      </c>
      <c r="C1" s="12" t="s">
        <v>198</v>
      </c>
      <c r="D1" s="78" t="s">
        <v>344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6" t="s">
        <v>520</v>
      </c>
    </row>
    <row r="2" spans="1:28">
      <c r="A2" s="20">
        <f>名前リスト[[#This Row],[管理番号]]</f>
        <v>1</v>
      </c>
      <c r="B2" s="6" t="str">
        <f>IF(NOT(まとめ表_各店舗件数[[#This Row],[管理番号]]=""),VLOOKUP(まとめ表_各店舗件数[[#This Row],[管理番号]],名前リスト[[#All],[管理番号]:[氏名]],2,TRUE),"")</f>
        <v>ゆうき</v>
      </c>
      <c r="C2" s="6" t="str">
        <f>IF(NOT(まとめ表_各店舗件数[[#This Row],[管理番号]]=""),VLOOKUP(まとめ表_各店舗件数[[#This Row],[管理番号]],名前リスト[[#All],[管理番号]:[氏名]],3,TRUE),"")</f>
        <v>いしだ　ゆうき</v>
      </c>
      <c r="D2" s="79" t="str">
        <f t="shared" ref="D2:D35" si="0">IF(SUM(E2:XFD2)=0,"",SUM(E2:XFD2))</f>
        <v/>
      </c>
      <c r="E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IF(NOT(まとめ表_各店舗件数[[#This Row],[管理番号]]=""),VLOOKUP(まとめ表_各店舗件数[[#This Row],[管理番号]],名前リスト[[#All],[管理番号]:[氏名]],2,TRUE),"")</f>
        <v>あしゅ</v>
      </c>
      <c r="C3" s="21" t="str">
        <f>IF(NOT(まとめ表_各店舗件数[[#This Row],[管理番号]]=""),VLOOKUP(まとめ表_各店舗件数[[#This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IF(NOT(まとめ表_各店舗件数[[#This Row],[管理番号]]=""),VLOOKUP(まとめ表_各店舗件数[[#This Row],[管理番号]],名前リスト[[#All],[管理番号]:[氏名]],2,TRUE),"")</f>
        <v>佐藤　涼</v>
      </c>
      <c r="C4" s="21" t="str">
        <f>IF(NOT(まとめ表_各店舗件数[[#This Row],[管理番号]]=""),VLOOKUP(まとめ表_各店舗件数[[#This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IF(NOT(まとめ表_各店舗件数[[#This Row],[管理番号]]=""),VLOOKUP(まとめ表_各店舗件数[[#This Row],[管理番号]],名前リスト[[#All],[管理番号]:[氏名]],2,TRUE),"")</f>
        <v>うちのませい</v>
      </c>
      <c r="C5" s="21" t="str">
        <f>IF(NOT(まとめ表_各店舗件数[[#This Row],[管理番号]]=""),VLOOKUP(まとめ表_各店舗件数[[#This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IF(NOT(まとめ表_各店舗件数[[#This Row],[管理番号]]=""),VLOOKUP(まとめ表_各店舗件数[[#This Row],[管理番号]],名前リスト[[#All],[管理番号]:[氏名]],2,TRUE),"")</f>
        <v>あつし</v>
      </c>
      <c r="C6" s="21" t="str">
        <f>IF(NOT(まとめ表_各店舗件数[[#This Row],[管理番号]]=""),VLOOKUP(まとめ表_各店舗件数[[#This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IF(NOT(まとめ表_各店舗件数[[#This Row],[管理番号]]=""),VLOOKUP(まとめ表_各店舗件数[[#This Row],[管理番号]],名前リスト[[#All],[管理番号]:[氏名]],2,TRUE),"")</f>
        <v>しばた</v>
      </c>
      <c r="C7" s="21" t="str">
        <f>IF(NOT(まとめ表_各店舗件数[[#This Row],[管理番号]]=""),VLOOKUP(まとめ表_各店舗件数[[#This Row],[管理番号]],名前リスト[[#All],[管理番号]:[氏名]],3,TRUE),"")</f>
        <v>柴田　正紀</v>
      </c>
      <c r="D7" s="79">
        <f t="shared" si="0"/>
        <v>3</v>
      </c>
      <c r="E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3</v>
      </c>
      <c r="N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IF(NOT(まとめ表_各店舗件数[[#This Row],[管理番号]]=""),VLOOKUP(まとめ表_各店舗件数[[#This Row],[管理番号]],名前リスト[[#All],[管理番号]:[氏名]],2,TRUE),"")</f>
        <v>コバン</v>
      </c>
      <c r="C8" s="21" t="str">
        <f>IF(NOT(まとめ表_各店舗件数[[#This Row],[管理番号]]=""),VLOOKUP(まとめ表_各店舗件数[[#This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IF(NOT(まとめ表_各店舗件数[[#This Row],[管理番号]]=""),VLOOKUP(まとめ表_各店舗件数[[#This Row],[管理番号]],名前リスト[[#All],[管理番号]:[氏名]],2,TRUE),"")</f>
        <v>出流</v>
      </c>
      <c r="C9" s="21" t="str">
        <f>IF(NOT(まとめ表_各店舗件数[[#This Row],[管理番号]]=""),VLOOKUP(まとめ表_各店舗件数[[#This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IF(NOT(まとめ表_各店舗件数[[#This Row],[管理番号]]=""),VLOOKUP(まとめ表_各店舗件数[[#This Row],[管理番号]],名前リスト[[#All],[管理番号]:[氏名]],2,TRUE),"")</f>
        <v>吉野　翔</v>
      </c>
      <c r="C10" s="21" t="str">
        <f>IF(NOT(まとめ表_各店舗件数[[#This Row],[管理番号]]=""),VLOOKUP(まとめ表_各店舗件数[[#This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IF(NOT(まとめ表_各店舗件数[[#This Row],[管理番号]]=""),VLOOKUP(まとめ表_各店舗件数[[#This Row],[管理番号]],名前リスト[[#All],[管理番号]:[氏名]],2,TRUE),"")</f>
        <v>makoto</v>
      </c>
      <c r="C11" s="21" t="str">
        <f>IF(NOT(まとめ表_各店舗件数[[#This Row],[管理番号]]=""),VLOOKUP(まとめ表_各店舗件数[[#This Row],[管理番号]],名前リスト[[#All],[管理番号]:[氏名]],3,TRUE),"")</f>
        <v>中川　誠</v>
      </c>
      <c r="D11" s="79">
        <f t="shared" si="0"/>
        <v>1</v>
      </c>
      <c r="E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1</v>
      </c>
      <c r="P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IF(NOT(まとめ表_各店舗件数[[#This Row],[管理番号]]=""),VLOOKUP(まとめ表_各店舗件数[[#This Row],[管理番号]],名前リスト[[#All],[管理番号]:[氏名]],2,TRUE),"")</f>
        <v>足立　迅</v>
      </c>
      <c r="C12" s="21" t="str">
        <f>IF(NOT(まとめ表_各店舗件数[[#This Row],[管理番号]]=""),VLOOKUP(まとめ表_各店舗件数[[#This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IF(NOT(まとめ表_各店舗件数[[#This Row],[管理番号]]=""),VLOOKUP(まとめ表_各店舗件数[[#This Row],[管理番号]],名前リスト[[#All],[管理番号]:[氏名]],2,TRUE),"")</f>
        <v>kenshi</v>
      </c>
      <c r="C13" s="21" t="str">
        <f>IF(NOT(まとめ表_各店舗件数[[#This Row],[管理番号]]=""),VLOOKUP(まとめ表_各店舗件数[[#This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IF(NOT(まとめ表_各店舗件数[[#This Row],[管理番号]]=""),VLOOKUP(まとめ表_各店舗件数[[#This Row],[管理番号]],名前リスト[[#All],[管理番号]:[氏名]],2,TRUE),"")</f>
        <v>syota</v>
      </c>
      <c r="C14" s="21" t="str">
        <f>IF(NOT(まとめ表_各店舗件数[[#This Row],[管理番号]]=""),VLOOKUP(まとめ表_各店舗件数[[#This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IF(NOT(まとめ表_各店舗件数[[#This Row],[管理番号]]=""),VLOOKUP(まとめ表_各店舗件数[[#This Row],[管理番号]],名前リスト[[#All],[管理番号]:[氏名]],2,TRUE),"")</f>
        <v>りゅうすけ</v>
      </c>
      <c r="C15" s="21" t="str">
        <f>IF(NOT(まとめ表_各店舗件数[[#This Row],[管理番号]]=""),VLOOKUP(まとめ表_各店舗件数[[#This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IF(NOT(まとめ表_各店舗件数[[#This Row],[管理番号]]=""),VLOOKUP(まとめ表_各店舗件数[[#This Row],[管理番号]],名前リスト[[#All],[管理番号]:[氏名]],2,TRUE),"")</f>
        <v>名倉静香</v>
      </c>
      <c r="C16" s="21" t="str">
        <f>IF(NOT(まとめ表_各店舗件数[[#This Row],[管理番号]]=""),VLOOKUP(まとめ表_各店舗件数[[#This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IF(NOT(まとめ表_各店舗件数[[#This Row],[管理番号]]=""),VLOOKUP(まとめ表_各店舗件数[[#This Row],[管理番号]],名前リスト[[#All],[管理番号]:[氏名]],2,TRUE),"")</f>
        <v>寺田翔太</v>
      </c>
      <c r="C17" s="21" t="str">
        <f>IF(NOT(まとめ表_各店舗件数[[#This Row],[管理番号]]=""),VLOOKUP(まとめ表_各店舗件数[[#This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IF(NOT(まとめ表_各店舗件数[[#This Row],[管理番号]]=""),VLOOKUP(まとめ表_各店舗件数[[#This Row],[管理番号]],名前リスト[[#All],[管理番号]:[氏名]],2,TRUE),"")</f>
        <v>さあや</v>
      </c>
      <c r="C18" s="21" t="str">
        <f>IF(NOT(まとめ表_各店舗件数[[#This Row],[管理番号]]=""),VLOOKUP(まとめ表_各店舗件数[[#This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IF(NOT(まとめ表_各店舗件数[[#This Row],[管理番号]]=""),VLOOKUP(まとめ表_各店舗件数[[#This Row],[管理番号]],名前リスト[[#All],[管理番号]:[氏名]],2,TRUE),"")</f>
        <v>tt</v>
      </c>
      <c r="C19" s="21" t="str">
        <f>IF(NOT(まとめ表_各店舗件数[[#This Row],[管理番号]]=""),VLOOKUP(まとめ表_各店舗件数[[#This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IF(NOT(まとめ表_各店舗件数[[#This Row],[管理番号]]=""),VLOOKUP(まとめ表_各店舗件数[[#This Row],[管理番号]],名前リスト[[#All],[管理番号]:[氏名]],2,TRUE),"")</f>
        <v>あきら</v>
      </c>
      <c r="C20" s="21" t="str">
        <f>IF(NOT(まとめ表_各店舗件数[[#This Row],[管理番号]]=""),VLOOKUP(まとめ表_各店舗件数[[#This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IF(NOT(まとめ表_各店舗件数[[#This Row],[管理番号]]=""),VLOOKUP(まとめ表_各店舗件数[[#This Row],[管理番号]],名前リスト[[#All],[管理番号]:[氏名]],2,TRUE),"")</f>
        <v>ゆうき</v>
      </c>
      <c r="C21" s="21" t="str">
        <f>IF(NOT(まとめ表_各店舗件数[[#This Row],[管理番号]]=""),VLOOKUP(まとめ表_各店舗件数[[#This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IF(NOT(まとめ表_各店舗件数[[#This Row],[管理番号]]=""),VLOOKUP(まとめ表_各店舗件数[[#This Row],[管理番号]],名前リスト[[#All],[管理番号]:[氏名]],2,TRUE),"")</f>
        <v>貴裕</v>
      </c>
      <c r="C22" s="21" t="str">
        <f>IF(NOT(まとめ表_各店舗件数[[#This Row],[管理番号]]=""),VLOOKUP(まとめ表_各店舗件数[[#This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IF(NOT(まとめ表_各店舗件数[[#This Row],[管理番号]]=""),VLOOKUP(まとめ表_各店舗件数[[#This Row],[管理番号]],名前リスト[[#All],[管理番号]:[氏名]],2,TRUE),"")</f>
        <v>katsu</v>
      </c>
      <c r="C23" s="21" t="str">
        <f>IF(NOT(まとめ表_各店舗件数[[#This Row],[管理番号]]=""),VLOOKUP(まとめ表_各店舗件数[[#This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IF(NOT(まとめ表_各店舗件数[[#This Row],[管理番号]]=""),VLOOKUP(まとめ表_各店舗件数[[#This Row],[管理番号]],名前リスト[[#All],[管理番号]:[氏名]],2,TRUE),"")</f>
        <v>中田篤史</v>
      </c>
      <c r="C24" s="21" t="str">
        <f>IF(NOT(まとめ表_各店舗件数[[#This Row],[管理番号]]=""),VLOOKUP(まとめ表_各店舗件数[[#This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IF(NOT(まとめ表_各店舗件数[[#This Row],[管理番号]]=""),VLOOKUP(まとめ表_各店舗件数[[#This Row],[管理番号]],名前リスト[[#All],[管理番号]:[氏名]],2,TRUE),"")</f>
        <v>祐介</v>
      </c>
      <c r="C25" s="21" t="str">
        <f>IF(NOT(まとめ表_各店舗件数[[#This Row],[管理番号]]=""),VLOOKUP(まとめ表_各店舗件数[[#This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IF(NOT(まとめ表_各店舗件数[[#This Row],[管理番号]]=""),VLOOKUP(まとめ表_各店舗件数[[#This Row],[管理番号]],名前リスト[[#All],[管理番号]:[氏名]],2,TRUE),"")</f>
        <v>ヒョウタ</v>
      </c>
      <c r="C26" s="21" t="str">
        <f>IF(NOT(まとめ表_各店舗件数[[#This Row],[管理番号]]=""),VLOOKUP(まとめ表_各店舗件数[[#This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IF(NOT(まとめ表_各店舗件数[[#This Row],[管理番号]]=""),VLOOKUP(まとめ表_各店舗件数[[#This Row],[管理番号]],名前リスト[[#All],[管理番号]:[氏名]],2,TRUE),"")</f>
        <v>石原優介</v>
      </c>
      <c r="C27" s="21" t="str">
        <f>IF(NOT(まとめ表_各店舗件数[[#This Row],[管理番号]]=""),VLOOKUP(まとめ表_各店舗件数[[#This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IF(NOT(まとめ表_各店舗件数[[#This Row],[管理番号]]=""),VLOOKUP(まとめ表_各店舗件数[[#This Row],[管理番号]],名前リスト[[#All],[管理番号]:[氏名]],2,TRUE),"")</f>
        <v>森田裕也</v>
      </c>
      <c r="C28" s="21" t="str">
        <f>IF(NOT(まとめ表_各店舗件数[[#This Row],[管理番号]]=""),VLOOKUP(まとめ表_各店舗件数[[#This Row],[管理番号]],名前リスト[[#All],[管理番号]:[氏名]],3,TRUE),"")</f>
        <v>森田　裕也</v>
      </c>
      <c r="D28" s="79">
        <f t="shared" si="0"/>
        <v>1</v>
      </c>
      <c r="E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IF(NOT(まとめ表_各店舗件数[[#This Row],[管理番号]]=""),VLOOKUP(まとめ表_各店舗件数[[#This Row],[管理番号]],名前リスト[[#All],[管理番号]:[氏名]],2,TRUE),"")</f>
        <v>さとう</v>
      </c>
      <c r="C29" s="21" t="str">
        <f>IF(NOT(まとめ表_各店舗件数[[#This Row],[管理番号]]=""),VLOOKUP(まとめ表_各店舗件数[[#This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IF(NOT(まとめ表_各店舗件数[[#This Row],[管理番号]]=""),VLOOKUP(まとめ表_各店舗件数[[#This Row],[管理番号]],名前リスト[[#All],[管理番号]:[氏名]],2,TRUE),"")</f>
        <v>セイゴ</v>
      </c>
      <c r="C30" s="21" t="str">
        <f>IF(NOT(まとめ表_各店舗件数[[#This Row],[管理番号]]=""),VLOOKUP(まとめ表_各店舗件数[[#This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IF(NOT(まとめ表_各店舗件数[[#This Row],[管理番号]]=""),VLOOKUP(まとめ表_各店舗件数[[#This Row],[管理番号]],名前リスト[[#All],[管理番号]:[氏名]],2,TRUE),"")</f>
        <v>そーたろー</v>
      </c>
      <c r="C31" s="21" t="str">
        <f>IF(NOT(まとめ表_各店舗件数[[#This Row],[管理番号]]=""),VLOOKUP(まとめ表_各店舗件数[[#This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IF(NOT(まとめ表_各店舗件数[[#This Row],[管理番号]]=""),VLOOKUP(まとめ表_各店舗件数[[#This Row],[管理番号]],名前リスト[[#All],[管理番号]:[氏名]],2,TRUE),"")</f>
        <v>AYAKA</v>
      </c>
      <c r="C32" s="21" t="str">
        <f>IF(NOT(まとめ表_各店舗件数[[#This Row],[管理番号]]=""),VLOOKUP(まとめ表_各店舗件数[[#This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IF(NOT(まとめ表_各店舗件数[[#This Row],[管理番号]]=""),VLOOKUP(まとめ表_各店舗件数[[#This Row],[管理番号]],名前リスト[[#All],[管理番号]:[氏名]],2,TRUE),"")</f>
        <v>まるや〜ま</v>
      </c>
      <c r="C33" s="21" t="str">
        <f>IF(NOT(まとめ表_各店舗件数[[#This Row],[管理番号]]=""),VLOOKUP(まとめ表_各店舗件数[[#This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IF(NOT(まとめ表_各店舗件数[[#This Row],[管理番号]]=""),VLOOKUP(まとめ表_各店舗件数[[#This Row],[管理番号]],名前リスト[[#All],[管理番号]:[氏名]],2,TRUE),"")</f>
        <v>さかぐちゆうや</v>
      </c>
      <c r="C34" s="21" t="str">
        <f>IF(NOT(まとめ表_各店舗件数[[#This Row],[管理番号]]=""),VLOOKUP(まとめ表_各店舗件数[[#This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IF(NOT(まとめ表_各店舗件数[[#This Row],[管理番号]]=""),VLOOKUP(まとめ表_各店舗件数[[#This Row],[管理番号]],名前リスト[[#All],[管理番号]:[氏名]],2,TRUE),"")</f>
        <v>c,m,s</v>
      </c>
      <c r="C35" s="21" t="str">
        <f>IF(NOT(まとめ表_各店舗件数[[#This Row],[管理番号]]=""),VLOOKUP(まとめ表_各店舗件数[[#This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6" spans="1:28">
      <c r="A36" s="20">
        <f>名前リスト[[#This Row],[管理番号]]</f>
        <v>35</v>
      </c>
      <c r="B36" s="6" t="e">
        <f>SUM(#REF!)</f>
        <v>#REF!</v>
      </c>
      <c r="C36" s="21" t="str">
        <f>IF(NOT(まとめ表_各店舗件数[[#This Row],[管理番号]]=""),VLOOKUP(まとめ表_各店舗件数[[#This Row],[管理番号]],名前リスト[[#All],[管理番号]:[氏名]],3,TRUE),"")</f>
        <v>前川　克樹</v>
      </c>
      <c r="D36" s="79" t="e">
        <f>SUM(#REF!)</f>
        <v>#REF!</v>
      </c>
      <c r="E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6" s="7" t="e">
        <f>SUM(#REF!)</f>
        <v>#REF!</v>
      </c>
      <c r="G36" s="7" t="e">
        <f>SUM(#REF!)</f>
        <v>#REF!</v>
      </c>
      <c r="H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6" s="7" t="e">
        <f>SUM(#REF!)</f>
        <v>#REF!</v>
      </c>
      <c r="K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6" s="48" t="e">
        <f>SUM(#REF!)</f>
        <v>#REF!</v>
      </c>
      <c r="N36" s="48" t="e">
        <f>SUM(#REF!)</f>
        <v>#REF!</v>
      </c>
      <c r="O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6" s="48" t="e">
        <f>SUM(#REF!)</f>
        <v>#REF!</v>
      </c>
      <c r="Q36" s="48" t="e">
        <f>SUM(#REF!)</f>
        <v>#REF!</v>
      </c>
      <c r="R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IF(NOT(まとめ表_各店舗件数[[#This Row],[管理番号]]=""),VLOOKUP(まとめ表_各店舗件数[[#This Row],[管理番号]],名前リスト[[#All],[管理番号]:[氏名]],2,TRUE),"")</f>
        <v>kantaro</v>
      </c>
      <c r="C37" s="21" t="str">
        <f>IF(NOT(まとめ表_各店舗件数[[#This Row],[管理番号]]=""),VLOOKUP(まとめ表_各店舗件数[[#This Row],[管理番号]],名前リスト[[#All],[管理番号]:[氏名]],3,TRUE),"")</f>
        <v>森畠　勘太郎</v>
      </c>
      <c r="D37" s="79" t="str">
        <f t="shared" ref="D37:D100" si="1">IF(SUM(E37:XFD37)=0,"",SUM(E37:XFD37))</f>
        <v/>
      </c>
      <c r="E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IF(NOT(まとめ表_各店舗件数[[#This Row],[管理番号]]=""),VLOOKUP(まとめ表_各店舗件数[[#This Row],[管理番号]],名前リスト[[#All],[管理番号]:[氏名]],2,TRUE),"")</f>
        <v>きだ　ひろし</v>
      </c>
      <c r="C38" s="21" t="str">
        <f>IF(NOT(まとめ表_各店舗件数[[#This Row],[管理番号]]=""),VLOOKUP(まとめ表_各店舗件数[[#This Row],[管理番号]],名前リスト[[#All],[管理番号]:[氏名]],3,TRUE),"")</f>
        <v>貴田　洋史</v>
      </c>
      <c r="D38" s="79" t="str">
        <f t="shared" si="1"/>
        <v/>
      </c>
      <c r="E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IF(NOT(まとめ表_各店舗件数[[#This Row],[管理番号]]=""),VLOOKUP(まとめ表_各店舗件数[[#This Row],[管理番号]],名前リスト[[#All],[管理番号]:[氏名]],2,TRUE),"")</f>
        <v>丹祐希</v>
      </c>
      <c r="C39" s="21" t="str">
        <f>IF(NOT(まとめ表_各店舗件数[[#This Row],[管理番号]]=""),VLOOKUP(まとめ表_各店舗件数[[#This Row],[管理番号]],名前リスト[[#All],[管理番号]:[氏名]],3,TRUE),"")</f>
        <v>丹　祐希</v>
      </c>
      <c r="D39" s="79" t="str">
        <f t="shared" si="1"/>
        <v/>
      </c>
      <c r="E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IF(NOT(まとめ表_各店舗件数[[#This Row],[管理番号]]=""),VLOOKUP(まとめ表_各店舗件数[[#This Row],[管理番号]],名前リスト[[#All],[管理番号]:[氏名]],2,TRUE),"")</f>
        <v>なかたにしょうへい</v>
      </c>
      <c r="C40" s="21" t="str">
        <f>IF(NOT(まとめ表_各店舗件数[[#This Row],[管理番号]]=""),VLOOKUP(まとめ表_各店舗件数[[#This Row],[管理番号]],名前リスト[[#All],[管理番号]:[氏名]],3,TRUE),"")</f>
        <v>中谷　昌平</v>
      </c>
      <c r="D40" s="79" t="str">
        <f t="shared" si="1"/>
        <v/>
      </c>
      <c r="E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IF(NOT(まとめ表_各店舗件数[[#This Row],[管理番号]]=""),VLOOKUP(まとめ表_各店舗件数[[#This Row],[管理番号]],名前リスト[[#All],[管理番号]:[氏名]],2,TRUE),"")</f>
        <v>片山　善斗</v>
      </c>
      <c r="C41" s="21" t="str">
        <f>IF(NOT(まとめ表_各店舗件数[[#This Row],[管理番号]]=""),VLOOKUP(まとめ表_各店舗件数[[#This Row],[管理番号]],名前リスト[[#All],[管理番号]:[氏名]],3,TRUE),"")</f>
        <v>片山　善斗</v>
      </c>
      <c r="D41" s="79">
        <f t="shared" si="1"/>
        <v>1</v>
      </c>
      <c r="E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IF(NOT(まとめ表_各店舗件数[[#This Row],[管理番号]]=""),VLOOKUP(まとめ表_各店舗件数[[#This Row],[管理番号]],名前リスト[[#All],[管理番号]:[氏名]],2,TRUE),"")</f>
        <v>長谷川　直人</v>
      </c>
      <c r="C42" s="21" t="str">
        <f>IF(NOT(まとめ表_各店舗件数[[#This Row],[管理番号]]=""),VLOOKUP(まとめ表_各店舗件数[[#This Row],[管理番号]],名前リスト[[#All],[管理番号]:[氏名]],3,TRUE),"")</f>
        <v>長谷川　直人</v>
      </c>
      <c r="D42" s="79" t="str">
        <f t="shared" si="1"/>
        <v/>
      </c>
      <c r="E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IF(NOT(まとめ表_各店舗件数[[#This Row],[管理番号]]=""),VLOOKUP(まとめ表_各店舗件数[[#This Row],[管理番号]],名前リスト[[#All],[管理番号]:[氏名]],2,TRUE),"")</f>
        <v>けいちゃんYDK</v>
      </c>
      <c r="C43" s="21" t="str">
        <f>IF(NOT(まとめ表_各店舗件数[[#This Row],[管理番号]]=""),VLOOKUP(まとめ表_各店舗件数[[#This Row],[管理番号]],名前リスト[[#All],[管理番号]:[氏名]],3,TRUE),"")</f>
        <v>イケダ　ケイタ</v>
      </c>
      <c r="D43" s="79" t="str">
        <f t="shared" si="1"/>
        <v/>
      </c>
      <c r="E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IF(NOT(まとめ表_各店舗件数[[#This Row],[管理番号]]=""),VLOOKUP(まとめ表_各店舗件数[[#This Row],[管理番号]],名前リスト[[#All],[管理番号]:[氏名]],2,TRUE),"")</f>
        <v>まみ</v>
      </c>
      <c r="C44" s="21" t="str">
        <f>IF(NOT(まとめ表_各店舗件数[[#This Row],[管理番号]]=""),VLOOKUP(まとめ表_各店舗件数[[#This Row],[管理番号]],名前リスト[[#All],[管理番号]:[氏名]],3,TRUE),"")</f>
        <v>中山　茉美</v>
      </c>
      <c r="D44" s="79" t="str">
        <f t="shared" si="1"/>
        <v/>
      </c>
      <c r="E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IF(NOT(まとめ表_各店舗件数[[#This Row],[管理番号]]=""),VLOOKUP(まとめ表_各店舗件数[[#This Row],[管理番号]],名前リスト[[#All],[管理番号]:[氏名]],2,TRUE),"")</f>
        <v>平本　悠馬</v>
      </c>
      <c r="C45" s="21" t="str">
        <f>IF(NOT(まとめ表_各店舗件数[[#This Row],[管理番号]]=""),VLOOKUP(まとめ表_各店舗件数[[#This Row],[管理番号]],名前リスト[[#All],[管理番号]:[氏名]],3,TRUE),"")</f>
        <v>平本　悠馬</v>
      </c>
      <c r="D45" s="79" t="str">
        <f t="shared" si="1"/>
        <v/>
      </c>
      <c r="E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IF(NOT(まとめ表_各店舗件数[[#This Row],[管理番号]]=""),VLOOKUP(まとめ表_各店舗件数[[#This Row],[管理番号]],名前リスト[[#All],[管理番号]:[氏名]],2,TRUE),"")</f>
        <v>山田隆生</v>
      </c>
      <c r="C46" s="21" t="str">
        <f>IF(NOT(まとめ表_各店舗件数[[#This Row],[管理番号]]=""),VLOOKUP(まとめ表_各店舗件数[[#This Row],[管理番号]],名前リスト[[#All],[管理番号]:[氏名]],3,TRUE),"")</f>
        <v>山田　隆生</v>
      </c>
      <c r="D46" s="79" t="str">
        <f t="shared" si="1"/>
        <v/>
      </c>
      <c r="E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IF(NOT(まとめ表_各店舗件数[[#This Row],[管理番号]]=""),VLOOKUP(まとめ表_各店舗件数[[#This Row],[管理番号]],名前リスト[[#All],[管理番号]:[氏名]],2,TRUE),"")</f>
        <v>なかじま</v>
      </c>
      <c r="C47" s="21" t="str">
        <f>IF(NOT(まとめ表_各店舗件数[[#This Row],[管理番号]]=""),VLOOKUP(まとめ表_各店舗件数[[#This Row],[管理番号]],名前リスト[[#All],[管理番号]:[氏名]],3,TRUE),"")</f>
        <v>中嶋　一輝</v>
      </c>
      <c r="D47" s="79" t="str">
        <f t="shared" si="1"/>
        <v/>
      </c>
      <c r="E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IF(NOT(まとめ表_各店舗件数[[#This Row],[管理番号]]=""),VLOOKUP(まとめ表_各店舗件数[[#This Row],[管理番号]],名前リスト[[#All],[管理番号]:[氏名]],2,TRUE),"")</f>
        <v>WATARU</v>
      </c>
      <c r="C48" s="21" t="str">
        <f>IF(NOT(まとめ表_各店舗件数[[#This Row],[管理番号]]=""),VLOOKUP(まとめ表_各店舗件数[[#This Row],[管理番号]],名前リスト[[#All],[管理番号]:[氏名]],3,TRUE),"")</f>
        <v>熊谷　航</v>
      </c>
      <c r="D48" s="79" t="str">
        <f t="shared" si="1"/>
        <v/>
      </c>
      <c r="E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IF(NOT(まとめ表_各店舗件数[[#This Row],[管理番号]]=""),VLOOKUP(まとめ表_各店舗件数[[#This Row],[管理番号]],名前リスト[[#All],[管理番号]:[氏名]],2,TRUE),"")</f>
        <v>亜美</v>
      </c>
      <c r="C49" s="21" t="str">
        <f>IF(NOT(まとめ表_各店舗件数[[#This Row],[管理番号]]=""),VLOOKUP(まとめ表_各店舗件数[[#This Row],[管理番号]],名前リスト[[#All],[管理番号]:[氏名]],3,TRUE),"")</f>
        <v>南原　亜美</v>
      </c>
      <c r="D49" s="79" t="str">
        <f t="shared" si="1"/>
        <v/>
      </c>
      <c r="E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IF(NOT(まとめ表_各店舗件数[[#This Row],[管理番号]]=""),VLOOKUP(まとめ表_各店舗件数[[#This Row],[管理番号]],名前リスト[[#All],[管理番号]:[氏名]],2,TRUE),"")</f>
        <v>kamitani</v>
      </c>
      <c r="C50" s="21" t="str">
        <f>IF(NOT(まとめ表_各店舗件数[[#This Row],[管理番号]]=""),VLOOKUP(まとめ表_各店舗件数[[#This Row],[管理番号]],名前リスト[[#All],[管理番号]:[氏名]],3,TRUE),"")</f>
        <v>紙谷　莉央</v>
      </c>
      <c r="D50" s="79" t="str">
        <f t="shared" si="1"/>
        <v/>
      </c>
      <c r="E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IF(NOT(まとめ表_各店舗件数[[#This Row],[管理番号]]=""),VLOOKUP(まとめ表_各店舗件数[[#This Row],[管理番号]],名前リスト[[#All],[管理番号]:[氏名]],2,TRUE),"")</f>
        <v>hyoma</v>
      </c>
      <c r="C51" s="21" t="str">
        <f>IF(NOT(まとめ表_各店舗件数[[#This Row],[管理番号]]=""),VLOOKUP(まとめ表_各店舗件数[[#This Row],[管理番号]],名前リスト[[#All],[管理番号]:[氏名]],3,TRUE),"")</f>
        <v>庄司　彪真</v>
      </c>
      <c r="D51" s="79" t="str">
        <f t="shared" si="1"/>
        <v/>
      </c>
      <c r="E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IF(NOT(まとめ表_各店舗件数[[#This Row],[管理番号]]=""),VLOOKUP(まとめ表_各店舗件数[[#This Row],[管理番号]],名前リスト[[#All],[管理番号]:[氏名]],2,TRUE),"")</f>
        <v>きのしたこうき</v>
      </c>
      <c r="C52" s="21" t="str">
        <f>IF(NOT(まとめ表_各店舗件数[[#This Row],[管理番号]]=""),VLOOKUP(まとめ表_各店舗件数[[#This Row],[管理番号]],名前リスト[[#All],[管理番号]:[氏名]],3,TRUE),"")</f>
        <v>木下　光樹</v>
      </c>
      <c r="D52" s="79" t="str">
        <f t="shared" si="1"/>
        <v/>
      </c>
      <c r="E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IF(NOT(まとめ表_各店舗件数[[#This Row],[管理番号]]=""),VLOOKUP(まとめ表_各店舗件数[[#This Row],[管理番号]],名前リスト[[#All],[管理番号]:[氏名]],2,TRUE),"")</f>
        <v>tamaki</v>
      </c>
      <c r="C53" s="21" t="str">
        <f>IF(NOT(まとめ表_各店舗件数[[#This Row],[管理番号]]=""),VLOOKUP(まとめ表_各店舗件数[[#This Row],[管理番号]],名前リスト[[#All],[管理番号]:[氏名]],3,TRUE),"")</f>
        <v>玉木　祐</v>
      </c>
      <c r="D53" s="79" t="str">
        <f t="shared" si="1"/>
        <v/>
      </c>
      <c r="E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IF(NOT(まとめ表_各店舗件数[[#This Row],[管理番号]]=""),VLOOKUP(まとめ表_各店舗件数[[#This Row],[管理番号]],名前リスト[[#All],[管理番号]:[氏名]],2,TRUE),"")</f>
        <v>さや</v>
      </c>
      <c r="C54" s="21" t="str">
        <f>IF(NOT(まとめ表_各店舗件数[[#This Row],[管理番号]]=""),VLOOKUP(まとめ表_各店舗件数[[#This Row],[管理番号]],名前リスト[[#All],[管理番号]:[氏名]],3,TRUE),"")</f>
        <v>藤田　彩椰</v>
      </c>
      <c r="D54" s="79" t="str">
        <f t="shared" si="1"/>
        <v/>
      </c>
      <c r="E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IF(NOT(まとめ表_各店舗件数[[#This Row],[管理番号]]=""),VLOOKUP(まとめ表_各店舗件数[[#This Row],[管理番号]],名前リスト[[#All],[管理番号]:[氏名]],2,TRUE),"")</f>
        <v>図子涼太</v>
      </c>
      <c r="C55" s="21" t="str">
        <f>IF(NOT(まとめ表_各店舗件数[[#This Row],[管理番号]]=""),VLOOKUP(まとめ表_各店舗件数[[#This Row],[管理番号]],名前リスト[[#All],[管理番号]:[氏名]],3,TRUE),"")</f>
        <v>図子　涼太</v>
      </c>
      <c r="D55" s="79" t="str">
        <f t="shared" si="1"/>
        <v/>
      </c>
      <c r="E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IF(NOT(まとめ表_各店舗件数[[#This Row],[管理番号]]=""),VLOOKUP(まとめ表_各店舗件数[[#This Row],[管理番号]],名前リスト[[#All],[管理番号]:[氏名]],2,TRUE),"")</f>
        <v>じおん</v>
      </c>
      <c r="C56" s="21" t="str">
        <f>IF(NOT(まとめ表_各店舗件数[[#This Row],[管理番号]]=""),VLOOKUP(まとめ表_各店舗件数[[#This Row],[管理番号]],名前リスト[[#All],[管理番号]:[氏名]],3,TRUE),"")</f>
        <v>友原　慈恩</v>
      </c>
      <c r="D56" s="79" t="str">
        <f t="shared" si="1"/>
        <v/>
      </c>
      <c r="E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IF(NOT(まとめ表_各店舗件数[[#This Row],[管理番号]]=""),VLOOKUP(まとめ表_各店舗件数[[#This Row],[管理番号]],名前リスト[[#All],[管理番号]:[氏名]],2,TRUE),"")</f>
        <v>高橋だいき</v>
      </c>
      <c r="C57" s="21" t="str">
        <f>IF(NOT(まとめ表_各店舗件数[[#This Row],[管理番号]]=""),VLOOKUP(まとめ表_各店舗件数[[#This Row],[管理番号]],名前リスト[[#All],[管理番号]:[氏名]],3,TRUE),"")</f>
        <v>高橋　大喜</v>
      </c>
      <c r="D57" s="79" t="str">
        <f t="shared" si="1"/>
        <v/>
      </c>
      <c r="E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IF(NOT(まとめ表_各店舗件数[[#This Row],[管理番号]]=""),VLOOKUP(まとめ表_各店舗件数[[#This Row],[管理番号]],名前リスト[[#All],[管理番号]:[氏名]],2,TRUE),"")</f>
        <v>若江祐香</v>
      </c>
      <c r="C58" s="21" t="str">
        <f>IF(NOT(まとめ表_各店舗件数[[#This Row],[管理番号]]=""),VLOOKUP(まとめ表_各店舗件数[[#This Row],[管理番号]],名前リスト[[#All],[管理番号]:[氏名]],3,TRUE),"")</f>
        <v>若江　祐香</v>
      </c>
      <c r="D58" s="79" t="str">
        <f t="shared" si="1"/>
        <v/>
      </c>
      <c r="E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IF(NOT(まとめ表_各店舗件数[[#This Row],[管理番号]]=""),VLOOKUP(まとめ表_各店舗件数[[#This Row],[管理番号]],名前リスト[[#All],[管理番号]:[氏名]],2,TRUE),"")</f>
        <v>ゆり</v>
      </c>
      <c r="C59" s="21" t="str">
        <f>IF(NOT(まとめ表_各店舗件数[[#This Row],[管理番号]]=""),VLOOKUP(まとめ表_各店舗件数[[#This Row],[管理番号]],名前リスト[[#All],[管理番号]:[氏名]],3,TRUE),"")</f>
        <v>羽坂　友里</v>
      </c>
      <c r="D59" s="79" t="str">
        <f t="shared" si="1"/>
        <v/>
      </c>
      <c r="E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IF(NOT(まとめ表_各店舗件数[[#This Row],[管理番号]]=""),VLOOKUP(まとめ表_各店舗件数[[#This Row],[管理番号]],名前リスト[[#All],[管理番号]:[氏名]],2,TRUE),"")</f>
        <v>たなかもとひで</v>
      </c>
      <c r="C60" s="21" t="str">
        <f>IF(NOT(まとめ表_各店舗件数[[#This Row],[管理番号]]=""),VLOOKUP(まとめ表_各店舗件数[[#This Row],[管理番号]],名前リスト[[#All],[管理番号]:[氏名]],3,TRUE),"")</f>
        <v>田中　元秀</v>
      </c>
      <c r="D60" s="79" t="str">
        <f t="shared" si="1"/>
        <v/>
      </c>
      <c r="E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IF(NOT(まとめ表_各店舗件数[[#This Row],[管理番号]]=""),VLOOKUP(まとめ表_各店舗件数[[#This Row],[管理番号]],名前リスト[[#All],[管理番号]:[氏名]],2,TRUE),"")</f>
        <v>藤井康裕</v>
      </c>
      <c r="C61" s="21" t="str">
        <f>IF(NOT(まとめ表_各店舗件数[[#This Row],[管理番号]]=""),VLOOKUP(まとめ表_各店舗件数[[#This Row],[管理番号]],名前リスト[[#All],[管理番号]:[氏名]],3,TRUE),"")</f>
        <v>藤井　康裕</v>
      </c>
      <c r="D61" s="79" t="str">
        <f t="shared" si="1"/>
        <v/>
      </c>
      <c r="E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IF(NOT(まとめ表_各店舗件数[[#This Row],[管理番号]]=""),VLOOKUP(まとめ表_各店舗件数[[#This Row],[管理番号]],名前リスト[[#All],[管理番号]:[氏名]],2,TRUE),"")</f>
        <v>あおこう</v>
      </c>
      <c r="C62" s="21" t="str">
        <f>IF(NOT(まとめ表_各店舗件数[[#This Row],[管理番号]]=""),VLOOKUP(まとめ表_各店舗件数[[#This Row],[管理番号]],名前リスト[[#All],[管理番号]:[氏名]],3,TRUE),"")</f>
        <v>青地　耕平</v>
      </c>
      <c r="D62" s="79" t="str">
        <f t="shared" si="1"/>
        <v/>
      </c>
      <c r="E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IF(NOT(まとめ表_各店舗件数[[#This Row],[管理番号]]=""),VLOOKUP(まとめ表_各店舗件数[[#This Row],[管理番号]],名前リスト[[#All],[管理番号]:[氏名]],2,TRUE),"")</f>
        <v>近藤智樹</v>
      </c>
      <c r="C63" s="21" t="str">
        <f>IF(NOT(まとめ表_各店舗件数[[#This Row],[管理番号]]=""),VLOOKUP(まとめ表_各店舗件数[[#This Row],[管理番号]],名前リスト[[#All],[管理番号]:[氏名]],3,TRUE),"")</f>
        <v>近藤　智樹</v>
      </c>
      <c r="D63" s="79" t="str">
        <f t="shared" si="1"/>
        <v/>
      </c>
      <c r="E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IF(NOT(まとめ表_各店舗件数[[#This Row],[管理番号]]=""),VLOOKUP(まとめ表_各店舗件数[[#This Row],[管理番号]],名前リスト[[#All],[管理番号]:[氏名]],2,TRUE),"")</f>
        <v>金子心</v>
      </c>
      <c r="C64" s="21" t="str">
        <f>IF(NOT(まとめ表_各店舗件数[[#This Row],[管理番号]]=""),VLOOKUP(まとめ表_各店舗件数[[#This Row],[管理番号]],名前リスト[[#All],[管理番号]:[氏名]],3,TRUE),"")</f>
        <v>金子　心</v>
      </c>
      <c r="D64" s="79" t="str">
        <f t="shared" si="1"/>
        <v/>
      </c>
      <c r="E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IF(NOT(まとめ表_各店舗件数[[#This Row],[管理番号]]=""),VLOOKUP(まとめ表_各店舗件数[[#This Row],[管理番号]],名前リスト[[#All],[管理番号]:[氏名]],2,TRUE),"")</f>
        <v>田中弦</v>
      </c>
      <c r="C65" s="21" t="str">
        <f>IF(NOT(まとめ表_各店舗件数[[#This Row],[管理番号]]=""),VLOOKUP(まとめ表_各店舗件数[[#This Row],[管理番号]],名前リスト[[#All],[管理番号]:[氏名]],3,TRUE),"")</f>
        <v>田中　弦</v>
      </c>
      <c r="D65" s="79">
        <f t="shared" si="1"/>
        <v>1</v>
      </c>
      <c r="E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IF(NOT(まとめ表_各店舗件数[[#This Row],[管理番号]]=""),VLOOKUP(まとめ表_各店舗件数[[#This Row],[管理番号]],名前リスト[[#All],[管理番号]:[氏名]],2,TRUE),"")</f>
        <v>りな</v>
      </c>
      <c r="C66" s="21" t="str">
        <f>IF(NOT(まとめ表_各店舗件数[[#This Row],[管理番号]]=""),VLOOKUP(まとめ表_各店舗件数[[#This Row],[管理番号]],名前リスト[[#All],[管理番号]:[氏名]],3,TRUE),"")</f>
        <v>水田　里奈</v>
      </c>
      <c r="D66" s="79" t="str">
        <f t="shared" si="1"/>
        <v/>
      </c>
      <c r="E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IF(NOT(まとめ表_各店舗件数[[#This Row],[管理番号]]=""),VLOOKUP(まとめ表_各店舗件数[[#This Row],[管理番号]],名前リスト[[#All],[管理番号]:[氏名]],2,TRUE),"")</f>
        <v>山本裕介</v>
      </c>
      <c r="C67" s="21" t="str">
        <f>IF(NOT(まとめ表_各店舗件数[[#This Row],[管理番号]]=""),VLOOKUP(まとめ表_各店舗件数[[#This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IF(NOT(まとめ表_各店舗件数[[#This Row],[管理番号]]=""),VLOOKUP(まとめ表_各店舗件数[[#This Row],[管理番号]],名前リスト[[#All],[管理番号]:[氏名]],2,TRUE),"")</f>
        <v>久元昭人</v>
      </c>
      <c r="C68" s="21" t="str">
        <f>IF(NOT(まとめ表_各店舗件数[[#This Row],[管理番号]]=""),VLOOKUP(まとめ表_各店舗件数[[#This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IF(NOT(まとめ表_各店舗件数[[#This Row],[管理番号]]=""),VLOOKUP(まとめ表_各店舗件数[[#This Row],[管理番号]],名前リスト[[#All],[管理番号]:[氏名]],2,TRUE),"")</f>
        <v>白水　祐太</v>
      </c>
      <c r="C69" s="21" t="str">
        <f>IF(NOT(まとめ表_各店舗件数[[#This Row],[管理番号]]=""),VLOOKUP(まとめ表_各店舗件数[[#This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IF(NOT(まとめ表_各店舗件数[[#This Row],[管理番号]]=""),VLOOKUP(まとめ表_各店舗件数[[#This Row],[管理番号]],名前リスト[[#All],[管理番号]:[氏名]],2,TRUE),"")</f>
        <v>水津直樹</v>
      </c>
      <c r="C70" s="21" t="str">
        <f>IF(NOT(まとめ表_各店舗件数[[#This Row],[管理番号]]=""),VLOOKUP(まとめ表_各店舗件数[[#This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IF(NOT(まとめ表_各店舗件数[[#This Row],[管理番号]]=""),VLOOKUP(まとめ表_各店舗件数[[#This Row],[管理番号]],名前リスト[[#All],[管理番号]:[氏名]],2,TRUE),"")</f>
        <v>のさかりょうすけ</v>
      </c>
      <c r="C71" s="21" t="str">
        <f>IF(NOT(まとめ表_各店舗件数[[#This Row],[管理番号]]=""),VLOOKUP(まとめ表_各店舗件数[[#This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IF(NOT(まとめ表_各店舗件数[[#This Row],[管理番号]]=""),VLOOKUP(まとめ表_各店舗件数[[#This Row],[管理番号]],名前リスト[[#All],[管理番号]:[氏名]],2,TRUE),"")</f>
        <v>いしだともみ</v>
      </c>
      <c r="C72" s="21" t="str">
        <f>IF(NOT(まとめ表_各店舗件数[[#This Row],[管理番号]]=""),VLOOKUP(まとめ表_各店舗件数[[#This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IF(NOT(まとめ表_各店舗件数[[#This Row],[管理番号]]=""),VLOOKUP(まとめ表_各店舗件数[[#This Row],[管理番号]],名前リスト[[#All],[管理番号]:[氏名]],2,TRUE),"")</f>
        <v>ひが</v>
      </c>
      <c r="C73" s="21" t="str">
        <f>IF(NOT(まとめ表_各店舗件数[[#This Row],[管理番号]]=""),VLOOKUP(まとめ表_各店舗件数[[#This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IF(NOT(まとめ表_各店舗件数[[#This Row],[管理番号]]=""),VLOOKUP(まとめ表_各店舗件数[[#This Row],[管理番号]],名前リスト[[#All],[管理番号]:[氏名]],2,TRUE),"")</f>
        <v>yuukuki</v>
      </c>
      <c r="C74" s="21" t="str">
        <f>IF(NOT(まとめ表_各店舗件数[[#This Row],[管理番号]]=""),VLOOKUP(まとめ表_各店舗件数[[#This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IF(NOT(まとめ表_各店舗件数[[#This Row],[管理番号]]=""),VLOOKUP(まとめ表_各店舗件数[[#This Row],[管理番号]],名前リスト[[#All],[管理番号]:[氏名]],2,TRUE),"")</f>
        <v>池田裕哉</v>
      </c>
      <c r="C75" s="21" t="str">
        <f>IF(NOT(まとめ表_各店舗件数[[#This Row],[管理番号]]=""),VLOOKUP(まとめ表_各店舗件数[[#This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IF(NOT(まとめ表_各店舗件数[[#This Row],[管理番号]]=""),VLOOKUP(まとめ表_各店舗件数[[#This Row],[管理番号]],名前リスト[[#All],[管理番号]:[氏名]],2,TRUE),"")</f>
        <v>辰己隆一郎</v>
      </c>
      <c r="C76" s="21" t="str">
        <f>IF(NOT(まとめ表_各店舗件数[[#This Row],[管理番号]]=""),VLOOKUP(まとめ表_各店舗件数[[#This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IF(NOT(まとめ表_各店舗件数[[#This Row],[管理番号]]=""),VLOOKUP(まとめ表_各店舗件数[[#This Row],[管理番号]],名前リスト[[#All],[管理番号]:[氏名]],2,TRUE),"")</f>
        <v>chihiro</v>
      </c>
      <c r="C77" s="21" t="str">
        <f>IF(NOT(まとめ表_各店舗件数[[#This Row],[管理番号]]=""),VLOOKUP(まとめ表_各店舗件数[[#This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IF(NOT(まとめ表_各店舗件数[[#This Row],[管理番号]]=""),VLOOKUP(まとめ表_各店舗件数[[#This Row],[管理番号]],名前リスト[[#All],[管理番号]:[氏名]],2,TRUE),"")</f>
        <v>キムラ</v>
      </c>
      <c r="C78" s="21" t="str">
        <f>IF(NOT(まとめ表_各店舗件数[[#This Row],[管理番号]]=""),VLOOKUP(まとめ表_各店舗件数[[#This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IF(NOT(まとめ表_各店舗件数[[#This Row],[管理番号]]=""),VLOOKUP(まとめ表_各店舗件数[[#This Row],[管理番号]],名前リスト[[#All],[管理番号]:[氏名]],2,TRUE),"")</f>
        <v>ゆうや</v>
      </c>
      <c r="C79" s="21" t="str">
        <f>IF(NOT(まとめ表_各店舗件数[[#This Row],[管理番号]]=""),VLOOKUP(まとめ表_各店舗件数[[#This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IF(NOT(まとめ表_各店舗件数[[#This Row],[管理番号]]=""),VLOOKUP(まとめ表_各店舗件数[[#This Row],[管理番号]],名前リスト[[#All],[管理番号]:[氏名]],2,TRUE),"")</f>
        <v>0</v>
      </c>
      <c r="C80" s="21">
        <f>IF(NOT(まとめ表_各店舗件数[[#This Row],[管理番号]]=""),VLOOKUP(まとめ表_各店舗件数[[#This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IF(NOT(まとめ表_各店舗件数[[#This Row],[管理番号]]=""),VLOOKUP(まとめ表_各店舗件数[[#This Row],[管理番号]],名前リスト[[#All],[管理番号]:[氏名]],2,TRUE),"")</f>
        <v>新宅玄基</v>
      </c>
      <c r="C81" s="21" t="str">
        <f>IF(NOT(まとめ表_各店舗件数[[#This Row],[管理番号]]=""),VLOOKUP(まとめ表_各店舗件数[[#This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IF(NOT(まとめ表_各店舗件数[[#This Row],[管理番号]]=""),VLOOKUP(まとめ表_各店舗件数[[#This Row],[管理番号]],名前リスト[[#All],[管理番号]:[氏名]],2,TRUE),"")</f>
        <v>岩崎ゆうや</v>
      </c>
      <c r="C82" s="21" t="str">
        <f>IF(NOT(まとめ表_各店舗件数[[#This Row],[管理番号]]=""),VLOOKUP(まとめ表_各店舗件数[[#This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IF(NOT(まとめ表_各店舗件数[[#This Row],[管理番号]]=""),VLOOKUP(まとめ表_各店舗件数[[#This Row],[管理番号]],名前リスト[[#All],[管理番号]:[氏名]],2,TRUE),"")</f>
        <v>ウエノリュウセイ</v>
      </c>
      <c r="C83" s="21" t="str">
        <f>IF(NOT(まとめ表_各店舗件数[[#This Row],[管理番号]]=""),VLOOKUP(まとめ表_各店舗件数[[#This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IF(NOT(まとめ表_各店舗件数[[#This Row],[管理番号]]=""),VLOOKUP(まとめ表_各店舗件数[[#This Row],[管理番号]],名前リスト[[#All],[管理番号]:[氏名]],2,TRUE),"")</f>
        <v>なるちさん</v>
      </c>
      <c r="C84" s="21" t="str">
        <f>IF(NOT(まとめ表_各店舗件数[[#This Row],[管理番号]]=""),VLOOKUP(まとめ表_各店舗件数[[#This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IF(NOT(まとめ表_各店舗件数[[#This Row],[管理番号]]=""),VLOOKUP(まとめ表_各店舗件数[[#This Row],[管理番号]],名前リスト[[#All],[管理番号]:[氏名]],2,TRUE),"")</f>
        <v>アリックスさん</v>
      </c>
      <c r="C85" s="21" t="str">
        <f>IF(NOT(まとめ表_各店舗件数[[#This Row],[管理番号]]=""),VLOOKUP(まとめ表_各店舗件数[[#This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IF(NOT(まとめ表_各店舗件数[[#This Row],[管理番号]]=""),VLOOKUP(まとめ表_各店舗件数[[#This Row],[管理番号]],名前リスト[[#All],[管理番号]:[氏名]],2,TRUE),"")</f>
        <v>のぞみ</v>
      </c>
      <c r="C86" s="21" t="str">
        <f>IF(NOT(まとめ表_各店舗件数[[#This Row],[管理番号]]=""),VLOOKUP(まとめ表_各店舗件数[[#This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IF(NOT(まとめ表_各店舗件数[[#This Row],[管理番号]]=""),VLOOKUP(まとめ表_各店舗件数[[#This Row],[管理番号]],名前リスト[[#All],[管理番号]:[氏名]],2,TRUE),"")</f>
        <v>おっかー</v>
      </c>
      <c r="C87" s="21" t="str">
        <f>IF(NOT(まとめ表_各店舗件数[[#This Row],[管理番号]]=""),VLOOKUP(まとめ表_各店舗件数[[#This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IF(NOT(まとめ表_各店舗件数[[#This Row],[管理番号]]=""),VLOOKUP(まとめ表_各店舗件数[[#This Row],[管理番号]],名前リスト[[#All],[管理番号]:[氏名]],2,TRUE),"")</f>
        <v>金崎竜</v>
      </c>
      <c r="C88" s="21" t="str">
        <f>IF(NOT(まとめ表_各店舗件数[[#This Row],[管理番号]]=""),VLOOKUP(まとめ表_各店舗件数[[#This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IF(NOT(まとめ表_各店舗件数[[#This Row],[管理番号]]=""),VLOOKUP(まとめ表_各店舗件数[[#This Row],[管理番号]],名前リスト[[#All],[管理番号]:[氏名]],2,TRUE),"")</f>
        <v>井上将吾</v>
      </c>
      <c r="C89" s="21" t="str">
        <f>IF(NOT(まとめ表_各店舗件数[[#This Row],[管理番号]]=""),VLOOKUP(まとめ表_各店舗件数[[#This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IF(NOT(まとめ表_各店舗件数[[#This Row],[管理番号]]=""),VLOOKUP(まとめ表_各店舗件数[[#This Row],[管理番号]],名前リスト[[#All],[管理番号]:[氏名]],2,TRUE),"")</f>
        <v>押川</v>
      </c>
      <c r="C90" s="21" t="str">
        <f>IF(NOT(まとめ表_各店舗件数[[#This Row],[管理番号]]=""),VLOOKUP(まとめ表_各店舗件数[[#This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IF(NOT(まとめ表_各店舗件数[[#This Row],[管理番号]]=""),VLOOKUP(まとめ表_各店舗件数[[#This Row],[管理番号]],名前リスト[[#All],[管理番号]:[氏名]],2,TRUE),"")</f>
        <v>ともや</v>
      </c>
      <c r="C91" s="21" t="str">
        <f>IF(NOT(まとめ表_各店舗件数[[#This Row],[管理番号]]=""),VLOOKUP(まとめ表_各店舗件数[[#This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IF(NOT(まとめ表_各店舗件数[[#This Row],[管理番号]]=""),VLOOKUP(まとめ表_各店舗件数[[#This Row],[管理番号]],名前リスト[[#All],[管理番号]:[氏名]],2,TRUE),"")</f>
        <v>日下勝</v>
      </c>
      <c r="C92" s="21" t="str">
        <f>IF(NOT(まとめ表_各店舗件数[[#This Row],[管理番号]]=""),VLOOKUP(まとめ表_各店舗件数[[#This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IF(NOT(まとめ表_各店舗件数[[#This Row],[管理番号]]=""),VLOOKUP(まとめ表_各店舗件数[[#This Row],[管理番号]],名前リスト[[#All],[管理番号]:[氏名]],2,TRUE),"")</f>
        <v>谷田雄哉</v>
      </c>
      <c r="C93" s="21" t="str">
        <f>IF(NOT(まとめ表_各店舗件数[[#This Row],[管理番号]]=""),VLOOKUP(まとめ表_各店舗件数[[#This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IF(NOT(まとめ表_各店舗件数[[#This Row],[管理番号]]=""),VLOOKUP(まとめ表_各店舗件数[[#This Row],[管理番号]],名前リスト[[#All],[管理番号]:[氏名]],2,TRUE),"")</f>
        <v>まっすー</v>
      </c>
      <c r="C94" s="21" t="str">
        <f>IF(NOT(まとめ表_各店舗件数[[#This Row],[管理番号]]=""),VLOOKUP(まとめ表_各店舗件数[[#This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IF(NOT(まとめ表_各店舗件数[[#This Row],[管理番号]]=""),VLOOKUP(まとめ表_各店舗件数[[#This Row],[管理番号]],名前リスト[[#All],[管理番号]:[氏名]],2,TRUE),"")</f>
        <v>いつき</v>
      </c>
      <c r="C95" s="21" t="str">
        <f>IF(NOT(まとめ表_各店舗件数[[#This Row],[管理番号]]=""),VLOOKUP(まとめ表_各店舗件数[[#This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IF(NOT(まとめ表_各店舗件数[[#This Row],[管理番号]]=""),VLOOKUP(まとめ表_各店舗件数[[#This Row],[管理番号]],名前リスト[[#All],[管理番号]:[氏名]],2,TRUE),"")</f>
        <v>中野さん</v>
      </c>
      <c r="C96" s="21" t="str">
        <f>IF(NOT(まとめ表_各店舗件数[[#This Row],[管理番号]]=""),VLOOKUP(まとめ表_各店舗件数[[#This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IF(NOT(まとめ表_各店舗件数[[#This Row],[管理番号]]=""),VLOOKUP(まとめ表_各店舗件数[[#This Row],[管理番号]],名前リスト[[#All],[管理番号]:[氏名]],2,TRUE),"")</f>
        <v>森田健太郎</v>
      </c>
      <c r="C97" s="21" t="str">
        <f>IF(NOT(まとめ表_各店舗件数[[#This Row],[管理番号]]=""),VLOOKUP(まとめ表_各店舗件数[[#This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IF(NOT(まとめ表_各店舗件数[[#This Row],[管理番号]]=""),VLOOKUP(まとめ表_各店舗件数[[#This Row],[管理番号]],名前リスト[[#All],[管理番号]:[氏名]],2,TRUE),"")</f>
        <v>モリヤコウキ</v>
      </c>
      <c r="C98" s="21" t="str">
        <f>IF(NOT(まとめ表_各店舗件数[[#This Row],[管理番号]]=""),VLOOKUP(まとめ表_各店舗件数[[#This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IF(NOT(まとめ表_各店舗件数[[#This Row],[管理番号]]=""),VLOOKUP(まとめ表_各店舗件数[[#This Row],[管理番号]],名前リスト[[#All],[管理番号]:[氏名]],2,TRUE),"")</f>
        <v>佐藤　諄治</v>
      </c>
      <c r="C99" s="21" t="str">
        <f>IF(NOT(まとめ表_各店舗件数[[#This Row],[管理番号]]=""),VLOOKUP(まとめ表_各店舗件数[[#This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IF(NOT(まとめ表_各店舗件数[[#This Row],[管理番号]]=""),VLOOKUP(まとめ表_各店舗件数[[#This Row],[管理番号]],名前リスト[[#All],[管理番号]:[氏名]],2,TRUE),"")</f>
        <v>平岡京</v>
      </c>
      <c r="C100" s="21" t="str">
        <f>IF(NOT(まとめ表_各店舗件数[[#This Row],[管理番号]]=""),VLOOKUP(まとめ表_各店舗件数[[#This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IF(NOT(まとめ表_各店舗件数[[#This Row],[管理番号]]=""),VLOOKUP(まとめ表_各店舗件数[[#This Row],[管理番号]],名前リスト[[#All],[管理番号]:[氏名]],2,TRUE),"")</f>
        <v>浅田翔平</v>
      </c>
      <c r="C101" s="21" t="str">
        <f>IF(NOT(まとめ表_各店舗件数[[#This Row],[管理番号]]=""),VLOOKUP(まとめ表_各店舗件数[[#This Row],[管理番号]],名前リスト[[#All],[管理番号]:[氏名]],3,TRUE),"")</f>
        <v>浅田翔平</v>
      </c>
      <c r="D101" s="79" t="str">
        <f t="shared" ref="D101:D164" si="2">IF(SUM(E101:XFD101)=0,"",SUM(E101:XFD101))</f>
        <v/>
      </c>
      <c r="E1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IF(NOT(まとめ表_各店舗件数[[#This Row],[管理番号]]=""),VLOOKUP(まとめ表_各店舗件数[[#This Row],[管理番号]],名前リスト[[#All],[管理番号]:[氏名]],2,TRUE),"")</f>
        <v>ヒガシモト　ヨウヘイ</v>
      </c>
      <c r="C102" s="21" t="str">
        <f>IF(NOT(まとめ表_各店舗件数[[#This Row],[管理番号]]=""),VLOOKUP(まとめ表_各店舗件数[[#This Row],[管理番号]],名前リスト[[#All],[管理番号]:[氏名]],3,TRUE),"")</f>
        <v>ヒガシモト　ヨウヘイ</v>
      </c>
      <c r="D102" s="79" t="str">
        <f t="shared" si="2"/>
        <v/>
      </c>
      <c r="E1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IF(NOT(まとめ表_各店舗件数[[#This Row],[管理番号]]=""),VLOOKUP(まとめ表_各店舗件数[[#This Row],[管理番号]],名前リスト[[#All],[管理番号]:[氏名]],2,TRUE),"")</f>
        <v>田中隼平</v>
      </c>
      <c r="C103" s="21" t="str">
        <f>IF(NOT(まとめ表_各店舗件数[[#This Row],[管理番号]]=""),VLOOKUP(まとめ表_各店舗件数[[#This Row],[管理番号]],名前リスト[[#All],[管理番号]:[氏名]],3,TRUE),"")</f>
        <v>田中隼平</v>
      </c>
      <c r="D103" s="79" t="str">
        <f t="shared" si="2"/>
        <v/>
      </c>
      <c r="E1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IF(NOT(まとめ表_各店舗件数[[#This Row],[管理番号]]=""),VLOOKUP(まとめ表_各店舗件数[[#This Row],[管理番号]],名前リスト[[#All],[管理番号]:[氏名]],2,TRUE),"")</f>
        <v>南よしき</v>
      </c>
      <c r="C104" s="21" t="str">
        <f>IF(NOT(まとめ表_各店舗件数[[#This Row],[管理番号]]=""),VLOOKUP(まとめ表_各店舗件数[[#This Row],[管理番号]],名前リスト[[#All],[管理番号]:[氏名]],3,TRUE),"")</f>
        <v>南よしき</v>
      </c>
      <c r="D104" s="79" t="str">
        <f t="shared" si="2"/>
        <v/>
      </c>
      <c r="E1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IF(NOT(まとめ表_各店舗件数[[#This Row],[管理番号]]=""),VLOOKUP(まとめ表_各店舗件数[[#This Row],[管理番号]],名前リスト[[#All],[管理番号]:[氏名]],2,TRUE),"")</f>
        <v>足立たけまさ</v>
      </c>
      <c r="C105" s="21" t="str">
        <f>IF(NOT(まとめ表_各店舗件数[[#This Row],[管理番号]]=""),VLOOKUP(まとめ表_各店舗件数[[#This Row],[管理番号]],名前リスト[[#All],[管理番号]:[氏名]],3,TRUE),"")</f>
        <v>足立たけまさ</v>
      </c>
      <c r="D105" s="79" t="str">
        <f t="shared" si="2"/>
        <v/>
      </c>
      <c r="E10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IF(NOT(まとめ表_各店舗件数[[#This Row],[管理番号]]=""),VLOOKUP(まとめ表_各店舗件数[[#This Row],[管理番号]],名前リスト[[#All],[管理番号]:[氏名]],2,TRUE),"")</f>
        <v>高橋けいご</v>
      </c>
      <c r="C106" s="21" t="str">
        <f>IF(NOT(まとめ表_各店舗件数[[#This Row],[管理番号]]=""),VLOOKUP(まとめ表_各店舗件数[[#This Row],[管理番号]],名前リスト[[#All],[管理番号]:[氏名]],3,TRUE),"")</f>
        <v>高橋けいご</v>
      </c>
      <c r="D106" s="79" t="str">
        <f t="shared" si="2"/>
        <v/>
      </c>
      <c r="E10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IF(NOT(まとめ表_各店舗件数[[#This Row],[管理番号]]=""),VLOOKUP(まとめ表_各店舗件数[[#This Row],[管理番号]],名前リスト[[#All],[管理番号]:[氏名]],2,TRUE),"")</f>
        <v>やまなこうすけ</v>
      </c>
      <c r="C107" s="21" t="str">
        <f>IF(NOT(まとめ表_各店舗件数[[#This Row],[管理番号]]=""),VLOOKUP(まとめ表_各店舗件数[[#This Row],[管理番号]],名前リスト[[#All],[管理番号]:[氏名]],3,TRUE),"")</f>
        <v>やまなこうすけ</v>
      </c>
      <c r="D107" s="79" t="str">
        <f t="shared" si="2"/>
        <v/>
      </c>
      <c r="E10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IF(NOT(まとめ表_各店舗件数[[#This Row],[管理番号]]=""),VLOOKUP(まとめ表_各店舗件数[[#This Row],[管理番号]],名前リスト[[#All],[管理番号]:[氏名]],2,TRUE),"")</f>
        <v>みなみりょうすけ</v>
      </c>
      <c r="C108" s="21" t="str">
        <f>IF(NOT(まとめ表_各店舗件数[[#This Row],[管理番号]]=""),VLOOKUP(まとめ表_各店舗件数[[#This Row],[管理番号]],名前リスト[[#All],[管理番号]:[氏名]],3,TRUE),"")</f>
        <v>みなみりょうすけ</v>
      </c>
      <c r="D108" s="79" t="str">
        <f t="shared" si="2"/>
        <v/>
      </c>
      <c r="E10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IF(NOT(まとめ表_各店舗件数[[#This Row],[管理番号]]=""),VLOOKUP(まとめ表_各店舗件数[[#This Row],[管理番号]],名前リスト[[#All],[管理番号]:[氏名]],2,TRUE),"")</f>
        <v>よしのりゆうすけ</v>
      </c>
      <c r="C109" s="21" t="str">
        <f>IF(NOT(まとめ表_各店舗件数[[#This Row],[管理番号]]=""),VLOOKUP(まとめ表_各店舗件数[[#This Row],[管理番号]],名前リスト[[#All],[管理番号]:[氏名]],3,TRUE),"")</f>
        <v>よしのりゆうすけ</v>
      </c>
      <c r="D109" s="79" t="str">
        <f t="shared" si="2"/>
        <v/>
      </c>
      <c r="E10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0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0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0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0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0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0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0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0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0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0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0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0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0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0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0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0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0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0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0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0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IF(NOT(まとめ表_各店舗件数[[#This Row],[管理番号]]=""),VLOOKUP(まとめ表_各店舗件数[[#This Row],[管理番号]],名前リスト[[#All],[管理番号]:[氏名]],2,TRUE),"")</f>
        <v>たけもとゆうき</v>
      </c>
      <c r="C110" s="21" t="str">
        <f>IF(NOT(まとめ表_各店舗件数[[#This Row],[管理番号]]=""),VLOOKUP(まとめ表_各店舗件数[[#This Row],[管理番号]],名前リスト[[#All],[管理番号]:[氏名]],3,TRUE),"")</f>
        <v>たけもとゆうき</v>
      </c>
      <c r="D110" s="79" t="str">
        <f t="shared" si="2"/>
        <v/>
      </c>
      <c r="E11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IF(NOT(まとめ表_各店舗件数[[#This Row],[管理番号]]=""),VLOOKUP(まとめ表_各店舗件数[[#This Row],[管理番号]],名前リスト[[#All],[管理番号]:[氏名]],2,TRUE),"")</f>
        <v>たけむらゆうき</v>
      </c>
      <c r="C111" s="21" t="str">
        <f>IF(NOT(まとめ表_各店舗件数[[#This Row],[管理番号]]=""),VLOOKUP(まとめ表_各店舗件数[[#This Row],[管理番号]],名前リスト[[#All],[管理番号]:[氏名]],3,TRUE),"")</f>
        <v>たけむらゆうき</v>
      </c>
      <c r="D111" s="79" t="str">
        <f t="shared" si="2"/>
        <v/>
      </c>
      <c r="E11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IF(NOT(まとめ表_各店舗件数[[#This Row],[管理番号]]=""),VLOOKUP(まとめ表_各店舗件数[[#This Row],[管理番号]],名前リスト[[#All],[管理番号]:[氏名]],2,TRUE),"")</f>
        <v>こうのけんと</v>
      </c>
      <c r="C112" s="21" t="str">
        <f>IF(NOT(まとめ表_各店舗件数[[#This Row],[管理番号]]=""),VLOOKUP(まとめ表_各店舗件数[[#This Row],[管理番号]],名前リスト[[#All],[管理番号]:[氏名]],3,TRUE),"")</f>
        <v>こうのけんと</v>
      </c>
      <c r="D112" s="79" t="str">
        <f t="shared" si="2"/>
        <v/>
      </c>
      <c r="E11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IF(NOT(まとめ表_各店舗件数[[#This Row],[管理番号]]=""),VLOOKUP(まとめ表_各店舗件数[[#This Row],[管理番号]],名前リスト[[#All],[管理番号]:[氏名]],2,TRUE),"")</f>
        <v>はやしたつき</v>
      </c>
      <c r="C113" s="21" t="str">
        <f>IF(NOT(まとめ表_各店舗件数[[#This Row],[管理番号]]=""),VLOOKUP(まとめ表_各店舗件数[[#This Row],[管理番号]],名前リスト[[#All],[管理番号]:[氏名]],3,TRUE),"")</f>
        <v>はやしたつき</v>
      </c>
      <c r="D113" s="79" t="str">
        <f t="shared" si="2"/>
        <v/>
      </c>
      <c r="E11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IF(NOT(まとめ表_各店舗件数[[#This Row],[管理番号]]=""),VLOOKUP(まとめ表_各店舗件数[[#This Row],[管理番号]],名前リスト[[#All],[管理番号]:[氏名]],2,TRUE),"")</f>
        <v>たさかこうき</v>
      </c>
      <c r="C114" s="21" t="str">
        <f>IF(NOT(まとめ表_各店舗件数[[#This Row],[管理番号]]=""),VLOOKUP(まとめ表_各店舗件数[[#This Row],[管理番号]],名前リスト[[#All],[管理番号]:[氏名]],3,TRUE),"")</f>
        <v>たさかこうき</v>
      </c>
      <c r="D114" s="79" t="str">
        <f t="shared" si="2"/>
        <v/>
      </c>
      <c r="E11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IF(NOT(まとめ表_各店舗件数[[#This Row],[管理番号]]=""),VLOOKUP(まとめ表_各店舗件数[[#This Row],[管理番号]],名前リスト[[#All],[管理番号]:[氏名]],2,TRUE),"")</f>
        <v>あらきさん</v>
      </c>
      <c r="C115" s="21" t="str">
        <f>IF(NOT(まとめ表_各店舗件数[[#This Row],[管理番号]]=""),VLOOKUP(まとめ表_各店舗件数[[#This Row],[管理番号]],名前リスト[[#All],[管理番号]:[氏名]],3,TRUE),"")</f>
        <v>あらきさん</v>
      </c>
      <c r="D115" s="79" t="str">
        <f t="shared" si="2"/>
        <v/>
      </c>
      <c r="E11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IF(NOT(まとめ表_各店舗件数[[#This Row],[管理番号]]=""),VLOOKUP(まとめ表_各店舗件数[[#This Row],[管理番号]],名前リスト[[#All],[管理番号]:[氏名]],2,TRUE),"")</f>
        <v>オカダさん</v>
      </c>
      <c r="C116" s="21" t="str">
        <f>IF(NOT(まとめ表_各店舗件数[[#This Row],[管理番号]]=""),VLOOKUP(まとめ表_各店舗件数[[#This Row],[管理番号]],名前リスト[[#All],[管理番号]:[氏名]],3,TRUE),"")</f>
        <v>オカダさん</v>
      </c>
      <c r="D116" s="79" t="str">
        <f t="shared" si="2"/>
        <v/>
      </c>
      <c r="E11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IF(NOT(まとめ表_各店舗件数[[#This Row],[管理番号]]=""),VLOOKUP(まとめ表_各店舗件数[[#This Row],[管理番号]],名前リスト[[#All],[管理番号]:[氏名]],2,TRUE),"")</f>
        <v>池田　大輝</v>
      </c>
      <c r="C117" s="21" t="str">
        <f>IF(NOT(まとめ表_各店舗件数[[#This Row],[管理番号]]=""),VLOOKUP(まとめ表_各店舗件数[[#This Row],[管理番号]],名前リスト[[#All],[管理番号]:[氏名]],3,TRUE),"")</f>
        <v>池田　大輝</v>
      </c>
      <c r="D117" s="79" t="str">
        <f t="shared" si="2"/>
        <v/>
      </c>
      <c r="E11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IF(NOT(まとめ表_各店舗件数[[#This Row],[管理番号]]=""),VLOOKUP(まとめ表_各店舗件数[[#This Row],[管理番号]],名前リスト[[#All],[管理番号]:[氏名]],2,TRUE),"")</f>
        <v>ジンエロン</v>
      </c>
      <c r="C118" s="21" t="str">
        <f>IF(NOT(まとめ表_各店舗件数[[#This Row],[管理番号]]=""),VLOOKUP(まとめ表_各店舗件数[[#This Row],[管理番号]],名前リスト[[#All],[管理番号]:[氏名]],3,TRUE),"")</f>
        <v>ジンエロン</v>
      </c>
      <c r="D118" s="79" t="str">
        <f t="shared" si="2"/>
        <v/>
      </c>
      <c r="E11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IF(NOT(まとめ表_各店舗件数[[#This Row],[管理番号]]=""),VLOOKUP(まとめ表_各店舗件数[[#This Row],[管理番号]],名前リスト[[#All],[管理番号]:[氏名]],2,TRUE),"")</f>
        <v>フクモトヨシキ</v>
      </c>
      <c r="C119" s="21" t="str">
        <f>IF(NOT(まとめ表_各店舗件数[[#This Row],[管理番号]]=""),VLOOKUP(まとめ表_各店舗件数[[#This Row],[管理番号]],名前リスト[[#All],[管理番号]:[氏名]],3,TRUE),"")</f>
        <v>フクモトヨシキ</v>
      </c>
      <c r="D119" s="79" t="str">
        <f t="shared" si="2"/>
        <v/>
      </c>
      <c r="E11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1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1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1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1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1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1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1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1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1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1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1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1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1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1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1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1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1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1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1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1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IF(NOT(まとめ表_各店舗件数[[#This Row],[管理番号]]=""),VLOOKUP(まとめ表_各店舗件数[[#This Row],[管理番号]],名前リスト[[#All],[管理番号]:[氏名]],2,TRUE),"")</f>
        <v>ヒノハラシン</v>
      </c>
      <c r="C120" s="21" t="str">
        <f>IF(NOT(まとめ表_各店舗件数[[#This Row],[管理番号]]=""),VLOOKUP(まとめ表_各店舗件数[[#This Row],[管理番号]],名前リスト[[#All],[管理番号]:[氏名]],3,TRUE),"")</f>
        <v>ヒノハラシン</v>
      </c>
      <c r="D120" s="79" t="str">
        <f t="shared" si="2"/>
        <v/>
      </c>
      <c r="E12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IF(NOT(まとめ表_各店舗件数[[#This Row],[管理番号]]=""),VLOOKUP(まとめ表_各店舗件数[[#This Row],[管理番号]],名前リスト[[#All],[管理番号]:[氏名]],2,TRUE),"")</f>
        <v>ヤマシタ セイナ</v>
      </c>
      <c r="C121" s="21" t="str">
        <f>IF(NOT(まとめ表_各店舗件数[[#This Row],[管理番号]]=""),VLOOKUP(まとめ表_各店舗件数[[#This Row],[管理番号]],名前リスト[[#All],[管理番号]:[氏名]],3,TRUE),"")</f>
        <v>ヤマシタ セイナ</v>
      </c>
      <c r="D121" s="79" t="str">
        <f t="shared" si="2"/>
        <v/>
      </c>
      <c r="E12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IF(NOT(まとめ表_各店舗件数[[#This Row],[管理番号]]=""),VLOOKUP(まとめ表_各店舗件数[[#This Row],[管理番号]],名前リスト[[#All],[管理番号]:[氏名]],2,TRUE),"")</f>
        <v>カミセ　タイキ</v>
      </c>
      <c r="C122" s="21" t="str">
        <f>IF(NOT(まとめ表_各店舗件数[[#This Row],[管理番号]]=""),VLOOKUP(まとめ表_各店舗件数[[#This Row],[管理番号]],名前リスト[[#All],[管理番号]:[氏名]],3,TRUE),"")</f>
        <v>カミセ　タイキ</v>
      </c>
      <c r="D122" s="79" t="str">
        <f t="shared" si="2"/>
        <v/>
      </c>
      <c r="E12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IF(NOT(まとめ表_各店舗件数[[#This Row],[管理番号]]=""),VLOOKUP(まとめ表_各店舗件数[[#This Row],[管理番号]],名前リスト[[#All],[管理番号]:[氏名]],2,TRUE),"")</f>
        <v>オダ　マサト</v>
      </c>
      <c r="C123" s="21" t="str">
        <f>IF(NOT(まとめ表_各店舗件数[[#This Row],[管理番号]]=""),VLOOKUP(まとめ表_各店舗件数[[#This Row],[管理番号]],名前リスト[[#All],[管理番号]:[氏名]],3,TRUE),"")</f>
        <v>オダ　マサト</v>
      </c>
      <c r="D123" s="79" t="str">
        <f t="shared" si="2"/>
        <v/>
      </c>
      <c r="E12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IF(NOT(まとめ表_各店舗件数[[#This Row],[管理番号]]=""),VLOOKUP(まとめ表_各店舗件数[[#This Row],[管理番号]],名前リスト[[#All],[管理番号]:[氏名]],2,TRUE),"")</f>
        <v>タナカ　タカヒロ</v>
      </c>
      <c r="C124" s="21" t="str">
        <f>IF(NOT(まとめ表_各店舗件数[[#This Row],[管理番号]]=""),VLOOKUP(まとめ表_各店舗件数[[#This Row],[管理番号]],名前リスト[[#All],[管理番号]:[氏名]],3,TRUE),"")</f>
        <v>タナカ　タカヒロ</v>
      </c>
      <c r="D124" s="79" t="str">
        <f t="shared" si="2"/>
        <v/>
      </c>
      <c r="E12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IF(NOT(まとめ表_各店舗件数[[#This Row],[管理番号]]=""),VLOOKUP(まとめ表_各店舗件数[[#This Row],[管理番号]],名前リスト[[#All],[管理番号]:[氏名]],2,TRUE),"")</f>
        <v>キタムラ　テッペイ</v>
      </c>
      <c r="C125" s="21" t="str">
        <f>IF(NOT(まとめ表_各店舗件数[[#This Row],[管理番号]]=""),VLOOKUP(まとめ表_各店舗件数[[#This Row],[管理番号]],名前リスト[[#All],[管理番号]:[氏名]],3,TRUE),"")</f>
        <v>キタムラ　テッペイ</v>
      </c>
      <c r="D125" s="79" t="str">
        <f t="shared" si="2"/>
        <v/>
      </c>
      <c r="E12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IF(NOT(まとめ表_各店舗件数[[#This Row],[管理番号]]=""),VLOOKUP(まとめ表_各店舗件数[[#This Row],[管理番号]],名前リスト[[#All],[管理番号]:[氏名]],2,TRUE),"")</f>
        <v>カワシマ　トモヒロ</v>
      </c>
      <c r="C126" s="21" t="str">
        <f>IF(NOT(まとめ表_各店舗件数[[#This Row],[管理番号]]=""),VLOOKUP(まとめ表_各店舗件数[[#This Row],[管理番号]],名前リスト[[#All],[管理番号]:[氏名]],3,TRUE),"")</f>
        <v>カワシマ　トモヒロ</v>
      </c>
      <c r="D126" s="79" t="str">
        <f t="shared" si="2"/>
        <v/>
      </c>
      <c r="E12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IF(NOT(まとめ表_各店舗件数[[#This Row],[管理番号]]=""),VLOOKUP(まとめ表_各店舗件数[[#This Row],[管理番号]],名前リスト[[#All],[管理番号]:[氏名]],2,TRUE),"")</f>
        <v>ヤマモト　コウヘイ</v>
      </c>
      <c r="C127" s="21" t="str">
        <f>IF(NOT(まとめ表_各店舗件数[[#This Row],[管理番号]]=""),VLOOKUP(まとめ表_各店舗件数[[#This Row],[管理番号]],名前リスト[[#All],[管理番号]:[氏名]],3,TRUE),"")</f>
        <v>ヤマモト　コウヘイ</v>
      </c>
      <c r="D127" s="79">
        <f t="shared" si="2"/>
        <v>3</v>
      </c>
      <c r="E12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3</v>
      </c>
      <c r="N12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IF(NOT(まとめ表_各店舗件数[[#This Row],[管理番号]]=""),VLOOKUP(まとめ表_各店舗件数[[#This Row],[管理番号]],名前リスト[[#All],[管理番号]:[氏名]],2,TRUE),"")</f>
        <v>ヤマモト　イッセイ</v>
      </c>
      <c r="C128" s="21" t="str">
        <f>IF(NOT(まとめ表_各店舗件数[[#This Row],[管理番号]]=""),VLOOKUP(まとめ表_各店舗件数[[#This Row],[管理番号]],名前リスト[[#All],[管理番号]:[氏名]],3,TRUE),"")</f>
        <v>ヤマモト　イッセイ</v>
      </c>
      <c r="D128" s="79" t="str">
        <f t="shared" si="2"/>
        <v/>
      </c>
      <c r="E12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IF(NOT(まとめ表_各店舗件数[[#This Row],[管理番号]]=""),VLOOKUP(まとめ表_各店舗件数[[#This Row],[管理番号]],名前リスト[[#All],[管理番号]:[氏名]],2,TRUE),"")</f>
        <v>キタヤマ　リョウメイ</v>
      </c>
      <c r="C129" s="21" t="str">
        <f>IF(NOT(まとめ表_各店舗件数[[#This Row],[管理番号]]=""),VLOOKUP(まとめ表_各店舗件数[[#This Row],[管理番号]],名前リスト[[#All],[管理番号]:[氏名]],3,TRUE),"")</f>
        <v>キタヤマ　リョウメイ</v>
      </c>
      <c r="D129" s="79" t="str">
        <f t="shared" si="2"/>
        <v/>
      </c>
      <c r="E12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2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2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2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2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2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2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2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2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2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2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2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2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2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2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2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2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2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2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2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2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IF(NOT(まとめ表_各店舗件数[[#This Row],[管理番号]]=""),VLOOKUP(まとめ表_各店舗件数[[#This Row],[管理番号]],名前リスト[[#All],[管理番号]:[氏名]],2,TRUE),"")</f>
        <v>シオミ　ヒナコ</v>
      </c>
      <c r="C130" s="21" t="str">
        <f>IF(NOT(まとめ表_各店舗件数[[#This Row],[管理番号]]=""),VLOOKUP(まとめ表_各店舗件数[[#This Row],[管理番号]],名前リスト[[#All],[管理番号]:[氏名]],3,TRUE),"")</f>
        <v>シオミ　ヒナコ</v>
      </c>
      <c r="D130" s="79" t="str">
        <f t="shared" si="2"/>
        <v/>
      </c>
      <c r="E13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IF(NOT(まとめ表_各店舗件数[[#This Row],[管理番号]]=""),VLOOKUP(まとめ表_各店舗件数[[#This Row],[管理番号]],名前リスト[[#All],[管理番号]:[氏名]],2,TRUE),"")</f>
        <v>ニシヤマ　ヒロタカ</v>
      </c>
      <c r="C131" s="21" t="str">
        <f>IF(NOT(まとめ表_各店舗件数[[#This Row],[管理番号]]=""),VLOOKUP(まとめ表_各店舗件数[[#This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IF(NOT(まとめ表_各店舗件数[[#This Row],[管理番号]]=""),VLOOKUP(まとめ表_各店舗件数[[#This Row],[管理番号]],名前リスト[[#All],[管理番号]:[氏名]],2,TRUE),"")</f>
        <v>ヤマグチ　マサキ</v>
      </c>
      <c r="C132" s="21" t="str">
        <f>IF(NOT(まとめ表_各店舗件数[[#This Row],[管理番号]]=""),VLOOKUP(まとめ表_各店舗件数[[#This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IF(NOT(まとめ表_各店舗件数[[#This Row],[管理番号]]=""),VLOOKUP(まとめ表_各店舗件数[[#This Row],[管理番号]],名前リスト[[#All],[管理番号]:[氏名]],2,TRUE),"")</f>
        <v>ジンノ　ナナト</v>
      </c>
      <c r="C133" s="21" t="str">
        <f>IF(NOT(まとめ表_各店舗件数[[#This Row],[管理番号]]=""),VLOOKUP(まとめ表_各店舗件数[[#This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IF(NOT(まとめ表_各店舗件数[[#This Row],[管理番号]]=""),VLOOKUP(まとめ表_各店舗件数[[#This Row],[管理番号]],名前リスト[[#All],[管理番号]:[氏名]],2,TRUE),"")</f>
        <v>アメヤマ　タツヤ</v>
      </c>
      <c r="C134" s="21" t="str">
        <f>IF(NOT(まとめ表_各店舗件数[[#This Row],[管理番号]]=""),VLOOKUP(まとめ表_各店舗件数[[#This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IF(NOT(まとめ表_各店舗件数[[#This Row],[管理番号]]=""),VLOOKUP(まとめ表_各店舗件数[[#This Row],[管理番号]],名前リスト[[#All],[管理番号]:[氏名]],2,TRUE),"")</f>
        <v>タメス　トモアキ</v>
      </c>
      <c r="C135" s="21" t="str">
        <f>IF(NOT(まとめ表_各店舗件数[[#This Row],[管理番号]]=""),VLOOKUP(まとめ表_各店舗件数[[#This Row],[管理番号]],名前リスト[[#All],[管理番号]:[氏名]],3,TRUE),"")</f>
        <v>タメス　トモアキ</v>
      </c>
      <c r="D135" s="79">
        <f t="shared" si="2"/>
        <v>1</v>
      </c>
      <c r="E13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13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IF(NOT(まとめ表_各店舗件数[[#This Row],[管理番号]]=""),VLOOKUP(まとめ表_各店舗件数[[#This Row],[管理番号]],名前リスト[[#All],[管理番号]:[氏名]],2,TRUE),"")</f>
        <v>イマナカ　ショウヤ</v>
      </c>
      <c r="C136" s="21" t="str">
        <f>IF(NOT(まとめ表_各店舗件数[[#This Row],[管理番号]]=""),VLOOKUP(まとめ表_各店舗件数[[#This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IF(NOT(まとめ表_各店舗件数[[#This Row],[管理番号]]=""),VLOOKUP(まとめ表_各店舗件数[[#This Row],[管理番号]],名前リスト[[#All],[管理番号]:[氏名]],2,TRUE),"")</f>
        <v>マスモリ　サヤカ</v>
      </c>
      <c r="C137" s="21" t="str">
        <f>IF(NOT(まとめ表_各店舗件数[[#This Row],[管理番号]]=""),VLOOKUP(まとめ表_各店舗件数[[#This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IF(NOT(まとめ表_各店舗件数[[#This Row],[管理番号]]=""),VLOOKUP(まとめ表_各店舗件数[[#This Row],[管理番号]],名前リスト[[#All],[管理番号]:[氏名]],2,TRUE),"")</f>
        <v>ワタナベ　コウセイ</v>
      </c>
      <c r="C138" s="21" t="str">
        <f>IF(NOT(まとめ表_各店舗件数[[#This Row],[管理番号]]=""),VLOOKUP(まとめ表_各店舗件数[[#This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IF(NOT(まとめ表_各店舗件数[[#This Row],[管理番号]]=""),VLOOKUP(まとめ表_各店舗件数[[#This Row],[管理番号]],名前リスト[[#All],[管理番号]:[氏名]],2,TRUE),"")</f>
        <v>クボ　ミユキ</v>
      </c>
      <c r="C139" s="21" t="str">
        <f>IF(NOT(まとめ表_各店舗件数[[#This Row],[管理番号]]=""),VLOOKUP(まとめ表_各店舗件数[[#This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3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3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3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3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3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3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3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3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3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3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3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3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3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3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3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3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3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3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3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3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IF(NOT(まとめ表_各店舗件数[[#This Row],[管理番号]]=""),VLOOKUP(まとめ表_各店舗件数[[#This Row],[管理番号]],名前リスト[[#All],[管理番号]:[氏名]],2,TRUE),"")</f>
        <v>マツダ　コウタ</v>
      </c>
      <c r="C140" s="21" t="str">
        <f>IF(NOT(まとめ表_各店舗件数[[#This Row],[管理番号]]=""),VLOOKUP(まとめ表_各店舗件数[[#This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IF(NOT(まとめ表_各店舗件数[[#This Row],[管理番号]]=""),VLOOKUP(まとめ表_各店舗件数[[#This Row],[管理番号]],名前リスト[[#All],[管理番号]:[氏名]],2,TRUE),"")</f>
        <v>マルオ　ショウジ</v>
      </c>
      <c r="C141" s="21" t="str">
        <f>IF(NOT(まとめ表_各店舗件数[[#This Row],[管理番号]]=""),VLOOKUP(まとめ表_各店舗件数[[#This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IF(NOT(まとめ表_各店舗件数[[#This Row],[管理番号]]=""),VLOOKUP(まとめ表_各店舗件数[[#This Row],[管理番号]],名前リスト[[#All],[管理番号]:[氏名]],2,TRUE),"")</f>
        <v>ユキ　ダイキ</v>
      </c>
      <c r="C142" s="21" t="str">
        <f>IF(NOT(まとめ表_各店舗件数[[#This Row],[管理番号]]=""),VLOOKUP(まとめ表_各店舗件数[[#This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IF(NOT(まとめ表_各店舗件数[[#This Row],[管理番号]]=""),VLOOKUP(まとめ表_各店舗件数[[#This Row],[管理番号]],名前リスト[[#All],[管理番号]:[氏名]],2,TRUE),"")</f>
        <v>タニグチ ヒロキ</v>
      </c>
      <c r="C143" s="21" t="str">
        <f>IF(NOT(まとめ表_各店舗件数[[#This Row],[管理番号]]=""),VLOOKUP(まとめ表_各店舗件数[[#This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IF(NOT(まとめ表_各店舗件数[[#This Row],[管理番号]]=""),VLOOKUP(まとめ表_各店舗件数[[#This Row],[管理番号]],名前リスト[[#All],[管理番号]:[氏名]],2,TRUE),"")</f>
        <v>カマイ　ユウスケ</v>
      </c>
      <c r="C144" s="21" t="str">
        <f>IF(NOT(まとめ表_各店舗件数[[#This Row],[管理番号]]=""),VLOOKUP(まとめ表_各店舗件数[[#This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IF(NOT(まとめ表_各店舗件数[[#This Row],[管理番号]]=""),VLOOKUP(まとめ表_各店舗件数[[#This Row],[管理番号]],名前リスト[[#All],[管理番号]:[氏名]],2,TRUE),"")</f>
        <v>ゴトウ　タケト</v>
      </c>
      <c r="C145" s="21" t="str">
        <f>IF(NOT(まとめ表_各店舗件数[[#This Row],[管理番号]]=""),VLOOKUP(まとめ表_各店舗件数[[#This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IF(NOT(まとめ表_各店舗件数[[#This Row],[管理番号]]=""),VLOOKUP(まとめ表_各店舗件数[[#This Row],[管理番号]],名前リスト[[#All],[管理番号]:[氏名]],2,TRUE),"")</f>
        <v>サイトウ　マサト</v>
      </c>
      <c r="C146" s="21" t="str">
        <f>IF(NOT(まとめ表_各店舗件数[[#This Row],[管理番号]]=""),VLOOKUP(まとめ表_各店舗件数[[#This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IF(NOT(まとめ表_各店舗件数[[#This Row],[管理番号]]=""),VLOOKUP(まとめ表_各店舗件数[[#This Row],[管理番号]],名前リスト[[#All],[管理番号]:[氏名]],2,TRUE),"")</f>
        <v>アズマ　リクト</v>
      </c>
      <c r="C147" s="21" t="str">
        <f>IF(NOT(まとめ表_各店舗件数[[#This Row],[管理番号]]=""),VLOOKUP(まとめ表_各店舗件数[[#This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IF(NOT(まとめ表_各店舗件数[[#This Row],[管理番号]]=""),VLOOKUP(まとめ表_各店舗件数[[#This Row],[管理番号]],名前リスト[[#All],[管理番号]:[氏名]],2,TRUE),"")</f>
        <v>ハナイ ショウゴ</v>
      </c>
      <c r="C148" s="21" t="str">
        <f>IF(NOT(まとめ表_各店舗件数[[#This Row],[管理番号]]=""),VLOOKUP(まとめ表_各店舗件数[[#This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IF(NOT(まとめ表_各店舗件数[[#This Row],[管理番号]]=""),VLOOKUP(まとめ表_各店舗件数[[#This Row],[管理番号]],名前リスト[[#All],[管理番号]:[氏名]],2,TRUE),"")</f>
        <v>ウオズミ　ソウイチロウ</v>
      </c>
      <c r="C149" s="21" t="str">
        <f>IF(NOT(まとめ表_各店舗件数[[#This Row],[管理番号]]=""),VLOOKUP(まとめ表_各店舗件数[[#This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4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4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4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4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4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4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4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4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4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4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4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4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4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4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4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4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4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4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4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4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IF(NOT(まとめ表_各店舗件数[[#This Row],[管理番号]]=""),VLOOKUP(まとめ表_各店舗件数[[#This Row],[管理番号]],名前リスト[[#All],[管理番号]:[氏名]],2,TRUE),"")</f>
        <v>モリサカ マヒロ</v>
      </c>
      <c r="C150" s="21" t="str">
        <f>IF(NOT(まとめ表_各店舗件数[[#This Row],[管理番号]]=""),VLOOKUP(まとめ表_各店舗件数[[#This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IF(NOT(まとめ表_各店舗件数[[#This Row],[管理番号]]=""),VLOOKUP(まとめ表_各店舗件数[[#This Row],[管理番号]],名前リスト[[#All],[管理番号]:[氏名]],2,TRUE),"")</f>
        <v>ニシカワサヤカ</v>
      </c>
      <c r="C151" s="21" t="str">
        <f>IF(NOT(まとめ表_各店舗件数[[#This Row],[管理番号]]=""),VLOOKUP(まとめ表_各店舗件数[[#This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IF(NOT(まとめ表_各店舗件数[[#This Row],[管理番号]]=""),VLOOKUP(まとめ表_各店舗件数[[#This Row],[管理番号]],名前リスト[[#All],[管理番号]:[氏名]],2,TRUE),"")</f>
        <v>マルヤマ　ヒロユキ</v>
      </c>
      <c r="C152" s="21" t="str">
        <f>IF(NOT(まとめ表_各店舗件数[[#This Row],[管理番号]]=""),VLOOKUP(まとめ表_各店舗件数[[#This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IF(NOT(まとめ表_各店舗件数[[#This Row],[管理番号]]=""),VLOOKUP(まとめ表_各店舗件数[[#This Row],[管理番号]],名前リスト[[#All],[管理番号]:[氏名]],2,TRUE),"")</f>
        <v>カキイチ　トモキ</v>
      </c>
      <c r="C153" s="21" t="str">
        <f>IF(NOT(まとめ表_各店舗件数[[#This Row],[管理番号]]=""),VLOOKUP(まとめ表_各店舗件数[[#This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IF(NOT(まとめ表_各店舗件数[[#This Row],[管理番号]]=""),VLOOKUP(まとめ表_各店舗件数[[#This Row],[管理番号]],名前リスト[[#All],[管理番号]:[氏名]],2,TRUE),"")</f>
        <v>ウエシバ　タツヤ</v>
      </c>
      <c r="C154" s="21" t="str">
        <f>IF(NOT(まとめ表_各店舗件数[[#This Row],[管理番号]]=""),VLOOKUP(まとめ表_各店舗件数[[#This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IF(NOT(まとめ表_各店舗件数[[#This Row],[管理番号]]=""),VLOOKUP(まとめ表_各店舗件数[[#This Row],[管理番号]],名前リスト[[#All],[管理番号]:[氏名]],2,TRUE),"")</f>
        <v>オオハラショウゴ</v>
      </c>
      <c r="C155" s="21" t="str">
        <f>IF(NOT(まとめ表_各店舗件数[[#This Row],[管理番号]]=""),VLOOKUP(まとめ表_各店舗件数[[#This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IF(NOT(まとめ表_各店舗件数[[#This Row],[管理番号]]=""),VLOOKUP(まとめ表_各店舗件数[[#This Row],[管理番号]],名前リスト[[#All],[管理番号]:[氏名]],2,TRUE),"")</f>
        <v>マツナガ　カズヤ</v>
      </c>
      <c r="C156" s="21" t="str">
        <f>IF(NOT(まとめ表_各店舗件数[[#This Row],[管理番号]]=""),VLOOKUP(まとめ表_各店舗件数[[#This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IF(NOT(まとめ表_各店舗件数[[#This Row],[管理番号]]=""),VLOOKUP(まとめ表_各店舗件数[[#This Row],[管理番号]],名前リスト[[#All],[管理番号]:[氏名]],2,TRUE),"")</f>
        <v>コジマ　カエデ</v>
      </c>
      <c r="C157" s="21" t="str">
        <f>IF(NOT(まとめ表_各店舗件数[[#This Row],[管理番号]]=""),VLOOKUP(まとめ表_各店舗件数[[#This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IF(NOT(まとめ表_各店舗件数[[#This Row],[管理番号]]=""),VLOOKUP(まとめ表_各店舗件数[[#This Row],[管理番号]],名前リスト[[#All],[管理番号]:[氏名]],2,TRUE),"")</f>
        <v>アヤハラ　ハヤト</v>
      </c>
      <c r="C158" s="21" t="str">
        <f>IF(NOT(まとめ表_各店舗件数[[#This Row],[管理番号]]=""),VLOOKUP(まとめ表_各店舗件数[[#This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IF(NOT(まとめ表_各店舗件数[[#This Row],[管理番号]]=""),VLOOKUP(まとめ表_各店舗件数[[#This Row],[管理番号]],名前リスト[[#All],[管理番号]:[氏名]],2,TRUE),"")</f>
        <v>ナンバカズキ</v>
      </c>
      <c r="C159" s="21" t="str">
        <f>IF(NOT(まとめ表_各店舗件数[[#This Row],[管理番号]]=""),VLOOKUP(まとめ表_各店舗件数[[#This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5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5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5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5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5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5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5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5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5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5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5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5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5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5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5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5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5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5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5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5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IF(NOT(まとめ表_各店舗件数[[#This Row],[管理番号]]=""),VLOOKUP(まとめ表_各店舗件数[[#This Row],[管理番号]],名前リスト[[#All],[管理番号]:[氏名]],2,TRUE),"")</f>
        <v>ヒラタリュウキ</v>
      </c>
      <c r="C160" s="21" t="str">
        <f>IF(NOT(まとめ表_各店舗件数[[#This Row],[管理番号]]=""),VLOOKUP(まとめ表_各店舗件数[[#This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IF(NOT(まとめ表_各店舗件数[[#This Row],[管理番号]]=""),VLOOKUP(まとめ表_各店舗件数[[#This Row],[管理番号]],名前リスト[[#All],[管理番号]:[氏名]],2,TRUE),"")</f>
        <v>コガ　ヨシキ</v>
      </c>
      <c r="C161" s="21" t="str">
        <f>IF(NOT(まとめ表_各店舗件数[[#This Row],[管理番号]]=""),VLOOKUP(まとめ表_各店舗件数[[#This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IF(NOT(まとめ表_各店舗件数[[#This Row],[管理番号]]=""),VLOOKUP(まとめ表_各店舗件数[[#This Row],[管理番号]],名前リスト[[#All],[管理番号]:[氏名]],2,TRUE),"")</f>
        <v>ナンカイカズキ</v>
      </c>
      <c r="C162" s="21" t="str">
        <f>IF(NOT(まとめ表_各店舗件数[[#This Row],[管理番号]]=""),VLOOKUP(まとめ表_各店舗件数[[#This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IF(NOT(まとめ表_各店舗件数[[#This Row],[管理番号]]=""),VLOOKUP(まとめ表_各店舗件数[[#This Row],[管理番号]],名前リスト[[#All],[管理番号]:[氏名]],2,TRUE),"")</f>
        <v>サカモト シンペイ</v>
      </c>
      <c r="C163" s="21" t="str">
        <f>IF(NOT(まとめ表_各店舗件数[[#This Row],[管理番号]]=""),VLOOKUP(まとめ表_各店舗件数[[#This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IF(NOT(まとめ表_各店舗件数[[#This Row],[管理番号]]=""),VLOOKUP(まとめ表_各店舗件数[[#This Row],[管理番号]],名前リスト[[#All],[管理番号]:[氏名]],2,TRUE),"")</f>
        <v>ダイコクケイシュウ</v>
      </c>
      <c r="C164" s="21" t="str">
        <f>IF(NOT(まとめ表_各店舗件数[[#This Row],[管理番号]]=""),VLOOKUP(まとめ表_各店舗件数[[#This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IF(NOT(まとめ表_各店舗件数[[#This Row],[管理番号]]=""),VLOOKUP(まとめ表_各店舗件数[[#This Row],[管理番号]],名前リスト[[#All],[管理番号]:[氏名]],2,TRUE),"")</f>
        <v>ヨシトモ　ハルヤ</v>
      </c>
      <c r="C165" s="21" t="str">
        <f>IF(NOT(まとめ表_各店舗件数[[#This Row],[管理番号]]=""),VLOOKUP(まとめ表_各店舗件数[[#This Row],[管理番号]],名前リスト[[#All],[管理番号]:[氏名]],3,TRUE),"")</f>
        <v>ヨシトモ　ハルヤ</v>
      </c>
      <c r="D165" s="79" t="str">
        <f t="shared" ref="D165:D228" si="3">IF(SUM(E165:XFD165)=0,"",SUM(E165:XFD165))</f>
        <v/>
      </c>
      <c r="E16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IF(NOT(まとめ表_各店舗件数[[#This Row],[管理番号]]=""),VLOOKUP(まとめ表_各店舗件数[[#This Row],[管理番号]],名前リスト[[#All],[管理番号]:[氏名]],2,TRUE),"")</f>
        <v>スズキ　ダイスケ</v>
      </c>
      <c r="C166" s="21" t="str">
        <f>IF(NOT(まとめ表_各店舗件数[[#This Row],[管理番号]]=""),VLOOKUP(まとめ表_各店舗件数[[#This Row],[管理番号]],名前リスト[[#All],[管理番号]:[氏名]],3,TRUE),"")</f>
        <v>スズキ　ダイスケ</v>
      </c>
      <c r="D166" s="79" t="str">
        <f t="shared" si="3"/>
        <v/>
      </c>
      <c r="E16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IF(NOT(まとめ表_各店舗件数[[#This Row],[管理番号]]=""),VLOOKUP(まとめ表_各店舗件数[[#This Row],[管理番号]],名前リスト[[#All],[管理番号]:[氏名]],2,TRUE),"")</f>
        <v>モリカワ　ヒロユキ</v>
      </c>
      <c r="C167" s="21" t="str">
        <f>IF(NOT(まとめ表_各店舗件数[[#This Row],[管理番号]]=""),VLOOKUP(まとめ表_各店舗件数[[#This Row],[管理番号]],名前リスト[[#All],[管理番号]:[氏名]],3,TRUE),"")</f>
        <v>モリカワ　ヒロユキ</v>
      </c>
      <c r="D167" s="79" t="str">
        <f t="shared" si="3"/>
        <v/>
      </c>
      <c r="E16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IF(NOT(まとめ表_各店舗件数[[#This Row],[管理番号]]=""),VLOOKUP(まとめ表_各店舗件数[[#This Row],[管理番号]],名前リスト[[#All],[管理番号]:[氏名]],2,TRUE),"")</f>
        <v>ヤマモトマサヒロ</v>
      </c>
      <c r="C168" s="21" t="str">
        <f>IF(NOT(まとめ表_各店舗件数[[#This Row],[管理番号]]=""),VLOOKUP(まとめ表_各店舗件数[[#This Row],[管理番号]],名前リスト[[#All],[管理番号]:[氏名]],3,TRUE),"")</f>
        <v>ヤマモトマサヒロ</v>
      </c>
      <c r="D168" s="79" t="str">
        <f t="shared" si="3"/>
        <v/>
      </c>
      <c r="E16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IF(NOT(まとめ表_各店舗件数[[#This Row],[管理番号]]=""),VLOOKUP(まとめ表_各店舗件数[[#This Row],[管理番号]],名前リスト[[#All],[管理番号]:[氏名]],2,TRUE),"")</f>
        <v>クワタ　ヒデヤ</v>
      </c>
      <c r="C169" s="21" t="str">
        <f>IF(NOT(まとめ表_各店舗件数[[#This Row],[管理番号]]=""),VLOOKUP(まとめ表_各店舗件数[[#This Row],[管理番号]],名前リスト[[#All],[管理番号]:[氏名]],3,TRUE),"")</f>
        <v>クワタ　ヒデヤ</v>
      </c>
      <c r="D169" s="79" t="str">
        <f t="shared" si="3"/>
        <v/>
      </c>
      <c r="E16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6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6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6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6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6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6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6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6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6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6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6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6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6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6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6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6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6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6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6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6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IF(NOT(まとめ表_各店舗件数[[#This Row],[管理番号]]=""),VLOOKUP(まとめ表_各店舗件数[[#This Row],[管理番号]],名前リスト[[#All],[管理番号]:[氏名]],2,TRUE),"")</f>
        <v>ウエハラ　フェリペ</v>
      </c>
      <c r="C170" s="21" t="str">
        <f>IF(NOT(まとめ表_各店舗件数[[#This Row],[管理番号]]=""),VLOOKUP(まとめ表_各店舗件数[[#This Row],[管理番号]],名前リスト[[#All],[管理番号]:[氏名]],3,TRUE),"")</f>
        <v>ウエハラ　フェリペ</v>
      </c>
      <c r="D170" s="79" t="str">
        <f t="shared" si="3"/>
        <v/>
      </c>
      <c r="E17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IF(NOT(まとめ表_各店舗件数[[#This Row],[管理番号]]=""),VLOOKUP(まとめ表_各店舗件数[[#This Row],[管理番号]],名前リスト[[#All],[管理番号]:[氏名]],2,TRUE),"")</f>
        <v>フルカワナオヒロ</v>
      </c>
      <c r="C171" s="21" t="str">
        <f>IF(NOT(まとめ表_各店舗件数[[#This Row],[管理番号]]=""),VLOOKUP(まとめ表_各店舗件数[[#This Row],[管理番号]],名前リスト[[#All],[管理番号]:[氏名]],3,TRUE),"")</f>
        <v>フルカワナオヒロ</v>
      </c>
      <c r="D171" s="79" t="str">
        <f t="shared" si="3"/>
        <v/>
      </c>
      <c r="E17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IF(NOT(まとめ表_各店舗件数[[#This Row],[管理番号]]=""),VLOOKUP(まとめ表_各店舗件数[[#This Row],[管理番号]],名前リスト[[#All],[管理番号]:[氏名]],2,TRUE),"")</f>
        <v>カワイ　トクヒサ</v>
      </c>
      <c r="C172" s="21" t="str">
        <f>IF(NOT(まとめ表_各店舗件数[[#This Row],[管理番号]]=""),VLOOKUP(まとめ表_各店舗件数[[#This Row],[管理番号]],名前リスト[[#All],[管理番号]:[氏名]],3,TRUE),"")</f>
        <v>カワイ　トクヒサ</v>
      </c>
      <c r="D172" s="79" t="str">
        <f t="shared" si="3"/>
        <v/>
      </c>
      <c r="E17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IF(NOT(まとめ表_各店舗件数[[#This Row],[管理番号]]=""),VLOOKUP(まとめ表_各店舗件数[[#This Row],[管理番号]],名前リスト[[#All],[管理番号]:[氏名]],2,TRUE),"")</f>
        <v>カワタニ　ツバサ</v>
      </c>
      <c r="C173" s="21" t="str">
        <f>IF(NOT(まとめ表_各店舗件数[[#This Row],[管理番号]]=""),VLOOKUP(まとめ表_各店舗件数[[#This Row],[管理番号]],名前リスト[[#All],[管理番号]:[氏名]],3,TRUE),"")</f>
        <v>カワタニ　ツバサ</v>
      </c>
      <c r="D173" s="79" t="str">
        <f t="shared" si="3"/>
        <v/>
      </c>
      <c r="E17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IF(NOT(まとめ表_各店舗件数[[#This Row],[管理番号]]=""),VLOOKUP(まとめ表_各店舗件数[[#This Row],[管理番号]],名前リスト[[#All],[管理番号]:[氏名]],2,TRUE),"")</f>
        <v>フカタ　シュウタ</v>
      </c>
      <c r="C174" s="21" t="str">
        <f>IF(NOT(まとめ表_各店舗件数[[#This Row],[管理番号]]=""),VLOOKUP(まとめ表_各店舗件数[[#This Row],[管理番号]],名前リスト[[#All],[管理番号]:[氏名]],3,TRUE),"")</f>
        <v>フカタ　シュウタ</v>
      </c>
      <c r="D174" s="79" t="str">
        <f t="shared" si="3"/>
        <v/>
      </c>
      <c r="E17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IF(NOT(まとめ表_各店舗件数[[#This Row],[管理番号]]=""),VLOOKUP(まとめ表_各店舗件数[[#This Row],[管理番号]],名前リスト[[#All],[管理番号]:[氏名]],2,TRUE),"")</f>
        <v>カワサキ　ヨシキ</v>
      </c>
      <c r="C175" s="21" t="str">
        <f>IF(NOT(まとめ表_各店舗件数[[#This Row],[管理番号]]=""),VLOOKUP(まとめ表_各店舗件数[[#This Row],[管理番号]],名前リスト[[#All],[管理番号]:[氏名]],3,TRUE),"")</f>
        <v>カワサキ　ヨシキ</v>
      </c>
      <c r="D175" s="79" t="str">
        <f t="shared" si="3"/>
        <v/>
      </c>
      <c r="E17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IF(NOT(まとめ表_各店舗件数[[#This Row],[管理番号]]=""),VLOOKUP(まとめ表_各店舗件数[[#This Row],[管理番号]],名前リスト[[#All],[管理番号]:[氏名]],2,TRUE),"")</f>
        <v>オオシマ　ライ</v>
      </c>
      <c r="C176" s="21" t="str">
        <f>IF(NOT(まとめ表_各店舗件数[[#This Row],[管理番号]]=""),VLOOKUP(まとめ表_各店舗件数[[#This Row],[管理番号]],名前リスト[[#All],[管理番号]:[氏名]],3,TRUE),"")</f>
        <v>オオシマ　ライ</v>
      </c>
      <c r="D176" s="79" t="str">
        <f t="shared" si="3"/>
        <v/>
      </c>
      <c r="E17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IF(NOT(まとめ表_各店舗件数[[#This Row],[管理番号]]=""),VLOOKUP(まとめ表_各店舗件数[[#This Row],[管理番号]],名前リスト[[#All],[管理番号]:[氏名]],2,TRUE),"")</f>
        <v>キベさん⭐️</v>
      </c>
      <c r="C177" s="21" t="str">
        <f>IF(NOT(まとめ表_各店舗件数[[#This Row],[管理番号]]=""),VLOOKUP(まとめ表_各店舗件数[[#This Row],[管理番号]],名前リスト[[#All],[管理番号]:[氏名]],3,TRUE),"")</f>
        <v>キベさん⭐️</v>
      </c>
      <c r="D177" s="79" t="str">
        <f t="shared" si="3"/>
        <v/>
      </c>
      <c r="E17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IF(NOT(まとめ表_各店舗件数[[#This Row],[管理番号]]=""),VLOOKUP(まとめ表_各店舗件数[[#This Row],[管理番号]],名前リスト[[#All],[管理番号]:[氏名]],2,TRUE),"")</f>
        <v>キタガワヒデノリ</v>
      </c>
      <c r="C178" s="21" t="str">
        <f>IF(NOT(まとめ表_各店舗件数[[#This Row],[管理番号]]=""),VLOOKUP(まとめ表_各店舗件数[[#This Row],[管理番号]],名前リスト[[#All],[管理番号]:[氏名]],3,TRUE),"")</f>
        <v>キタガワヒデノリ</v>
      </c>
      <c r="D178" s="79" t="str">
        <f t="shared" si="3"/>
        <v/>
      </c>
      <c r="E17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IF(NOT(まとめ表_各店舗件数[[#This Row],[管理番号]]=""),VLOOKUP(まとめ表_各店舗件数[[#This Row],[管理番号]],名前リスト[[#All],[管理番号]:[氏名]],2,TRUE),"")</f>
        <v>イシオカ　ヨツスケ</v>
      </c>
      <c r="C179" s="21" t="str">
        <f>IF(NOT(まとめ表_各店舗件数[[#This Row],[管理番号]]=""),VLOOKUP(まとめ表_各店舗件数[[#This Row],[管理番号]],名前リスト[[#All],[管理番号]:[氏名]],3,TRUE),"")</f>
        <v>イシオカ　ヨツスケ</v>
      </c>
      <c r="D179" s="79" t="str">
        <f t="shared" si="3"/>
        <v/>
      </c>
      <c r="E17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7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7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7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7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7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7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7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7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7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7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7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7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7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7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7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7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7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7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7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7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IF(NOT(まとめ表_各店舗件数[[#This Row],[管理番号]]=""),VLOOKUP(まとめ表_各店舗件数[[#This Row],[管理番号]],名前リスト[[#All],[管理番号]:[氏名]],2,TRUE),"")</f>
        <v>ヤマモト　オウジ</v>
      </c>
      <c r="C180" s="21" t="str">
        <f>IF(NOT(まとめ表_各店舗件数[[#This Row],[管理番号]]=""),VLOOKUP(まとめ表_各店舗件数[[#This Row],[管理番号]],名前リスト[[#All],[管理番号]:[氏名]],3,TRUE),"")</f>
        <v>ヤマモト　オウジ</v>
      </c>
      <c r="D180" s="79" t="str">
        <f t="shared" si="3"/>
        <v/>
      </c>
      <c r="E18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IF(NOT(まとめ表_各店舗件数[[#This Row],[管理番号]]=""),VLOOKUP(まとめ表_各店舗件数[[#This Row],[管理番号]],名前リスト[[#All],[管理番号]:[氏名]],2,TRUE),"")</f>
        <v>ニシオカ　コウヘイ</v>
      </c>
      <c r="C181" s="21" t="str">
        <f>IF(NOT(まとめ表_各店舗件数[[#This Row],[管理番号]]=""),VLOOKUP(まとめ表_各店舗件数[[#This Row],[管理番号]],名前リスト[[#All],[管理番号]:[氏名]],3,TRUE),"")</f>
        <v>ニシオカ　コウヘイ</v>
      </c>
      <c r="D181" s="79" t="str">
        <f t="shared" si="3"/>
        <v/>
      </c>
      <c r="E18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IF(NOT(まとめ表_各店舗件数[[#This Row],[管理番号]]=""),VLOOKUP(まとめ表_各店舗件数[[#This Row],[管理番号]],名前リスト[[#All],[管理番号]:[氏名]],2,TRUE),"")</f>
        <v>アタラシ　ダイキチ</v>
      </c>
      <c r="C182" s="21" t="str">
        <f>IF(NOT(まとめ表_各店舗件数[[#This Row],[管理番号]]=""),VLOOKUP(まとめ表_各店舗件数[[#This Row],[管理番号]],名前リスト[[#All],[管理番号]:[氏名]],3,TRUE),"")</f>
        <v>アタラシ　ダイキチ</v>
      </c>
      <c r="D182" s="79" t="str">
        <f t="shared" si="3"/>
        <v/>
      </c>
      <c r="E18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IF(NOT(まとめ表_各店舗件数[[#This Row],[管理番号]]=""),VLOOKUP(まとめ表_各店舗件数[[#This Row],[管理番号]],名前リスト[[#All],[管理番号]:[氏名]],2,TRUE),"")</f>
        <v>サカイ　カンジ</v>
      </c>
      <c r="C183" s="21" t="str">
        <f>IF(NOT(まとめ表_各店舗件数[[#This Row],[管理番号]]=""),VLOOKUP(まとめ表_各店舗件数[[#This Row],[管理番号]],名前リスト[[#All],[管理番号]:[氏名]],3,TRUE),"")</f>
        <v>サカイ　カンジ</v>
      </c>
      <c r="D183" s="79" t="str">
        <f t="shared" si="3"/>
        <v/>
      </c>
      <c r="E18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IF(NOT(まとめ表_各店舗件数[[#This Row],[管理番号]]=""),VLOOKUP(まとめ表_各店舗件数[[#This Row],[管理番号]],名前リスト[[#All],[管理番号]:[氏名]],2,TRUE),"")</f>
        <v>コニシ　ホノカ</v>
      </c>
      <c r="C184" s="21" t="str">
        <f>IF(NOT(まとめ表_各店舗件数[[#This Row],[管理番号]]=""),VLOOKUP(まとめ表_各店舗件数[[#This Row],[管理番号]],名前リスト[[#All],[管理番号]:[氏名]],3,TRUE),"")</f>
        <v>コニシ　ホノカ</v>
      </c>
      <c r="D184" s="79" t="str">
        <f t="shared" si="3"/>
        <v/>
      </c>
      <c r="E18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IF(NOT(まとめ表_各店舗件数[[#This Row],[管理番号]]=""),VLOOKUP(まとめ表_各店舗件数[[#This Row],[管理番号]],名前リスト[[#All],[管理番号]:[氏名]],2,TRUE),"")</f>
        <v>イノウエ リナ</v>
      </c>
      <c r="C185" s="21" t="str">
        <f>IF(NOT(まとめ表_各店舗件数[[#This Row],[管理番号]]=""),VLOOKUP(まとめ表_各店舗件数[[#This Row],[管理番号]],名前リスト[[#All],[管理番号]:[氏名]],3,TRUE),"")</f>
        <v>イノウエ リナ</v>
      </c>
      <c r="D185" s="79" t="str">
        <f t="shared" si="3"/>
        <v/>
      </c>
      <c r="E18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IF(NOT(まとめ表_各店舗件数[[#This Row],[管理番号]]=""),VLOOKUP(まとめ表_各店舗件数[[#This Row],[管理番号]],名前リスト[[#All],[管理番号]:[氏名]],2,TRUE),"")</f>
        <v>タカハシ　アンジュ</v>
      </c>
      <c r="C186" s="21" t="str">
        <f>IF(NOT(まとめ表_各店舗件数[[#This Row],[管理番号]]=""),VLOOKUP(まとめ表_各店舗件数[[#This Row],[管理番号]],名前リスト[[#All],[管理番号]:[氏名]],3,TRUE),"")</f>
        <v>タカハシ　アンジュ</v>
      </c>
      <c r="D186" s="79" t="str">
        <f t="shared" si="3"/>
        <v/>
      </c>
      <c r="E18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IF(NOT(まとめ表_各店舗件数[[#This Row],[管理番号]]=""),VLOOKUP(まとめ表_各店舗件数[[#This Row],[管理番号]],名前リスト[[#All],[管理番号]:[氏名]],2,TRUE),"")</f>
        <v>ミヤギ　タツキ</v>
      </c>
      <c r="C187" s="21" t="str">
        <f>IF(NOT(まとめ表_各店舗件数[[#This Row],[管理番号]]=""),VLOOKUP(まとめ表_各店舗件数[[#This Row],[管理番号]],名前リスト[[#All],[管理番号]:[氏名]],3,TRUE),"")</f>
        <v>ミヤギ　タツキ</v>
      </c>
      <c r="D187" s="79" t="str">
        <f t="shared" si="3"/>
        <v/>
      </c>
      <c r="E18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IF(NOT(まとめ表_各店舗件数[[#This Row],[管理番号]]=""),VLOOKUP(まとめ表_各店舗件数[[#This Row],[管理番号]],名前リスト[[#All],[管理番号]:[氏名]],2,TRUE),"")</f>
        <v>ホリ　ショウイチロウ</v>
      </c>
      <c r="C188" s="21" t="str">
        <f>IF(NOT(まとめ表_各店舗件数[[#This Row],[管理番号]]=""),VLOOKUP(まとめ表_各店舗件数[[#This Row],[管理番号]],名前リスト[[#All],[管理番号]:[氏名]],3,TRUE),"")</f>
        <v>ホリ　ショウイチロウ</v>
      </c>
      <c r="D188" s="79" t="str">
        <f t="shared" si="3"/>
        <v/>
      </c>
      <c r="E18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IF(NOT(まとめ表_各店舗件数[[#This Row],[管理番号]]=""),VLOOKUP(まとめ表_各店舗件数[[#This Row],[管理番号]],名前リスト[[#All],[管理番号]:[氏名]],2,TRUE),"")</f>
        <v>カネダ　カホ</v>
      </c>
      <c r="C189" s="21" t="str">
        <f>IF(NOT(まとめ表_各店舗件数[[#This Row],[管理番号]]=""),VLOOKUP(まとめ表_各店舗件数[[#This Row],[管理番号]],名前リスト[[#All],[管理番号]:[氏名]],3,TRUE),"")</f>
        <v>カネダ　カホ</v>
      </c>
      <c r="D189" s="79" t="str">
        <f t="shared" si="3"/>
        <v/>
      </c>
      <c r="E18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8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8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8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8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8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8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8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8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8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8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8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8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8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8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8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8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8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8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8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8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0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0" s="79" t="str">
        <f t="shared" si="3"/>
        <v/>
      </c>
      <c r="E19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IF(NOT(まとめ表_各店舗件数[[#This Row],[管理番号]]=""),VLOOKUP(まとめ表_各店舗件数[[#This Row],[管理番号]],名前リスト[[#All],[管理番号]:[氏名]],2,TRUE),"")</f>
        <v>ヤスオカ　ダイキ</v>
      </c>
      <c r="C191" s="21" t="str">
        <f>IF(NOT(まとめ表_各店舗件数[[#This Row],[管理番号]]=""),VLOOKUP(まとめ表_各店舗件数[[#This Row],[管理番号]],名前リスト[[#All],[管理番号]:[氏名]],3,TRUE),"")</f>
        <v>ヤスオカ　ダイキ</v>
      </c>
      <c r="D191" s="79" t="str">
        <f t="shared" si="3"/>
        <v/>
      </c>
      <c r="E19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IF(NOT(まとめ表_各店舗件数[[#This Row],[管理番号]]=""),VLOOKUP(まとめ表_各店舗件数[[#This Row],[管理番号]],名前リスト[[#All],[管理番号]:[氏名]],2,TRUE),"")</f>
        <v>ヨシダ　トウマ</v>
      </c>
      <c r="C192" s="21" t="str">
        <f>IF(NOT(まとめ表_各店舗件数[[#This Row],[管理番号]]=""),VLOOKUP(まとめ表_各店舗件数[[#This Row],[管理番号]],名前リスト[[#All],[管理番号]:[氏名]],3,TRUE),"")</f>
        <v>ヨシダ　トウマ</v>
      </c>
      <c r="D192" s="79" t="str">
        <f t="shared" si="3"/>
        <v/>
      </c>
      <c r="E19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IF(NOT(まとめ表_各店舗件数[[#This Row],[管理番号]]=""),VLOOKUP(まとめ表_各店舗件数[[#This Row],[管理番号]],名前リスト[[#All],[管理番号]:[氏名]],2,TRUE),"")</f>
        <v>タニガキ　リサコ</v>
      </c>
      <c r="C193" s="21" t="str">
        <f>IF(NOT(まとめ表_各店舗件数[[#This Row],[管理番号]]=""),VLOOKUP(まとめ表_各店舗件数[[#This Row],[管理番号]],名前リスト[[#All],[管理番号]:[氏名]],3,TRUE),"")</f>
        <v>タニガキ　リサコ</v>
      </c>
      <c r="D193" s="79" t="str">
        <f t="shared" si="3"/>
        <v/>
      </c>
      <c r="E19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IF(NOT(まとめ表_各店舗件数[[#This Row],[管理番号]]=""),VLOOKUP(まとめ表_各店舗件数[[#This Row],[管理番号]],名前リスト[[#All],[管理番号]:[氏名]],2,TRUE),"")</f>
        <v>コウノ　ユウダイ</v>
      </c>
      <c r="C194" s="21" t="str">
        <f>IF(NOT(まとめ表_各店舗件数[[#This Row],[管理番号]]=""),VLOOKUP(まとめ表_各店舗件数[[#This Row],[管理番号]],名前リスト[[#All],[管理番号]:[氏名]],3,TRUE),"")</f>
        <v>コウノ　ユウダイ</v>
      </c>
      <c r="D194" s="79" t="str">
        <f t="shared" si="3"/>
        <v/>
      </c>
      <c r="E19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IF(NOT(まとめ表_各店舗件数[[#This Row],[管理番号]]=""),VLOOKUP(まとめ表_各店舗件数[[#This Row],[管理番号]],名前リスト[[#All],[管理番号]:[氏名]],2,TRUE),"")</f>
        <v>ウツミ　ユウキ</v>
      </c>
      <c r="C195" s="21" t="str">
        <f>IF(NOT(まとめ表_各店舗件数[[#This Row],[管理番号]]=""),VLOOKUP(まとめ表_各店舗件数[[#This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5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5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5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5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5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5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5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5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5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5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5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5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5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5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5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5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5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5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5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5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IF(NOT(まとめ表_各店舗件数[[#This Row],[管理番号]]=""),VLOOKUP(まとめ表_各店舗件数[[#This Row],[管理番号]],名前リスト[[#All],[管理番号]:[氏名]],2,TRUE),"")</f>
        <v>ヨコタ　ショウ</v>
      </c>
      <c r="C196" s="21" t="str">
        <f>IF(NOT(まとめ表_各店舗件数[[#This Row],[管理番号]]=""),VLOOKUP(まとめ表_各店舗件数[[#This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6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6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6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6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6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6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6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6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6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6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6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6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6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6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6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6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6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6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6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6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IF(NOT(まとめ表_各店舗件数[[#This Row],[管理番号]]=""),VLOOKUP(まとめ表_各店舗件数[[#This Row],[管理番号]],名前リスト[[#All],[管理番号]:[氏名]],2,TRUE),"")</f>
        <v>モリタ　コウダイ</v>
      </c>
      <c r="C197" s="21" t="str">
        <f>IF(NOT(まとめ表_各店舗件数[[#This Row],[管理番号]]=""),VLOOKUP(まとめ表_各店舗件数[[#This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7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7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7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7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7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7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7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7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7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7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7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7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7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7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7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7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7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7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7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7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IF(NOT(まとめ表_各店舗件数[[#This Row],[管理番号]]=""),VLOOKUP(まとめ表_各店舗件数[[#This Row],[管理番号]],名前リスト[[#All],[管理番号]:[氏名]],2,TRUE),"")</f>
        <v>モリヤマアキヒサ</v>
      </c>
      <c r="C198" s="21" t="str">
        <f>IF(NOT(まとめ表_各店舗件数[[#This Row],[管理番号]]=""),VLOOKUP(まとめ表_各店舗件数[[#This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8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8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8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8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8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8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8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8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8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8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8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8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8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8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8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8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8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8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8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8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IF(NOT(まとめ表_各店舗件数[[#This Row],[管理番号]]=""),VLOOKUP(まとめ表_各店舗件数[[#This Row],[管理番号]],名前リスト[[#All],[管理番号]:[氏名]],2,TRUE),"")</f>
        <v>セイケ　クルミ</v>
      </c>
      <c r="C199" s="21" t="str">
        <f>IF(NOT(まとめ表_各店舗件数[[#This Row],[管理番号]]=""),VLOOKUP(まとめ表_各店舗件数[[#This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199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199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199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199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199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199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199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199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199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199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199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199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199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199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1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199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199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199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199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199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199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1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1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IF(NOT(まとめ表_各店舗件数[[#This Row],[管理番号]]=""),VLOOKUP(まとめ表_各店舗件数[[#This Row],[管理番号]],名前リスト[[#All],[管理番号]:[氏名]],2,TRUE),"")</f>
        <v>イシマル　タダユキ</v>
      </c>
      <c r="C200" s="21" t="str">
        <f>IF(NOT(まとめ表_各店舗件数[[#This Row],[管理番号]]=""),VLOOKUP(まとめ表_各店舗件数[[#This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0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0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0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0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0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0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0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0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0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0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0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0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0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0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0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0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0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0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0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0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IF(NOT(まとめ表_各店舗件数[[#This Row],[管理番号]]=""),VLOOKUP(まとめ表_各店舗件数[[#This Row],[管理番号]],名前リスト[[#All],[管理番号]:[氏名]],2,TRUE),"")</f>
        <v>コレカネ　ユウ</v>
      </c>
      <c r="C201" s="27" t="str">
        <f>IF(NOT(まとめ表_各店舗件数[[#This Row],[管理番号]]=""),VLOOKUP(まとめ表_各店舗件数[[#This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1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1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1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1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1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1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1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1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1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1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1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1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1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1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1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1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1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1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1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1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IF(NOT(まとめ表_各店舗件数[[#This Row],[管理番号]]=""),VLOOKUP(まとめ表_各店舗件数[[#This Row],[管理番号]],名前リスト[[#All],[管理番号]:[氏名]],2,TRUE),"")</f>
        <v>ワタナベ　ユウタ</v>
      </c>
      <c r="C202" s="21" t="str">
        <f>IF(NOT(まとめ表_各店舗件数[[#This Row],[管理番号]]=""),VLOOKUP(まとめ表_各店舗件数[[#This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2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2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2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2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2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2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2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2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2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2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2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2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2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2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2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2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2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2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2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2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IF(NOT(まとめ表_各店舗件数[[#This Row],[管理番号]]=""),VLOOKUP(まとめ表_各店舗件数[[#This Row],[管理番号]],名前リスト[[#All],[管理番号]:[氏名]],2,TRUE),"")</f>
        <v>イワカ　タクミ</v>
      </c>
      <c r="C203" s="21" t="str">
        <f>IF(NOT(まとめ表_各店舗件数[[#This Row],[管理番号]]=""),VLOOKUP(まとめ表_各店舗件数[[#This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3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3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3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3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3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3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3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3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3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3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3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3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3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3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3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3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3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3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3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3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IF(NOT(まとめ表_各店舗件数[[#This Row],[管理番号]]=""),VLOOKUP(まとめ表_各店舗件数[[#This Row],[管理番号]],名前リスト[[#All],[管理番号]:[氏名]],2,TRUE),"")</f>
        <v>クニミ　タカト</v>
      </c>
      <c r="C204" s="27" t="str">
        <f>IF(NOT(まとめ表_各店舗件数[[#This Row],[管理番号]]=""),VLOOKUP(まとめ表_各店舗件数[[#This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4" s="7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4" s="7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4" s="7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4" s="7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4" s="7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4" s="7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4" s="7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4" s="48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4" s="48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4" s="48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4" s="48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4" s="48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4" s="48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4" s="48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4" s="48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4" s="48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4" s="48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4" s="48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4" s="48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4" s="48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IF(NOT(まとめ表_各店舗件数[[#This Row],[管理番号]]=""),VLOOKUP(まとめ表_各店舗件数[[#This Row],[管理番号]],名前リスト[[#All],[管理番号]:[氏名]],2,TRUE),"")</f>
        <v>タネダ　ジュリ</v>
      </c>
      <c r="C205" s="21" t="str">
        <f>IF(NOT(まとめ表_各店舗件数[[#This Row],[管理番号]]=""),VLOOKUP(まとめ表_各店舗件数[[#This Row],[管理番号]],名前リスト[[#All],[管理番号]:[氏名]],3,TRUE),"")</f>
        <v>タネダ　ジュリ</v>
      </c>
      <c r="D205" s="79" t="str">
        <f t="shared" si="3"/>
        <v/>
      </c>
      <c r="E2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IF(NOT(まとめ表_各店舗件数[[#This Row],[管理番号]]=""),VLOOKUP(まとめ表_各店舗件数[[#This Row],[管理番号]],名前リスト[[#All],[管理番号]:[氏名]],2,TRUE),"")</f>
        <v>ナカジマ　ケイワ</v>
      </c>
      <c r="C206" s="21" t="str">
        <f>IF(NOT(まとめ表_各店舗件数[[#This Row],[管理番号]]=""),VLOOKUP(まとめ表_各店舗件数[[#This Row],[管理番号]],名前リスト[[#All],[管理番号]:[氏名]],3,TRUE),"")</f>
        <v>ナカジマ　ケイワ</v>
      </c>
      <c r="D206" s="79" t="str">
        <f t="shared" si="3"/>
        <v/>
      </c>
      <c r="E2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IF(NOT(まとめ表_各店舗件数[[#This Row],[管理番号]]=""),VLOOKUP(まとめ表_各店舗件数[[#This Row],[管理番号]],名前リスト[[#All],[管理番号]:[氏名]],2,TRUE),"")</f>
        <v>ウメダ　ユウキ</v>
      </c>
      <c r="C207" s="21" t="str">
        <f>IF(NOT(まとめ表_各店舗件数[[#This Row],[管理番号]]=""),VLOOKUP(まとめ表_各店舗件数[[#This Row],[管理番号]],名前リスト[[#All],[管理番号]:[氏名]],3,TRUE),"")</f>
        <v>ウメダ　ユウキ</v>
      </c>
      <c r="D207" s="79" t="str">
        <f t="shared" si="3"/>
        <v/>
      </c>
      <c r="E2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IF(NOT(まとめ表_各店舗件数[[#This Row],[管理番号]]=""),VLOOKUP(まとめ表_各店舗件数[[#This Row],[管理番号]],名前リスト[[#All],[管理番号]:[氏名]],2,TRUE),"")</f>
        <v>タダ　ミチヨ</v>
      </c>
      <c r="C208" s="21" t="str">
        <f>IF(NOT(まとめ表_各店舗件数[[#This Row],[管理番号]]=""),VLOOKUP(まとめ表_各店舗件数[[#This Row],[管理番号]],名前リスト[[#All],[管理番号]:[氏名]],3,TRUE),"")</f>
        <v>タダ　ミチヨ</v>
      </c>
      <c r="D208" s="79" t="str">
        <f t="shared" si="3"/>
        <v/>
      </c>
      <c r="E2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IF(NOT(まとめ表_各店舗件数[[#This Row],[管理番号]]=""),VLOOKUP(まとめ表_各店舗件数[[#This Row],[管理番号]],名前リスト[[#All],[管理番号]:[氏名]],2,TRUE),"")</f>
        <v>スギマチ　タクミ</v>
      </c>
      <c r="C209" s="21" t="str">
        <f>IF(NOT(まとめ表_各店舗件数[[#This Row],[管理番号]]=""),VLOOKUP(まとめ表_各店舗件数[[#This Row],[管理番号]],名前リスト[[#All],[管理番号]:[氏名]],3,TRUE),"")</f>
        <v>スギマチ　タクミ</v>
      </c>
      <c r="D209" s="79" t="str">
        <f t="shared" si="3"/>
        <v/>
      </c>
      <c r="E2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IF(NOT(まとめ表_各店舗件数[[#This Row],[管理番号]]=""),VLOOKUP(まとめ表_各店舗件数[[#This Row],[管理番号]],名前リスト[[#All],[管理番号]:[氏名]],2,TRUE),"")</f>
        <v>タカハラ　ハルカ</v>
      </c>
      <c r="C210" s="21" t="str">
        <f>IF(NOT(まとめ表_各店舗件数[[#This Row],[管理番号]]=""),VLOOKUP(まとめ表_各店舗件数[[#This Row],[管理番号]],名前リスト[[#All],[管理番号]:[氏名]],3,TRUE),"")</f>
        <v>タカハラ　ハルカ</v>
      </c>
      <c r="D210" s="79" t="str">
        <f t="shared" si="3"/>
        <v/>
      </c>
      <c r="E2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IF(NOT(まとめ表_各店舗件数[[#This Row],[管理番号]]=""),VLOOKUP(まとめ表_各店舗件数[[#This Row],[管理番号]],名前リスト[[#All],[管理番号]:[氏名]],2,TRUE),"")</f>
        <v>ヒロオカ　ナツミ</v>
      </c>
      <c r="C211" s="21" t="str">
        <f>IF(NOT(まとめ表_各店舗件数[[#This Row],[管理番号]]=""),VLOOKUP(まとめ表_各店舗件数[[#This Row],[管理番号]],名前リスト[[#All],[管理番号]:[氏名]],3,TRUE),"")</f>
        <v>ヒロオカ　ナツミ</v>
      </c>
      <c r="D211" s="79" t="str">
        <f t="shared" si="3"/>
        <v/>
      </c>
      <c r="E2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IF(NOT(まとめ表_各店舗件数[[#This Row],[管理番号]]=""),VLOOKUP(まとめ表_各店舗件数[[#This Row],[管理番号]],名前リスト[[#All],[管理番号]:[氏名]],2,TRUE),"")</f>
        <v>カサタニ　レイヤ</v>
      </c>
      <c r="C212" s="21" t="str">
        <f>IF(NOT(まとめ表_各店舗件数[[#This Row],[管理番号]]=""),VLOOKUP(まとめ表_各店舗件数[[#This Row],[管理番号]],名前リスト[[#All],[管理番号]:[氏名]],3,TRUE),"")</f>
        <v>カサタニ　レイヤ</v>
      </c>
      <c r="D212" s="79" t="str">
        <f t="shared" si="3"/>
        <v/>
      </c>
      <c r="E2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IF(NOT(まとめ表_各店舗件数[[#This Row],[管理番号]]=""),VLOOKUP(まとめ表_各店舗件数[[#This Row],[管理番号]],名前リスト[[#All],[管理番号]:[氏名]],2,TRUE),"")</f>
        <v>ウラ　レオト</v>
      </c>
      <c r="C213" s="21" t="str">
        <f>IF(NOT(まとめ表_各店舗件数[[#This Row],[管理番号]]=""),VLOOKUP(まとめ表_各店舗件数[[#This Row],[管理番号]],名前リスト[[#All],[管理番号]:[氏名]],3,TRUE),"")</f>
        <v>ウラ　レオト</v>
      </c>
      <c r="D213" s="79" t="str">
        <f t="shared" si="3"/>
        <v/>
      </c>
      <c r="E2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IF(NOT(まとめ表_各店舗件数[[#This Row],[管理番号]]=""),VLOOKUP(まとめ表_各店舗件数[[#This Row],[管理番号]],名前リスト[[#All],[管理番号]:[氏名]],2,TRUE),"")</f>
        <v>カメイ　コウキ</v>
      </c>
      <c r="C214" s="21" t="str">
        <f>IF(NOT(まとめ表_各店舗件数[[#This Row],[管理番号]]=""),VLOOKUP(まとめ表_各店舗件数[[#This Row],[管理番号]],名前リスト[[#All],[管理番号]:[氏名]],3,TRUE),"")</f>
        <v>カメイ　コウキ</v>
      </c>
      <c r="D214" s="79" t="str">
        <f t="shared" si="3"/>
        <v/>
      </c>
      <c r="E2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IF(NOT(まとめ表_各店舗件数[[#This Row],[管理番号]]=""),VLOOKUP(まとめ表_各店舗件数[[#This Row],[管理番号]],名前リスト[[#All],[管理番号]:[氏名]],2,TRUE),"")</f>
        <v>スズキ　チハル</v>
      </c>
      <c r="C215" s="21" t="str">
        <f>IF(NOT(まとめ表_各店舗件数[[#This Row],[管理番号]]=""),VLOOKUP(まとめ表_各店舗件数[[#This Row],[管理番号]],名前リスト[[#All],[管理番号]:[氏名]],3,TRUE),"")</f>
        <v>スズキ　チハル</v>
      </c>
      <c r="D215" s="79" t="str">
        <f t="shared" si="3"/>
        <v/>
      </c>
      <c r="E2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IF(NOT(まとめ表_各店舗件数[[#This Row],[管理番号]]=""),VLOOKUP(まとめ表_各店舗件数[[#This Row],[管理番号]],名前リスト[[#All],[管理番号]:[氏名]],2,TRUE),"")</f>
        <v>カワゴエ　ショウキ</v>
      </c>
      <c r="C216" s="21" t="str">
        <f>IF(NOT(まとめ表_各店舗件数[[#This Row],[管理番号]]=""),VLOOKUP(まとめ表_各店舗件数[[#This Row],[管理番号]],名前リスト[[#All],[管理番号]:[氏名]],3,TRUE),"")</f>
        <v>カワゴエ　ショウキ</v>
      </c>
      <c r="D216" s="79" t="str">
        <f t="shared" si="3"/>
        <v/>
      </c>
      <c r="E2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IF(NOT(まとめ表_各店舗件数[[#This Row],[管理番号]]=""),VLOOKUP(まとめ表_各店舗件数[[#This Row],[管理番号]],名前リスト[[#All],[管理番号]:[氏名]],2,TRUE),"")</f>
        <v>ナカガマ ウタナ</v>
      </c>
      <c r="C217" s="21" t="str">
        <f>IF(NOT(まとめ表_各店舗件数[[#This Row],[管理番号]]=""),VLOOKUP(まとめ表_各店舗件数[[#This Row],[管理番号]],名前リスト[[#All],[管理番号]:[氏名]],3,TRUE),"")</f>
        <v>ナカガマ ウタナ</v>
      </c>
      <c r="D217" s="79" t="str">
        <f t="shared" si="3"/>
        <v/>
      </c>
      <c r="E2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IF(NOT(まとめ表_各店舗件数[[#This Row],[管理番号]]=""),VLOOKUP(まとめ表_各店舗件数[[#This Row],[管理番号]],名前リスト[[#All],[管理番号]:[氏名]],2,TRUE),"")</f>
        <v>マツモト ナナ</v>
      </c>
      <c r="C218" s="21" t="str">
        <f>IF(NOT(まとめ表_各店舗件数[[#This Row],[管理番号]]=""),VLOOKUP(まとめ表_各店舗件数[[#This Row],[管理番号]],名前リスト[[#All],[管理番号]:[氏名]],3,TRUE),"")</f>
        <v>マツモト ナナ</v>
      </c>
      <c r="D218" s="79" t="str">
        <f t="shared" si="3"/>
        <v/>
      </c>
      <c r="E2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IF(NOT(まとめ表_各店舗件数[[#This Row],[管理番号]]=""),VLOOKUP(まとめ表_各店舗件数[[#This Row],[管理番号]],名前リスト[[#All],[管理番号]:[氏名]],2,TRUE),"")</f>
        <v>ヤギュウ　リコ</v>
      </c>
      <c r="C219" s="21" t="str">
        <f>IF(NOT(まとめ表_各店舗件数[[#This Row],[管理番号]]=""),VLOOKUP(まとめ表_各店舗件数[[#This Row],[管理番号]],名前リスト[[#All],[管理番号]:[氏名]],3,TRUE),"")</f>
        <v>ヤギュウ　リコ</v>
      </c>
      <c r="D219" s="79" t="str">
        <f t="shared" si="3"/>
        <v/>
      </c>
      <c r="E2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1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0" spans="1:28">
      <c r="A220" s="20">
        <f>名前リスト[[#This Row],[管理番号]]</f>
        <v>219</v>
      </c>
      <c r="B220" s="6">
        <f>IF(NOT(まとめ表_各店舗件数[[#This Row],[管理番号]]=""),VLOOKUP(まとめ表_各店舗件数[[#This Row],[管理番号]],名前リスト[[#All],[管理番号]:[氏名]],2,TRUE),"")</f>
        <v>0</v>
      </c>
      <c r="C220" s="21" t="str">
        <f>IF(NOT(まとめ表_各店舗件数[[#This Row],[管理番号]]=""),VLOOKUP(まとめ表_各店舗件数[[#This Row],[管理番号]],名前リスト[[#All],[管理番号]:[氏名]],3,TRUE),"")</f>
        <v>ヤマナカ　アツシ</v>
      </c>
      <c r="D220" s="79" t="str">
        <f t="shared" si="3"/>
        <v/>
      </c>
      <c r="E2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1" spans="1:28">
      <c r="A221" s="20">
        <f>名前リスト[[#This Row],[管理番号]]</f>
        <v>220</v>
      </c>
      <c r="B221" s="6">
        <f>IF(NOT(まとめ表_各店舗件数[[#This Row],[管理番号]]=""),VLOOKUP(まとめ表_各店舗件数[[#This Row],[管理番号]],名前リスト[[#All],[管理番号]:[氏名]],2,TRUE),"")</f>
        <v>0</v>
      </c>
      <c r="C221" s="21" t="str">
        <f>IF(NOT(まとめ表_各店舗件数[[#This Row],[管理番号]]=""),VLOOKUP(まとめ表_各店舗件数[[#This Row],[管理番号]],名前リスト[[#All],[管理番号]:[氏名]],3,TRUE),"")</f>
        <v>モウリ　ケンゴ</v>
      </c>
      <c r="D221" s="79" t="str">
        <f t="shared" si="3"/>
        <v/>
      </c>
      <c r="E2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2" spans="1:28">
      <c r="A222" s="20">
        <f>名前リスト[[#This Row],[管理番号]]</f>
        <v>221</v>
      </c>
      <c r="B222" s="6">
        <f>IF(NOT(まとめ表_各店舗件数[[#This Row],[管理番号]]=""),VLOOKUP(まとめ表_各店舗件数[[#This Row],[管理番号]],名前リスト[[#All],[管理番号]:[氏名]],2,TRUE),"")</f>
        <v>0</v>
      </c>
      <c r="C222" s="21" t="str">
        <f>IF(NOT(まとめ表_各店舗件数[[#This Row],[管理番号]]=""),VLOOKUP(まとめ表_各店舗件数[[#This Row],[管理番号]],名前リスト[[#All],[管理番号]:[氏名]],3,TRUE),"")</f>
        <v>ナイトウ　コウヘイ</v>
      </c>
      <c r="D222" s="79" t="str">
        <f t="shared" si="3"/>
        <v/>
      </c>
      <c r="E2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3" spans="1:28">
      <c r="A223" s="20">
        <f>名前リスト[[#This Row],[管理番号]]</f>
        <v>222</v>
      </c>
      <c r="B223" s="6">
        <f>IF(NOT(まとめ表_各店舗件数[[#This Row],[管理番号]]=""),VLOOKUP(まとめ表_各店舗件数[[#This Row],[管理番号]],名前リスト[[#All],[管理番号]:[氏名]],2,TRUE),"")</f>
        <v>0</v>
      </c>
      <c r="C223" s="21" t="str">
        <f>IF(NOT(まとめ表_各店舗件数[[#This Row],[管理番号]]=""),VLOOKUP(まとめ表_各店舗件数[[#This Row],[管理番号]],名前リスト[[#All],[管理番号]:[氏名]],3,TRUE),"")</f>
        <v>モリタ　マミ</v>
      </c>
      <c r="D223" s="79" t="str">
        <f t="shared" si="3"/>
        <v/>
      </c>
      <c r="E2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4" spans="1:28">
      <c r="A224" s="20">
        <f>名前リスト[[#This Row],[管理番号]]</f>
        <v>223</v>
      </c>
      <c r="B224" s="6">
        <f>IF(NOT(まとめ表_各店舗件数[[#This Row],[管理番号]]=""),VLOOKUP(まとめ表_各店舗件数[[#This Row],[管理番号]],名前リスト[[#All],[管理番号]:[氏名]],2,TRUE),"")</f>
        <v>0</v>
      </c>
      <c r="C224" s="21" t="str">
        <f>IF(NOT(まとめ表_各店舗件数[[#This Row],[管理番号]]=""),VLOOKUP(まとめ表_各店舗件数[[#This Row],[管理番号]],名前リスト[[#All],[管理番号]:[氏名]],3,TRUE),"")</f>
        <v>オオモリ　リョウヘイ</v>
      </c>
      <c r="D224" s="79" t="str">
        <f t="shared" si="3"/>
        <v/>
      </c>
      <c r="E2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5" spans="1:28">
      <c r="A225" s="20">
        <f>名前リスト[[#This Row],[管理番号]]</f>
        <v>224</v>
      </c>
      <c r="B225" s="6">
        <f>IF(NOT(まとめ表_各店舗件数[[#This Row],[管理番号]]=""),VLOOKUP(まとめ表_各店舗件数[[#This Row],[管理番号]],名前リスト[[#All],[管理番号]:[氏名]],2,TRUE),"")</f>
        <v>0</v>
      </c>
      <c r="C225" s="21" t="str">
        <f>IF(NOT(まとめ表_各店舗件数[[#This Row],[管理番号]]=""),VLOOKUP(まとめ表_各店舗件数[[#This Row],[管理番号]],名前リスト[[#All],[管理番号]:[氏名]],3,TRUE),"")</f>
        <v>モリナガ　ユウスケ</v>
      </c>
      <c r="D225" s="79" t="str">
        <f t="shared" si="3"/>
        <v/>
      </c>
      <c r="E2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6" spans="1:28">
      <c r="A226" s="20">
        <f>名前リスト[[#This Row],[管理番号]]</f>
        <v>225</v>
      </c>
      <c r="B226" s="6">
        <f>IF(NOT(まとめ表_各店舗件数[[#This Row],[管理番号]]=""),VLOOKUP(まとめ表_各店舗件数[[#This Row],[管理番号]],名前リスト[[#All],[管理番号]:[氏名]],2,TRUE),"")</f>
        <v>0</v>
      </c>
      <c r="C226" s="21" t="str">
        <f>IF(NOT(まとめ表_各店舗件数[[#This Row],[管理番号]]=""),VLOOKUP(まとめ表_各店舗件数[[#This Row],[管理番号]],名前リスト[[#All],[管理番号]:[氏名]],3,TRUE),"")</f>
        <v>ワタナベ　チサコ</v>
      </c>
      <c r="D226" s="79" t="str">
        <f t="shared" si="3"/>
        <v/>
      </c>
      <c r="E2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7" spans="1:28">
      <c r="A227" s="20">
        <f>名前リスト[[#This Row],[管理番号]]</f>
        <v>226</v>
      </c>
      <c r="B227" s="6">
        <f>IF(NOT(まとめ表_各店舗件数[[#This Row],[管理番号]]=""),VLOOKUP(まとめ表_各店舗件数[[#This Row],[管理番号]],名前リスト[[#All],[管理番号]:[氏名]],2,TRUE),"")</f>
        <v>0</v>
      </c>
      <c r="C227" s="21" t="str">
        <f>IF(NOT(まとめ表_各店舗件数[[#This Row],[管理番号]]=""),VLOOKUP(まとめ表_各店舗件数[[#This Row],[管理番号]],名前リスト[[#All],[管理番号]:[氏名]],3,TRUE),"")</f>
        <v>カネイ　ユウキ</v>
      </c>
      <c r="D227" s="79" t="str">
        <f t="shared" si="3"/>
        <v/>
      </c>
      <c r="E2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8" spans="1:28">
      <c r="A228" s="20">
        <f>名前リスト[[#This Row],[管理番号]]</f>
        <v>227</v>
      </c>
      <c r="B228" s="6">
        <f>IF(NOT(まとめ表_各店舗件数[[#This Row],[管理番号]]=""),VLOOKUP(まとめ表_各店舗件数[[#This Row],[管理番号]],名前リスト[[#All],[管理番号]:[氏名]],2,TRUE),"")</f>
        <v>0</v>
      </c>
      <c r="C228" s="21" t="str">
        <f>IF(NOT(まとめ表_各店舗件数[[#This Row],[管理番号]]=""),VLOOKUP(まとめ表_各店舗件数[[#This Row],[管理番号]],名前リスト[[#All],[管理番号]:[氏名]],3,TRUE),"")</f>
        <v>コンドウ　ウララ</v>
      </c>
      <c r="D228" s="79" t="str">
        <f t="shared" si="3"/>
        <v/>
      </c>
      <c r="E2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29" spans="1:28">
      <c r="A229" s="20">
        <f>名前リスト[[#This Row],[管理番号]]</f>
        <v>228</v>
      </c>
      <c r="B229" s="6">
        <f>IF(NOT(まとめ表_各店舗件数[[#This Row],[管理番号]]=""),VLOOKUP(まとめ表_各店舗件数[[#This Row],[管理番号]],名前リスト[[#All],[管理番号]:[氏名]],2,TRUE),"")</f>
        <v>0</v>
      </c>
      <c r="C229" s="21" t="str">
        <f>IF(NOT(まとめ表_各店舗件数[[#This Row],[管理番号]]=""),VLOOKUP(まとめ表_各店舗件数[[#This Row],[管理番号]],名前リスト[[#All],[管理番号]:[氏名]],3,TRUE),"")</f>
        <v>ヒライ　タカフミ</v>
      </c>
      <c r="D229" s="79" t="str">
        <f t="shared" ref="D229:D292" si="4">IF(SUM(E229:XFD229)=0,"",SUM(E229:XFD229))</f>
        <v/>
      </c>
      <c r="E2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2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0" spans="1:28">
      <c r="A230" s="20">
        <f>名前リスト[[#This Row],[管理番号]]</f>
        <v>229</v>
      </c>
      <c r="B230" s="6">
        <f>IF(NOT(まとめ表_各店舗件数[[#This Row],[管理番号]]=""),VLOOKUP(まとめ表_各店舗件数[[#This Row],[管理番号]],名前リスト[[#All],[管理番号]:[氏名]],2,TRUE),"")</f>
        <v>0</v>
      </c>
      <c r="C230" s="21" t="str">
        <f>IF(NOT(まとめ表_各店舗件数[[#This Row],[管理番号]]=""),VLOOKUP(まとめ表_各店舗件数[[#This Row],[管理番号]],名前リスト[[#All],[管理番号]:[氏名]],3,TRUE),"")</f>
        <v>アマコ　ユウキ</v>
      </c>
      <c r="D230" s="79" t="str">
        <f t="shared" si="4"/>
        <v/>
      </c>
      <c r="E2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1" spans="1:28">
      <c r="A231" s="20">
        <f>名前リスト[[#This Row],[管理番号]]</f>
        <v>230</v>
      </c>
      <c r="B231" s="6">
        <f>IF(NOT(まとめ表_各店舗件数[[#This Row],[管理番号]]=""),VLOOKUP(まとめ表_各店舗件数[[#This Row],[管理番号]],名前リスト[[#All],[管理番号]:[氏名]],2,TRUE),"")</f>
        <v>0</v>
      </c>
      <c r="C231" s="21" t="str">
        <f>IF(NOT(まとめ表_各店舗件数[[#This Row],[管理番号]]=""),VLOOKUP(まとめ表_各店舗件数[[#This Row],[管理番号]],名前リスト[[#All],[管理番号]:[氏名]],3,TRUE),"")</f>
        <v>タナカ　ヨシユキ</v>
      </c>
      <c r="D231" s="79" t="str">
        <f t="shared" si="4"/>
        <v/>
      </c>
      <c r="E2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2" spans="1:28">
      <c r="A232" s="20">
        <f>名前リスト[[#This Row],[管理番号]]</f>
        <v>231</v>
      </c>
      <c r="B232" s="6">
        <f>IF(NOT(まとめ表_各店舗件数[[#This Row],[管理番号]]=""),VLOOKUP(まとめ表_各店舗件数[[#This Row],[管理番号]],名前リスト[[#All],[管理番号]:[氏名]],2,TRUE),"")</f>
        <v>0</v>
      </c>
      <c r="C232" s="21" t="str">
        <f>IF(NOT(まとめ表_各店舗件数[[#This Row],[管理番号]]=""),VLOOKUP(まとめ表_各店舗件数[[#This Row],[管理番号]],名前リスト[[#All],[管理番号]:[氏名]],3,TRUE),"")</f>
        <v>ミノダ　タクミ</v>
      </c>
      <c r="D232" s="79" t="str">
        <f t="shared" si="4"/>
        <v/>
      </c>
      <c r="E2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3" spans="1:28">
      <c r="A233" s="20">
        <f>名前リスト[[#This Row],[管理番号]]</f>
        <v>232</v>
      </c>
      <c r="B233" s="6">
        <f>IF(NOT(まとめ表_各店舗件数[[#This Row],[管理番号]]=""),VLOOKUP(まとめ表_各店舗件数[[#This Row],[管理番号]],名前リスト[[#All],[管理番号]:[氏名]],2,TRUE),"")</f>
        <v>0</v>
      </c>
      <c r="C233" s="21" t="str">
        <f>IF(NOT(まとめ表_各店舗件数[[#This Row],[管理番号]]=""),VLOOKUP(まとめ表_各店舗件数[[#This Row],[管理番号]],名前リスト[[#All],[管理番号]:[氏名]],3,TRUE),"")</f>
        <v>ホシゴエマサト</v>
      </c>
      <c r="D233" s="79" t="str">
        <f t="shared" si="4"/>
        <v/>
      </c>
      <c r="E2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4" spans="1:28">
      <c r="A234" s="20">
        <f>名前リスト[[#This Row],[管理番号]]</f>
        <v>233</v>
      </c>
      <c r="B234" s="6">
        <f>IF(NOT(まとめ表_各店舗件数[[#This Row],[管理番号]]=""),VLOOKUP(まとめ表_各店舗件数[[#This Row],[管理番号]],名前リスト[[#All],[管理番号]:[氏名]],2,TRUE),"")</f>
        <v>0</v>
      </c>
      <c r="C234" s="21" t="str">
        <f>IF(NOT(まとめ表_各店舗件数[[#This Row],[管理番号]]=""),VLOOKUP(まとめ表_各店舗件数[[#This Row],[管理番号]],名前リスト[[#All],[管理番号]:[氏名]],3,TRUE),"")</f>
        <v>イチヤナギ　ノリフミ</v>
      </c>
      <c r="D234" s="79" t="str">
        <f t="shared" si="4"/>
        <v/>
      </c>
      <c r="E2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5" spans="1:28">
      <c r="A235" s="20">
        <f>名前リスト[[#This Row],[管理番号]]</f>
        <v>234</v>
      </c>
      <c r="B235" s="6">
        <f>IF(NOT(まとめ表_各店舗件数[[#This Row],[管理番号]]=""),VLOOKUP(まとめ表_各店舗件数[[#This Row],[管理番号]],名前リスト[[#All],[管理番号]:[氏名]],2,TRUE),"")</f>
        <v>0</v>
      </c>
      <c r="C235" s="21" t="str">
        <f>IF(NOT(まとめ表_各店舗件数[[#This Row],[管理番号]]=""),VLOOKUP(まとめ表_各店舗件数[[#This Row],[管理番号]],名前リスト[[#All],[管理番号]:[氏名]],3,TRUE),"")</f>
        <v>クボ　コウタ</v>
      </c>
      <c r="D235" s="79" t="str">
        <f t="shared" si="4"/>
        <v/>
      </c>
      <c r="E2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6" spans="1:28">
      <c r="A236" s="20">
        <f>名前リスト[[#This Row],[管理番号]]</f>
        <v>235</v>
      </c>
      <c r="B236" s="6">
        <f>IF(NOT(まとめ表_各店舗件数[[#This Row],[管理番号]]=""),VLOOKUP(まとめ表_各店舗件数[[#This Row],[管理番号]],名前リスト[[#All],[管理番号]:[氏名]],2,TRUE),"")</f>
        <v>0</v>
      </c>
      <c r="C236" s="21">
        <f>IF(NOT(まとめ表_各店舗件数[[#This Row],[管理番号]]=""),VLOOKUP(まとめ表_各店舗件数[[#This Row],[管理番号]],名前リスト[[#All],[管理番号]:[氏名]],3,TRUE),"")</f>
        <v>0</v>
      </c>
      <c r="D236" s="79" t="str">
        <f t="shared" si="4"/>
        <v/>
      </c>
      <c r="E2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7" spans="1:28">
      <c r="A237" s="20">
        <f>名前リスト[[#This Row],[管理番号]]</f>
        <v>236</v>
      </c>
      <c r="B237" s="6">
        <f>IF(NOT(まとめ表_各店舗件数[[#This Row],[管理番号]]=""),VLOOKUP(まとめ表_各店舗件数[[#This Row],[管理番号]],名前リスト[[#All],[管理番号]:[氏名]],2,TRUE),"")</f>
        <v>0</v>
      </c>
      <c r="C237" s="21" t="str">
        <f>IF(NOT(まとめ表_各店舗件数[[#This Row],[管理番号]]=""),VLOOKUP(まとめ表_各店舗件数[[#This Row],[管理番号]],名前リスト[[#All],[管理番号]:[氏名]],3,TRUE),"")</f>
        <v>オオツカ　コウヘイ</v>
      </c>
      <c r="D237" s="79" t="str">
        <f t="shared" si="4"/>
        <v/>
      </c>
      <c r="E2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8" spans="1:28">
      <c r="A238" s="20">
        <f>名前リスト[[#This Row],[管理番号]]</f>
        <v>237</v>
      </c>
      <c r="B238" s="6">
        <f>IF(NOT(まとめ表_各店舗件数[[#This Row],[管理番号]]=""),VLOOKUP(まとめ表_各店舗件数[[#This Row],[管理番号]],名前リスト[[#All],[管理番号]:[氏名]],2,TRUE),"")</f>
        <v>0</v>
      </c>
      <c r="C238" s="21" t="str">
        <f>IF(NOT(まとめ表_各店舗件数[[#This Row],[管理番号]]=""),VLOOKUP(まとめ表_各店舗件数[[#This Row],[管理番号]],名前リスト[[#All],[管理番号]:[氏名]],3,TRUE),"")</f>
        <v>ヤマモト　ユウヤ</v>
      </c>
      <c r="D238" s="79" t="str">
        <f t="shared" si="4"/>
        <v/>
      </c>
      <c r="E2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39" spans="1:28">
      <c r="A239" s="20">
        <f>名前リスト[[#This Row],[管理番号]]</f>
        <v>238</v>
      </c>
      <c r="B239" s="6">
        <f>IF(NOT(まとめ表_各店舗件数[[#This Row],[管理番号]]=""),VLOOKUP(まとめ表_各店舗件数[[#This Row],[管理番号]],名前リスト[[#All],[管理番号]:[氏名]],2,TRUE),"")</f>
        <v>0</v>
      </c>
      <c r="C239" s="21" t="str">
        <f>IF(NOT(まとめ表_各店舗件数[[#This Row],[管理番号]]=""),VLOOKUP(まとめ表_各店舗件数[[#This Row],[管理番号]],名前リスト[[#All],[管理番号]:[氏名]],3,TRUE),"")</f>
        <v>ヒサシ　タカヒロ</v>
      </c>
      <c r="D239" s="79" t="str">
        <f t="shared" si="4"/>
        <v/>
      </c>
      <c r="E2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3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0" spans="1:28">
      <c r="A240" s="20">
        <f>名前リスト[[#This Row],[管理番号]]</f>
        <v>239</v>
      </c>
      <c r="B240" s="6">
        <f>IF(NOT(まとめ表_各店舗件数[[#This Row],[管理番号]]=""),VLOOKUP(まとめ表_各店舗件数[[#This Row],[管理番号]],名前リスト[[#All],[管理番号]:[氏名]],2,TRUE),"")</f>
        <v>0</v>
      </c>
      <c r="C240" s="21" t="str">
        <f>IF(NOT(まとめ表_各店舗件数[[#This Row],[管理番号]]=""),VLOOKUP(まとめ表_各店舗件数[[#This Row],[管理番号]],名前リスト[[#All],[管理番号]:[氏名]],3,TRUE),"")</f>
        <v>ヤマシタ　タカユキ</v>
      </c>
      <c r="D240" s="79" t="str">
        <f t="shared" si="4"/>
        <v/>
      </c>
      <c r="E2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1" spans="1:28">
      <c r="A241" s="20">
        <f>名前リスト[[#This Row],[管理番号]]</f>
        <v>240</v>
      </c>
      <c r="B241" s="6">
        <f>IF(NOT(まとめ表_各店舗件数[[#This Row],[管理番号]]=""),VLOOKUP(まとめ表_各店舗件数[[#This Row],[管理番号]],名前リスト[[#All],[管理番号]:[氏名]],2,TRUE),"")</f>
        <v>0</v>
      </c>
      <c r="C241" s="21" t="str">
        <f>IF(NOT(まとめ表_各店舗件数[[#This Row],[管理番号]]=""),VLOOKUP(まとめ表_各店舗件数[[#This Row],[管理番号]],名前リスト[[#All],[管理番号]:[氏名]],3,TRUE),"")</f>
        <v>スズキ　アンドレイ</v>
      </c>
      <c r="D241" s="79" t="str">
        <f t="shared" si="4"/>
        <v/>
      </c>
      <c r="E2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2" spans="1:28">
      <c r="A242" s="20">
        <f>名前リスト[[#This Row],[管理番号]]</f>
        <v>241</v>
      </c>
      <c r="B242" s="6">
        <f>IF(NOT(まとめ表_各店舗件数[[#This Row],[管理番号]]=""),VLOOKUP(まとめ表_各店舗件数[[#This Row],[管理番号]],名前リスト[[#All],[管理番号]:[氏名]],2,TRUE),"")</f>
        <v>0</v>
      </c>
      <c r="C242" s="21" t="str">
        <f>IF(NOT(まとめ表_各店舗件数[[#This Row],[管理番号]]=""),VLOOKUP(まとめ表_各店舗件数[[#This Row],[管理番号]],名前リスト[[#All],[管理番号]:[氏名]],3,TRUE),"")</f>
        <v>オオタ　タカシ</v>
      </c>
      <c r="D242" s="79" t="str">
        <f t="shared" si="4"/>
        <v/>
      </c>
      <c r="E2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3" spans="1:28">
      <c r="A243" s="20">
        <f>名前リスト[[#This Row],[管理番号]]</f>
        <v>242</v>
      </c>
      <c r="B243" s="6">
        <f>IF(NOT(まとめ表_各店舗件数[[#This Row],[管理番号]]=""),VLOOKUP(まとめ表_各店舗件数[[#This Row],[管理番号]],名前リスト[[#All],[管理番号]:[氏名]],2,TRUE),"")</f>
        <v>0</v>
      </c>
      <c r="C243" s="21" t="str">
        <f>IF(NOT(まとめ表_各店舗件数[[#This Row],[管理番号]]=""),VLOOKUP(まとめ表_各店舗件数[[#This Row],[管理番号]],名前リスト[[#All],[管理番号]:[氏名]],3,TRUE),"")</f>
        <v>ワタナベ　ユキノスケ</v>
      </c>
      <c r="D243" s="79" t="str">
        <f t="shared" si="4"/>
        <v/>
      </c>
      <c r="E2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4" spans="1:28">
      <c r="A244" s="20">
        <f>名前リスト[[#This Row],[管理番号]]</f>
        <v>243</v>
      </c>
      <c r="B244" s="6">
        <f>IF(NOT(まとめ表_各店舗件数[[#This Row],[管理番号]]=""),VLOOKUP(まとめ表_各店舗件数[[#This Row],[管理番号]],名前リスト[[#All],[管理番号]:[氏名]],2,TRUE),"")</f>
        <v>0</v>
      </c>
      <c r="C244" s="21" t="str">
        <f>IF(NOT(まとめ表_各店舗件数[[#This Row],[管理番号]]=""),VLOOKUP(まとめ表_各店舗件数[[#This Row],[管理番号]],名前リスト[[#All],[管理番号]:[氏名]],3,TRUE),"")</f>
        <v>トクナガ　チヒロ</v>
      </c>
      <c r="D244" s="79" t="str">
        <f t="shared" si="4"/>
        <v/>
      </c>
      <c r="E2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5" spans="1:28">
      <c r="A245" s="20">
        <f>名前リスト[[#This Row],[管理番号]]</f>
        <v>244</v>
      </c>
      <c r="B245" s="6">
        <f>IF(NOT(まとめ表_各店舗件数[[#This Row],[管理番号]]=""),VLOOKUP(まとめ表_各店舗件数[[#This Row],[管理番号]],名前リスト[[#All],[管理番号]:[氏名]],2,TRUE),"")</f>
        <v>0</v>
      </c>
      <c r="C245" s="21" t="str">
        <f>IF(NOT(まとめ表_各店舗件数[[#This Row],[管理番号]]=""),VLOOKUP(まとめ表_各店舗件数[[#This Row],[管理番号]],名前リスト[[#All],[管理番号]:[氏名]],3,TRUE),"")</f>
        <v>ヤマモト　ヤスアキ</v>
      </c>
      <c r="D245" s="79" t="str">
        <f t="shared" si="4"/>
        <v/>
      </c>
      <c r="E2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6" spans="1:28">
      <c r="A246" s="20">
        <f>名前リスト[[#This Row],[管理番号]]</f>
        <v>255</v>
      </c>
      <c r="B246" s="6">
        <f>IF(NOT(まとめ表_各店舗件数[[#This Row],[管理番号]]=""),VLOOKUP(まとめ表_各店舗件数[[#This Row],[管理番号]],名前リスト[[#All],[管理番号]:[氏名]],2,TRUE),"")</f>
        <v>0</v>
      </c>
      <c r="C246" s="21" t="str">
        <f>IF(NOT(まとめ表_各店舗件数[[#This Row],[管理番号]]=""),VLOOKUP(まとめ表_各店舗件数[[#This Row],[管理番号]],名前リスト[[#All],[管理番号]:[氏名]],3,TRUE),"")</f>
        <v>マエカワ　ナツキ</v>
      </c>
      <c r="D246" s="79" t="str">
        <f t="shared" si="4"/>
        <v/>
      </c>
      <c r="E2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7" spans="1:28">
      <c r="A247" s="20">
        <f>名前リスト[[#This Row],[管理番号]]</f>
        <v>256</v>
      </c>
      <c r="B247" s="6">
        <f>IF(NOT(まとめ表_各店舗件数[[#This Row],[管理番号]]=""),VLOOKUP(まとめ表_各店舗件数[[#This Row],[管理番号]],名前リスト[[#All],[管理番号]:[氏名]],2,TRUE),"")</f>
        <v>0</v>
      </c>
      <c r="C247" s="21" t="str">
        <f>IF(NOT(まとめ表_各店舗件数[[#This Row],[管理番号]]=""),VLOOKUP(まとめ表_各店舗件数[[#This Row],[管理番号]],名前リスト[[#All],[管理番号]:[氏名]],3,TRUE),"")</f>
        <v>ヨシムラ　カズヤ　3e</v>
      </c>
      <c r="D247" s="79" t="str">
        <f t="shared" si="4"/>
        <v/>
      </c>
      <c r="E2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8" spans="1:28">
      <c r="A248" s="20">
        <f>名前リスト[[#This Row],[管理番号]]</f>
        <v>257</v>
      </c>
      <c r="B248" s="6">
        <f>IF(NOT(まとめ表_各店舗件数[[#This Row],[管理番号]]=""),VLOOKUP(まとめ表_各店舗件数[[#This Row],[管理番号]],名前リスト[[#All],[管理番号]:[氏名]],2,TRUE),"")</f>
        <v>0</v>
      </c>
      <c r="C248" s="21" t="str">
        <f>IF(NOT(まとめ表_各店舗件数[[#This Row],[管理番号]]=""),VLOOKUP(まとめ表_各店舗件数[[#This Row],[管理番号]],名前リスト[[#All],[管理番号]:[氏名]],3,TRUE),"")</f>
        <v>サガワ　　チカ</v>
      </c>
      <c r="D248" s="79" t="str">
        <f t="shared" si="4"/>
        <v/>
      </c>
      <c r="E2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49" spans="1:28">
      <c r="A249" s="20">
        <f>名前リスト[[#This Row],[管理番号]]</f>
        <v>258</v>
      </c>
      <c r="B249" s="6">
        <f>IF(NOT(まとめ表_各店舗件数[[#This Row],[管理番号]]=""),VLOOKUP(まとめ表_各店舗件数[[#This Row],[管理番号]],名前リスト[[#All],[管理番号]:[氏名]],2,TRUE),"")</f>
        <v>0</v>
      </c>
      <c r="C249" s="21" t="str">
        <f>IF(NOT(まとめ表_各店舗件数[[#This Row],[管理番号]]=""),VLOOKUP(まとめ表_各店舗件数[[#This Row],[管理番号]],名前リスト[[#All],[管理番号]:[氏名]],3,TRUE),"")</f>
        <v>アカサカ　サトシ</v>
      </c>
      <c r="D249" s="79" t="str">
        <f t="shared" si="4"/>
        <v/>
      </c>
      <c r="E2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4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0" spans="1:28">
      <c r="A250" s="20">
        <f>名前リスト[[#This Row],[管理番号]]</f>
        <v>259</v>
      </c>
      <c r="B250" s="6">
        <f>IF(NOT(まとめ表_各店舗件数[[#This Row],[管理番号]]=""),VLOOKUP(まとめ表_各店舗件数[[#This Row],[管理番号]],名前リスト[[#All],[管理番号]:[氏名]],2,TRUE),"")</f>
        <v>0</v>
      </c>
      <c r="C250" s="21" t="str">
        <f>IF(NOT(まとめ表_各店舗件数[[#This Row],[管理番号]]=""),VLOOKUP(まとめ表_各店舗件数[[#This Row],[管理番号]],名前リスト[[#All],[管理番号]:[氏名]],3,TRUE),"")</f>
        <v>スガムラ　ダイチ</v>
      </c>
      <c r="D250" s="79" t="str">
        <f t="shared" si="4"/>
        <v/>
      </c>
      <c r="E2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1" spans="1:28">
      <c r="A251" s="20">
        <f>名前リスト[[#This Row],[管理番号]]</f>
        <v>260</v>
      </c>
      <c r="B251" s="6">
        <f>IF(NOT(まとめ表_各店舗件数[[#This Row],[管理番号]]=""),VLOOKUP(まとめ表_各店舗件数[[#This Row],[管理番号]],名前リスト[[#All],[管理番号]:[氏名]],2,TRUE),"")</f>
        <v>0</v>
      </c>
      <c r="C251" s="21" t="str">
        <f>IF(NOT(まとめ表_各店舗件数[[#This Row],[管理番号]]=""),VLOOKUP(まとめ表_各店舗件数[[#This Row],[管理番号]],名前リスト[[#All],[管理番号]:[氏名]],3,TRUE),"")</f>
        <v>アシダ　カズマ</v>
      </c>
      <c r="D251" s="79" t="str">
        <f t="shared" si="4"/>
        <v/>
      </c>
      <c r="E2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2" spans="1:28">
      <c r="A252" s="20">
        <f>名前リスト[[#This Row],[管理番号]]</f>
        <v>261</v>
      </c>
      <c r="B252" s="6">
        <f>IF(NOT(まとめ表_各店舗件数[[#This Row],[管理番号]]=""),VLOOKUP(まとめ表_各店舗件数[[#This Row],[管理番号]],名前リスト[[#All],[管理番号]:[氏名]],2,TRUE),"")</f>
        <v>0</v>
      </c>
      <c r="C252" s="21" t="str">
        <f>IF(NOT(まとめ表_各店舗件数[[#This Row],[管理番号]]=""),VLOOKUP(まとめ表_各店舗件数[[#This Row],[管理番号]],名前リスト[[#All],[管理番号]:[氏名]],3,TRUE),"")</f>
        <v>タナカ　ユウセイ</v>
      </c>
      <c r="D252" s="79" t="str">
        <f t="shared" si="4"/>
        <v/>
      </c>
      <c r="E25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3" spans="1:28">
      <c r="A253" s="20">
        <f>名前リスト[[#This Row],[管理番号]]</f>
        <v>262</v>
      </c>
      <c r="B253" s="6">
        <f>IF(NOT(まとめ表_各店舗件数[[#This Row],[管理番号]]=""),VLOOKUP(まとめ表_各店舗件数[[#This Row],[管理番号]],名前リスト[[#All],[管理番号]:[氏名]],2,TRUE),"")</f>
        <v>0</v>
      </c>
      <c r="C253" s="21" t="str">
        <f>IF(NOT(まとめ表_各店舗件数[[#This Row],[管理番号]]=""),VLOOKUP(まとめ表_各店舗件数[[#This Row],[管理番号]],名前リスト[[#All],[管理番号]:[氏名]],3,TRUE),"")</f>
        <v>カゲヤマ　ユウタロウ</v>
      </c>
      <c r="D253" s="79" t="str">
        <f t="shared" si="4"/>
        <v/>
      </c>
      <c r="E25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4" spans="1:28">
      <c r="A254" s="20">
        <f>名前リスト[[#This Row],[管理番号]]</f>
        <v>263</v>
      </c>
      <c r="B254" s="6">
        <f>IF(NOT(まとめ表_各店舗件数[[#This Row],[管理番号]]=""),VLOOKUP(まとめ表_各店舗件数[[#This Row],[管理番号]],名前リスト[[#All],[管理番号]:[氏名]],2,TRUE),"")</f>
        <v>0</v>
      </c>
      <c r="C254" s="21" t="str">
        <f>IF(NOT(まとめ表_各店舗件数[[#This Row],[管理番号]]=""),VLOOKUP(まとめ表_各店舗件数[[#This Row],[管理番号]],名前リスト[[#All],[管理番号]:[氏名]],3,TRUE),"")</f>
        <v>ノボル　ユウキ</v>
      </c>
      <c r="D254" s="79">
        <f t="shared" si="4"/>
        <v>2</v>
      </c>
      <c r="E25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1</v>
      </c>
      <c r="J25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1</v>
      </c>
      <c r="N25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5" spans="1:28">
      <c r="A255" s="20">
        <f>名前リスト[[#This Row],[管理番号]]</f>
        <v>264</v>
      </c>
      <c r="B255" s="6">
        <f>IF(NOT(まとめ表_各店舗件数[[#This Row],[管理番号]]=""),VLOOKUP(まとめ表_各店舗件数[[#This Row],[管理番号]],名前リスト[[#All],[管理番号]:[氏名]],2,TRUE),"")</f>
        <v>0</v>
      </c>
      <c r="C255" s="21" t="str">
        <f>IF(NOT(まとめ表_各店舗件数[[#This Row],[管理番号]]=""),VLOOKUP(まとめ表_各店舗件数[[#This Row],[管理番号]],名前リスト[[#All],[管理番号]:[氏名]],3,TRUE),"")</f>
        <v>クボ　　イッセイ</v>
      </c>
      <c r="D255" s="79" t="str">
        <f t="shared" si="4"/>
        <v/>
      </c>
      <c r="E25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6" spans="1:28">
      <c r="A256" s="20">
        <f>名前リスト[[#This Row],[管理番号]]</f>
        <v>265</v>
      </c>
      <c r="B256" s="6">
        <f>IF(NOT(まとめ表_各店舗件数[[#This Row],[管理番号]]=""),VLOOKUP(まとめ表_各店舗件数[[#This Row],[管理番号]],名前リスト[[#All],[管理番号]:[氏名]],2,TRUE),"")</f>
        <v>0</v>
      </c>
      <c r="C256" s="21" t="str">
        <f>IF(NOT(まとめ表_各店舗件数[[#This Row],[管理番号]]=""),VLOOKUP(まとめ表_各店舗件数[[#This Row],[管理番号]],名前リスト[[#All],[管理番号]:[氏名]],3,TRUE),"")</f>
        <v>サキサカ　ユメホ</v>
      </c>
      <c r="D256" s="79" t="str">
        <f t="shared" si="4"/>
        <v/>
      </c>
      <c r="E25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7" spans="1:28">
      <c r="A257" s="20">
        <f>名前リスト[[#This Row],[管理番号]]</f>
        <v>1000</v>
      </c>
      <c r="B257" s="6">
        <f>IF(NOT(まとめ表_各店舗件数[[#This Row],[管理番号]]=""),VLOOKUP(まとめ表_各店舗件数[[#This Row],[管理番号]],名前リスト[[#All],[管理番号]:[氏名]],2,TRUE),"")</f>
        <v>0</v>
      </c>
      <c r="C257" s="21" t="str">
        <f>IF(NOT(まとめ表_各店舗件数[[#This Row],[管理番号]]=""),VLOOKUP(まとめ表_各店舗件数[[#This Row],[管理番号]],名前リスト[[#All],[管理番号]:[氏名]],3,TRUE),"")</f>
        <v>モリタ　ヒデキ</v>
      </c>
      <c r="D257" s="79" t="str">
        <f t="shared" si="4"/>
        <v/>
      </c>
      <c r="E25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8" spans="1:28">
      <c r="A258" s="20">
        <f>名前リスト[[#This Row],[管理番号]]</f>
        <v>1001</v>
      </c>
      <c r="B258" s="6">
        <f>IF(NOT(まとめ表_各店舗件数[[#This Row],[管理番号]]=""),VLOOKUP(まとめ表_各店舗件数[[#This Row],[管理番号]],名前リスト[[#All],[管理番号]:[氏名]],2,TRUE),"")</f>
        <v>0</v>
      </c>
      <c r="C258" s="21" t="str">
        <f>IF(NOT(まとめ表_各店舗件数[[#This Row],[管理番号]]=""),VLOOKUP(まとめ表_各店舗件数[[#This Row],[管理番号]],名前リスト[[#All],[管理番号]:[氏名]],3,TRUE),"")</f>
        <v>ハナイ   ギンガ</v>
      </c>
      <c r="D258" s="79" t="str">
        <f t="shared" si="4"/>
        <v/>
      </c>
      <c r="E25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59" spans="1:28">
      <c r="A259" s="20">
        <f>名前リスト[[#This Row],[管理番号]]</f>
        <v>1002</v>
      </c>
      <c r="B259" s="6">
        <f>IF(NOT(まとめ表_各店舗件数[[#This Row],[管理番号]]=""),VLOOKUP(まとめ表_各店舗件数[[#This Row],[管理番号]],名前リスト[[#All],[管理番号]:[氏名]],2,TRUE),"")</f>
        <v>0</v>
      </c>
      <c r="C259" s="21" t="str">
        <f>IF(NOT(まとめ表_各店舗件数[[#This Row],[管理番号]]=""),VLOOKUP(まとめ表_各店舗件数[[#This Row],[管理番号]],名前リスト[[#All],[管理番号]:[氏名]],3,TRUE),"")</f>
        <v>スエヒロ　リュウジ</v>
      </c>
      <c r="D259" s="79" t="str">
        <f t="shared" si="4"/>
        <v/>
      </c>
      <c r="E25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5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5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5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5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5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5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5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5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5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5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5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5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5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5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5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5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5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5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5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5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5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5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5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0" spans="1:28">
      <c r="A260" s="20">
        <f>名前リスト[[#This Row],[管理番号]]</f>
        <v>1003</v>
      </c>
      <c r="B260" s="6">
        <f>IF(NOT(まとめ表_各店舗件数[[#This Row],[管理番号]]=""),VLOOKUP(まとめ表_各店舗件数[[#This Row],[管理番号]],名前リスト[[#All],[管理番号]:[氏名]],2,TRUE),"")</f>
        <v>0</v>
      </c>
      <c r="C260" s="21" t="str">
        <f>IF(NOT(まとめ表_各店舗件数[[#This Row],[管理番号]]=""),VLOOKUP(まとめ表_各店舗件数[[#This Row],[管理番号]],名前リスト[[#All],[管理番号]:[氏名]],3,TRUE),"")</f>
        <v>サカタ  アユミ</v>
      </c>
      <c r="D260" s="79" t="str">
        <f t="shared" si="4"/>
        <v/>
      </c>
      <c r="E26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1" spans="1:28">
      <c r="A261" s="20">
        <f>名前リスト[[#This Row],[管理番号]]</f>
        <v>1004</v>
      </c>
      <c r="B261" s="6">
        <f>IF(NOT(まとめ表_各店舗件数[[#This Row],[管理番号]]=""),VLOOKUP(まとめ表_各店舗件数[[#This Row],[管理番号]],名前リスト[[#All],[管理番号]:[氏名]],2,TRUE),"")</f>
        <v>0</v>
      </c>
      <c r="C261" s="21" t="str">
        <f>IF(NOT(まとめ表_各店舗件数[[#This Row],[管理番号]]=""),VLOOKUP(まとめ表_各店舗件数[[#This Row],[管理番号]],名前リスト[[#All],[管理番号]:[氏名]],3,TRUE),"")</f>
        <v>サイキ　タカラ</v>
      </c>
      <c r="D261" s="79" t="str">
        <f t="shared" si="4"/>
        <v/>
      </c>
      <c r="E26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2" spans="1:28">
      <c r="A262" s="20">
        <f>名前リスト[[#This Row],[管理番号]]</f>
        <v>1005</v>
      </c>
      <c r="B262" s="6">
        <f>IF(NOT(まとめ表_各店舗件数[[#This Row],[管理番号]]=""),VLOOKUP(まとめ表_各店舗件数[[#This Row],[管理番号]],名前リスト[[#All],[管理番号]:[氏名]],2,TRUE),"")</f>
        <v>0</v>
      </c>
      <c r="C262" s="21" t="str">
        <f>IF(NOT(まとめ表_各店舗件数[[#This Row],[管理番号]]=""),VLOOKUP(まとめ表_各店舗件数[[#This Row],[管理番号]],名前リスト[[#All],[管理番号]:[氏名]],3,TRUE),"")</f>
        <v>ナカムラ　リョウタ</v>
      </c>
      <c r="D262" s="79" t="str">
        <f t="shared" si="4"/>
        <v/>
      </c>
      <c r="E26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3" spans="1:28">
      <c r="A263" s="20">
        <f>名前リスト[[#This Row],[管理番号]]</f>
        <v>1006</v>
      </c>
      <c r="B263" s="6">
        <f>IF(NOT(まとめ表_各店舗件数[[#This Row],[管理番号]]=""),VLOOKUP(まとめ表_各店舗件数[[#This Row],[管理番号]],名前リスト[[#All],[管理番号]:[氏名]],2,TRUE),"")</f>
        <v>0</v>
      </c>
      <c r="C263" s="21" t="str">
        <f>IF(NOT(まとめ表_各店舗件数[[#This Row],[管理番号]]=""),VLOOKUP(まとめ表_各店舗件数[[#This Row],[管理番号]],名前リスト[[#All],[管理番号]:[氏名]],3,TRUE),"")</f>
        <v>タケモト　リオ</v>
      </c>
      <c r="D263" s="79" t="str">
        <f t="shared" si="4"/>
        <v/>
      </c>
      <c r="E26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4" spans="1:28">
      <c r="A264" s="20">
        <f>名前リスト[[#This Row],[管理番号]]</f>
        <v>1007</v>
      </c>
      <c r="B264" s="6">
        <f>IF(NOT(まとめ表_各店舗件数[[#This Row],[管理番号]]=""),VLOOKUP(まとめ表_各店舗件数[[#This Row],[管理番号]],名前リスト[[#All],[管理番号]:[氏名]],2,TRUE),"")</f>
        <v>0</v>
      </c>
      <c r="C264" s="21" t="str">
        <f>IF(NOT(まとめ表_各店舗件数[[#This Row],[管理番号]]=""),VLOOKUP(まとめ表_各店舗件数[[#This Row],[管理番号]],名前リスト[[#All],[管理番号]:[氏名]],3,TRUE),"")</f>
        <v>ヒライ　ヒサキ</v>
      </c>
      <c r="D264" s="79" t="str">
        <f t="shared" si="4"/>
        <v/>
      </c>
      <c r="E26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5" spans="1:28">
      <c r="A265" s="20">
        <f>名前リスト[[#This Row],[管理番号]]</f>
        <v>1008</v>
      </c>
      <c r="B265" s="6">
        <f>IF(NOT(まとめ表_各店舗件数[[#This Row],[管理番号]]=""),VLOOKUP(まとめ表_各店舗件数[[#This Row],[管理番号]],名前リスト[[#All],[管理番号]:[氏名]],2,TRUE),"")</f>
        <v>0</v>
      </c>
      <c r="C265" s="21" t="str">
        <f>IF(NOT(まとめ表_各店舗件数[[#This Row],[管理番号]]=""),VLOOKUP(まとめ表_各店舗件数[[#This Row],[管理番号]],名前リスト[[#All],[管理番号]:[氏名]],3,TRUE),"")</f>
        <v>マツダ　カオ</v>
      </c>
      <c r="D265" s="79" t="str">
        <f t="shared" si="4"/>
        <v/>
      </c>
      <c r="E26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6" spans="1:28">
      <c r="A266" s="20">
        <f>名前リスト[[#This Row],[管理番号]]</f>
        <v>1009</v>
      </c>
      <c r="B266" s="6">
        <f>IF(NOT(まとめ表_各店舗件数[[#This Row],[管理番号]]=""),VLOOKUP(まとめ表_各店舗件数[[#This Row],[管理番号]],名前リスト[[#All],[管理番号]:[氏名]],2,TRUE),"")</f>
        <v>0</v>
      </c>
      <c r="C266" s="21" t="str">
        <f>IF(NOT(まとめ表_各店舗件数[[#This Row],[管理番号]]=""),VLOOKUP(まとめ表_各店舗件数[[#This Row],[管理番号]],名前リスト[[#All],[管理番号]:[氏名]],3,TRUE),"")</f>
        <v>サワダ     サヤカ</v>
      </c>
      <c r="D266" s="79" t="str">
        <f t="shared" si="4"/>
        <v/>
      </c>
      <c r="E26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7" spans="1:28">
      <c r="A267" s="20">
        <f>名前リスト[[#This Row],[管理番号]]</f>
        <v>1010</v>
      </c>
      <c r="B267" s="6">
        <f>IF(NOT(まとめ表_各店舗件数[[#This Row],[管理番号]]=""),VLOOKUP(まとめ表_各店舗件数[[#This Row],[管理番号]],名前リスト[[#All],[管理番号]:[氏名]],2,TRUE),"")</f>
        <v>0</v>
      </c>
      <c r="C267" s="21" t="str">
        <f>IF(NOT(まとめ表_各店舗件数[[#This Row],[管理番号]]=""),VLOOKUP(まとめ表_各店舗件数[[#This Row],[管理番号]],名前リスト[[#All],[管理番号]:[氏名]],3,TRUE),"")</f>
        <v>キムラ　コウキ</v>
      </c>
      <c r="D267" s="79" t="str">
        <f t="shared" si="4"/>
        <v/>
      </c>
      <c r="E26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8" spans="1:28">
      <c r="A268" s="20">
        <f>名前リスト[[#This Row],[管理番号]]</f>
        <v>1011</v>
      </c>
      <c r="B268" s="6">
        <f>IF(NOT(まとめ表_各店舗件数[[#This Row],[管理番号]]=""),VLOOKUP(まとめ表_各店舗件数[[#This Row],[管理番号]],名前リスト[[#All],[管理番号]:[氏名]],2,TRUE),"")</f>
        <v>0</v>
      </c>
      <c r="C268" s="21" t="str">
        <f>IF(NOT(まとめ表_各店舗件数[[#This Row],[管理番号]]=""),VLOOKUP(まとめ表_各店舗件数[[#This Row],[管理番号]],名前リスト[[#All],[管理番号]:[氏名]],3,TRUE),"")</f>
        <v>ヤマダ　ナオ</v>
      </c>
      <c r="D268" s="79" t="str">
        <f t="shared" si="4"/>
        <v/>
      </c>
      <c r="E26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69" spans="1:28">
      <c r="A269" s="20">
        <f>名前リスト[[#This Row],[管理番号]]</f>
        <v>1012</v>
      </c>
      <c r="B269" s="6">
        <f>IF(NOT(まとめ表_各店舗件数[[#This Row],[管理番号]]=""),VLOOKUP(まとめ表_各店舗件数[[#This Row],[管理番号]],名前リスト[[#All],[管理番号]:[氏名]],2,TRUE),"")</f>
        <v>0</v>
      </c>
      <c r="C269" s="21" t="str">
        <f>IF(NOT(まとめ表_各店舗件数[[#This Row],[管理番号]]=""),VLOOKUP(まとめ表_各店舗件数[[#This Row],[管理番号]],名前リスト[[#All],[管理番号]:[氏名]],3,TRUE),"")</f>
        <v>カネモト　ナナ</v>
      </c>
      <c r="D269" s="79" t="str">
        <f t="shared" si="4"/>
        <v/>
      </c>
      <c r="E26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6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6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6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6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6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6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6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6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6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6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6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6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6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6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6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6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6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6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6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6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6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6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6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0" spans="1:28">
      <c r="A270" s="20">
        <f>名前リスト[[#This Row],[管理番号]]</f>
        <v>1013</v>
      </c>
      <c r="B270" s="6">
        <f>IF(NOT(まとめ表_各店舗件数[[#This Row],[管理番号]]=""),VLOOKUP(まとめ表_各店舗件数[[#This Row],[管理番号]],名前リスト[[#All],[管理番号]:[氏名]],2,TRUE),"")</f>
        <v>0</v>
      </c>
      <c r="C270" s="21" t="str">
        <f>IF(NOT(まとめ表_各店舗件数[[#This Row],[管理番号]]=""),VLOOKUP(まとめ表_各店舗件数[[#This Row],[管理番号]],名前リスト[[#All],[管理番号]:[氏名]],3,TRUE),"")</f>
        <v>フクモト リキ</v>
      </c>
      <c r="D270" s="79" t="str">
        <f t="shared" si="4"/>
        <v/>
      </c>
      <c r="E27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1" spans="1:28">
      <c r="A271" s="20">
        <f>名前リスト[[#This Row],[管理番号]]</f>
        <v>1014</v>
      </c>
      <c r="B271" s="6">
        <f>IF(NOT(まとめ表_各店舗件数[[#This Row],[管理番号]]=""),VLOOKUP(まとめ表_各店舗件数[[#This Row],[管理番号]],名前リスト[[#All],[管理番号]:[氏名]],2,TRUE),"")</f>
        <v>0</v>
      </c>
      <c r="C271" s="21" t="str">
        <f>IF(NOT(まとめ表_各店舗件数[[#This Row],[管理番号]]=""),VLOOKUP(まとめ表_各店舗件数[[#This Row],[管理番号]],名前リスト[[#All],[管理番号]:[氏名]],3,TRUE),"")</f>
        <v>エグチ　ダイキ</v>
      </c>
      <c r="D271" s="79" t="str">
        <f t="shared" si="4"/>
        <v/>
      </c>
      <c r="E27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2" spans="1:28">
      <c r="A272" s="20">
        <f>名前リスト[[#This Row],[管理番号]]</f>
        <v>1015</v>
      </c>
      <c r="B272" s="6">
        <f>IF(NOT(まとめ表_各店舗件数[[#This Row],[管理番号]]=""),VLOOKUP(まとめ表_各店舗件数[[#This Row],[管理番号]],名前リスト[[#All],[管理番号]:[氏名]],2,TRUE),"")</f>
        <v>0</v>
      </c>
      <c r="C272" s="21" t="str">
        <f>IF(NOT(まとめ表_各店舗件数[[#This Row],[管理番号]]=""),VLOOKUP(まとめ表_各店舗件数[[#This Row],[管理番号]],名前リスト[[#All],[管理番号]:[氏名]],3,TRUE),"")</f>
        <v>チュウマン　シュン</v>
      </c>
      <c r="D272" s="79" t="str">
        <f t="shared" si="4"/>
        <v/>
      </c>
      <c r="E27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3" spans="1:28">
      <c r="A273" s="20">
        <f>名前リスト[[#This Row],[管理番号]]</f>
        <v>1016</v>
      </c>
      <c r="B273" s="6">
        <f>IF(NOT(まとめ表_各店舗件数[[#This Row],[管理番号]]=""),VLOOKUP(まとめ表_各店舗件数[[#This Row],[管理番号]],名前リスト[[#All],[管理番号]:[氏名]],2,TRUE),"")</f>
        <v>0</v>
      </c>
      <c r="C273" s="21" t="str">
        <f>IF(NOT(まとめ表_各店舗件数[[#This Row],[管理番号]]=""),VLOOKUP(まとめ表_各店舗件数[[#This Row],[管理番号]],名前リスト[[#All],[管理番号]:[氏名]],3,TRUE),"")</f>
        <v>ヤマトヤ　ミク</v>
      </c>
      <c r="D273" s="79" t="str">
        <f t="shared" si="4"/>
        <v/>
      </c>
      <c r="E27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4" spans="1:28">
      <c r="A274" s="20">
        <f>名前リスト[[#This Row],[管理番号]]</f>
        <v>1017</v>
      </c>
      <c r="B274" s="6">
        <f>IF(NOT(まとめ表_各店舗件数[[#This Row],[管理番号]]=""),VLOOKUP(まとめ表_各店舗件数[[#This Row],[管理番号]],名前リスト[[#All],[管理番号]:[氏名]],2,TRUE),"")</f>
        <v>0</v>
      </c>
      <c r="C274" s="21" t="str">
        <f>IF(NOT(まとめ表_各店舗件数[[#This Row],[管理番号]]=""),VLOOKUP(まとめ表_各店舗件数[[#This Row],[管理番号]],名前リスト[[#All],[管理番号]:[氏名]],3,TRUE),"")</f>
        <v>ハシモト　リュウヤ</v>
      </c>
      <c r="D274" s="79" t="str">
        <f t="shared" si="4"/>
        <v/>
      </c>
      <c r="E27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5" spans="1:28">
      <c r="A275" s="20">
        <f>名前リスト[[#This Row],[管理番号]]</f>
        <v>1018</v>
      </c>
      <c r="B275" s="6">
        <f>IF(NOT(まとめ表_各店舗件数[[#This Row],[管理番号]]=""),VLOOKUP(まとめ表_各店舗件数[[#This Row],[管理番号]],名前リスト[[#All],[管理番号]:[氏名]],2,TRUE),"")</f>
        <v>0</v>
      </c>
      <c r="C275" s="21" t="str">
        <f>IF(NOT(まとめ表_各店舗件数[[#This Row],[管理番号]]=""),VLOOKUP(まとめ表_各店舗件数[[#This Row],[管理番号]],名前リスト[[#All],[管理番号]:[氏名]],3,TRUE),"")</f>
        <v>タハラ　タイセイ</v>
      </c>
      <c r="D275" s="79" t="str">
        <f t="shared" si="4"/>
        <v/>
      </c>
      <c r="E27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6" spans="1:28">
      <c r="A276" s="20">
        <f>名前リスト[[#This Row],[管理番号]]</f>
        <v>1019</v>
      </c>
      <c r="B276" s="6">
        <f>IF(NOT(まとめ表_各店舗件数[[#This Row],[管理番号]]=""),VLOOKUP(まとめ表_各店舗件数[[#This Row],[管理番号]],名前リスト[[#All],[管理番号]:[氏名]],2,TRUE),"")</f>
        <v>0</v>
      </c>
      <c r="C276" s="21" t="str">
        <f>IF(NOT(まとめ表_各店舗件数[[#This Row],[管理番号]]=""),VLOOKUP(まとめ表_各店舗件数[[#This Row],[管理番号]],名前リスト[[#All],[管理番号]:[氏名]],3,TRUE),"")</f>
        <v>タカクワ　アヤカ</v>
      </c>
      <c r="D276" s="79" t="str">
        <f t="shared" si="4"/>
        <v/>
      </c>
      <c r="E27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7" spans="1:28">
      <c r="A277" s="20">
        <f>名前リスト[[#This Row],[管理番号]]</f>
        <v>1020</v>
      </c>
      <c r="B277" s="6">
        <f>IF(NOT(まとめ表_各店舗件数[[#This Row],[管理番号]]=""),VLOOKUP(まとめ表_各店舗件数[[#This Row],[管理番号]],名前リスト[[#All],[管理番号]:[氏名]],2,TRUE),"")</f>
        <v>0</v>
      </c>
      <c r="C277" s="21" t="str">
        <f>IF(NOT(まとめ表_各店舗件数[[#This Row],[管理番号]]=""),VLOOKUP(まとめ表_各店舗件数[[#This Row],[管理番号]],名前リスト[[#All],[管理番号]:[氏名]],3,TRUE),"")</f>
        <v>マツエ　ハルナ</v>
      </c>
      <c r="D277" s="79" t="str">
        <f t="shared" si="4"/>
        <v/>
      </c>
      <c r="E27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8" spans="1:28">
      <c r="A278" s="20">
        <f>名前リスト[[#This Row],[管理番号]]</f>
        <v>1021</v>
      </c>
      <c r="B278" s="6">
        <f>IF(NOT(まとめ表_各店舗件数[[#This Row],[管理番号]]=""),VLOOKUP(まとめ表_各店舗件数[[#This Row],[管理番号]],名前リスト[[#All],[管理番号]:[氏名]],2,TRUE),"")</f>
        <v>0</v>
      </c>
      <c r="C278" s="21" t="str">
        <f>IF(NOT(まとめ表_各店舗件数[[#This Row],[管理番号]]=""),VLOOKUP(まとめ表_各店舗件数[[#This Row],[管理番号]],名前リスト[[#All],[管理番号]:[氏名]],3,TRUE),"")</f>
        <v>イタワキ リオ</v>
      </c>
      <c r="D278" s="79" t="str">
        <f t="shared" si="4"/>
        <v/>
      </c>
      <c r="E27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79" spans="1:28">
      <c r="A279" s="20">
        <f>名前リスト[[#This Row],[管理番号]]</f>
        <v>1022</v>
      </c>
      <c r="B279" s="6">
        <f>IF(NOT(まとめ表_各店舗件数[[#This Row],[管理番号]]=""),VLOOKUP(まとめ表_各店舗件数[[#This Row],[管理番号]],名前リスト[[#All],[管理番号]:[氏名]],2,TRUE),"")</f>
        <v>0</v>
      </c>
      <c r="C279" s="21" t="str">
        <f>IF(NOT(まとめ表_各店舗件数[[#This Row],[管理番号]]=""),VLOOKUP(まとめ表_各店舗件数[[#This Row],[管理番号]],名前リスト[[#All],[管理番号]:[氏名]],3,TRUE),"")</f>
        <v>サダモリ ユウサク</v>
      </c>
      <c r="D279" s="79" t="str">
        <f t="shared" si="4"/>
        <v/>
      </c>
      <c r="E27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7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7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7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7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7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7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7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7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7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7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7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7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7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7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7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7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7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7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7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7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7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7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7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0" spans="1:28">
      <c r="A280" s="20">
        <f>名前リスト[[#This Row],[管理番号]]</f>
        <v>1023</v>
      </c>
      <c r="B280" s="6">
        <f>IF(NOT(まとめ表_各店舗件数[[#This Row],[管理番号]]=""),VLOOKUP(まとめ表_各店舗件数[[#This Row],[管理番号]],名前リスト[[#All],[管理番号]:[氏名]],2,TRUE),"")</f>
        <v>0</v>
      </c>
      <c r="C280" s="21" t="str">
        <f>IF(NOT(まとめ表_各店舗件数[[#This Row],[管理番号]]=""),VLOOKUP(まとめ表_各店舗件数[[#This Row],[管理番号]],名前リスト[[#All],[管理番号]:[氏名]],3,TRUE),"")</f>
        <v>ヤマシタ フウカ</v>
      </c>
      <c r="D280" s="79" t="str">
        <f t="shared" si="4"/>
        <v/>
      </c>
      <c r="E28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1" spans="1:28">
      <c r="A281" s="20">
        <f>名前リスト[[#This Row],[管理番号]]</f>
        <v>1024</v>
      </c>
      <c r="B281" s="6">
        <f>IF(NOT(まとめ表_各店舗件数[[#This Row],[管理番号]]=""),VLOOKUP(まとめ表_各店舗件数[[#This Row],[管理番号]],名前リスト[[#All],[管理番号]:[氏名]],2,TRUE),"")</f>
        <v>0</v>
      </c>
      <c r="C281" s="21" t="str">
        <f>IF(NOT(まとめ表_各店舗件数[[#This Row],[管理番号]]=""),VLOOKUP(まとめ表_各店舗件数[[#This Row],[管理番号]],名前リスト[[#All],[管理番号]:[氏名]],3,TRUE),"")</f>
        <v>ハヤシ　ユウダイ</v>
      </c>
      <c r="D281" s="79" t="str">
        <f t="shared" si="4"/>
        <v/>
      </c>
      <c r="E28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2" spans="1:28">
      <c r="A282" s="20">
        <f>名前リスト[[#This Row],[管理番号]]</f>
        <v>1025</v>
      </c>
      <c r="B282" s="6">
        <f>IF(NOT(まとめ表_各店舗件数[[#This Row],[管理番号]]=""),VLOOKUP(まとめ表_各店舗件数[[#This Row],[管理番号]],名前リスト[[#All],[管理番号]:[氏名]],2,TRUE),"")</f>
        <v>0</v>
      </c>
      <c r="C282" s="21" t="str">
        <f>IF(NOT(まとめ表_各店舗件数[[#This Row],[管理番号]]=""),VLOOKUP(まとめ表_各店舗件数[[#This Row],[管理番号]],名前リスト[[#All],[管理番号]:[氏名]],3,TRUE),"")</f>
        <v>ナカイ　リノ</v>
      </c>
      <c r="D282" s="79" t="str">
        <f t="shared" si="4"/>
        <v/>
      </c>
      <c r="E28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3" spans="1:28">
      <c r="A283" s="20">
        <f>名前リスト[[#This Row],[管理番号]]</f>
        <v>1026</v>
      </c>
      <c r="B283" s="6">
        <f>IF(NOT(まとめ表_各店舗件数[[#This Row],[管理番号]]=""),VLOOKUP(まとめ表_各店舗件数[[#This Row],[管理番号]],名前リスト[[#All],[管理番号]:[氏名]],2,TRUE),"")</f>
        <v>0</v>
      </c>
      <c r="C283" s="21" t="str">
        <f>IF(NOT(まとめ表_各店舗件数[[#This Row],[管理番号]]=""),VLOOKUP(まとめ表_各店舗件数[[#This Row],[管理番号]],名前リスト[[#All],[管理番号]:[氏名]],3,TRUE),"")</f>
        <v>ヨコヤマ　ソウタ</v>
      </c>
      <c r="D283" s="79" t="str">
        <f t="shared" si="4"/>
        <v/>
      </c>
      <c r="E28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4" spans="1:28">
      <c r="A284" s="20">
        <f>名前リスト[[#This Row],[管理番号]]</f>
        <v>1027</v>
      </c>
      <c r="B284" s="6">
        <f>IF(NOT(まとめ表_各店舗件数[[#This Row],[管理番号]]=""),VLOOKUP(まとめ表_各店舗件数[[#This Row],[管理番号]],名前リスト[[#All],[管理番号]:[氏名]],2,TRUE),"")</f>
        <v>0</v>
      </c>
      <c r="C284" s="21" t="str">
        <f>IF(NOT(まとめ表_各店舗件数[[#This Row],[管理番号]]=""),VLOOKUP(まとめ表_各店舗件数[[#This Row],[管理番号]],名前リスト[[#All],[管理番号]:[氏名]],3,TRUE),"")</f>
        <v>トク　ソウマ</v>
      </c>
      <c r="D284" s="79" t="str">
        <f t="shared" si="4"/>
        <v/>
      </c>
      <c r="E28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5" spans="1:28">
      <c r="A285" s="20">
        <f>名前リスト[[#This Row],[管理番号]]</f>
        <v>1028</v>
      </c>
      <c r="B285" s="6">
        <f>IF(NOT(まとめ表_各店舗件数[[#This Row],[管理番号]]=""),VLOOKUP(まとめ表_各店舗件数[[#This Row],[管理番号]],名前リスト[[#All],[管理番号]:[氏名]],2,TRUE),"")</f>
        <v>0</v>
      </c>
      <c r="C285" s="21" t="str">
        <f>IF(NOT(まとめ表_各店舗件数[[#This Row],[管理番号]]=""),VLOOKUP(まとめ表_各店舗件数[[#This Row],[管理番号]],名前リスト[[#All],[管理番号]:[氏名]],3,TRUE),"")</f>
        <v>オオトモ コウスケ</v>
      </c>
      <c r="D285" s="79" t="str">
        <f t="shared" si="4"/>
        <v/>
      </c>
      <c r="E28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6" spans="1:28">
      <c r="A286" s="20">
        <f>名前リスト[[#This Row],[管理番号]]</f>
        <v>1029</v>
      </c>
      <c r="B286" s="6">
        <f>IF(NOT(まとめ表_各店舗件数[[#This Row],[管理番号]]=""),VLOOKUP(まとめ表_各店舗件数[[#This Row],[管理番号]],名前リスト[[#All],[管理番号]:[氏名]],2,TRUE),"")</f>
        <v>0</v>
      </c>
      <c r="C286" s="21" t="str">
        <f>IF(NOT(まとめ表_各店舗件数[[#This Row],[管理番号]]=""),VLOOKUP(まとめ表_各店舗件数[[#This Row],[管理番号]],名前リスト[[#All],[管理番号]:[氏名]],3,TRUE),"")</f>
        <v>サガ　トモカズ</v>
      </c>
      <c r="D286" s="79" t="str">
        <f t="shared" si="4"/>
        <v/>
      </c>
      <c r="E28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7" spans="1:28">
      <c r="A287" s="20">
        <f>名前リスト[[#This Row],[管理番号]]</f>
        <v>1030</v>
      </c>
      <c r="B287" s="6">
        <f>IF(NOT(まとめ表_各店舗件数[[#This Row],[管理番号]]=""),VLOOKUP(まとめ表_各店舗件数[[#This Row],[管理番号]],名前リスト[[#All],[管理番号]:[氏名]],2,TRUE),"")</f>
        <v>0</v>
      </c>
      <c r="C287" s="21" t="str">
        <f>IF(NOT(まとめ表_各店舗件数[[#This Row],[管理番号]]=""),VLOOKUP(まとめ表_各店舗件数[[#This Row],[管理番号]],名前リスト[[#All],[管理番号]:[氏名]],3,TRUE),"")</f>
        <v>ヒラノ　キョウスケ</v>
      </c>
      <c r="D287" s="79" t="str">
        <f t="shared" si="4"/>
        <v/>
      </c>
      <c r="E28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8" spans="1:28">
      <c r="A288" s="20">
        <f>名前リスト[[#This Row],[管理番号]]</f>
        <v>1031</v>
      </c>
      <c r="B288" s="6">
        <f>IF(NOT(まとめ表_各店舗件数[[#This Row],[管理番号]]=""),VLOOKUP(まとめ表_各店舗件数[[#This Row],[管理番号]],名前リスト[[#All],[管理番号]:[氏名]],2,TRUE),"")</f>
        <v>0</v>
      </c>
      <c r="C288" s="21" t="str">
        <f>IF(NOT(まとめ表_各店舗件数[[#This Row],[管理番号]]=""),VLOOKUP(まとめ表_各店舗件数[[#This Row],[管理番号]],名前リスト[[#All],[管理番号]:[氏名]],3,TRUE),"")</f>
        <v>シゲトシ　ナオキ</v>
      </c>
      <c r="D288" s="79" t="str">
        <f t="shared" si="4"/>
        <v/>
      </c>
      <c r="E28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89" spans="1:28">
      <c r="A289" s="20">
        <f>名前リスト[[#This Row],[管理番号]]</f>
        <v>1032</v>
      </c>
      <c r="B289" s="6">
        <f>IF(NOT(まとめ表_各店舗件数[[#This Row],[管理番号]]=""),VLOOKUP(まとめ表_各店舗件数[[#This Row],[管理番号]],名前リスト[[#All],[管理番号]:[氏名]],2,TRUE),"")</f>
        <v>0</v>
      </c>
      <c r="C289" s="21" t="str">
        <f>IF(NOT(まとめ表_各店舗件数[[#This Row],[管理番号]]=""),VLOOKUP(まとめ表_各店舗件数[[#This Row],[管理番号]],名前リスト[[#All],[管理番号]:[氏名]],3,TRUE),"")</f>
        <v>ツジ　テツヤ</v>
      </c>
      <c r="D289" s="79" t="str">
        <f t="shared" si="4"/>
        <v/>
      </c>
      <c r="E28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8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8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8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8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8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8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8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8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8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8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8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8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8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8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8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8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8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8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8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8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8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8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8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0" spans="1:28">
      <c r="A290" s="20">
        <f>名前リスト[[#This Row],[管理番号]]</f>
        <v>1033</v>
      </c>
      <c r="B290" s="6">
        <f>IF(NOT(まとめ表_各店舗件数[[#This Row],[管理番号]]=""),VLOOKUP(まとめ表_各店舗件数[[#This Row],[管理番号]],名前リスト[[#All],[管理番号]:[氏名]],2,TRUE),"")</f>
        <v>0</v>
      </c>
      <c r="C290" s="21" t="str">
        <f>IF(NOT(まとめ表_各店舗件数[[#This Row],[管理番号]]=""),VLOOKUP(まとめ表_各店舗件数[[#This Row],[管理番号]],名前リスト[[#All],[管理番号]:[氏名]],3,TRUE),"")</f>
        <v>シマモト　カズキ</v>
      </c>
      <c r="D290" s="79" t="str">
        <f t="shared" si="4"/>
        <v/>
      </c>
      <c r="E29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1" spans="1:28">
      <c r="A291" s="20">
        <f>名前リスト[[#This Row],[管理番号]]</f>
        <v>1034</v>
      </c>
      <c r="B291" s="6">
        <f>IF(NOT(まとめ表_各店舗件数[[#This Row],[管理番号]]=""),VLOOKUP(まとめ表_各店舗件数[[#This Row],[管理番号]],名前リスト[[#All],[管理番号]:[氏名]],2,TRUE),"")</f>
        <v>0</v>
      </c>
      <c r="C291" s="21" t="str">
        <f>IF(NOT(まとめ表_各店舗件数[[#This Row],[管理番号]]=""),VLOOKUP(まとめ表_各店舗件数[[#This Row],[管理番号]],名前リスト[[#All],[管理番号]:[氏名]],3,TRUE),"")</f>
        <v>オクノ  リル</v>
      </c>
      <c r="D291" s="79" t="str">
        <f t="shared" si="4"/>
        <v/>
      </c>
      <c r="E29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2" spans="1:28">
      <c r="A292" s="20">
        <f>名前リスト[[#This Row],[管理番号]]</f>
        <v>1035</v>
      </c>
      <c r="B292" s="6">
        <f>IF(NOT(まとめ表_各店舗件数[[#This Row],[管理番号]]=""),VLOOKUP(まとめ表_各店舗件数[[#This Row],[管理番号]],名前リスト[[#All],[管理番号]:[氏名]],2,TRUE),"")</f>
        <v>0</v>
      </c>
      <c r="C292" s="21" t="str">
        <f>IF(NOT(まとめ表_各店舗件数[[#This Row],[管理番号]]=""),VLOOKUP(まとめ表_各店舗件数[[#This Row],[管理番号]],名前リスト[[#All],[管理番号]:[氏名]],3,TRUE),"")</f>
        <v>ヨコヤマ リキヤ</v>
      </c>
      <c r="D292" s="79" t="str">
        <f t="shared" si="4"/>
        <v/>
      </c>
      <c r="E29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3" spans="1:28">
      <c r="A293" s="20">
        <f>名前リスト[[#This Row],[管理番号]]</f>
        <v>1036</v>
      </c>
      <c r="B293" s="6">
        <f>IF(NOT(まとめ表_各店舗件数[[#This Row],[管理番号]]=""),VLOOKUP(まとめ表_各店舗件数[[#This Row],[管理番号]],名前リスト[[#All],[管理番号]:[氏名]],2,TRUE),"")</f>
        <v>0</v>
      </c>
      <c r="C293" s="21" t="str">
        <f>IF(NOT(まとめ表_各店舗件数[[#This Row],[管理番号]]=""),VLOOKUP(まとめ表_各店舗件数[[#This Row],[管理番号]],名前リスト[[#All],[管理番号]:[氏名]],3,TRUE),"")</f>
        <v>フジタ　リク</v>
      </c>
      <c r="D293" s="79" t="str">
        <f t="shared" ref="D293:D351" si="5">IF(SUM(E293:XFD293)=0,"",SUM(E293:XFD293))</f>
        <v/>
      </c>
      <c r="E29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4" spans="1:28">
      <c r="A294" s="20">
        <f>名前リスト[[#This Row],[管理番号]]</f>
        <v>1037</v>
      </c>
      <c r="B294" s="6">
        <f>IF(NOT(まとめ表_各店舗件数[[#This Row],[管理番号]]=""),VLOOKUP(まとめ表_各店舗件数[[#This Row],[管理番号]],名前リスト[[#All],[管理番号]:[氏名]],2,TRUE),"")</f>
        <v>0</v>
      </c>
      <c r="C294" s="21" t="str">
        <f>IF(NOT(まとめ表_各店舗件数[[#This Row],[管理番号]]=""),VLOOKUP(まとめ表_各店舗件数[[#This Row],[管理番号]],名前リスト[[#All],[管理番号]:[氏名]],3,TRUE),"")</f>
        <v>コタケ　ケンタ</v>
      </c>
      <c r="D294" s="79" t="str">
        <f t="shared" si="5"/>
        <v/>
      </c>
      <c r="E29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5" spans="1:28">
      <c r="A295" s="20">
        <f>名前リスト[[#This Row],[管理番号]]</f>
        <v>1038</v>
      </c>
      <c r="B295" s="6">
        <f>IF(NOT(まとめ表_各店舗件数[[#This Row],[管理番号]]=""),VLOOKUP(まとめ表_各店舗件数[[#This Row],[管理番号]],名前リスト[[#All],[管理番号]:[氏名]],2,TRUE),"")</f>
        <v>0</v>
      </c>
      <c r="C295" s="21" t="str">
        <f>IF(NOT(まとめ表_各店舗件数[[#This Row],[管理番号]]=""),VLOOKUP(まとめ表_各店舗件数[[#This Row],[管理番号]],名前リスト[[#All],[管理番号]:[氏名]],3,TRUE),"")</f>
        <v>コニシ　リョウヘイ</v>
      </c>
      <c r="D295" s="79" t="str">
        <f t="shared" si="5"/>
        <v/>
      </c>
      <c r="E29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6" spans="1:28">
      <c r="A296" s="20">
        <f>名前リスト[[#This Row],[管理番号]]</f>
        <v>1039</v>
      </c>
      <c r="B296" s="6">
        <f>IF(NOT(まとめ表_各店舗件数[[#This Row],[管理番号]]=""),VLOOKUP(まとめ表_各店舗件数[[#This Row],[管理番号]],名前リスト[[#All],[管理番号]:[氏名]],2,TRUE),"")</f>
        <v>0</v>
      </c>
      <c r="C296" s="21" t="str">
        <f>IF(NOT(まとめ表_各店舗件数[[#This Row],[管理番号]]=""),VLOOKUP(まとめ表_各店舗件数[[#This Row],[管理番号]],名前リスト[[#All],[管理番号]:[氏名]],3,TRUE),"")</f>
        <v>クスイ　ユウヤ</v>
      </c>
      <c r="D296" s="79" t="str">
        <f t="shared" si="5"/>
        <v/>
      </c>
      <c r="E29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7" spans="1:28">
      <c r="A297" s="20">
        <f>名前リスト[[#This Row],[管理番号]]</f>
        <v>1040</v>
      </c>
      <c r="B297" s="6">
        <f>IF(NOT(まとめ表_各店舗件数[[#This Row],[管理番号]]=""),VLOOKUP(まとめ表_各店舗件数[[#This Row],[管理番号]],名前リスト[[#All],[管理番号]:[氏名]],2,TRUE),"")</f>
        <v>0</v>
      </c>
      <c r="C297" s="21" t="str">
        <f>IF(NOT(まとめ表_各店舗件数[[#This Row],[管理番号]]=""),VLOOKUP(まとめ表_各店舗件数[[#This Row],[管理番号]],名前リスト[[#All],[管理番号]:[氏名]],3,TRUE),"")</f>
        <v>タナカ　ソウタ</v>
      </c>
      <c r="D297" s="79" t="str">
        <f t="shared" si="5"/>
        <v/>
      </c>
      <c r="E29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8" spans="1:28">
      <c r="A298" s="20">
        <f>名前リスト[[#This Row],[管理番号]]</f>
        <v>1041</v>
      </c>
      <c r="B298" s="6">
        <f>IF(NOT(まとめ表_各店舗件数[[#This Row],[管理番号]]=""),VLOOKUP(まとめ表_各店舗件数[[#This Row],[管理番号]],名前リスト[[#All],[管理番号]:[氏名]],2,TRUE),"")</f>
        <v>0</v>
      </c>
      <c r="C298" s="21" t="str">
        <f>IF(NOT(まとめ表_各店舗件数[[#This Row],[管理番号]]=""),VLOOKUP(まとめ表_各店舗件数[[#This Row],[管理番号]],名前リスト[[#All],[管理番号]:[氏名]],3,TRUE),"")</f>
        <v>ヨシオカ　ユウキ</v>
      </c>
      <c r="D298" s="79" t="str">
        <f t="shared" si="5"/>
        <v/>
      </c>
      <c r="E29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299" spans="1:28">
      <c r="A299" s="20">
        <f>名前リスト[[#This Row],[管理番号]]</f>
        <v>1042</v>
      </c>
      <c r="B299" s="6">
        <f>IF(NOT(まとめ表_各店舗件数[[#This Row],[管理番号]]=""),VLOOKUP(まとめ表_各店舗件数[[#This Row],[管理番号]],名前リスト[[#All],[管理番号]:[氏名]],2,TRUE),"")</f>
        <v>0</v>
      </c>
      <c r="C299" s="21" t="str">
        <f>IF(NOT(まとめ表_各店舗件数[[#This Row],[管理番号]]=""),VLOOKUP(まとめ表_各店舗件数[[#This Row],[管理番号]],名前リスト[[#All],[管理番号]:[氏名]],3,TRUE),"")</f>
        <v>シミズ  リュウイチ</v>
      </c>
      <c r="D299" s="79" t="str">
        <f t="shared" si="5"/>
        <v/>
      </c>
      <c r="E29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29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29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29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29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29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29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29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29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29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29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29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29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29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29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29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29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29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29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29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29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29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29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29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0" spans="1:28">
      <c r="A300" s="20">
        <f>名前リスト[[#This Row],[管理番号]]</f>
        <v>1043</v>
      </c>
      <c r="B300" s="6">
        <f>IF(NOT(まとめ表_各店舗件数[[#This Row],[管理番号]]=""),VLOOKUP(まとめ表_各店舗件数[[#This Row],[管理番号]],名前リスト[[#All],[管理番号]:[氏名]],2,TRUE),"")</f>
        <v>0</v>
      </c>
      <c r="C300" s="21" t="str">
        <f>IF(NOT(まとめ表_各店舗件数[[#This Row],[管理番号]]=""),VLOOKUP(まとめ表_各店舗件数[[#This Row],[管理番号]],名前リスト[[#All],[管理番号]:[氏名]],3,TRUE),"")</f>
        <v>カトウ マサト</v>
      </c>
      <c r="D300" s="79" t="str">
        <f t="shared" si="5"/>
        <v/>
      </c>
      <c r="E30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1" spans="1:28">
      <c r="A301" s="20">
        <f>名前リスト[[#This Row],[管理番号]]</f>
        <v>1044</v>
      </c>
      <c r="B301" s="6">
        <f>IF(NOT(まとめ表_各店舗件数[[#This Row],[管理番号]]=""),VLOOKUP(まとめ表_各店舗件数[[#This Row],[管理番号]],名前リスト[[#All],[管理番号]:[氏名]],2,TRUE),"")</f>
        <v>0</v>
      </c>
      <c r="C301" s="21" t="str">
        <f>IF(NOT(まとめ表_各店舗件数[[#This Row],[管理番号]]=""),VLOOKUP(まとめ表_各店舗件数[[#This Row],[管理番号]],名前リスト[[#All],[管理番号]:[氏名]],3,TRUE),"")</f>
        <v>マツダイラ　ナオヤ</v>
      </c>
      <c r="D301" s="79" t="str">
        <f t="shared" si="5"/>
        <v/>
      </c>
      <c r="E30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2" spans="1:28">
      <c r="A302" s="20">
        <f>名前リスト[[#This Row],[管理番号]]</f>
        <v>1045</v>
      </c>
      <c r="B302" s="6">
        <f>IF(NOT(まとめ表_各店舗件数[[#This Row],[管理番号]]=""),VLOOKUP(まとめ表_各店舗件数[[#This Row],[管理番号]],名前リスト[[#All],[管理番号]:[氏名]],2,TRUE),"")</f>
        <v>0</v>
      </c>
      <c r="C302" s="21" t="str">
        <f>IF(NOT(まとめ表_各店舗件数[[#This Row],[管理番号]]=""),VLOOKUP(まとめ表_各店舗件数[[#This Row],[管理番号]],名前リスト[[#All],[管理番号]:[氏名]],3,TRUE),"")</f>
        <v>イデノ    ショウタ</v>
      </c>
      <c r="D302" s="79" t="str">
        <f t="shared" si="5"/>
        <v/>
      </c>
      <c r="E30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3" spans="1:28">
      <c r="A303" s="20">
        <f>名前リスト[[#This Row],[管理番号]]</f>
        <v>1046</v>
      </c>
      <c r="B303" s="6">
        <f>IF(NOT(まとめ表_各店舗件数[[#This Row],[管理番号]]=""),VLOOKUP(まとめ表_各店舗件数[[#This Row],[管理番号]],名前リスト[[#All],[管理番号]:[氏名]],2,TRUE),"")</f>
        <v>0</v>
      </c>
      <c r="C303" s="21" t="str">
        <f>IF(NOT(まとめ表_各店舗件数[[#This Row],[管理番号]]=""),VLOOKUP(まとめ表_各店舗件数[[#This Row],[管理番号]],名前リスト[[#All],[管理番号]:[氏名]],3,TRUE),"")</f>
        <v>カミモト マコ</v>
      </c>
      <c r="D303" s="79" t="str">
        <f t="shared" si="5"/>
        <v/>
      </c>
      <c r="E30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4" spans="1:28">
      <c r="A304" s="20">
        <f>名前リスト[[#This Row],[管理番号]]</f>
        <v>1047</v>
      </c>
      <c r="B304" s="6">
        <f>IF(NOT(まとめ表_各店舗件数[[#This Row],[管理番号]]=""),VLOOKUP(まとめ表_各店舗件数[[#This Row],[管理番号]],名前リスト[[#All],[管理番号]:[氏名]],2,TRUE),"")</f>
        <v>0</v>
      </c>
      <c r="C304" s="21" t="str">
        <f>IF(NOT(まとめ表_各店舗件数[[#This Row],[管理番号]]=""),VLOOKUP(まとめ表_各店舗件数[[#This Row],[管理番号]],名前リスト[[#All],[管理番号]:[氏名]],3,TRUE),"")</f>
        <v>ヤマサカ　ツヨシ</v>
      </c>
      <c r="D304" s="79" t="str">
        <f t="shared" si="5"/>
        <v/>
      </c>
      <c r="E30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5" spans="1:28">
      <c r="A305" s="20">
        <f>名前リスト[[#This Row],[管理番号]]</f>
        <v>1048</v>
      </c>
      <c r="B305" s="6">
        <f>IF(NOT(まとめ表_各店舗件数[[#This Row],[管理番号]]=""),VLOOKUP(まとめ表_各店舗件数[[#This Row],[管理番号]],名前リスト[[#All],[管理番号]:[氏名]],2,TRUE),"")</f>
        <v>0</v>
      </c>
      <c r="C305" s="21" t="str">
        <f>IF(NOT(まとめ表_各店舗件数[[#This Row],[管理番号]]=""),VLOOKUP(まとめ表_各店舗件数[[#This Row],[管理番号]],名前リスト[[#All],[管理番号]:[氏名]],3,TRUE),"")</f>
        <v>ミズイ　カンタ</v>
      </c>
      <c r="D305" s="79" t="str">
        <f t="shared" si="5"/>
        <v/>
      </c>
      <c r="E30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6" spans="1:28">
      <c r="A306" s="20">
        <f>名前リスト[[#This Row],[管理番号]]</f>
        <v>1049</v>
      </c>
      <c r="B306" s="6">
        <f>IF(NOT(まとめ表_各店舗件数[[#This Row],[管理番号]]=""),VLOOKUP(まとめ表_各店舗件数[[#This Row],[管理番号]],名前リスト[[#All],[管理番号]:[氏名]],2,TRUE),"")</f>
        <v>0</v>
      </c>
      <c r="C306" s="21" t="str">
        <f>IF(NOT(まとめ表_各店舗件数[[#This Row],[管理番号]]=""),VLOOKUP(まとめ表_各店舗件数[[#This Row],[管理番号]],名前リスト[[#All],[管理番号]:[氏名]],3,TRUE),"")</f>
        <v>カキウチ ダイスケ</v>
      </c>
      <c r="D306" s="79" t="str">
        <f t="shared" si="5"/>
        <v/>
      </c>
      <c r="E30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7" spans="1:28">
      <c r="A307" s="20">
        <f>名前リスト[[#This Row],[管理番号]]</f>
        <v>1050</v>
      </c>
      <c r="B307" s="6">
        <f>IF(NOT(まとめ表_各店舗件数[[#This Row],[管理番号]]=""),VLOOKUP(まとめ表_各店舗件数[[#This Row],[管理番号]],名前リスト[[#All],[管理番号]:[氏名]],2,TRUE),"")</f>
        <v>0</v>
      </c>
      <c r="C307" s="21" t="str">
        <f>IF(NOT(まとめ表_各店舗件数[[#This Row],[管理番号]]=""),VLOOKUP(まとめ表_各店舗件数[[#This Row],[管理番号]],名前リスト[[#All],[管理番号]:[氏名]],3,TRUE),"")</f>
        <v>タイラ　ユウマ</v>
      </c>
      <c r="D307" s="79" t="str">
        <f t="shared" si="5"/>
        <v/>
      </c>
      <c r="E30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7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8" spans="1:28">
      <c r="A308" s="20">
        <f>名前リスト[[#This Row],[管理番号]]</f>
        <v>1051</v>
      </c>
      <c r="B308" s="6">
        <f>IF(NOT(まとめ表_各店舗件数[[#This Row],[管理番号]]=""),VLOOKUP(まとめ表_各店舗件数[[#This Row],[管理番号]],名前リスト[[#All],[管理番号]:[氏名]],2,TRUE),"")</f>
        <v>0</v>
      </c>
      <c r="C308" s="21" t="str">
        <f>IF(NOT(まとめ表_各店舗件数[[#This Row],[管理番号]]=""),VLOOKUP(まとめ表_各店舗件数[[#This Row],[管理番号]],名前リスト[[#All],[管理番号]:[氏名]],3,TRUE),"")</f>
        <v>マエダ　ケイト</v>
      </c>
      <c r="D308" s="79" t="str">
        <f t="shared" si="5"/>
        <v/>
      </c>
      <c r="E30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8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09" spans="1:28">
      <c r="A309" s="20">
        <f>名前リスト[[#This Row],[管理番号]]</f>
        <v>1052</v>
      </c>
      <c r="B309" s="6">
        <f>IF(NOT(まとめ表_各店舗件数[[#This Row],[管理番号]]=""),VLOOKUP(まとめ表_各店舗件数[[#This Row],[管理番号]],名前リスト[[#All],[管理番号]:[氏名]],2,TRUE),"")</f>
        <v>0</v>
      </c>
      <c r="C309" s="21" t="str">
        <f>IF(NOT(まとめ表_各店舗件数[[#This Row],[管理番号]]=""),VLOOKUP(まとめ表_各店舗件数[[#This Row],[管理番号]],名前リスト[[#All],[管理番号]:[氏名]],3,TRUE),"")</f>
        <v>シマ　カズアキ</v>
      </c>
      <c r="D309" s="79" t="str">
        <f t="shared" si="5"/>
        <v/>
      </c>
      <c r="E30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0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0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0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0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0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0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0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0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0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0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0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0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0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0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0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0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0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0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0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0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0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0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09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0" spans="1:28">
      <c r="A310" s="20">
        <f>名前リスト[[#This Row],[管理番号]]</f>
        <v>1053</v>
      </c>
      <c r="B310" s="6">
        <f>IF(NOT(まとめ表_各店舗件数[[#This Row],[管理番号]]=""),VLOOKUP(まとめ表_各店舗件数[[#This Row],[管理番号]],名前リスト[[#All],[管理番号]:[氏名]],2,TRUE),"")</f>
        <v>0</v>
      </c>
      <c r="C310" s="21" t="str">
        <f>IF(NOT(まとめ表_各店舗件数[[#This Row],[管理番号]]=""),VLOOKUP(まとめ表_各店舗件数[[#This Row],[管理番号]],名前リスト[[#All],[管理番号]:[氏名]],3,TRUE),"")</f>
        <v>イシハラ　チズゴ</v>
      </c>
      <c r="D310" s="79" t="str">
        <f t="shared" si="5"/>
        <v/>
      </c>
      <c r="E31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0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1" spans="1:28">
      <c r="A311" s="20">
        <f>名前リスト[[#This Row],[管理番号]]</f>
        <v>1054</v>
      </c>
      <c r="B311" s="6">
        <f>IF(NOT(まとめ表_各店舗件数[[#This Row],[管理番号]]=""),VLOOKUP(まとめ表_各店舗件数[[#This Row],[管理番号]],名前リスト[[#All],[管理番号]:[氏名]],2,TRUE),"")</f>
        <v>0</v>
      </c>
      <c r="C311" s="21" t="str">
        <f>IF(NOT(まとめ表_各店舗件数[[#This Row],[管理番号]]=""),VLOOKUP(まとめ表_各店舗件数[[#This Row],[管理番号]],名前リスト[[#All],[管理番号]:[氏名]],3,TRUE),"")</f>
        <v>フクトミ　ダイスケ</v>
      </c>
      <c r="D311" s="79" t="str">
        <f t="shared" si="5"/>
        <v/>
      </c>
      <c r="E31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1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2" spans="1:28">
      <c r="A312" s="20">
        <f>名前リスト[[#This Row],[管理番号]]</f>
        <v>1055</v>
      </c>
      <c r="B312" s="6">
        <f>IF(NOT(まとめ表_各店舗件数[[#This Row],[管理番号]]=""),VLOOKUP(まとめ表_各店舗件数[[#This Row],[管理番号]],名前リスト[[#All],[管理番号]:[氏名]],2,TRUE),"")</f>
        <v>0</v>
      </c>
      <c r="C312" s="21" t="str">
        <f>IF(NOT(まとめ表_各店舗件数[[#This Row],[管理番号]]=""),VLOOKUP(まとめ表_各店舗件数[[#This Row],[管理番号]],名前リスト[[#All],[管理番号]:[氏名]],3,TRUE),"")</f>
        <v>クワハラ　ジュンマ</v>
      </c>
      <c r="D312" s="79" t="str">
        <f t="shared" si="5"/>
        <v/>
      </c>
      <c r="E31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2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3" spans="1:28">
      <c r="A313" s="20">
        <f>名前リスト[[#This Row],[管理番号]]</f>
        <v>1056</v>
      </c>
      <c r="B313" s="6">
        <f>IF(NOT(まとめ表_各店舗件数[[#This Row],[管理番号]]=""),VLOOKUP(まとめ表_各店舗件数[[#This Row],[管理番号]],名前リスト[[#All],[管理番号]:[氏名]],2,TRUE),"")</f>
        <v>0</v>
      </c>
      <c r="C313" s="21" t="str">
        <f>IF(NOT(まとめ表_各店舗件数[[#This Row],[管理番号]]=""),VLOOKUP(まとめ表_各店舗件数[[#This Row],[管理番号]],名前リスト[[#All],[管理番号]:[氏名]],3,TRUE),"")</f>
        <v>オバタ　ユミ</v>
      </c>
      <c r="D313" s="79" t="str">
        <f t="shared" si="5"/>
        <v/>
      </c>
      <c r="E31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3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4" spans="1:28">
      <c r="A314" s="20">
        <f>名前リスト[[#This Row],[管理番号]]</f>
        <v>1057</v>
      </c>
      <c r="B314" s="6">
        <f>IF(NOT(まとめ表_各店舗件数[[#This Row],[管理番号]]=""),VLOOKUP(まとめ表_各店舗件数[[#This Row],[管理番号]],名前リスト[[#All],[管理番号]:[氏名]],2,TRUE),"")</f>
        <v>0</v>
      </c>
      <c r="C314" s="21" t="str">
        <f>IF(NOT(まとめ表_各店舗件数[[#This Row],[管理番号]]=""),VLOOKUP(まとめ表_各店舗件数[[#This Row],[管理番号]],名前リスト[[#All],[管理番号]:[氏名]],3,TRUE),"")</f>
        <v>シチジョウ　タクミ</v>
      </c>
      <c r="D314" s="79" t="str">
        <f t="shared" si="5"/>
        <v/>
      </c>
      <c r="E31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4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5" spans="1:28">
      <c r="A315" s="20">
        <f>名前リスト[[#This Row],[管理番号]]</f>
        <v>1058</v>
      </c>
      <c r="B315" s="6">
        <f>IF(NOT(まとめ表_各店舗件数[[#This Row],[管理番号]]=""),VLOOKUP(まとめ表_各店舗件数[[#This Row],[管理番号]],名前リスト[[#All],[管理番号]:[氏名]],2,TRUE),"")</f>
        <v>0</v>
      </c>
      <c r="C315" s="21" t="str">
        <f>IF(NOT(まとめ表_各店舗件数[[#This Row],[管理番号]]=""),VLOOKUP(まとめ表_各店舗件数[[#This Row],[管理番号]],名前リスト[[#All],[管理番号]:[氏名]],3,TRUE),"")</f>
        <v>ヤノ　コウキ</v>
      </c>
      <c r="D315" s="79" t="str">
        <f t="shared" si="5"/>
        <v/>
      </c>
      <c r="E31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5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6" spans="1:28">
      <c r="A316" s="20">
        <f>名前リスト[[#This Row],[管理番号]]</f>
        <v>1059</v>
      </c>
      <c r="B316" s="6">
        <f>IF(NOT(まとめ表_各店舗件数[[#This Row],[管理番号]]=""),VLOOKUP(まとめ表_各店舗件数[[#This Row],[管理番号]],名前リスト[[#All],[管理番号]:[氏名]],2,TRUE),"")</f>
        <v>0</v>
      </c>
      <c r="C316" s="21" t="str">
        <f>IF(NOT(まとめ表_各店舗件数[[#This Row],[管理番号]]=""),VLOOKUP(まとめ表_各店舗件数[[#This Row],[管理番号]],名前リスト[[#All],[管理番号]:[氏名]],3,TRUE),"")</f>
        <v>ミヨシ　ユウダイ</v>
      </c>
      <c r="D316" s="79" t="str">
        <f t="shared" si="5"/>
        <v/>
      </c>
      <c r="E31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6" s="76">
        <f>SUMIFS(三ノ宮Barさんかく4000[[#All],[件数]],三ノ宮Barさんかく4000[[#All],[イベンター予約名]],まとめ表_各店舗件数[[#This Row],[管理番号]])+SUMIFS(三ノ宮Barさんかく3500[[#All],[件数]],三ノ宮Barさんかく3500[[#All],[イベンター予約名]],まとめ表_各店舗件数[[#This Row],[管理番号]])</f>
        <v>0</v>
      </c>
    </row>
    <row r="317" spans="1:28">
      <c r="A317" s="20">
        <f>名前リスト[[#This Row],[管理番号]]</f>
        <v>1060</v>
      </c>
      <c r="B317" s="6">
        <f>IF(NOT(まとめ表_各店舗件数[[#This Row],[管理番号]]=""),VLOOKUP(まとめ表_各店舗件数[[#This Row],[管理番号]],名前リスト[[#All],[管理番号]:[氏名]],2,TRUE),"")</f>
        <v>0</v>
      </c>
      <c r="C317" s="21" t="str">
        <f>IF(NOT(まとめ表_各店舗件数[[#This Row],[管理番号]]=""),VLOOKUP(まとめ表_各店舗件数[[#This Row],[管理番号]],名前リスト[[#All],[管理番号]:[氏名]],3,TRUE),"")</f>
        <v>ヤマモト　ハヤテ</v>
      </c>
      <c r="D317" s="79" t="str">
        <f t="shared" si="5"/>
        <v/>
      </c>
      <c r="E31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</row>
    <row r="318" spans="1:28">
      <c r="A318" s="20">
        <f>名前リスト[[#This Row],[管理番号]]</f>
        <v>1061</v>
      </c>
      <c r="B318" s="6">
        <f>IF(NOT(まとめ表_各店舗件数[[#This Row],[管理番号]]=""),VLOOKUP(まとめ表_各店舗件数[[#This Row],[管理番号]],名前リスト[[#All],[管理番号]:[氏名]],2,TRUE),"")</f>
        <v>0</v>
      </c>
      <c r="C318" s="21" t="str">
        <f>IF(NOT(まとめ表_各店舗件数[[#This Row],[管理番号]]=""),VLOOKUP(まとめ表_各店舗件数[[#This Row],[管理番号]],名前リスト[[#All],[管理番号]:[氏名]],3,TRUE),"")</f>
        <v>ナカニシ　コウキ</v>
      </c>
      <c r="D318" s="79" t="str">
        <f t="shared" si="5"/>
        <v/>
      </c>
      <c r="E31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8" s="76"/>
    </row>
    <row r="319" spans="1:28">
      <c r="A319" s="20">
        <f>名前リスト[[#This Row],[管理番号]]</f>
        <v>1062</v>
      </c>
      <c r="B319" s="6">
        <f>IF(NOT(まとめ表_各店舗件数[[#This Row],[管理番号]]=""),VLOOKUP(まとめ表_各店舗件数[[#This Row],[管理番号]],名前リスト[[#All],[管理番号]:[氏名]],2,TRUE),"")</f>
        <v>0</v>
      </c>
      <c r="C319" s="21" t="str">
        <f>IF(NOT(まとめ表_各店舗件数[[#This Row],[管理番号]]=""),VLOOKUP(まとめ表_各店舗件数[[#This Row],[管理番号]],名前リスト[[#All],[管理番号]:[氏名]],3,TRUE),"")</f>
        <v>ヨシカワ ケンシン</v>
      </c>
      <c r="D319" s="79" t="str">
        <f t="shared" si="5"/>
        <v/>
      </c>
      <c r="E31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1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1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1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1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1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1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1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1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1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1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1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1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1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1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1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1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1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1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1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1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1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1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19" s="76"/>
    </row>
    <row r="320" spans="1:28">
      <c r="A320" s="20">
        <f>名前リスト[[#This Row],[管理番号]]</f>
        <v>1063</v>
      </c>
      <c r="B320" s="6">
        <f>IF(NOT(まとめ表_各店舗件数[[#This Row],[管理番号]]=""),VLOOKUP(まとめ表_各店舗件数[[#This Row],[管理番号]],名前リスト[[#All],[管理番号]:[氏名]],2,TRUE),"")</f>
        <v>0</v>
      </c>
      <c r="C320" s="21" t="str">
        <f>IF(NOT(まとめ表_各店舗件数[[#This Row],[管理番号]]=""),VLOOKUP(まとめ表_各店舗件数[[#This Row],[管理番号]],名前リスト[[#All],[管理番号]:[氏名]],3,TRUE),"")</f>
        <v>サカウエ　ハルキ</v>
      </c>
      <c r="D320" s="79" t="str">
        <f t="shared" si="5"/>
        <v/>
      </c>
      <c r="E32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0" s="76"/>
    </row>
    <row r="321" spans="1:28">
      <c r="A321" s="20">
        <f>名前リスト[[#This Row],[管理番号]]</f>
        <v>1064</v>
      </c>
      <c r="B321" s="6">
        <f>IF(NOT(まとめ表_各店舗件数[[#This Row],[管理番号]]=""),VLOOKUP(まとめ表_各店舗件数[[#This Row],[管理番号]],名前リスト[[#All],[管理番号]:[氏名]],2,TRUE),"")</f>
        <v>0</v>
      </c>
      <c r="C321" s="21" t="str">
        <f>IF(NOT(まとめ表_各店舗件数[[#This Row],[管理番号]]=""),VLOOKUP(まとめ表_各店舗件数[[#This Row],[管理番号]],名前リスト[[#All],[管理番号]:[氏名]],3,TRUE),"")</f>
        <v>オダ　テッペイ</v>
      </c>
      <c r="D321" s="79" t="str">
        <f t="shared" si="5"/>
        <v/>
      </c>
      <c r="E32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1" s="76"/>
    </row>
    <row r="322" spans="1:28">
      <c r="A322" s="20">
        <f>名前リスト[[#This Row],[管理番号]]</f>
        <v>1065</v>
      </c>
      <c r="B322" s="6">
        <f>IF(NOT(まとめ表_各店舗件数[[#This Row],[管理番号]]=""),VLOOKUP(まとめ表_各店舗件数[[#This Row],[管理番号]],名前リスト[[#All],[管理番号]:[氏名]],2,TRUE),"")</f>
        <v>0</v>
      </c>
      <c r="C322" s="21" t="str">
        <f>IF(NOT(まとめ表_各店舗件数[[#This Row],[管理番号]]=""),VLOOKUP(まとめ表_各店舗件数[[#This Row],[管理番号]],名前リスト[[#All],[管理番号]:[氏名]],3,TRUE),"")</f>
        <v>ヤマグチ　マリ</v>
      </c>
      <c r="D322" s="79" t="str">
        <f t="shared" si="5"/>
        <v/>
      </c>
      <c r="E32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2" s="76"/>
    </row>
    <row r="323" spans="1:28">
      <c r="A323" s="20">
        <f>名前リスト[[#This Row],[管理番号]]</f>
        <v>1066</v>
      </c>
      <c r="B323" s="6">
        <f>IF(NOT(まとめ表_各店舗件数[[#This Row],[管理番号]]=""),VLOOKUP(まとめ表_各店舗件数[[#This Row],[管理番号]],名前リスト[[#All],[管理番号]:[氏名]],2,TRUE),"")</f>
        <v>0</v>
      </c>
      <c r="C323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3" s="79" t="str">
        <f t="shared" si="5"/>
        <v/>
      </c>
      <c r="E32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3" s="76"/>
    </row>
    <row r="324" spans="1:28">
      <c r="A324" s="20">
        <f>名前リスト[[#This Row],[管理番号]]</f>
        <v>1067</v>
      </c>
      <c r="B324" s="6">
        <f>IF(NOT(まとめ表_各店舗件数[[#This Row],[管理番号]]=""),VLOOKUP(まとめ表_各店舗件数[[#This Row],[管理番号]],名前リスト[[#All],[管理番号]:[氏名]],2,TRUE),"")</f>
        <v>0</v>
      </c>
      <c r="C324" s="21" t="str">
        <f>IF(NOT(まとめ表_各店舗件数[[#This Row],[管理番号]]=""),VLOOKUP(まとめ表_各店舗件数[[#This Row],[管理番号]],名前リスト[[#All],[管理番号]:[氏名]],3,TRUE),"")</f>
        <v>タキガワ　アヤネ</v>
      </c>
      <c r="D324" s="79" t="str">
        <f t="shared" si="5"/>
        <v/>
      </c>
      <c r="E32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4" s="76"/>
    </row>
    <row r="325" spans="1:28">
      <c r="A325" s="20">
        <f>名前リスト[[#This Row],[管理番号]]</f>
        <v>1068</v>
      </c>
      <c r="B325" s="6">
        <f>IF(NOT(まとめ表_各店舗件数[[#This Row],[管理番号]]=""),VLOOKUP(まとめ表_各店舗件数[[#This Row],[管理番号]],名前リスト[[#All],[管理番号]:[氏名]],2,TRUE),"")</f>
        <v>0</v>
      </c>
      <c r="C325" s="21" t="str">
        <f>IF(NOT(まとめ表_各店舗件数[[#This Row],[管理番号]]=""),VLOOKUP(まとめ表_各店舗件数[[#This Row],[管理番号]],名前リスト[[#All],[管理番号]:[氏名]],3,TRUE),"")</f>
        <v>ニシダ　マナ</v>
      </c>
      <c r="D325" s="79" t="str">
        <f t="shared" si="5"/>
        <v/>
      </c>
      <c r="E32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5" s="76"/>
    </row>
    <row r="326" spans="1:28">
      <c r="A326" s="20">
        <f>名前リスト[[#This Row],[管理番号]]</f>
        <v>1069</v>
      </c>
      <c r="B326" s="6">
        <f>IF(NOT(まとめ表_各店舗件数[[#This Row],[管理番号]]=""),VLOOKUP(まとめ表_各店舗件数[[#This Row],[管理番号]],名前リスト[[#All],[管理番号]:[氏名]],2,TRUE),"")</f>
        <v>0</v>
      </c>
      <c r="C326" s="21" t="str">
        <f>IF(NOT(まとめ表_各店舗件数[[#This Row],[管理番号]]=""),VLOOKUP(まとめ表_各店舗件数[[#This Row],[管理番号]],名前リスト[[#All],[管理番号]:[氏名]],3,TRUE),"")</f>
        <v>フジヨシ　カゼヒロ</v>
      </c>
      <c r="D326" s="79" t="str">
        <f t="shared" si="5"/>
        <v/>
      </c>
      <c r="E32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6" s="76"/>
    </row>
    <row r="327" spans="1:28">
      <c r="A327" s="20">
        <f>名前リスト[[#This Row],[管理番号]]</f>
        <v>1070</v>
      </c>
      <c r="B327" s="6">
        <f>IF(NOT(まとめ表_各店舗件数[[#This Row],[管理番号]]=""),VLOOKUP(まとめ表_各店舗件数[[#This Row],[管理番号]],名前リスト[[#All],[管理番号]:[氏名]],2,TRUE),"")</f>
        <v>0</v>
      </c>
      <c r="C327" s="21" t="str">
        <f>IF(NOT(まとめ表_各店舗件数[[#This Row],[管理番号]]=""),VLOOKUP(まとめ表_各店舗件数[[#This Row],[管理番号]],名前リスト[[#All],[管理番号]:[氏名]],3,TRUE),"")</f>
        <v>ホリタ コウガ</v>
      </c>
      <c r="D327" s="79" t="str">
        <f t="shared" si="5"/>
        <v/>
      </c>
      <c r="E32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7" s="76"/>
    </row>
    <row r="328" spans="1:28">
      <c r="A328" s="20">
        <f>名前リスト[[#This Row],[管理番号]]</f>
        <v>1071</v>
      </c>
      <c r="B328" s="6">
        <f>IF(NOT(まとめ表_各店舗件数[[#This Row],[管理番号]]=""),VLOOKUP(まとめ表_各店舗件数[[#This Row],[管理番号]],名前リスト[[#All],[管理番号]:[氏名]],2,TRUE),"")</f>
        <v>0</v>
      </c>
      <c r="C328" s="21" t="str">
        <f>IF(NOT(まとめ表_各店舗件数[[#This Row],[管理番号]]=""),VLOOKUP(まとめ表_各店舗件数[[#This Row],[管理番号]],名前リスト[[#All],[管理番号]:[氏名]],3,TRUE),"")</f>
        <v>ナカタ　モモ</v>
      </c>
      <c r="D328" s="79" t="str">
        <f t="shared" si="5"/>
        <v/>
      </c>
      <c r="E32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8" s="76"/>
    </row>
    <row r="329" spans="1:28">
      <c r="A329" s="20">
        <f>名前リスト[[#This Row],[管理番号]]</f>
        <v>1072</v>
      </c>
      <c r="B329" s="6">
        <f>IF(NOT(まとめ表_各店舗件数[[#This Row],[管理番号]]=""),VLOOKUP(まとめ表_各店舗件数[[#This Row],[管理番号]],名前リスト[[#All],[管理番号]:[氏名]],2,TRUE),"")</f>
        <v>0</v>
      </c>
      <c r="C329" s="21" t="str">
        <f>IF(NOT(まとめ表_各店舗件数[[#This Row],[管理番号]]=""),VLOOKUP(まとめ表_各店舗件数[[#This Row],[管理番号]],名前リスト[[#All],[管理番号]:[氏名]],3,TRUE),"")</f>
        <v>ホシバ　モモカ</v>
      </c>
      <c r="D329" s="79" t="str">
        <f t="shared" si="5"/>
        <v/>
      </c>
      <c r="E32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2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2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2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2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2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2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2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2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2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2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2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2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2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2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2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2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2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2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2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2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2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2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29" s="76"/>
    </row>
    <row r="330" spans="1:28">
      <c r="A330" s="20">
        <f>名前リスト[[#This Row],[管理番号]]</f>
        <v>1073</v>
      </c>
      <c r="B330" s="6">
        <f>IF(NOT(まとめ表_各店舗件数[[#This Row],[管理番号]]=""),VLOOKUP(まとめ表_各店舗件数[[#This Row],[管理番号]],名前リスト[[#All],[管理番号]:[氏名]],2,TRUE),"")</f>
        <v>0</v>
      </c>
      <c r="C330" s="21" t="str">
        <f>IF(NOT(まとめ表_各店舗件数[[#This Row],[管理番号]]=""),VLOOKUP(まとめ表_各店舗件数[[#This Row],[管理番号]],名前リスト[[#All],[管理番号]:[氏名]],3,TRUE),"")</f>
        <v>ツジハラ　タクヤ</v>
      </c>
      <c r="D330" s="79" t="str">
        <f t="shared" si="5"/>
        <v/>
      </c>
      <c r="E33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0" s="76"/>
    </row>
    <row r="331" spans="1:28">
      <c r="A331" s="20">
        <f>名前リスト[[#This Row],[管理番号]]</f>
        <v>1074</v>
      </c>
      <c r="B331" s="6">
        <f>IF(NOT(まとめ表_各店舗件数[[#This Row],[管理番号]]=""),VLOOKUP(まとめ表_各店舗件数[[#This Row],[管理番号]],名前リスト[[#All],[管理番号]:[氏名]],2,TRUE),"")</f>
        <v>0</v>
      </c>
      <c r="C331" s="21" t="str">
        <f>IF(NOT(まとめ表_各店舗件数[[#This Row],[管理番号]]=""),VLOOKUP(まとめ表_各店舗件数[[#This Row],[管理番号]],名前リスト[[#All],[管理番号]:[氏名]],3,TRUE),"")</f>
        <v>ハジメ　トモヤ</v>
      </c>
      <c r="D331" s="79" t="str">
        <f t="shared" si="5"/>
        <v/>
      </c>
      <c r="E33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1" s="76"/>
    </row>
    <row r="332" spans="1:28">
      <c r="A332" s="20">
        <f>名前リスト[[#This Row],[管理番号]]</f>
        <v>1075</v>
      </c>
      <c r="B332" s="6">
        <f>IF(NOT(まとめ表_各店舗件数[[#This Row],[管理番号]]=""),VLOOKUP(まとめ表_各店舗件数[[#This Row],[管理番号]],名前リスト[[#All],[管理番号]:[氏名]],2,TRUE),"")</f>
        <v>0</v>
      </c>
      <c r="C332" s="21" t="str">
        <f>IF(NOT(まとめ表_各店舗件数[[#This Row],[管理番号]]=""),VLOOKUP(まとめ表_各店舗件数[[#This Row],[管理番号]],名前リスト[[#All],[管理番号]:[氏名]],3,TRUE),"")</f>
        <v>ウエダ　ショウブ</v>
      </c>
      <c r="D332" s="79" t="str">
        <f t="shared" si="5"/>
        <v/>
      </c>
      <c r="E33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2" s="76"/>
    </row>
    <row r="333" spans="1:28">
      <c r="A333" s="20">
        <f>名前リスト[[#This Row],[管理番号]]</f>
        <v>1076</v>
      </c>
      <c r="B333" s="6">
        <f>IF(NOT(まとめ表_各店舗件数[[#This Row],[管理番号]]=""),VLOOKUP(まとめ表_各店舗件数[[#This Row],[管理番号]],名前リスト[[#All],[管理番号]:[氏名]],2,TRUE),"")</f>
        <v>0</v>
      </c>
      <c r="C333" s="21" t="str">
        <f>IF(NOT(まとめ表_各店舗件数[[#This Row],[管理番号]]=""),VLOOKUP(まとめ表_各店舗件数[[#This Row],[管理番号]],名前リスト[[#All],[管理番号]:[氏名]],3,TRUE),"")</f>
        <v>サノ ジュンコ</v>
      </c>
      <c r="D333" s="79" t="str">
        <f t="shared" si="5"/>
        <v/>
      </c>
      <c r="E33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3" s="76"/>
    </row>
    <row r="334" spans="1:28">
      <c r="A334" s="20">
        <f>名前リスト[[#This Row],[管理番号]]</f>
        <v>1077</v>
      </c>
      <c r="B334" s="6">
        <f>IF(NOT(まとめ表_各店舗件数[[#This Row],[管理番号]]=""),VLOOKUP(まとめ表_各店舗件数[[#This Row],[管理番号]],名前リスト[[#All],[管理番号]:[氏名]],2,TRUE),"")</f>
        <v>0</v>
      </c>
      <c r="C334" s="21" t="str">
        <f>IF(NOT(まとめ表_各店舗件数[[#This Row],[管理番号]]=""),VLOOKUP(まとめ表_各店舗件数[[#This Row],[管理番号]],名前リスト[[#All],[管理番号]:[氏名]],3,TRUE),"")</f>
        <v>ミチノ　ナツキ</v>
      </c>
      <c r="D334" s="79" t="str">
        <f t="shared" si="5"/>
        <v/>
      </c>
      <c r="E33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4" s="76"/>
    </row>
    <row r="335" spans="1:28">
      <c r="A335" s="20">
        <f>名前リスト[[#This Row],[管理番号]]</f>
        <v>1078</v>
      </c>
      <c r="B335" s="6">
        <f>IF(NOT(まとめ表_各店舗件数[[#This Row],[管理番号]]=""),VLOOKUP(まとめ表_各店舗件数[[#This Row],[管理番号]],名前リスト[[#All],[管理番号]:[氏名]],2,TRUE),"")</f>
        <v>0</v>
      </c>
      <c r="C335" s="21" t="str">
        <f>IF(NOT(まとめ表_各店舗件数[[#This Row],[管理番号]]=""),VLOOKUP(まとめ表_各店舗件数[[#This Row],[管理番号]],名前リスト[[#All],[管理番号]:[氏名]],3,TRUE),"")</f>
        <v>ヤマグチ　マサト</v>
      </c>
      <c r="D335" s="79" t="str">
        <f t="shared" si="5"/>
        <v/>
      </c>
      <c r="E33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5" s="76"/>
    </row>
    <row r="336" spans="1:28">
      <c r="A336" s="20">
        <f>名前リスト[[#This Row],[管理番号]]</f>
        <v>1079</v>
      </c>
      <c r="B336" s="6">
        <f>IF(NOT(まとめ表_各店舗件数[[#This Row],[管理番号]]=""),VLOOKUP(まとめ表_各店舗件数[[#This Row],[管理番号]],名前リスト[[#All],[管理番号]:[氏名]],2,TRUE),"")</f>
        <v>0</v>
      </c>
      <c r="C336" s="21" t="str">
        <f>IF(NOT(まとめ表_各店舗件数[[#This Row],[管理番号]]=""),VLOOKUP(まとめ表_各店舗件数[[#This Row],[管理番号]],名前リスト[[#All],[管理番号]:[氏名]],3,TRUE),"")</f>
        <v>クボ　ヒヨリ</v>
      </c>
      <c r="D336" s="79" t="str">
        <f t="shared" si="5"/>
        <v/>
      </c>
      <c r="E33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6" s="76"/>
    </row>
    <row r="337" spans="1:28">
      <c r="A337" s="20">
        <f>名前リスト[[#This Row],[管理番号]]</f>
        <v>1080</v>
      </c>
      <c r="B337" s="6">
        <f>IF(NOT(まとめ表_各店舗件数[[#This Row],[管理番号]]=""),VLOOKUP(まとめ表_各店舗件数[[#This Row],[管理番号]],名前リスト[[#All],[管理番号]:[氏名]],2,TRUE),"")</f>
        <v>0</v>
      </c>
      <c r="C337" s="21" t="str">
        <f>IF(NOT(まとめ表_各店舗件数[[#This Row],[管理番号]]=""),VLOOKUP(まとめ表_各店舗件数[[#This Row],[管理番号]],名前リスト[[#All],[管理番号]:[氏名]],3,TRUE),"")</f>
        <v>ナガイ　タツキ</v>
      </c>
      <c r="D337" s="79" t="str">
        <f t="shared" si="5"/>
        <v/>
      </c>
      <c r="E33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7" s="76"/>
    </row>
    <row r="338" spans="1:28">
      <c r="A338" s="20">
        <f>名前リスト[[#This Row],[管理番号]]</f>
        <v>1081</v>
      </c>
      <c r="B338" s="6">
        <f>IF(NOT(まとめ表_各店舗件数[[#This Row],[管理番号]]=""),VLOOKUP(まとめ表_各店舗件数[[#This Row],[管理番号]],名前リスト[[#All],[管理番号]:[氏名]],2,TRUE),"")</f>
        <v>0</v>
      </c>
      <c r="C338" s="21" t="str">
        <f>IF(NOT(まとめ表_各店舗件数[[#This Row],[管理番号]]=""),VLOOKUP(まとめ表_各店舗件数[[#This Row],[管理番号]],名前リスト[[#All],[管理番号]:[氏名]],3,TRUE),"")</f>
        <v>タニマ　ショウタ</v>
      </c>
      <c r="D338" s="79" t="str">
        <f t="shared" si="5"/>
        <v/>
      </c>
      <c r="E33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8" s="76"/>
    </row>
    <row r="339" spans="1:28">
      <c r="A339" s="20">
        <f>名前リスト[[#This Row],[管理番号]]</f>
        <v>1082</v>
      </c>
      <c r="B339" s="6">
        <f>IF(NOT(まとめ表_各店舗件数[[#This Row],[管理番号]]=""),VLOOKUP(まとめ表_各店舗件数[[#This Row],[管理番号]],名前リスト[[#All],[管理番号]:[氏名]],2,TRUE),"")</f>
        <v>0</v>
      </c>
      <c r="C339" s="21" t="str">
        <f>IF(NOT(まとめ表_各店舗件数[[#This Row],[管理番号]]=""),VLOOKUP(まとめ表_各店舗件数[[#This Row],[管理番号]],名前リスト[[#All],[管理番号]:[氏名]],3,TRUE),"")</f>
        <v>コバヤシ　ユウタ</v>
      </c>
      <c r="D339" s="79" t="str">
        <f t="shared" si="5"/>
        <v/>
      </c>
      <c r="E33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3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3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3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3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3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3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3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3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3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3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3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3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3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3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3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3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3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3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3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3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3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3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39" s="76"/>
    </row>
    <row r="340" spans="1:28">
      <c r="A340" s="20">
        <f>名前リスト[[#This Row],[管理番号]]</f>
        <v>1083</v>
      </c>
      <c r="B340" s="6">
        <f>IF(NOT(まとめ表_各店舗件数[[#This Row],[管理番号]]=""),VLOOKUP(まとめ表_各店舗件数[[#This Row],[管理番号]],名前リスト[[#All],[管理番号]:[氏名]],2,TRUE),"")</f>
        <v>0</v>
      </c>
      <c r="C340" s="21" t="str">
        <f>IF(NOT(まとめ表_各店舗件数[[#This Row],[管理番号]]=""),VLOOKUP(まとめ表_各店舗件数[[#This Row],[管理番号]],名前リスト[[#All],[管理番号]:[氏名]],3,TRUE),"")</f>
        <v>フルモト　ダイキ</v>
      </c>
      <c r="D340" s="79" t="str">
        <f t="shared" si="5"/>
        <v/>
      </c>
      <c r="E34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0" s="76"/>
    </row>
    <row r="341" spans="1:28">
      <c r="A341" s="20">
        <f>名前リスト[[#This Row],[管理番号]]</f>
        <v>1084</v>
      </c>
      <c r="B341" s="6">
        <f>IF(NOT(まとめ表_各店舗件数[[#This Row],[管理番号]]=""),VLOOKUP(まとめ表_各店舗件数[[#This Row],[管理番号]],名前リスト[[#All],[管理番号]:[氏名]],2,TRUE),"")</f>
        <v>0</v>
      </c>
      <c r="C341" s="21" t="str">
        <f>IF(NOT(まとめ表_各店舗件数[[#This Row],[管理番号]]=""),VLOOKUP(まとめ表_各店舗件数[[#This Row],[管理番号]],名前リスト[[#All],[管理番号]:[氏名]],3,TRUE),"")</f>
        <v>ミチネ　アンナ</v>
      </c>
      <c r="D341" s="79" t="str">
        <f t="shared" si="5"/>
        <v/>
      </c>
      <c r="E34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1" s="76"/>
    </row>
    <row r="342" spans="1:28">
      <c r="A342" s="20">
        <f>名前リスト[[#This Row],[管理番号]]</f>
        <v>1085</v>
      </c>
      <c r="B342" s="6">
        <f>IF(NOT(まとめ表_各店舗件数[[#This Row],[管理番号]]=""),VLOOKUP(まとめ表_各店舗件数[[#This Row],[管理番号]],名前リスト[[#All],[管理番号]:[氏名]],2,TRUE),"")</f>
        <v>0</v>
      </c>
      <c r="C342" s="21" t="str">
        <f>IF(NOT(まとめ表_各店舗件数[[#This Row],[管理番号]]=""),VLOOKUP(まとめ表_各店舗件数[[#This Row],[管理番号]],名前リスト[[#All],[管理番号]:[氏名]],3,TRUE),"")</f>
        <v>イケダ　アキヒロ</v>
      </c>
      <c r="D342" s="79" t="str">
        <f t="shared" si="5"/>
        <v/>
      </c>
      <c r="E342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2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2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2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2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2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2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2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2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2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2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2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2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2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2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2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2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2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2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2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2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2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2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2" s="76"/>
    </row>
    <row r="343" spans="1:28">
      <c r="A343" s="20">
        <f>名前リスト[[#This Row],[管理番号]]</f>
        <v>1086</v>
      </c>
      <c r="B343" s="6">
        <f>IF(NOT(まとめ表_各店舗件数[[#This Row],[管理番号]]=""),VLOOKUP(まとめ表_各店舗件数[[#This Row],[管理番号]],名前リスト[[#All],[管理番号]:[氏名]],2,TRUE),"")</f>
        <v>0</v>
      </c>
      <c r="C343" s="21" t="str">
        <f>IF(NOT(まとめ表_各店舗件数[[#This Row],[管理番号]]=""),VLOOKUP(まとめ表_各店舗件数[[#This Row],[管理番号]],名前リスト[[#All],[管理番号]:[氏名]],3,TRUE),"")</f>
        <v>タケムラ　マヤ</v>
      </c>
      <c r="D343" s="79" t="str">
        <f t="shared" si="5"/>
        <v/>
      </c>
      <c r="E343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3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3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3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3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3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3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3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3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3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3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3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3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3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3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3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3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3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3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3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3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3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3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3" s="76"/>
    </row>
    <row r="344" spans="1:28">
      <c r="A344" s="20">
        <f>名前リスト[[#This Row],[管理番号]]</f>
        <v>1087</v>
      </c>
      <c r="B344" s="6">
        <f>IF(NOT(まとめ表_各店舗件数[[#This Row],[管理番号]]=""),VLOOKUP(まとめ表_各店舗件数[[#This Row],[管理番号]],名前リスト[[#All],[管理番号]:[氏名]],2,TRUE),"")</f>
        <v>0</v>
      </c>
      <c r="C344" s="21" t="str">
        <f>IF(NOT(まとめ表_各店舗件数[[#This Row],[管理番号]]=""),VLOOKUP(まとめ表_各店舗件数[[#This Row],[管理番号]],名前リスト[[#All],[管理番号]:[氏名]],3,TRUE),"")</f>
        <v>ツジ　カスミ</v>
      </c>
      <c r="D344" s="79" t="str">
        <f t="shared" si="5"/>
        <v/>
      </c>
      <c r="E344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4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4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4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4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4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4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4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4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4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4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4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4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4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4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4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4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4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4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4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4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4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4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4" s="76"/>
    </row>
    <row r="345" spans="1:28">
      <c r="A345" s="20">
        <f>名前リスト[[#This Row],[管理番号]]</f>
        <v>1088</v>
      </c>
      <c r="B345" s="6">
        <f>IF(NOT(まとめ表_各店舗件数[[#This Row],[管理番号]]=""),VLOOKUP(まとめ表_各店舗件数[[#This Row],[管理番号]],名前リスト[[#All],[管理番号]:[氏名]],2,TRUE),"")</f>
        <v>0</v>
      </c>
      <c r="C345" s="21" t="str">
        <f>IF(NOT(まとめ表_各店舗件数[[#This Row],[管理番号]]=""),VLOOKUP(まとめ表_各店舗件数[[#This Row],[管理番号]],名前リスト[[#All],[管理番号]:[氏名]],3,TRUE),"")</f>
        <v>ムラオカ　ナナ</v>
      </c>
      <c r="D345" s="79" t="str">
        <f t="shared" si="5"/>
        <v/>
      </c>
      <c r="E345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5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5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5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5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5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5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5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5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5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5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5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5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5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5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5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5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5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5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5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5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5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5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5" s="76"/>
    </row>
    <row r="346" spans="1:28">
      <c r="A346" s="20">
        <f>名前リスト[[#This Row],[管理番号]]</f>
        <v>1089</v>
      </c>
      <c r="B346" s="6">
        <f>IF(NOT(まとめ表_各店舗件数[[#This Row],[管理番号]]=""),VLOOKUP(まとめ表_各店舗件数[[#This Row],[管理番号]],名前リスト[[#All],[管理番号]:[氏名]],2,TRUE),"")</f>
        <v>0</v>
      </c>
      <c r="C346" s="21" t="str">
        <f>IF(NOT(まとめ表_各店舗件数[[#This Row],[管理番号]]=""),VLOOKUP(まとめ表_各店舗件数[[#This Row],[管理番号]],名前リスト[[#All],[管理番号]:[氏名]],3,TRUE),"")</f>
        <v>オノ　リンタロウ</v>
      </c>
      <c r="D346" s="79" t="str">
        <f t="shared" si="5"/>
        <v/>
      </c>
      <c r="E346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6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6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6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6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6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6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6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6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6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6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6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6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6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6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6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6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6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6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6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6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6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6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6" s="76"/>
    </row>
    <row r="347" spans="1:28">
      <c r="A347" s="20">
        <f>名前リスト[[#This Row],[管理番号]]</f>
        <v>1090</v>
      </c>
      <c r="B347" s="6">
        <f>IF(NOT(まとめ表_各店舗件数[[#This Row],[管理番号]]=""),VLOOKUP(まとめ表_各店舗件数[[#This Row],[管理番号]],名前リスト[[#All],[管理番号]:[氏名]],2,TRUE),"")</f>
        <v>0</v>
      </c>
      <c r="C347" s="21" t="str">
        <f>IF(NOT(まとめ表_各店舗件数[[#This Row],[管理番号]]=""),VLOOKUP(まとめ表_各店舗件数[[#This Row],[管理番号]],名前リスト[[#All],[管理番号]:[氏名]],3,TRUE),"")</f>
        <v>ハヤシ サヤカ</v>
      </c>
      <c r="D347" s="79" t="str">
        <f t="shared" si="5"/>
        <v/>
      </c>
      <c r="E347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7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7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7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7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7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7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7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7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7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7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7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7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7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7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7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7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7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7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7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7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7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7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7" s="76"/>
    </row>
    <row r="348" spans="1:28">
      <c r="A348" s="20">
        <f>名前リスト[[#This Row],[管理番号]]</f>
        <v>1091</v>
      </c>
      <c r="B348" s="6">
        <f>IF(NOT(まとめ表_各店舗件数[[#This Row],[管理番号]]=""),VLOOKUP(まとめ表_各店舗件数[[#This Row],[管理番号]],名前リスト[[#All],[管理番号]:[氏名]],2,TRUE),"")</f>
        <v>0</v>
      </c>
      <c r="C348" s="21">
        <f>IF(NOT(まとめ表_各店舗件数[[#This Row],[管理番号]]=""),VLOOKUP(まとめ表_各店舗件数[[#This Row],[管理番号]],名前リスト[[#All],[管理番号]:[氏名]],3,TRUE),"")</f>
        <v>0</v>
      </c>
      <c r="D348" s="79" t="str">
        <f t="shared" si="5"/>
        <v/>
      </c>
      <c r="E348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8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8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8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8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8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8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8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8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8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8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8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8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8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8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8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8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8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8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8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8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8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8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8" s="76"/>
    </row>
    <row r="349" spans="1:28">
      <c r="A349" s="20">
        <f>名前リスト[[#This Row],[管理番号]]</f>
        <v>1092</v>
      </c>
      <c r="B349" s="6">
        <f>IF(NOT(まとめ表_各店舗件数[[#This Row],[管理番号]]=""),VLOOKUP(まとめ表_各店舗件数[[#This Row],[管理番号]],名前リスト[[#All],[管理番号]:[氏名]],2,TRUE),"")</f>
        <v>0</v>
      </c>
      <c r="C349" s="21">
        <f>IF(NOT(まとめ表_各店舗件数[[#This Row],[管理番号]]=""),VLOOKUP(まとめ表_各店舗件数[[#This Row],[管理番号]],名前リスト[[#All],[管理番号]:[氏名]],3,TRUE),"")</f>
        <v>0</v>
      </c>
      <c r="D349" s="79" t="str">
        <f t="shared" si="5"/>
        <v/>
      </c>
      <c r="E349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49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49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49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49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49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49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49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49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49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49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49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49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49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49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49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49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49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49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49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49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49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49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49" s="76"/>
    </row>
    <row r="350" spans="1:28">
      <c r="A350" s="20">
        <f>名前リスト[[#This Row],[管理番号]]</f>
        <v>1093</v>
      </c>
      <c r="B350" s="6">
        <f>IF(NOT(まとめ表_各店舗件数[[#This Row],[管理番号]]=""),VLOOKUP(まとめ表_各店舗件数[[#This Row],[管理番号]],名前リスト[[#All],[管理番号]:[氏名]],2,TRUE),"")</f>
        <v>0</v>
      </c>
      <c r="C350" s="21">
        <f>IF(NOT(まとめ表_各店舗件数[[#This Row],[管理番号]]=""),VLOOKUP(まとめ表_各店舗件数[[#This Row],[管理番号]],名前リスト[[#All],[管理番号]:[氏名]],3,TRUE),"")</f>
        <v>0</v>
      </c>
      <c r="D350" s="79" t="str">
        <f t="shared" si="5"/>
        <v/>
      </c>
      <c r="E350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0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0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0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0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0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0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0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0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0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0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0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0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0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0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0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0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0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0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0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0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0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0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0" s="76"/>
    </row>
    <row r="351" spans="1:28">
      <c r="A351" s="20">
        <f>名前リスト[[#This Row],[管理番号]]</f>
        <v>1094</v>
      </c>
      <c r="B351" s="6" t="str">
        <f>IF(NOT(まとめ表_各店舗件数[[#This Row],[管理番号]]=""),VLOOKUP(まとめ表_各店舗件数[[#This Row],[管理番号]],名前リスト[[#All],[管理番号]:[氏名]],2,TRUE),"")</f>
        <v>たくま</v>
      </c>
      <c r="C351" s="21">
        <f>IF(NOT(まとめ表_各店舗件数[[#This Row],[管理番号]]=""),VLOOKUP(まとめ表_各店舗件数[[#This Row],[管理番号]],名前リスト[[#All],[管理番号]:[氏名]],3,TRUE),"")</f>
        <v>0</v>
      </c>
      <c r="D351" s="79" t="str">
        <f t="shared" si="5"/>
        <v/>
      </c>
      <c r="E351" s="112">
        <f>SUMIFS(梅田キャンプ4000[[#All],[件数]],梅田キャンプ4000[[#All],[イベンター予約名]],まとめ表_各店舗件数[[#This Row],[管理番号]])+SUMIFS(梅田キャンプ3500[[#All],[件数]],梅田キャンプ3500[[#All],[イベンター予約名]],まとめ表_各店舗件数[[#This Row],[管理番号]])</f>
        <v>0</v>
      </c>
      <c r="F351" s="112">
        <f>SUMIFS(梅田パンプキン4000[[#All],[件数]],梅田パンプキン4000[[#All],[イベンター予約名]],まとめ表_各店舗件数[[#This Row],[管理番号]])+SUMIFS(梅田パンプキン3500[[#All],[件数]],梅田パンプキン3500[[#All],[イベンター予約名]],まとめ表_各店舗件数[[#This Row],[管理番号]])</f>
        <v>0</v>
      </c>
      <c r="G351" s="112">
        <f>SUMIFS(堀江あいあい4000[[#All],[件数]],堀江あいあい4000[[#All],[イベンター予約名]],まとめ表_各店舗件数[[#This Row],[管理番号]])+SUMIFS(堀江あいあい3500[[#All],[件数]],堀江あいあい3500[[#All],[イベンター予約名]],まとめ表_各店舗件数[[#This Row],[管理番号]])</f>
        <v>0</v>
      </c>
      <c r="H351" s="112">
        <f>SUMIFS(堀江ファイブ4000[[#All],[件数]],堀江ファイブ4000[[#All],[イベンター予約名]],まとめ表_各店舗件数[[#This Row],[管理番号]])+SUMIFS(堀江ファイブ3500[[#All],[件数]],堀江ファイブ3500[[#All],[イベンター予約名]],まとめ表_各店舗件数[[#This Row],[管理番号]])</f>
        <v>0</v>
      </c>
      <c r="I351" s="112">
        <f>SUMIFS(北新地ファイブ4000[[#All],[件数]],北新地ファイブ4000[[#All],[イベンター予約名]],まとめ表_各店舗件数[[#This Row],[管理番号]])+SUMIFS(北新地ファイブ3500[[#All],[件数]],北新地ファイブ3500[[#All],[イベンター予約名]],まとめ表_各店舗件数[[#This Row],[管理番号]])</f>
        <v>0</v>
      </c>
      <c r="J351" s="112">
        <f>SUMIFS(梅田ここから4000[[#All],[件数]],梅田ここから4000[[#All],[イベンター予約名]],まとめ表_各店舗件数[[#This Row],[管理番号]])+SUMIFS(梅田ここから3500[[#All],[件数]],梅田ここから3500[[#All],[イベンター予約名]],まとめ表_各店舗件数[[#This Row],[管理番号]])</f>
        <v>0</v>
      </c>
      <c r="K351" s="112">
        <f>SUMIFS(梅田石狩4000[[#All],[件数]],梅田石狩4000[[#All],[イベンター予約名]],まとめ表_各店舗件数[[#This Row],[管理番号]])+SUMIFS(梅田石狩3500[[#All],[件数]],梅田石狩3500[[#All],[イベンター予約名]],まとめ表_各店舗件数[[#This Row],[管理番号]])</f>
        <v>0</v>
      </c>
      <c r="L351" s="112">
        <f>SUMIFS(梅田あん4000[[#All],[件数]],梅田あん4000[[#All],[イベンター予約名]],まとめ表_各店舗件数[[#This Row],[管理番号]])+SUMIFS(梅田あん3500[[#All],[件数]],梅田あん3500[[#All],[イベンター予約名]],まとめ表_各店舗件数[[#This Row],[管理番号]])</f>
        <v>0</v>
      </c>
      <c r="M351" s="112">
        <f>SUMIFS(心斎橋サファリ4000[[#All],[件数]],心斎橋サファリ4000[[#All],[イベンター予約名]],まとめ表_各店舗件数[[#This Row],[管理番号]])+SUMIFS(心斎橋サファリ3500[[#All],[件数]],心斎橋サファリ3500[[#All],[イベンター予約名]],まとめ表_各店舗件数[[#This Row],[管理番号]])</f>
        <v>0</v>
      </c>
      <c r="N351" s="112">
        <f>SUMIFS(心斎橋3ebar4000円[[#All],[件数]],心斎橋3ebar4000円[[#All],[予約番号]],まとめ表_各店舗件数[[#This Row],[管理番号]])+SUMIFS(心斎橋3ebar3500円[[#All],[件数]],心斎橋3ebar3500円[[#All],[予約番号]],まとめ表_各店舗件数[[#This Row],[管理番号]])</f>
        <v>0</v>
      </c>
      <c r="O351" s="112">
        <f>SUMIFS(心斎橋ラプロメッサ4000円[[#All],[件数]],心斎橋ラプロメッサ4000円[[#All],[予約番号]],まとめ表_各店舗件数[[#This Row],[管理番号]])+SUMIFS(心斎橋ラプロメッサ3500円[[#All],[件数]],心斎橋ラプロメッサ3500円[[#All],[予約番号]],まとめ表_各店舗件数[[#This Row],[管理番号]])</f>
        <v>0</v>
      </c>
      <c r="P351" s="112">
        <f>SUMIFS(心斎橋MアンドM4000円[[#All],[件数]],心斎橋MアンドM4000円[[#All],[予約番号]],まとめ表_各店舗件数[[#This Row],[管理番号]])+SUMIFS(心斎橋MアンドM3500円[[#All],[件数]],心斎橋MアンドM3500円[[#All],[予約番号]],まとめ表_各店舗件数[[#This Row],[管理番号]])</f>
        <v>0</v>
      </c>
      <c r="Q351" s="112">
        <f>SUMIFS(心斎橋CSB4000円[[#All],[件数]],心斎橋CSB4000円[[#All],[予約番号]],まとめ表_各店舗件数[[#This Row],[管理番号]])+SUMIFS(心斎橋CSB3500円[[#All],[件数]],心斎橋CSB3500円[[#All],[予約番号]],まとめ表_各店舗件数[[#This Row],[管理番号]])</f>
        <v>0</v>
      </c>
      <c r="R351" s="112">
        <f>SUMIFS(梅田煙4000[[#All],[件数]],梅田煙4000[[#All],[イベンター予約名]],まとめ表_各店舗件数[[#This Row],[管理番号]])+SUMIFS(梅田煙3500[[#All],[件数]],梅田煙3500[[#All],[イベンター予約名]],まとめ表_各店舗件数[[#This Row],[管理番号]])</f>
        <v>0</v>
      </c>
      <c r="S351" s="112">
        <f>SUMIFS(難波煙4000円[[#All],[件数]],難波煙4000円[[#All],[予約番号]],まとめ表_各店舗件数[[#This Row],[管理番号]])+SUMIFS(難波煙3500円[[#All],[件数]],難波煙3500円[[#All],[予約番号]],まとめ表_各店舗件数[[#This Row],[管理番号]])</f>
        <v>0</v>
      </c>
      <c r="T351" s="48">
        <f>SUMIFS(三ノ宮多味庵4000[[#All],[件数]],三ノ宮多味庵4000[[#All],[イベンター予約名]],まとめ表_各店舗件数[[#This Row],[管理番号]])+SUMIFS(三ノ宮多味庵3500[[#All],[件数]],三ノ宮多味庵3500[[#All],[イベンター予約名]],まとめ表_各店舗件数[[#This Row],[管理番号]])</f>
        <v>0</v>
      </c>
      <c r="U351" s="112">
        <f>SUMIFS(天王寺キャンパス4000円[[#All],[件数]],天王寺キャンパス4000円[[#All],[イベンター予約名]],まとめ表_各店舗件数[[#This Row],[管理番号]])+SUMIFS(天王寺キャンパス3500円[[#All],[件数]],天王寺キャンパス3500円[[#All],[イベンター予約名]],まとめ表_各店舗件数[[#This Row],[管理番号]])</f>
        <v>0</v>
      </c>
      <c r="V351" s="112">
        <f>SUMIFS(三ノ宮琥珀の泉4000円[[#All],[件数]],三ノ宮琥珀の泉4000円[[#All],[イベンター予約名]],まとめ表_各店舗件数[[#This Row],[管理番号]])+SUMIFS(三ノ宮琥珀の泉3500円[[#All],[件数]],三ノ宮琥珀の泉3500円[[#All],[イベンター予約名]],まとめ表_各店舗件数[[#This Row],[管理番号]])</f>
        <v>0</v>
      </c>
      <c r="W351" s="112">
        <f>SUMIFS(三ノ宮旬家4000円[[#All],[件数]],三ノ宮旬家4000円[[#All],[イベンター予約名]],まとめ表_各店舗件数[[#This Row],[管理番号]])+SUMIFS(三ノ宮旬家3500円[[#All],[件数]],三ノ宮旬家3500円[[#All],[イベンター予約名]],まとめ表_各店舗件数[[#This Row],[管理番号]])</f>
        <v>0</v>
      </c>
      <c r="X351" s="112">
        <f>SUMIFS(三ノ宮きさらぎ4000円[[#All],[件数]],三ノ宮きさらぎ4000円[[#All],[イベンター予約名]],まとめ表_各店舗件数[[#This Row],[管理番号]])+SUMIFS(三ノ宮きさらぎ3500円[[#All],[件数]],三ノ宮きさらぎ3500円[[#All],[イベンター予約名]],まとめ表_各店舗件数[[#This Row],[管理番号]])</f>
        <v>0</v>
      </c>
      <c r="Y351" s="112">
        <f>SUMIFS(三ノ宮肉バルしょうじ4000円[[#All],[件数]],三ノ宮肉バルしょうじ4000円[[#All],[イベンター予約名]],まとめ表_各店舗件数[[#This Row],[管理番号]])+SUMIFS(三ノ宮肉バルしょうじ3500円[[#All],[件数]],三ノ宮肉バルしょうじ3500円[[#All],[イベンター予約名]],まとめ表_各店舗件数[[#This Row],[管理番号]])</f>
        <v>0</v>
      </c>
      <c r="Z351" s="112">
        <f>SUMIFS(京都パンプキ4000円[[#All],[件数]],京都パンプキ4000円[[#All],[イベンター予約名]],まとめ表_各店舗件数[[#This Row],[管理番号]])+SUMIFS(京都パンプキ3500円[[#All],[件数]],京都パンプキ3500円[[#All],[イベンター予約名]],まとめ表_各店舗件数[[#This Row],[管理番号]])</f>
        <v>0</v>
      </c>
      <c r="AA351" s="76">
        <f>SUMIFS(京都A554000円[[#All],[件数]],京都A554000円[[#All],[イベンター予約名]],まとめ表_各店舗件数[[#This Row],[管理番号]])+SUMIFS(京都A553500円[[#All],[件数]],京都A553500円[[#All],[イベンター予約名]],まとめ表_各店舗件数[[#This Row],[管理番号]])</f>
        <v>0</v>
      </c>
      <c r="AB351" s="76"/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2C65-9B8A-467A-A249-103747A05D71}">
  <sheetPr codeName="Sheet31"/>
  <dimension ref="A1:AB351"/>
  <sheetViews>
    <sheetView workbookViewId="0"/>
  </sheetViews>
  <sheetFormatPr defaultRowHeight="19.5"/>
  <cols>
    <col min="2" max="2" width="11.44140625" customWidth="1"/>
    <col min="3" max="3" width="15.109375" customWidth="1"/>
    <col min="4" max="4" width="12.109375" bestFit="1" customWidth="1"/>
  </cols>
  <sheetData>
    <row r="1" spans="1:28">
      <c r="A1" s="77" t="s">
        <v>234</v>
      </c>
      <c r="B1" s="11" t="s">
        <v>197</v>
      </c>
      <c r="C1" s="11" t="s">
        <v>198</v>
      </c>
      <c r="D1" s="106" t="s">
        <v>375</v>
      </c>
      <c r="E1" s="107" t="s">
        <v>199</v>
      </c>
      <c r="F1" s="107" t="s">
        <v>200</v>
      </c>
      <c r="G1" s="107" t="s">
        <v>201</v>
      </c>
      <c r="H1" s="107" t="s">
        <v>202</v>
      </c>
      <c r="I1" s="107" t="s">
        <v>203</v>
      </c>
      <c r="J1" s="60" t="s">
        <v>325</v>
      </c>
      <c r="K1" s="60" t="s">
        <v>322</v>
      </c>
      <c r="L1" s="107" t="s">
        <v>204</v>
      </c>
      <c r="M1" s="107" t="s">
        <v>227</v>
      </c>
      <c r="N1" s="107" t="s">
        <v>228</v>
      </c>
      <c r="O1" s="107" t="s">
        <v>229</v>
      </c>
      <c r="P1" s="107" t="s">
        <v>230</v>
      </c>
      <c r="Q1" s="107" t="s">
        <v>231</v>
      </c>
      <c r="R1" s="60" t="s">
        <v>246</v>
      </c>
      <c r="S1" s="60" t="s">
        <v>252</v>
      </c>
      <c r="T1" s="60" t="s">
        <v>317</v>
      </c>
      <c r="U1" s="60" t="s">
        <v>318</v>
      </c>
      <c r="V1" s="60" t="s">
        <v>319</v>
      </c>
      <c r="W1" s="60" t="s">
        <v>320</v>
      </c>
      <c r="X1" s="60" t="s">
        <v>327</v>
      </c>
      <c r="Y1" s="60" t="s">
        <v>321</v>
      </c>
      <c r="Z1" s="60" t="s">
        <v>326</v>
      </c>
      <c r="AA1" s="108" t="s">
        <v>328</v>
      </c>
      <c r="AB1" s="117" t="s">
        <v>520</v>
      </c>
    </row>
    <row r="2" spans="1:28">
      <c r="A2" s="20">
        <f>名前リスト[[#This Row],[管理番号]]</f>
        <v>1</v>
      </c>
      <c r="B2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" s="6" t="str">
        <f>IF(NOT(まとめ表_各Aパターン件数[[#This Row],[管理番号]]=""),VLOOKUP(まとめ表_各Aパターン件数[[#This Row],[管理番号]],名前リスト[[#All],[管理番号]:[氏名]],3,TRUE),"")</f>
        <v>いしだ　ゆうき</v>
      </c>
      <c r="D2" s="76" t="str">
        <f t="shared" ref="D2:D65" si="0">IF(SUM(E2:XFD2)=0,"",SUM(E2:XFD2))</f>
        <v/>
      </c>
      <c r="E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" spans="1:28">
      <c r="A3" s="20">
        <f>名前リスト[[#This Row],[管理番号]]</f>
        <v>2</v>
      </c>
      <c r="B3" s="6" t="str">
        <f>IF(NOT(まとめ表_各Aパターン件数[[#This Row],[管理番号]]=""),VLOOKUP(まとめ表_各Aパターン件数[[#This Row],[管理番号]],名前リスト[[#All],[管理番号]:[氏名]],2,TRUE),"")</f>
        <v>あしゅ</v>
      </c>
      <c r="C3" s="6" t="str">
        <f>IF(NOT(まとめ表_各Aパターン件数[[#This Row],[管理番号]]=""),VLOOKUP(まとめ表_各Aパターン件数[[#This Row],[管理番号]],名前リスト[[#All],[管理番号]:[氏名]],3,TRUE),"")</f>
        <v>中村　郁斗</v>
      </c>
      <c r="D3" s="76" t="str">
        <f t="shared" si="0"/>
        <v/>
      </c>
      <c r="E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" spans="1:28">
      <c r="A4" s="20">
        <f>名前リスト[[#This Row],[管理番号]]</f>
        <v>3</v>
      </c>
      <c r="B4" s="6" t="str">
        <f>IF(NOT(まとめ表_各Aパターン件数[[#This Row],[管理番号]]=""),VLOOKUP(まとめ表_各Aパターン件数[[#This Row],[管理番号]],名前リスト[[#All],[管理番号]:[氏名]],2,TRUE),"")</f>
        <v>佐藤　涼</v>
      </c>
      <c r="C4" s="6" t="str">
        <f>IF(NOT(まとめ表_各Aパターン件数[[#This Row],[管理番号]]=""),VLOOKUP(まとめ表_各Aパターン件数[[#This Row],[管理番号]],名前リスト[[#All],[管理番号]:[氏名]],3,TRUE),"")</f>
        <v>佐藤　涼</v>
      </c>
      <c r="D4" s="76" t="str">
        <f t="shared" si="0"/>
        <v/>
      </c>
      <c r="E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" spans="1:28">
      <c r="A5" s="20">
        <f>名前リスト[[#This Row],[管理番号]]</f>
        <v>4</v>
      </c>
      <c r="B5" s="6" t="str">
        <f>IF(NOT(まとめ表_各Aパターン件数[[#This Row],[管理番号]]=""),VLOOKUP(まとめ表_各Aパターン件数[[#This Row],[管理番号]],名前リスト[[#All],[管理番号]:[氏名]],2,TRUE),"")</f>
        <v>うちのませい</v>
      </c>
      <c r="C5" s="6" t="str">
        <f>IF(NOT(まとめ表_各Aパターン件数[[#This Row],[管理番号]]=""),VLOOKUP(まとめ表_各Aパターン件数[[#This Row],[管理番号]],名前リスト[[#All],[管理番号]:[氏名]],3,TRUE),"")</f>
        <v>内野　真静</v>
      </c>
      <c r="D5" s="76" t="str">
        <f t="shared" si="0"/>
        <v/>
      </c>
      <c r="E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" spans="1:28">
      <c r="A6" s="20">
        <f>名前リスト[[#This Row],[管理番号]]</f>
        <v>5</v>
      </c>
      <c r="B6" s="6" t="str">
        <f>IF(NOT(まとめ表_各Aパターン件数[[#This Row],[管理番号]]=""),VLOOKUP(まとめ表_各Aパターン件数[[#This Row],[管理番号]],名前リスト[[#All],[管理番号]:[氏名]],2,TRUE),"")</f>
        <v>あつし</v>
      </c>
      <c r="C6" s="6" t="str">
        <f>IF(NOT(まとめ表_各Aパターン件数[[#This Row],[管理番号]]=""),VLOOKUP(まとめ表_各Aパターン件数[[#This Row],[管理番号]],名前リスト[[#All],[管理番号]:[氏名]],3,TRUE),"")</f>
        <v>山本　惇史</v>
      </c>
      <c r="D6" s="76" t="str">
        <f t="shared" si="0"/>
        <v/>
      </c>
      <c r="E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" spans="1:28">
      <c r="A7" s="20">
        <f>名前リスト[[#This Row],[管理番号]]</f>
        <v>6</v>
      </c>
      <c r="B7" s="6" t="str">
        <f>IF(NOT(まとめ表_各Aパターン件数[[#This Row],[管理番号]]=""),VLOOKUP(まとめ表_各Aパターン件数[[#This Row],[管理番号]],名前リスト[[#All],[管理番号]:[氏名]],2,TRUE),"")</f>
        <v>しばた</v>
      </c>
      <c r="C7" s="6" t="str">
        <f>IF(NOT(まとめ表_各Aパターン件数[[#This Row],[管理番号]]=""),VLOOKUP(まとめ表_各Aパターン件数[[#This Row],[管理番号]],名前リスト[[#All],[管理番号]:[氏名]],3,TRUE),"")</f>
        <v>柴田　正紀</v>
      </c>
      <c r="D7" s="76" t="str">
        <f t="shared" si="0"/>
        <v/>
      </c>
      <c r="E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" spans="1:28">
      <c r="A8" s="20">
        <f>名前リスト[[#This Row],[管理番号]]</f>
        <v>7</v>
      </c>
      <c r="B8" s="6" t="str">
        <f>IF(NOT(まとめ表_各Aパターン件数[[#This Row],[管理番号]]=""),VLOOKUP(まとめ表_各Aパターン件数[[#This Row],[管理番号]],名前リスト[[#All],[管理番号]:[氏名]],2,TRUE),"")</f>
        <v>コバン</v>
      </c>
      <c r="C8" s="6" t="str">
        <f>IF(NOT(まとめ表_各Aパターン件数[[#This Row],[管理番号]]=""),VLOOKUP(まとめ表_各Aパターン件数[[#This Row],[管理番号]],名前リスト[[#All],[管理番号]:[氏名]],3,TRUE),"")</f>
        <v>小林　優太</v>
      </c>
      <c r="D8" s="76" t="str">
        <f t="shared" si="0"/>
        <v/>
      </c>
      <c r="E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" spans="1:28">
      <c r="A9" s="20">
        <f>名前リスト[[#This Row],[管理番号]]</f>
        <v>8</v>
      </c>
      <c r="B9" s="6" t="str">
        <f>IF(NOT(まとめ表_各Aパターン件数[[#This Row],[管理番号]]=""),VLOOKUP(まとめ表_各Aパターン件数[[#This Row],[管理番号]],名前リスト[[#All],[管理番号]:[氏名]],2,TRUE),"")</f>
        <v>出流</v>
      </c>
      <c r="C9" s="6" t="str">
        <f>IF(NOT(まとめ表_各Aパターン件数[[#This Row],[管理番号]]=""),VLOOKUP(まとめ表_各Aパターン件数[[#This Row],[管理番号]],名前リスト[[#All],[管理番号]:[氏名]],3,TRUE),"")</f>
        <v>福山　出流</v>
      </c>
      <c r="D9" s="76" t="str">
        <f t="shared" si="0"/>
        <v/>
      </c>
      <c r="E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" spans="1:28">
      <c r="A10" s="20">
        <f>名前リスト[[#This Row],[管理番号]]</f>
        <v>9</v>
      </c>
      <c r="B10" s="6" t="str">
        <f>IF(NOT(まとめ表_各Aパターン件数[[#This Row],[管理番号]]=""),VLOOKUP(まとめ表_各Aパターン件数[[#This Row],[管理番号]],名前リスト[[#All],[管理番号]:[氏名]],2,TRUE),"")</f>
        <v>吉野　翔</v>
      </c>
      <c r="C10" s="6" t="str">
        <f>IF(NOT(まとめ表_各Aパターン件数[[#This Row],[管理番号]]=""),VLOOKUP(まとめ表_各Aパターン件数[[#This Row],[管理番号]],名前リスト[[#All],[管理番号]:[氏名]],3,TRUE),"")</f>
        <v>吉野　翔</v>
      </c>
      <c r="D10" s="76" t="str">
        <f t="shared" si="0"/>
        <v/>
      </c>
      <c r="E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" spans="1:28">
      <c r="A11" s="20">
        <f>名前リスト[[#This Row],[管理番号]]</f>
        <v>10</v>
      </c>
      <c r="B11" s="6" t="str">
        <f>IF(NOT(まとめ表_各Aパターン件数[[#This Row],[管理番号]]=""),VLOOKUP(まとめ表_各Aパターン件数[[#This Row],[管理番号]],名前リスト[[#All],[管理番号]:[氏名]],2,TRUE),"")</f>
        <v>makoto</v>
      </c>
      <c r="C11" s="6" t="str">
        <f>IF(NOT(まとめ表_各Aパターン件数[[#This Row],[管理番号]]=""),VLOOKUP(まとめ表_各Aパターン件数[[#This Row],[管理番号]],名前リスト[[#All],[管理番号]:[氏名]],3,TRUE),"")</f>
        <v>中川　誠</v>
      </c>
      <c r="D11" s="76" t="str">
        <f t="shared" si="0"/>
        <v/>
      </c>
      <c r="E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" spans="1:28">
      <c r="A12" s="20">
        <f>名前リスト[[#This Row],[管理番号]]</f>
        <v>11</v>
      </c>
      <c r="B12" s="6" t="str">
        <f>IF(NOT(まとめ表_各Aパターン件数[[#This Row],[管理番号]]=""),VLOOKUP(まとめ表_各Aパターン件数[[#This Row],[管理番号]],名前リスト[[#All],[管理番号]:[氏名]],2,TRUE),"")</f>
        <v>足立　迅</v>
      </c>
      <c r="C12" s="6" t="str">
        <f>IF(NOT(まとめ表_各Aパターン件数[[#This Row],[管理番号]]=""),VLOOKUP(まとめ表_各Aパターン件数[[#This Row],[管理番号]],名前リスト[[#All],[管理番号]:[氏名]],3,TRUE),"")</f>
        <v>足立　迅（わたる）</v>
      </c>
      <c r="D12" s="76" t="str">
        <f t="shared" si="0"/>
        <v/>
      </c>
      <c r="E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" spans="1:28">
      <c r="A13" s="20">
        <f>名前リスト[[#This Row],[管理番号]]</f>
        <v>12</v>
      </c>
      <c r="B13" s="6" t="str">
        <f>IF(NOT(まとめ表_各Aパターン件数[[#This Row],[管理番号]]=""),VLOOKUP(まとめ表_各Aパターン件数[[#This Row],[管理番号]],名前リスト[[#All],[管理番号]:[氏名]],2,TRUE),"")</f>
        <v>kenshi</v>
      </c>
      <c r="C13" s="6" t="str">
        <f>IF(NOT(まとめ表_各Aパターン件数[[#This Row],[管理番号]]=""),VLOOKUP(まとめ表_各Aパターン件数[[#This Row],[管理番号]],名前リスト[[#All],[管理番号]:[氏名]],3,TRUE),"")</f>
        <v>脇田　健史</v>
      </c>
      <c r="D13" s="76" t="str">
        <f t="shared" si="0"/>
        <v/>
      </c>
      <c r="E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" spans="1:28">
      <c r="A14" s="20">
        <f>名前リスト[[#This Row],[管理番号]]</f>
        <v>13</v>
      </c>
      <c r="B14" s="6" t="str">
        <f>IF(NOT(まとめ表_各Aパターン件数[[#This Row],[管理番号]]=""),VLOOKUP(まとめ表_各Aパターン件数[[#This Row],[管理番号]],名前リスト[[#All],[管理番号]:[氏名]],2,TRUE),"")</f>
        <v>syota</v>
      </c>
      <c r="C14" s="6" t="str">
        <f>IF(NOT(まとめ表_各Aパターン件数[[#This Row],[管理番号]]=""),VLOOKUP(まとめ表_各Aパターン件数[[#This Row],[管理番号]],名前リスト[[#All],[管理番号]:[氏名]],3,TRUE),"")</f>
        <v>三宅　将太</v>
      </c>
      <c r="D14" s="76" t="str">
        <f t="shared" si="0"/>
        <v/>
      </c>
      <c r="E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" spans="1:28">
      <c r="A15" s="20">
        <f>名前リスト[[#This Row],[管理番号]]</f>
        <v>14</v>
      </c>
      <c r="B15" s="6" t="str">
        <f>IF(NOT(まとめ表_各Aパターン件数[[#This Row],[管理番号]]=""),VLOOKUP(まとめ表_各Aパターン件数[[#This Row],[管理番号]],名前リスト[[#All],[管理番号]:[氏名]],2,TRUE),"")</f>
        <v>りゅうすけ</v>
      </c>
      <c r="C15" s="6" t="str">
        <f>IF(NOT(まとめ表_各Aパターン件数[[#This Row],[管理番号]]=""),VLOOKUP(まとめ表_各Aパターン件数[[#This Row],[管理番号]],名前リスト[[#All],[管理番号]:[氏名]],3,TRUE),"")</f>
        <v>大路　龍佑</v>
      </c>
      <c r="D15" s="76" t="str">
        <f t="shared" si="0"/>
        <v/>
      </c>
      <c r="E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" spans="1:28">
      <c r="A16" s="20">
        <f>名前リスト[[#This Row],[管理番号]]</f>
        <v>15</v>
      </c>
      <c r="B16" s="6" t="str">
        <f>IF(NOT(まとめ表_各Aパターン件数[[#This Row],[管理番号]]=""),VLOOKUP(まとめ表_各Aパターン件数[[#This Row],[管理番号]],名前リスト[[#All],[管理番号]:[氏名]],2,TRUE),"")</f>
        <v>名倉静香</v>
      </c>
      <c r="C16" s="6" t="str">
        <f>IF(NOT(まとめ表_各Aパターン件数[[#This Row],[管理番号]]=""),VLOOKUP(まとめ表_各Aパターン件数[[#This Row],[管理番号]],名前リスト[[#All],[管理番号]:[氏名]],3,TRUE),"")</f>
        <v>名倉　静香</v>
      </c>
      <c r="D16" s="76" t="str">
        <f t="shared" si="0"/>
        <v/>
      </c>
      <c r="E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" spans="1:28">
      <c r="A17" s="20">
        <f>名前リスト[[#This Row],[管理番号]]</f>
        <v>16</v>
      </c>
      <c r="B17" s="6" t="str">
        <f>IF(NOT(まとめ表_各Aパターン件数[[#This Row],[管理番号]]=""),VLOOKUP(まとめ表_各Aパターン件数[[#This Row],[管理番号]],名前リスト[[#All],[管理番号]:[氏名]],2,TRUE),"")</f>
        <v>寺田翔太</v>
      </c>
      <c r="C17" s="6" t="str">
        <f>IF(NOT(まとめ表_各Aパターン件数[[#This Row],[管理番号]]=""),VLOOKUP(まとめ表_各Aパターン件数[[#This Row],[管理番号]],名前リスト[[#All],[管理番号]:[氏名]],3,TRUE),"")</f>
        <v>寺田　翔太</v>
      </c>
      <c r="D17" s="76" t="str">
        <f t="shared" si="0"/>
        <v/>
      </c>
      <c r="E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" spans="1:28">
      <c r="A18" s="20">
        <f>名前リスト[[#This Row],[管理番号]]</f>
        <v>17</v>
      </c>
      <c r="B18" s="6" t="str">
        <f>IF(NOT(まとめ表_各Aパターン件数[[#This Row],[管理番号]]=""),VLOOKUP(まとめ表_各Aパターン件数[[#This Row],[管理番号]],名前リスト[[#All],[管理番号]:[氏名]],2,TRUE),"")</f>
        <v>さあや</v>
      </c>
      <c r="C18" s="6" t="str">
        <f>IF(NOT(まとめ表_各Aパターン件数[[#This Row],[管理番号]]=""),VLOOKUP(まとめ表_各Aパターン件数[[#This Row],[管理番号]],名前リスト[[#All],[管理番号]:[氏名]],3,TRUE),"")</f>
        <v>門口　沙彩</v>
      </c>
      <c r="D18" s="76" t="str">
        <f t="shared" si="0"/>
        <v/>
      </c>
      <c r="E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" spans="1:28">
      <c r="A19" s="20">
        <f>名前リスト[[#This Row],[管理番号]]</f>
        <v>18</v>
      </c>
      <c r="B19" s="6" t="str">
        <f>IF(NOT(まとめ表_各Aパターン件数[[#This Row],[管理番号]]=""),VLOOKUP(まとめ表_各Aパターン件数[[#This Row],[管理番号]],名前リスト[[#All],[管理番号]:[氏名]],2,TRUE),"")</f>
        <v>tt</v>
      </c>
      <c r="C19" s="6" t="str">
        <f>IF(NOT(まとめ表_各Aパターン件数[[#This Row],[管理番号]]=""),VLOOKUP(まとめ表_各Aパターン件数[[#This Row],[管理番号]],名前リスト[[#All],[管理番号]:[氏名]],3,TRUE),"")</f>
        <v>田中　達也</v>
      </c>
      <c r="D19" s="76" t="str">
        <f t="shared" si="0"/>
        <v/>
      </c>
      <c r="E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" spans="1:28">
      <c r="A20" s="20">
        <f>名前リスト[[#This Row],[管理番号]]</f>
        <v>19</v>
      </c>
      <c r="B20" s="6" t="str">
        <f>IF(NOT(まとめ表_各Aパターン件数[[#This Row],[管理番号]]=""),VLOOKUP(まとめ表_各Aパターン件数[[#This Row],[管理番号]],名前リスト[[#All],[管理番号]:[氏名]],2,TRUE),"")</f>
        <v>あきら</v>
      </c>
      <c r="C20" s="6" t="str">
        <f>IF(NOT(まとめ表_各Aパターン件数[[#This Row],[管理番号]]=""),VLOOKUP(まとめ表_各Aパターン件数[[#This Row],[管理番号]],名前リスト[[#All],[管理番号]:[氏名]],3,TRUE),"")</f>
        <v>藤田　瑛</v>
      </c>
      <c r="D20" s="76" t="str">
        <f t="shared" si="0"/>
        <v/>
      </c>
      <c r="E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" spans="1:28">
      <c r="A21" s="20">
        <f>名前リスト[[#This Row],[管理番号]]</f>
        <v>20</v>
      </c>
      <c r="B21" s="6" t="str">
        <f>IF(NOT(まとめ表_各Aパターン件数[[#This Row],[管理番号]]=""),VLOOKUP(まとめ表_各Aパターン件数[[#This Row],[管理番号]],名前リスト[[#All],[管理番号]:[氏名]],2,TRUE),"")</f>
        <v>ゆうき</v>
      </c>
      <c r="C21" s="6" t="str">
        <f>IF(NOT(まとめ表_各Aパターン件数[[#This Row],[管理番号]]=""),VLOOKUP(まとめ表_各Aパターン件数[[#This Row],[管理番号]],名前リスト[[#All],[管理番号]:[氏名]],3,TRUE),"")</f>
        <v>児島　優樹</v>
      </c>
      <c r="D21" s="76" t="str">
        <f t="shared" si="0"/>
        <v/>
      </c>
      <c r="E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" spans="1:28">
      <c r="A22" s="20">
        <f>名前リスト[[#This Row],[管理番号]]</f>
        <v>21</v>
      </c>
      <c r="B22" s="6" t="str">
        <f>IF(NOT(まとめ表_各Aパターン件数[[#This Row],[管理番号]]=""),VLOOKUP(まとめ表_各Aパターン件数[[#This Row],[管理番号]],名前リスト[[#All],[管理番号]:[氏名]],2,TRUE),"")</f>
        <v>貴裕</v>
      </c>
      <c r="C22" s="6" t="str">
        <f>IF(NOT(まとめ表_各Aパターン件数[[#This Row],[管理番号]]=""),VLOOKUP(まとめ表_各Aパターン件数[[#This Row],[管理番号]],名前リスト[[#All],[管理番号]:[氏名]],3,TRUE),"")</f>
        <v>辻　貴裕</v>
      </c>
      <c r="D22" s="76" t="str">
        <f t="shared" si="0"/>
        <v/>
      </c>
      <c r="E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" spans="1:28">
      <c r="A23" s="20">
        <f>名前リスト[[#This Row],[管理番号]]</f>
        <v>22</v>
      </c>
      <c r="B23" s="6" t="str">
        <f>IF(NOT(まとめ表_各Aパターン件数[[#This Row],[管理番号]]=""),VLOOKUP(まとめ表_各Aパターン件数[[#This Row],[管理番号]],名前リスト[[#All],[管理番号]:[氏名]],2,TRUE),"")</f>
        <v>katsu</v>
      </c>
      <c r="C23" s="6" t="str">
        <f>IF(NOT(まとめ表_各Aパターン件数[[#This Row],[管理番号]]=""),VLOOKUP(まとめ表_各Aパターン件数[[#This Row],[管理番号]],名前リスト[[#All],[管理番号]:[氏名]],3,TRUE),"")</f>
        <v>鈴木　勝時</v>
      </c>
      <c r="D23" s="76" t="str">
        <f t="shared" si="0"/>
        <v/>
      </c>
      <c r="E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" spans="1:28">
      <c r="A24" s="20">
        <f>名前リスト[[#This Row],[管理番号]]</f>
        <v>23</v>
      </c>
      <c r="B24" s="6" t="str">
        <f>IF(NOT(まとめ表_各Aパターン件数[[#This Row],[管理番号]]=""),VLOOKUP(まとめ表_各Aパターン件数[[#This Row],[管理番号]],名前リスト[[#All],[管理番号]:[氏名]],2,TRUE),"")</f>
        <v>中田篤史</v>
      </c>
      <c r="C24" s="6" t="str">
        <f>IF(NOT(まとめ表_各Aパターン件数[[#This Row],[管理番号]]=""),VLOOKUP(まとめ表_各Aパターン件数[[#This Row],[管理番号]],名前リスト[[#All],[管理番号]:[氏名]],3,TRUE),"")</f>
        <v>中田　篤史</v>
      </c>
      <c r="D24" s="76" t="str">
        <f t="shared" si="0"/>
        <v/>
      </c>
      <c r="E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" spans="1:28">
      <c r="A25" s="20">
        <f>名前リスト[[#This Row],[管理番号]]</f>
        <v>24</v>
      </c>
      <c r="B25" s="6" t="str">
        <f>IF(NOT(まとめ表_各Aパターン件数[[#This Row],[管理番号]]=""),VLOOKUP(まとめ表_各Aパターン件数[[#This Row],[管理番号]],名前リスト[[#All],[管理番号]:[氏名]],2,TRUE),"")</f>
        <v>祐介</v>
      </c>
      <c r="C25" s="6" t="str">
        <f>IF(NOT(まとめ表_各Aパターン件数[[#This Row],[管理番号]]=""),VLOOKUP(まとめ表_各Aパターン件数[[#This Row],[管理番号]],名前リスト[[#All],[管理番号]:[氏名]],3,TRUE),"")</f>
        <v>中野　祐介</v>
      </c>
      <c r="D25" s="76" t="str">
        <f t="shared" si="0"/>
        <v/>
      </c>
      <c r="E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" spans="1:28">
      <c r="A26" s="20">
        <f>名前リスト[[#This Row],[管理番号]]</f>
        <v>25</v>
      </c>
      <c r="B26" s="6" t="str">
        <f>IF(NOT(まとめ表_各Aパターン件数[[#This Row],[管理番号]]=""),VLOOKUP(まとめ表_各Aパターン件数[[#This Row],[管理番号]],名前リスト[[#All],[管理番号]:[氏名]],2,TRUE),"")</f>
        <v>ヒョウタ</v>
      </c>
      <c r="C26" s="6" t="str">
        <f>IF(NOT(まとめ表_各Aパターン件数[[#This Row],[管理番号]]=""),VLOOKUP(まとめ表_各Aパターン件数[[#This Row],[管理番号]],名前リスト[[#All],[管理番号]:[氏名]],3,TRUE),"")</f>
        <v>タナカ　ヒョウタ</v>
      </c>
      <c r="D26" s="76" t="str">
        <f t="shared" si="0"/>
        <v/>
      </c>
      <c r="E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" spans="1:28">
      <c r="A27" s="20">
        <f>名前リスト[[#This Row],[管理番号]]</f>
        <v>26</v>
      </c>
      <c r="B27" s="6" t="str">
        <f>IF(NOT(まとめ表_各Aパターン件数[[#This Row],[管理番号]]=""),VLOOKUP(まとめ表_各Aパターン件数[[#This Row],[管理番号]],名前リスト[[#All],[管理番号]:[氏名]],2,TRUE),"")</f>
        <v>石原優介</v>
      </c>
      <c r="C27" s="6" t="str">
        <f>IF(NOT(まとめ表_各Aパターン件数[[#This Row],[管理番号]]=""),VLOOKUP(まとめ表_各Aパターン件数[[#This Row],[管理番号]],名前リスト[[#All],[管理番号]:[氏名]],3,TRUE),"")</f>
        <v>石原　優介</v>
      </c>
      <c r="D27" s="76" t="str">
        <f t="shared" si="0"/>
        <v/>
      </c>
      <c r="E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" spans="1:28">
      <c r="A28" s="20">
        <f>名前リスト[[#This Row],[管理番号]]</f>
        <v>27</v>
      </c>
      <c r="B28" s="6" t="str">
        <f>IF(NOT(まとめ表_各Aパターン件数[[#This Row],[管理番号]]=""),VLOOKUP(まとめ表_各Aパターン件数[[#This Row],[管理番号]],名前リスト[[#All],[管理番号]:[氏名]],2,TRUE),"")</f>
        <v>森田裕也</v>
      </c>
      <c r="C28" s="6" t="str">
        <f>IF(NOT(まとめ表_各Aパターン件数[[#This Row],[管理番号]]=""),VLOOKUP(まとめ表_各Aパターン件数[[#This Row],[管理番号]],名前リスト[[#All],[管理番号]:[氏名]],3,TRUE),"")</f>
        <v>森田　裕也</v>
      </c>
      <c r="D28" s="76" t="str">
        <f t="shared" si="0"/>
        <v/>
      </c>
      <c r="E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" spans="1:28">
      <c r="A29" s="20">
        <f>名前リスト[[#This Row],[管理番号]]</f>
        <v>28</v>
      </c>
      <c r="B29" s="6" t="str">
        <f>IF(NOT(まとめ表_各Aパターン件数[[#This Row],[管理番号]]=""),VLOOKUP(まとめ表_各Aパターン件数[[#This Row],[管理番号]],名前リスト[[#All],[管理番号]:[氏名]],2,TRUE),"")</f>
        <v>さとう</v>
      </c>
      <c r="C29" s="6" t="str">
        <f>IF(NOT(まとめ表_各Aパターン件数[[#This Row],[管理番号]]=""),VLOOKUP(まとめ表_各Aパターン件数[[#This Row],[管理番号]],名前リスト[[#All],[管理番号]:[氏名]],3,TRUE),"")</f>
        <v>佐藤　頼知</v>
      </c>
      <c r="D29" s="76" t="str">
        <f t="shared" si="0"/>
        <v/>
      </c>
      <c r="E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" spans="1:28">
      <c r="A30" s="20">
        <f>名前リスト[[#This Row],[管理番号]]</f>
        <v>29</v>
      </c>
      <c r="B30" s="6" t="str">
        <f>IF(NOT(まとめ表_各Aパターン件数[[#This Row],[管理番号]]=""),VLOOKUP(まとめ表_各Aパターン件数[[#This Row],[管理番号]],名前リスト[[#All],[管理番号]:[氏名]],2,TRUE),"")</f>
        <v>セイゴ</v>
      </c>
      <c r="C30" s="6" t="str">
        <f>IF(NOT(まとめ表_各Aパターン件数[[#This Row],[管理番号]]=""),VLOOKUP(まとめ表_各Aパターン件数[[#This Row],[管理番号]],名前リスト[[#All],[管理番号]:[氏名]],3,TRUE),"")</f>
        <v>近藤　靖吾</v>
      </c>
      <c r="D30" s="76" t="str">
        <f t="shared" si="0"/>
        <v/>
      </c>
      <c r="E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" spans="1:28">
      <c r="A31" s="20">
        <f>名前リスト[[#This Row],[管理番号]]</f>
        <v>30</v>
      </c>
      <c r="B31" s="6" t="str">
        <f>IF(NOT(まとめ表_各Aパターン件数[[#This Row],[管理番号]]=""),VLOOKUP(まとめ表_各Aパターン件数[[#This Row],[管理番号]],名前リスト[[#All],[管理番号]:[氏名]],2,TRUE),"")</f>
        <v>そーたろー</v>
      </c>
      <c r="C31" s="6" t="str">
        <f>IF(NOT(まとめ表_各Aパターン件数[[#This Row],[管理番号]]=""),VLOOKUP(まとめ表_各Aパターン件数[[#This Row],[管理番号]],名前リスト[[#All],[管理番号]:[氏名]],3,TRUE),"")</f>
        <v>廣垣　奏太郎</v>
      </c>
      <c r="D31" s="76" t="str">
        <f t="shared" si="0"/>
        <v/>
      </c>
      <c r="E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" spans="1:28">
      <c r="A32" s="20">
        <f>名前リスト[[#This Row],[管理番号]]</f>
        <v>31</v>
      </c>
      <c r="B32" s="6" t="str">
        <f>IF(NOT(まとめ表_各Aパターン件数[[#This Row],[管理番号]]=""),VLOOKUP(まとめ表_各Aパターン件数[[#This Row],[管理番号]],名前リスト[[#All],[管理番号]:[氏名]],2,TRUE),"")</f>
        <v>AYAKA</v>
      </c>
      <c r="C32" s="6" t="str">
        <f>IF(NOT(まとめ表_各Aパターン件数[[#This Row],[管理番号]]=""),VLOOKUP(まとめ表_各Aパターン件数[[#This Row],[管理番号]],名前リスト[[#All],[管理番号]:[氏名]],3,TRUE),"")</f>
        <v>池田　彩夏</v>
      </c>
      <c r="D32" s="76" t="str">
        <f t="shared" si="0"/>
        <v/>
      </c>
      <c r="E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" spans="1:28">
      <c r="A33" s="20">
        <f>名前リスト[[#This Row],[管理番号]]</f>
        <v>32</v>
      </c>
      <c r="B33" s="6" t="str">
        <f>IF(NOT(まとめ表_各Aパターン件数[[#This Row],[管理番号]]=""),VLOOKUP(まとめ表_各Aパターン件数[[#This Row],[管理番号]],名前リスト[[#All],[管理番号]:[氏名]],2,TRUE),"")</f>
        <v>まるや〜ま</v>
      </c>
      <c r="C33" s="6" t="str">
        <f>IF(NOT(まとめ表_各Aパターン件数[[#This Row],[管理番号]]=""),VLOOKUP(まとめ表_各Aパターン件数[[#This Row],[管理番号]],名前リスト[[#All],[管理番号]:[氏名]],3,TRUE),"")</f>
        <v>鈴木　貴雅</v>
      </c>
      <c r="D33" s="76" t="str">
        <f t="shared" si="0"/>
        <v/>
      </c>
      <c r="E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" spans="1:28">
      <c r="A34" s="20">
        <f>名前リスト[[#This Row],[管理番号]]</f>
        <v>33</v>
      </c>
      <c r="B34" s="6" t="str">
        <f>IF(NOT(まとめ表_各Aパターン件数[[#This Row],[管理番号]]=""),VLOOKUP(まとめ表_各Aパターン件数[[#This Row],[管理番号]],名前リスト[[#All],[管理番号]:[氏名]],2,TRUE),"")</f>
        <v>さかぐちゆうや</v>
      </c>
      <c r="C34" s="6" t="str">
        <f>IF(NOT(まとめ表_各Aパターン件数[[#This Row],[管理番号]]=""),VLOOKUP(まとめ表_各Aパターン件数[[#This Row],[管理番号]],名前リスト[[#All],[管理番号]:[氏名]],3,TRUE),"")</f>
        <v>坂口　裕也</v>
      </c>
      <c r="D34" s="76" t="str">
        <f t="shared" si="0"/>
        <v/>
      </c>
      <c r="E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" spans="1:28">
      <c r="A35" s="20">
        <f>名前リスト[[#This Row],[管理番号]]</f>
        <v>34</v>
      </c>
      <c r="B35" s="6" t="str">
        <f>IF(NOT(まとめ表_各Aパターン件数[[#This Row],[管理番号]]=""),VLOOKUP(まとめ表_各Aパターン件数[[#This Row],[管理番号]],名前リスト[[#All],[管理番号]:[氏名]],2,TRUE),"")</f>
        <v>c,m,s</v>
      </c>
      <c r="C35" s="6" t="str">
        <f>IF(NOT(まとめ表_各Aパターン件数[[#This Row],[管理番号]]=""),VLOOKUP(まとめ表_各Aパターン件数[[#This Row],[管理番号]],名前リスト[[#All],[管理番号]:[氏名]],3,TRUE),"")</f>
        <v>赤井　千奈</v>
      </c>
      <c r="D35" s="76" t="str">
        <f t="shared" si="0"/>
        <v/>
      </c>
      <c r="E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6" spans="1:28">
      <c r="A36" s="20">
        <f>名前リスト[[#This Row],[管理番号]]</f>
        <v>35</v>
      </c>
      <c r="B36" s="6" t="str">
        <f>IF(NOT(まとめ表_各Aパターン件数[[#This Row],[管理番号]]=""),VLOOKUP(まとめ表_各Aパターン件数[[#This Row],[管理番号]],名前リスト[[#All],[管理番号]:[氏名]],2,TRUE),"")</f>
        <v>前川かつき</v>
      </c>
      <c r="C36" s="6" t="str">
        <f>IF(NOT(まとめ表_各Aパターン件数[[#This Row],[管理番号]]=""),VLOOKUP(まとめ表_各Aパターン件数[[#This Row],[管理番号]],名前リスト[[#All],[管理番号]:[氏名]],3,TRUE),"")</f>
        <v>前川　克樹</v>
      </c>
      <c r="D36" s="76" t="str">
        <f t="shared" si="0"/>
        <v/>
      </c>
      <c r="E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7" spans="1:28">
      <c r="A37" s="20">
        <f>名前リスト[[#This Row],[管理番号]]</f>
        <v>36</v>
      </c>
      <c r="B37" s="6" t="str">
        <f>IF(NOT(まとめ表_各Aパターン件数[[#This Row],[管理番号]]=""),VLOOKUP(まとめ表_各Aパターン件数[[#This Row],[管理番号]],名前リスト[[#All],[管理番号]:[氏名]],2,TRUE),"")</f>
        <v>kantaro</v>
      </c>
      <c r="C37" s="6" t="str">
        <f>IF(NOT(まとめ表_各Aパターン件数[[#This Row],[管理番号]]=""),VLOOKUP(まとめ表_各Aパターン件数[[#This Row],[管理番号]],名前リスト[[#All],[管理番号]:[氏名]],3,TRUE),"")</f>
        <v>森畠　勘太郎</v>
      </c>
      <c r="D37" s="76" t="str">
        <f t="shared" si="0"/>
        <v/>
      </c>
      <c r="E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8" spans="1:28">
      <c r="A38" s="20">
        <f>名前リスト[[#This Row],[管理番号]]</f>
        <v>37</v>
      </c>
      <c r="B38" s="6" t="str">
        <f>IF(NOT(まとめ表_各Aパターン件数[[#This Row],[管理番号]]=""),VLOOKUP(まとめ表_各Aパターン件数[[#This Row],[管理番号]],名前リスト[[#All],[管理番号]:[氏名]],2,TRUE),"")</f>
        <v>きだ　ひろし</v>
      </c>
      <c r="C38" s="6" t="str">
        <f>IF(NOT(まとめ表_各Aパターン件数[[#This Row],[管理番号]]=""),VLOOKUP(まとめ表_各Aパターン件数[[#This Row],[管理番号]],名前リスト[[#All],[管理番号]:[氏名]],3,TRUE),"")</f>
        <v>貴田　洋史</v>
      </c>
      <c r="D38" s="76" t="str">
        <f t="shared" si="0"/>
        <v/>
      </c>
      <c r="E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9" spans="1:28">
      <c r="A39" s="20">
        <f>名前リスト[[#This Row],[管理番号]]</f>
        <v>38</v>
      </c>
      <c r="B39" s="6" t="str">
        <f>IF(NOT(まとめ表_各Aパターン件数[[#This Row],[管理番号]]=""),VLOOKUP(まとめ表_各Aパターン件数[[#This Row],[管理番号]],名前リスト[[#All],[管理番号]:[氏名]],2,TRUE),"")</f>
        <v>丹祐希</v>
      </c>
      <c r="C39" s="6" t="str">
        <f>IF(NOT(まとめ表_各Aパターン件数[[#This Row],[管理番号]]=""),VLOOKUP(まとめ表_各Aパターン件数[[#This Row],[管理番号]],名前リスト[[#All],[管理番号]:[氏名]],3,TRUE),"")</f>
        <v>丹　祐希</v>
      </c>
      <c r="D39" s="76" t="str">
        <f t="shared" si="0"/>
        <v/>
      </c>
      <c r="E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0" spans="1:28">
      <c r="A40" s="20">
        <f>名前リスト[[#This Row],[管理番号]]</f>
        <v>39</v>
      </c>
      <c r="B40" s="6" t="str">
        <f>IF(NOT(まとめ表_各Aパターン件数[[#This Row],[管理番号]]=""),VLOOKUP(まとめ表_各Aパターン件数[[#This Row],[管理番号]],名前リスト[[#All],[管理番号]:[氏名]],2,TRUE),"")</f>
        <v>なかたにしょうへい</v>
      </c>
      <c r="C40" s="6" t="str">
        <f>IF(NOT(まとめ表_各Aパターン件数[[#This Row],[管理番号]]=""),VLOOKUP(まとめ表_各Aパターン件数[[#This Row],[管理番号]],名前リスト[[#All],[管理番号]:[氏名]],3,TRUE),"")</f>
        <v>中谷　昌平</v>
      </c>
      <c r="D40" s="76" t="str">
        <f t="shared" si="0"/>
        <v/>
      </c>
      <c r="E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1" spans="1:28">
      <c r="A41" s="20">
        <f>名前リスト[[#This Row],[管理番号]]</f>
        <v>40</v>
      </c>
      <c r="B41" s="6" t="str">
        <f>IF(NOT(まとめ表_各Aパターン件数[[#This Row],[管理番号]]=""),VLOOKUP(まとめ表_各Aパターン件数[[#This Row],[管理番号]],名前リスト[[#All],[管理番号]:[氏名]],2,TRUE),"")</f>
        <v>片山　善斗</v>
      </c>
      <c r="C41" s="6" t="str">
        <f>IF(NOT(まとめ表_各Aパターン件数[[#This Row],[管理番号]]=""),VLOOKUP(まとめ表_各Aパターン件数[[#This Row],[管理番号]],名前リスト[[#All],[管理番号]:[氏名]],3,TRUE),"")</f>
        <v>片山　善斗</v>
      </c>
      <c r="D41" s="76" t="str">
        <f t="shared" si="0"/>
        <v/>
      </c>
      <c r="E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2" spans="1:28">
      <c r="A42" s="20">
        <f>名前リスト[[#This Row],[管理番号]]</f>
        <v>41</v>
      </c>
      <c r="B42" s="6" t="str">
        <f>IF(NOT(まとめ表_各Aパターン件数[[#This Row],[管理番号]]=""),VLOOKUP(まとめ表_各Aパターン件数[[#This Row],[管理番号]],名前リスト[[#All],[管理番号]:[氏名]],2,TRUE),"")</f>
        <v>長谷川　直人</v>
      </c>
      <c r="C42" s="6" t="str">
        <f>IF(NOT(まとめ表_各Aパターン件数[[#This Row],[管理番号]]=""),VLOOKUP(まとめ表_各Aパターン件数[[#This Row],[管理番号]],名前リスト[[#All],[管理番号]:[氏名]],3,TRUE),"")</f>
        <v>長谷川　直人</v>
      </c>
      <c r="D42" s="76" t="str">
        <f t="shared" si="0"/>
        <v/>
      </c>
      <c r="E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3" spans="1:28">
      <c r="A43" s="20">
        <f>名前リスト[[#This Row],[管理番号]]</f>
        <v>42</v>
      </c>
      <c r="B43" s="6" t="str">
        <f>IF(NOT(まとめ表_各Aパターン件数[[#This Row],[管理番号]]=""),VLOOKUP(まとめ表_各Aパターン件数[[#This Row],[管理番号]],名前リスト[[#All],[管理番号]:[氏名]],2,TRUE),"")</f>
        <v>けいちゃんYDK</v>
      </c>
      <c r="C43" s="6" t="str">
        <f>IF(NOT(まとめ表_各Aパターン件数[[#This Row],[管理番号]]=""),VLOOKUP(まとめ表_各Aパターン件数[[#This Row],[管理番号]],名前リスト[[#All],[管理番号]:[氏名]],3,TRUE),"")</f>
        <v>イケダ　ケイタ</v>
      </c>
      <c r="D43" s="76" t="str">
        <f t="shared" si="0"/>
        <v/>
      </c>
      <c r="E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4" spans="1:28">
      <c r="A44" s="20">
        <f>名前リスト[[#This Row],[管理番号]]</f>
        <v>43</v>
      </c>
      <c r="B44" s="6" t="str">
        <f>IF(NOT(まとめ表_各Aパターン件数[[#This Row],[管理番号]]=""),VLOOKUP(まとめ表_各Aパターン件数[[#This Row],[管理番号]],名前リスト[[#All],[管理番号]:[氏名]],2,TRUE),"")</f>
        <v>まみ</v>
      </c>
      <c r="C44" s="6" t="str">
        <f>IF(NOT(まとめ表_各Aパターン件数[[#This Row],[管理番号]]=""),VLOOKUP(まとめ表_各Aパターン件数[[#This Row],[管理番号]],名前リスト[[#All],[管理番号]:[氏名]],3,TRUE),"")</f>
        <v>中山　茉美</v>
      </c>
      <c r="D44" s="76" t="str">
        <f t="shared" si="0"/>
        <v/>
      </c>
      <c r="E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5" spans="1:28">
      <c r="A45" s="20">
        <f>名前リスト[[#This Row],[管理番号]]</f>
        <v>44</v>
      </c>
      <c r="B45" s="6" t="str">
        <f>IF(NOT(まとめ表_各Aパターン件数[[#This Row],[管理番号]]=""),VLOOKUP(まとめ表_各Aパターン件数[[#This Row],[管理番号]],名前リスト[[#All],[管理番号]:[氏名]],2,TRUE),"")</f>
        <v>平本　悠馬</v>
      </c>
      <c r="C45" s="6" t="str">
        <f>IF(NOT(まとめ表_各Aパターン件数[[#This Row],[管理番号]]=""),VLOOKUP(まとめ表_各Aパターン件数[[#This Row],[管理番号]],名前リスト[[#All],[管理番号]:[氏名]],3,TRUE),"")</f>
        <v>平本　悠馬</v>
      </c>
      <c r="D45" s="76" t="str">
        <f t="shared" si="0"/>
        <v/>
      </c>
      <c r="E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6" spans="1:28">
      <c r="A46" s="20">
        <f>名前リスト[[#This Row],[管理番号]]</f>
        <v>45</v>
      </c>
      <c r="B46" s="6" t="str">
        <f>IF(NOT(まとめ表_各Aパターン件数[[#This Row],[管理番号]]=""),VLOOKUP(まとめ表_各Aパターン件数[[#This Row],[管理番号]],名前リスト[[#All],[管理番号]:[氏名]],2,TRUE),"")</f>
        <v>山田隆生</v>
      </c>
      <c r="C46" s="6" t="str">
        <f>IF(NOT(まとめ表_各Aパターン件数[[#This Row],[管理番号]]=""),VLOOKUP(まとめ表_各Aパターン件数[[#This Row],[管理番号]],名前リスト[[#All],[管理番号]:[氏名]],3,TRUE),"")</f>
        <v>山田　隆生</v>
      </c>
      <c r="D46" s="76" t="str">
        <f t="shared" si="0"/>
        <v/>
      </c>
      <c r="E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7" spans="1:28">
      <c r="A47" s="20">
        <f>名前リスト[[#This Row],[管理番号]]</f>
        <v>46</v>
      </c>
      <c r="B47" s="6" t="str">
        <f>IF(NOT(まとめ表_各Aパターン件数[[#This Row],[管理番号]]=""),VLOOKUP(まとめ表_各Aパターン件数[[#This Row],[管理番号]],名前リスト[[#All],[管理番号]:[氏名]],2,TRUE),"")</f>
        <v>なかじま</v>
      </c>
      <c r="C47" s="6" t="str">
        <f>IF(NOT(まとめ表_各Aパターン件数[[#This Row],[管理番号]]=""),VLOOKUP(まとめ表_各Aパターン件数[[#This Row],[管理番号]],名前リスト[[#All],[管理番号]:[氏名]],3,TRUE),"")</f>
        <v>中嶋　一輝</v>
      </c>
      <c r="D47" s="76" t="str">
        <f t="shared" si="0"/>
        <v/>
      </c>
      <c r="E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8" spans="1:28">
      <c r="A48" s="20">
        <f>名前リスト[[#This Row],[管理番号]]</f>
        <v>47</v>
      </c>
      <c r="B48" s="6" t="str">
        <f>IF(NOT(まとめ表_各Aパターン件数[[#This Row],[管理番号]]=""),VLOOKUP(まとめ表_各Aパターン件数[[#This Row],[管理番号]],名前リスト[[#All],[管理番号]:[氏名]],2,TRUE),"")</f>
        <v>WATARU</v>
      </c>
      <c r="C48" s="6" t="str">
        <f>IF(NOT(まとめ表_各Aパターン件数[[#This Row],[管理番号]]=""),VLOOKUP(まとめ表_各Aパターン件数[[#This Row],[管理番号]],名前リスト[[#All],[管理番号]:[氏名]],3,TRUE),"")</f>
        <v>熊谷　航</v>
      </c>
      <c r="D48" s="76" t="str">
        <f t="shared" si="0"/>
        <v/>
      </c>
      <c r="E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49" spans="1:28">
      <c r="A49" s="20">
        <f>名前リスト[[#This Row],[管理番号]]</f>
        <v>48</v>
      </c>
      <c r="B49" s="6" t="str">
        <f>IF(NOT(まとめ表_各Aパターン件数[[#This Row],[管理番号]]=""),VLOOKUP(まとめ表_各Aパターン件数[[#This Row],[管理番号]],名前リスト[[#All],[管理番号]:[氏名]],2,TRUE),"")</f>
        <v>亜美</v>
      </c>
      <c r="C49" s="6" t="str">
        <f>IF(NOT(まとめ表_各Aパターン件数[[#This Row],[管理番号]]=""),VLOOKUP(まとめ表_各Aパターン件数[[#This Row],[管理番号]],名前リスト[[#All],[管理番号]:[氏名]],3,TRUE),"")</f>
        <v>南原　亜美</v>
      </c>
      <c r="D49" s="76" t="str">
        <f t="shared" si="0"/>
        <v/>
      </c>
      <c r="E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0" spans="1:28">
      <c r="A50" s="20">
        <f>名前リスト[[#This Row],[管理番号]]</f>
        <v>49</v>
      </c>
      <c r="B50" s="6" t="str">
        <f>IF(NOT(まとめ表_各Aパターン件数[[#This Row],[管理番号]]=""),VLOOKUP(まとめ表_各Aパターン件数[[#This Row],[管理番号]],名前リスト[[#All],[管理番号]:[氏名]],2,TRUE),"")</f>
        <v>kamitani</v>
      </c>
      <c r="C50" s="6" t="str">
        <f>IF(NOT(まとめ表_各Aパターン件数[[#This Row],[管理番号]]=""),VLOOKUP(まとめ表_各Aパターン件数[[#This Row],[管理番号]],名前リスト[[#All],[管理番号]:[氏名]],3,TRUE),"")</f>
        <v>紙谷　莉央</v>
      </c>
      <c r="D50" s="76" t="str">
        <f t="shared" si="0"/>
        <v/>
      </c>
      <c r="E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1" spans="1:28">
      <c r="A51" s="20">
        <f>名前リスト[[#This Row],[管理番号]]</f>
        <v>50</v>
      </c>
      <c r="B51" s="6" t="str">
        <f>IF(NOT(まとめ表_各Aパターン件数[[#This Row],[管理番号]]=""),VLOOKUP(まとめ表_各Aパターン件数[[#This Row],[管理番号]],名前リスト[[#All],[管理番号]:[氏名]],2,TRUE),"")</f>
        <v>hyoma</v>
      </c>
      <c r="C51" s="6" t="str">
        <f>IF(NOT(まとめ表_各Aパターン件数[[#This Row],[管理番号]]=""),VLOOKUP(まとめ表_各Aパターン件数[[#This Row],[管理番号]],名前リスト[[#All],[管理番号]:[氏名]],3,TRUE),"")</f>
        <v>庄司　彪真</v>
      </c>
      <c r="D51" s="76" t="str">
        <f t="shared" si="0"/>
        <v/>
      </c>
      <c r="E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2" spans="1:28">
      <c r="A52" s="20">
        <f>名前リスト[[#This Row],[管理番号]]</f>
        <v>51</v>
      </c>
      <c r="B52" s="6" t="str">
        <f>IF(NOT(まとめ表_各Aパターン件数[[#This Row],[管理番号]]=""),VLOOKUP(まとめ表_各Aパターン件数[[#This Row],[管理番号]],名前リスト[[#All],[管理番号]:[氏名]],2,TRUE),"")</f>
        <v>きのしたこうき</v>
      </c>
      <c r="C52" s="6" t="str">
        <f>IF(NOT(まとめ表_各Aパターン件数[[#This Row],[管理番号]]=""),VLOOKUP(まとめ表_各Aパターン件数[[#This Row],[管理番号]],名前リスト[[#All],[管理番号]:[氏名]],3,TRUE),"")</f>
        <v>木下　光樹</v>
      </c>
      <c r="D52" s="76" t="str">
        <f t="shared" si="0"/>
        <v/>
      </c>
      <c r="E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3" spans="1:28">
      <c r="A53" s="20">
        <f>名前リスト[[#This Row],[管理番号]]</f>
        <v>52</v>
      </c>
      <c r="B53" s="6" t="str">
        <f>IF(NOT(まとめ表_各Aパターン件数[[#This Row],[管理番号]]=""),VLOOKUP(まとめ表_各Aパターン件数[[#This Row],[管理番号]],名前リスト[[#All],[管理番号]:[氏名]],2,TRUE),"")</f>
        <v>tamaki</v>
      </c>
      <c r="C53" s="6" t="str">
        <f>IF(NOT(まとめ表_各Aパターン件数[[#This Row],[管理番号]]=""),VLOOKUP(まとめ表_各Aパターン件数[[#This Row],[管理番号]],名前リスト[[#All],[管理番号]:[氏名]],3,TRUE),"")</f>
        <v>玉木　祐</v>
      </c>
      <c r="D53" s="76" t="str">
        <f t="shared" si="0"/>
        <v/>
      </c>
      <c r="E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4" spans="1:28">
      <c r="A54" s="20">
        <f>名前リスト[[#This Row],[管理番号]]</f>
        <v>53</v>
      </c>
      <c r="B54" s="6" t="str">
        <f>IF(NOT(まとめ表_各Aパターン件数[[#This Row],[管理番号]]=""),VLOOKUP(まとめ表_各Aパターン件数[[#This Row],[管理番号]],名前リスト[[#All],[管理番号]:[氏名]],2,TRUE),"")</f>
        <v>さや</v>
      </c>
      <c r="C54" s="6" t="str">
        <f>IF(NOT(まとめ表_各Aパターン件数[[#This Row],[管理番号]]=""),VLOOKUP(まとめ表_各Aパターン件数[[#This Row],[管理番号]],名前リスト[[#All],[管理番号]:[氏名]],3,TRUE),"")</f>
        <v>藤田　彩椰</v>
      </c>
      <c r="D54" s="76" t="str">
        <f t="shared" si="0"/>
        <v/>
      </c>
      <c r="E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5" spans="1:28">
      <c r="A55" s="20">
        <f>名前リスト[[#This Row],[管理番号]]</f>
        <v>54</v>
      </c>
      <c r="B55" s="6" t="str">
        <f>IF(NOT(まとめ表_各Aパターン件数[[#This Row],[管理番号]]=""),VLOOKUP(まとめ表_各Aパターン件数[[#This Row],[管理番号]],名前リスト[[#All],[管理番号]:[氏名]],2,TRUE),"")</f>
        <v>図子涼太</v>
      </c>
      <c r="C55" s="6" t="str">
        <f>IF(NOT(まとめ表_各Aパターン件数[[#This Row],[管理番号]]=""),VLOOKUP(まとめ表_各Aパターン件数[[#This Row],[管理番号]],名前リスト[[#All],[管理番号]:[氏名]],3,TRUE),"")</f>
        <v>図子　涼太</v>
      </c>
      <c r="D55" s="76" t="str">
        <f t="shared" si="0"/>
        <v/>
      </c>
      <c r="E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6" spans="1:28">
      <c r="A56" s="20">
        <f>名前リスト[[#This Row],[管理番号]]</f>
        <v>55</v>
      </c>
      <c r="B56" s="6" t="str">
        <f>IF(NOT(まとめ表_各Aパターン件数[[#This Row],[管理番号]]=""),VLOOKUP(まとめ表_各Aパターン件数[[#This Row],[管理番号]],名前リスト[[#All],[管理番号]:[氏名]],2,TRUE),"")</f>
        <v>じおん</v>
      </c>
      <c r="C56" s="6" t="str">
        <f>IF(NOT(まとめ表_各Aパターン件数[[#This Row],[管理番号]]=""),VLOOKUP(まとめ表_各Aパターン件数[[#This Row],[管理番号]],名前リスト[[#All],[管理番号]:[氏名]],3,TRUE),"")</f>
        <v>友原　慈恩</v>
      </c>
      <c r="D56" s="76" t="str">
        <f t="shared" si="0"/>
        <v/>
      </c>
      <c r="E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7" spans="1:28">
      <c r="A57" s="20">
        <f>名前リスト[[#This Row],[管理番号]]</f>
        <v>56</v>
      </c>
      <c r="B57" s="6" t="str">
        <f>IF(NOT(まとめ表_各Aパターン件数[[#This Row],[管理番号]]=""),VLOOKUP(まとめ表_各Aパターン件数[[#This Row],[管理番号]],名前リスト[[#All],[管理番号]:[氏名]],2,TRUE),"")</f>
        <v>高橋だいき</v>
      </c>
      <c r="C57" s="6" t="str">
        <f>IF(NOT(まとめ表_各Aパターン件数[[#This Row],[管理番号]]=""),VLOOKUP(まとめ表_各Aパターン件数[[#This Row],[管理番号]],名前リスト[[#All],[管理番号]:[氏名]],3,TRUE),"")</f>
        <v>高橋　大喜</v>
      </c>
      <c r="D57" s="76" t="str">
        <f t="shared" si="0"/>
        <v/>
      </c>
      <c r="E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8" spans="1:28">
      <c r="A58" s="20">
        <f>名前リスト[[#This Row],[管理番号]]</f>
        <v>57</v>
      </c>
      <c r="B58" s="6" t="str">
        <f>IF(NOT(まとめ表_各Aパターン件数[[#This Row],[管理番号]]=""),VLOOKUP(まとめ表_各Aパターン件数[[#This Row],[管理番号]],名前リスト[[#All],[管理番号]:[氏名]],2,TRUE),"")</f>
        <v>若江祐香</v>
      </c>
      <c r="C58" s="6" t="str">
        <f>IF(NOT(まとめ表_各Aパターン件数[[#This Row],[管理番号]]=""),VLOOKUP(まとめ表_各Aパターン件数[[#This Row],[管理番号]],名前リスト[[#All],[管理番号]:[氏名]],3,TRUE),"")</f>
        <v>若江　祐香</v>
      </c>
      <c r="D58" s="76" t="str">
        <f t="shared" si="0"/>
        <v/>
      </c>
      <c r="E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59" spans="1:28">
      <c r="A59" s="20">
        <f>名前リスト[[#This Row],[管理番号]]</f>
        <v>58</v>
      </c>
      <c r="B59" s="6" t="str">
        <f>IF(NOT(まとめ表_各Aパターン件数[[#This Row],[管理番号]]=""),VLOOKUP(まとめ表_各Aパターン件数[[#This Row],[管理番号]],名前リスト[[#All],[管理番号]:[氏名]],2,TRUE),"")</f>
        <v>ゆり</v>
      </c>
      <c r="C59" s="6" t="str">
        <f>IF(NOT(まとめ表_各Aパターン件数[[#This Row],[管理番号]]=""),VLOOKUP(まとめ表_各Aパターン件数[[#This Row],[管理番号]],名前リスト[[#All],[管理番号]:[氏名]],3,TRUE),"")</f>
        <v>羽坂　友里</v>
      </c>
      <c r="D59" s="76" t="str">
        <f t="shared" si="0"/>
        <v/>
      </c>
      <c r="E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0" spans="1:28">
      <c r="A60" s="20">
        <f>名前リスト[[#This Row],[管理番号]]</f>
        <v>59</v>
      </c>
      <c r="B60" s="6" t="str">
        <f>IF(NOT(まとめ表_各Aパターン件数[[#This Row],[管理番号]]=""),VLOOKUP(まとめ表_各Aパターン件数[[#This Row],[管理番号]],名前リスト[[#All],[管理番号]:[氏名]],2,TRUE),"")</f>
        <v>たなかもとひで</v>
      </c>
      <c r="C60" s="6" t="str">
        <f>IF(NOT(まとめ表_各Aパターン件数[[#This Row],[管理番号]]=""),VLOOKUP(まとめ表_各Aパターン件数[[#This Row],[管理番号]],名前リスト[[#All],[管理番号]:[氏名]],3,TRUE),"")</f>
        <v>田中　元秀</v>
      </c>
      <c r="D60" s="76" t="str">
        <f t="shared" si="0"/>
        <v/>
      </c>
      <c r="E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1" spans="1:28">
      <c r="A61" s="20">
        <f>名前リスト[[#This Row],[管理番号]]</f>
        <v>60</v>
      </c>
      <c r="B61" s="6" t="str">
        <f>IF(NOT(まとめ表_各Aパターン件数[[#This Row],[管理番号]]=""),VLOOKUP(まとめ表_各Aパターン件数[[#This Row],[管理番号]],名前リスト[[#All],[管理番号]:[氏名]],2,TRUE),"")</f>
        <v>藤井康裕</v>
      </c>
      <c r="C61" s="6" t="str">
        <f>IF(NOT(まとめ表_各Aパターン件数[[#This Row],[管理番号]]=""),VLOOKUP(まとめ表_各Aパターン件数[[#This Row],[管理番号]],名前リスト[[#All],[管理番号]:[氏名]],3,TRUE),"")</f>
        <v>藤井　康裕</v>
      </c>
      <c r="D61" s="76" t="str">
        <f t="shared" si="0"/>
        <v/>
      </c>
      <c r="E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2" spans="1:28">
      <c r="A62" s="20">
        <f>名前リスト[[#This Row],[管理番号]]</f>
        <v>61</v>
      </c>
      <c r="B62" s="6" t="str">
        <f>IF(NOT(まとめ表_各Aパターン件数[[#This Row],[管理番号]]=""),VLOOKUP(まとめ表_各Aパターン件数[[#This Row],[管理番号]],名前リスト[[#All],[管理番号]:[氏名]],2,TRUE),"")</f>
        <v>あおこう</v>
      </c>
      <c r="C62" s="6" t="str">
        <f>IF(NOT(まとめ表_各Aパターン件数[[#This Row],[管理番号]]=""),VLOOKUP(まとめ表_各Aパターン件数[[#This Row],[管理番号]],名前リスト[[#All],[管理番号]:[氏名]],3,TRUE),"")</f>
        <v>青地　耕平</v>
      </c>
      <c r="D62" s="76" t="str">
        <f t="shared" si="0"/>
        <v/>
      </c>
      <c r="E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3" spans="1:28">
      <c r="A63" s="20">
        <f>名前リスト[[#This Row],[管理番号]]</f>
        <v>62</v>
      </c>
      <c r="B63" s="6" t="str">
        <f>IF(NOT(まとめ表_各Aパターン件数[[#This Row],[管理番号]]=""),VLOOKUP(まとめ表_各Aパターン件数[[#This Row],[管理番号]],名前リスト[[#All],[管理番号]:[氏名]],2,TRUE),"")</f>
        <v>近藤智樹</v>
      </c>
      <c r="C63" s="6" t="str">
        <f>IF(NOT(まとめ表_各Aパターン件数[[#This Row],[管理番号]]=""),VLOOKUP(まとめ表_各Aパターン件数[[#This Row],[管理番号]],名前リスト[[#All],[管理番号]:[氏名]],3,TRUE),"")</f>
        <v>近藤　智樹</v>
      </c>
      <c r="D63" s="76" t="str">
        <f t="shared" si="0"/>
        <v/>
      </c>
      <c r="E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4" spans="1:28">
      <c r="A64" s="20">
        <f>名前リスト[[#This Row],[管理番号]]</f>
        <v>63</v>
      </c>
      <c r="B64" s="6" t="str">
        <f>IF(NOT(まとめ表_各Aパターン件数[[#This Row],[管理番号]]=""),VLOOKUP(まとめ表_各Aパターン件数[[#This Row],[管理番号]],名前リスト[[#All],[管理番号]:[氏名]],2,TRUE),"")</f>
        <v>金子心</v>
      </c>
      <c r="C64" s="6" t="str">
        <f>IF(NOT(まとめ表_各Aパターン件数[[#This Row],[管理番号]]=""),VLOOKUP(まとめ表_各Aパターン件数[[#This Row],[管理番号]],名前リスト[[#All],[管理番号]:[氏名]],3,TRUE),"")</f>
        <v>金子　心</v>
      </c>
      <c r="D64" s="76" t="str">
        <f t="shared" si="0"/>
        <v/>
      </c>
      <c r="E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5" spans="1:28">
      <c r="A65" s="20">
        <f>名前リスト[[#This Row],[管理番号]]</f>
        <v>64</v>
      </c>
      <c r="B65" s="6" t="str">
        <f>IF(NOT(まとめ表_各Aパターン件数[[#This Row],[管理番号]]=""),VLOOKUP(まとめ表_各Aパターン件数[[#This Row],[管理番号]],名前リスト[[#All],[管理番号]:[氏名]],2,TRUE),"")</f>
        <v>田中弦</v>
      </c>
      <c r="C65" s="6" t="str">
        <f>IF(NOT(まとめ表_各Aパターン件数[[#This Row],[管理番号]]=""),VLOOKUP(まとめ表_各Aパターン件数[[#This Row],[管理番号]],名前リスト[[#All],[管理番号]:[氏名]],3,TRUE),"")</f>
        <v>田中　弦</v>
      </c>
      <c r="D65" s="76">
        <f t="shared" si="0"/>
        <v>1</v>
      </c>
      <c r="E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6" spans="1:28">
      <c r="A66" s="20">
        <f>名前リスト[[#This Row],[管理番号]]</f>
        <v>65</v>
      </c>
      <c r="B66" s="6" t="str">
        <f>IF(NOT(まとめ表_各Aパターン件数[[#This Row],[管理番号]]=""),VLOOKUP(まとめ表_各Aパターン件数[[#This Row],[管理番号]],名前リスト[[#All],[管理番号]:[氏名]],2,TRUE),"")</f>
        <v>りな</v>
      </c>
      <c r="C66" s="6" t="str">
        <f>IF(NOT(まとめ表_各Aパターン件数[[#This Row],[管理番号]]=""),VLOOKUP(まとめ表_各Aパターン件数[[#This Row],[管理番号]],名前リスト[[#All],[管理番号]:[氏名]],3,TRUE),"")</f>
        <v>水田　里奈</v>
      </c>
      <c r="D66" s="76" t="str">
        <f t="shared" ref="D66:D129" si="1">IF(SUM(E66:XFD66)=0,"",SUM(E66:XFD66))</f>
        <v/>
      </c>
      <c r="E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7" spans="1:28">
      <c r="A67" s="20">
        <f>名前リスト[[#This Row],[管理番号]]</f>
        <v>66</v>
      </c>
      <c r="B67" s="6" t="str">
        <f>IF(NOT(まとめ表_各Aパターン件数[[#This Row],[管理番号]]=""),VLOOKUP(まとめ表_各Aパターン件数[[#This Row],[管理番号]],名前リスト[[#All],[管理番号]:[氏名]],2,TRUE),"")</f>
        <v>山本裕介</v>
      </c>
      <c r="C67" s="6" t="str">
        <f>IF(NOT(まとめ表_各Aパターン件数[[#This Row],[管理番号]]=""),VLOOKUP(まとめ表_各Aパターン件数[[#This Row],[管理番号]],名前リスト[[#All],[管理番号]:[氏名]],3,TRUE),"")</f>
        <v>山本　裕介</v>
      </c>
      <c r="D67" s="76" t="str">
        <f t="shared" si="1"/>
        <v/>
      </c>
      <c r="E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8" spans="1:28">
      <c r="A68" s="20">
        <f>名前リスト[[#This Row],[管理番号]]</f>
        <v>67</v>
      </c>
      <c r="B68" s="6" t="str">
        <f>IF(NOT(まとめ表_各Aパターン件数[[#This Row],[管理番号]]=""),VLOOKUP(まとめ表_各Aパターン件数[[#This Row],[管理番号]],名前リスト[[#All],[管理番号]:[氏名]],2,TRUE),"")</f>
        <v>久元昭人</v>
      </c>
      <c r="C68" s="6" t="str">
        <f>IF(NOT(まとめ表_各Aパターン件数[[#This Row],[管理番号]]=""),VLOOKUP(まとめ表_各Aパターン件数[[#This Row],[管理番号]],名前リスト[[#All],[管理番号]:[氏名]],3,TRUE),"")</f>
        <v>久元　昭人</v>
      </c>
      <c r="D68" s="76" t="str">
        <f t="shared" si="1"/>
        <v/>
      </c>
      <c r="E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69" spans="1:28">
      <c r="A69" s="20">
        <f>名前リスト[[#This Row],[管理番号]]</f>
        <v>68</v>
      </c>
      <c r="B69" s="6" t="str">
        <f>IF(NOT(まとめ表_各Aパターン件数[[#This Row],[管理番号]]=""),VLOOKUP(まとめ表_各Aパターン件数[[#This Row],[管理番号]],名前リスト[[#All],[管理番号]:[氏名]],2,TRUE),"")</f>
        <v>白水　祐太</v>
      </c>
      <c r="C69" s="6" t="str">
        <f>IF(NOT(まとめ表_各Aパターン件数[[#This Row],[管理番号]]=""),VLOOKUP(まとめ表_各Aパターン件数[[#This Row],[管理番号]],名前リスト[[#All],[管理番号]:[氏名]],3,TRUE),"")</f>
        <v>白水　祐太</v>
      </c>
      <c r="D69" s="76" t="str">
        <f t="shared" si="1"/>
        <v/>
      </c>
      <c r="E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0" spans="1:28">
      <c r="A70" s="20">
        <f>名前リスト[[#This Row],[管理番号]]</f>
        <v>69</v>
      </c>
      <c r="B70" s="6" t="str">
        <f>IF(NOT(まとめ表_各Aパターン件数[[#This Row],[管理番号]]=""),VLOOKUP(まとめ表_各Aパターン件数[[#This Row],[管理番号]],名前リスト[[#All],[管理番号]:[氏名]],2,TRUE),"")</f>
        <v>水津直樹</v>
      </c>
      <c r="C70" s="6" t="str">
        <f>IF(NOT(まとめ表_各Aパターン件数[[#This Row],[管理番号]]=""),VLOOKUP(まとめ表_各Aパターン件数[[#This Row],[管理番号]],名前リスト[[#All],[管理番号]:[氏名]],3,TRUE),"")</f>
        <v>水津　直樹</v>
      </c>
      <c r="D70" s="76" t="str">
        <f t="shared" si="1"/>
        <v/>
      </c>
      <c r="E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1" spans="1:28">
      <c r="A71" s="20">
        <f>名前リスト[[#This Row],[管理番号]]</f>
        <v>70</v>
      </c>
      <c r="B71" s="6" t="str">
        <f>IF(NOT(まとめ表_各Aパターン件数[[#This Row],[管理番号]]=""),VLOOKUP(まとめ表_各Aパターン件数[[#This Row],[管理番号]],名前リスト[[#All],[管理番号]:[氏名]],2,TRUE),"")</f>
        <v>のさかりょうすけ</v>
      </c>
      <c r="C71" s="6" t="str">
        <f>IF(NOT(まとめ表_各Aパターン件数[[#This Row],[管理番号]]=""),VLOOKUP(まとめ表_各Aパターン件数[[#This Row],[管理番号]],名前リスト[[#All],[管理番号]:[氏名]],3,TRUE),"")</f>
        <v>野坂　亮介</v>
      </c>
      <c r="D71" s="76" t="str">
        <f t="shared" si="1"/>
        <v/>
      </c>
      <c r="E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2" spans="1:28">
      <c r="A72" s="20">
        <f>名前リスト[[#This Row],[管理番号]]</f>
        <v>71</v>
      </c>
      <c r="B72" s="6" t="str">
        <f>IF(NOT(まとめ表_各Aパターン件数[[#This Row],[管理番号]]=""),VLOOKUP(まとめ表_各Aパターン件数[[#This Row],[管理番号]],名前リスト[[#All],[管理番号]:[氏名]],2,TRUE),"")</f>
        <v>いしだともみ</v>
      </c>
      <c r="C72" s="6" t="str">
        <f>IF(NOT(まとめ表_各Aパターン件数[[#This Row],[管理番号]]=""),VLOOKUP(まとめ表_各Aパターン件数[[#This Row],[管理番号]],名前リスト[[#All],[管理番号]:[氏名]],3,TRUE),"")</f>
        <v>石田　智美</v>
      </c>
      <c r="D72" s="76" t="str">
        <f t="shared" si="1"/>
        <v/>
      </c>
      <c r="E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3" spans="1:28">
      <c r="A73" s="20">
        <f>名前リスト[[#This Row],[管理番号]]</f>
        <v>72</v>
      </c>
      <c r="B73" s="6" t="str">
        <f>IF(NOT(まとめ表_各Aパターン件数[[#This Row],[管理番号]]=""),VLOOKUP(まとめ表_各Aパターン件数[[#This Row],[管理番号]],名前リスト[[#All],[管理番号]:[氏名]],2,TRUE),"")</f>
        <v>ひが</v>
      </c>
      <c r="C73" s="6" t="str">
        <f>IF(NOT(まとめ表_各Aパターン件数[[#This Row],[管理番号]]=""),VLOOKUP(まとめ表_各Aパターン件数[[#This Row],[管理番号]],名前リスト[[#All],[管理番号]:[氏名]],3,TRUE),"")</f>
        <v>比嘉　健太</v>
      </c>
      <c r="D73" s="76" t="str">
        <f t="shared" si="1"/>
        <v/>
      </c>
      <c r="E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4" spans="1:28">
      <c r="A74" s="20">
        <f>名前リスト[[#This Row],[管理番号]]</f>
        <v>73</v>
      </c>
      <c r="B74" s="6" t="str">
        <f>IF(NOT(まとめ表_各Aパターン件数[[#This Row],[管理番号]]=""),VLOOKUP(まとめ表_各Aパターン件数[[#This Row],[管理番号]],名前リスト[[#All],[管理番号]:[氏名]],2,TRUE),"")</f>
        <v>yuukuki</v>
      </c>
      <c r="C74" s="6" t="str">
        <f>IF(NOT(まとめ表_各Aパターン件数[[#This Row],[管理番号]]=""),VLOOKUP(まとめ表_各Aパターン件数[[#This Row],[管理番号]],名前リスト[[#All],[管理番号]:[氏名]],3,TRUE),"")</f>
        <v>大山　優樹</v>
      </c>
      <c r="D74" s="76" t="str">
        <f t="shared" si="1"/>
        <v/>
      </c>
      <c r="E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5" spans="1:28">
      <c r="A75" s="20">
        <f>名前リスト[[#This Row],[管理番号]]</f>
        <v>74</v>
      </c>
      <c r="B75" s="6" t="str">
        <f>IF(NOT(まとめ表_各Aパターン件数[[#This Row],[管理番号]]=""),VLOOKUP(まとめ表_各Aパターン件数[[#This Row],[管理番号]],名前リスト[[#All],[管理番号]:[氏名]],2,TRUE),"")</f>
        <v>池田裕哉</v>
      </c>
      <c r="C75" s="6" t="str">
        <f>IF(NOT(まとめ表_各Aパターン件数[[#This Row],[管理番号]]=""),VLOOKUP(まとめ表_各Aパターン件数[[#This Row],[管理番号]],名前リスト[[#All],[管理番号]:[氏名]],3,TRUE),"")</f>
        <v>池田　裕哉</v>
      </c>
      <c r="D75" s="76" t="str">
        <f t="shared" si="1"/>
        <v/>
      </c>
      <c r="E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6" spans="1:28">
      <c r="A76" s="20">
        <f>名前リスト[[#This Row],[管理番号]]</f>
        <v>75</v>
      </c>
      <c r="B76" s="6" t="str">
        <f>IF(NOT(まとめ表_各Aパターン件数[[#This Row],[管理番号]]=""),VLOOKUP(まとめ表_各Aパターン件数[[#This Row],[管理番号]],名前リスト[[#All],[管理番号]:[氏名]],2,TRUE),"")</f>
        <v>辰己隆一郎</v>
      </c>
      <c r="C76" s="6" t="str">
        <f>IF(NOT(まとめ表_各Aパターン件数[[#This Row],[管理番号]]=""),VLOOKUP(まとめ表_各Aパターン件数[[#This Row],[管理番号]],名前リスト[[#All],[管理番号]:[氏名]],3,TRUE),"")</f>
        <v>辰己　隆一郎</v>
      </c>
      <c r="D76" s="76" t="str">
        <f t="shared" si="1"/>
        <v/>
      </c>
      <c r="E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7" spans="1:28">
      <c r="A77" s="20">
        <f>名前リスト[[#This Row],[管理番号]]</f>
        <v>76</v>
      </c>
      <c r="B77" s="6" t="str">
        <f>IF(NOT(まとめ表_各Aパターン件数[[#This Row],[管理番号]]=""),VLOOKUP(まとめ表_各Aパターン件数[[#This Row],[管理番号]],名前リスト[[#All],[管理番号]:[氏名]],2,TRUE),"")</f>
        <v>chihiro</v>
      </c>
      <c r="C77" s="6" t="str">
        <f>IF(NOT(まとめ表_各Aパターン件数[[#This Row],[管理番号]]=""),VLOOKUP(まとめ表_各Aパターン件数[[#This Row],[管理番号]],名前リスト[[#All],[管理番号]:[氏名]],3,TRUE),"")</f>
        <v>井上　千裕</v>
      </c>
      <c r="D77" s="76" t="str">
        <f t="shared" si="1"/>
        <v/>
      </c>
      <c r="E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8" spans="1:28">
      <c r="A78" s="20">
        <f>名前リスト[[#This Row],[管理番号]]</f>
        <v>77</v>
      </c>
      <c r="B78" s="6" t="str">
        <f>IF(NOT(まとめ表_各Aパターン件数[[#This Row],[管理番号]]=""),VLOOKUP(まとめ表_各Aパターン件数[[#This Row],[管理番号]],名前リスト[[#All],[管理番号]:[氏名]],2,TRUE),"")</f>
        <v>キムラ</v>
      </c>
      <c r="C78" s="6" t="str">
        <f>IF(NOT(まとめ表_各Aパターン件数[[#This Row],[管理番号]]=""),VLOOKUP(まとめ表_各Aパターン件数[[#This Row],[管理番号]],名前リスト[[#All],[管理番号]:[氏名]],3,TRUE),"")</f>
        <v>木村　慎一郎</v>
      </c>
      <c r="D78" s="76" t="str">
        <f t="shared" si="1"/>
        <v/>
      </c>
      <c r="E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79" spans="1:28">
      <c r="A79" s="20">
        <f>名前リスト[[#This Row],[管理番号]]</f>
        <v>78</v>
      </c>
      <c r="B79" s="6" t="str">
        <f>IF(NOT(まとめ表_各Aパターン件数[[#This Row],[管理番号]]=""),VLOOKUP(まとめ表_各Aパターン件数[[#This Row],[管理番号]],名前リスト[[#All],[管理番号]:[氏名]],2,TRUE),"")</f>
        <v>ゆうや</v>
      </c>
      <c r="C79" s="6" t="str">
        <f>IF(NOT(まとめ表_各Aパターン件数[[#This Row],[管理番号]]=""),VLOOKUP(まとめ表_各Aパターン件数[[#This Row],[管理番号]],名前リスト[[#All],[管理番号]:[氏名]],3,TRUE),"")</f>
        <v>大野　裕哉</v>
      </c>
      <c r="D79" s="76" t="str">
        <f t="shared" si="1"/>
        <v/>
      </c>
      <c r="E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0" spans="1:28">
      <c r="A80" s="20">
        <f>名前リスト[[#This Row],[管理番号]]</f>
        <v>79</v>
      </c>
      <c r="B80" s="6">
        <f>IF(NOT(まとめ表_各Aパターン件数[[#This Row],[管理番号]]=""),VLOOKUP(まとめ表_各Aパターン件数[[#This Row],[管理番号]],名前リスト[[#All],[管理番号]:[氏名]],2,TRUE),"")</f>
        <v>0</v>
      </c>
      <c r="C80" s="6">
        <f>IF(NOT(まとめ表_各Aパターン件数[[#This Row],[管理番号]]=""),VLOOKUP(まとめ表_各Aパターン件数[[#This Row],[管理番号]],名前リスト[[#All],[管理番号]:[氏名]],3,TRUE),"")</f>
        <v>0</v>
      </c>
      <c r="D80" s="76" t="str">
        <f t="shared" si="1"/>
        <v/>
      </c>
      <c r="E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1" spans="1:28">
      <c r="A81" s="20">
        <f>名前リスト[[#This Row],[管理番号]]</f>
        <v>80</v>
      </c>
      <c r="B81" s="6" t="str">
        <f>IF(NOT(まとめ表_各Aパターン件数[[#This Row],[管理番号]]=""),VLOOKUP(まとめ表_各Aパターン件数[[#This Row],[管理番号]],名前リスト[[#All],[管理番号]:[氏名]],2,TRUE),"")</f>
        <v>新宅玄基</v>
      </c>
      <c r="C81" s="6" t="str">
        <f>IF(NOT(まとめ表_各Aパターン件数[[#This Row],[管理番号]]=""),VLOOKUP(まとめ表_各Aパターン件数[[#This Row],[管理番号]],名前リスト[[#All],[管理番号]:[氏名]],3,TRUE),"")</f>
        <v>新宅玄基</v>
      </c>
      <c r="D81" s="76" t="str">
        <f t="shared" si="1"/>
        <v/>
      </c>
      <c r="E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2" spans="1:28">
      <c r="A82" s="20">
        <f>名前リスト[[#This Row],[管理番号]]</f>
        <v>81</v>
      </c>
      <c r="B82" s="6" t="str">
        <f>IF(NOT(まとめ表_各Aパターン件数[[#This Row],[管理番号]]=""),VLOOKUP(まとめ表_各Aパターン件数[[#This Row],[管理番号]],名前リスト[[#All],[管理番号]:[氏名]],2,TRUE),"")</f>
        <v>岩崎ゆうや</v>
      </c>
      <c r="C82" s="6" t="str">
        <f>IF(NOT(まとめ表_各Aパターン件数[[#This Row],[管理番号]]=""),VLOOKUP(まとめ表_各Aパターン件数[[#This Row],[管理番号]],名前リスト[[#All],[管理番号]:[氏名]],3,TRUE),"")</f>
        <v>岩崎ゆうや</v>
      </c>
      <c r="D82" s="76" t="str">
        <f t="shared" si="1"/>
        <v/>
      </c>
      <c r="E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3" spans="1:28">
      <c r="A83" s="20">
        <f>名前リスト[[#This Row],[管理番号]]</f>
        <v>82</v>
      </c>
      <c r="B83" s="6" t="str">
        <f>IF(NOT(まとめ表_各Aパターン件数[[#This Row],[管理番号]]=""),VLOOKUP(まとめ表_各Aパターン件数[[#This Row],[管理番号]],名前リスト[[#All],[管理番号]:[氏名]],2,TRUE),"")</f>
        <v>ウエノリュウセイ</v>
      </c>
      <c r="C83" s="6" t="str">
        <f>IF(NOT(まとめ表_各Aパターン件数[[#This Row],[管理番号]]=""),VLOOKUP(まとめ表_各Aパターン件数[[#This Row],[管理番号]],名前リスト[[#All],[管理番号]:[氏名]],3,TRUE),"")</f>
        <v>ウエノリュウセイ</v>
      </c>
      <c r="D83" s="76" t="str">
        <f t="shared" si="1"/>
        <v/>
      </c>
      <c r="E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4" spans="1:28">
      <c r="A84" s="20">
        <f>名前リスト[[#This Row],[管理番号]]</f>
        <v>83</v>
      </c>
      <c r="B84" s="6" t="str">
        <f>IF(NOT(まとめ表_各Aパターン件数[[#This Row],[管理番号]]=""),VLOOKUP(まとめ表_各Aパターン件数[[#This Row],[管理番号]],名前リスト[[#All],[管理番号]:[氏名]],2,TRUE),"")</f>
        <v>なるちさん</v>
      </c>
      <c r="C84" s="6" t="str">
        <f>IF(NOT(まとめ表_各Aパターン件数[[#This Row],[管理番号]]=""),VLOOKUP(まとめ表_各Aパターン件数[[#This Row],[管理番号]],名前リスト[[#All],[管理番号]:[氏名]],3,TRUE),"")</f>
        <v>なるちさん</v>
      </c>
      <c r="D84" s="76" t="str">
        <f t="shared" si="1"/>
        <v/>
      </c>
      <c r="E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5" spans="1:28">
      <c r="A85" s="20">
        <f>名前リスト[[#This Row],[管理番号]]</f>
        <v>84</v>
      </c>
      <c r="B85" s="6" t="str">
        <f>IF(NOT(まとめ表_各Aパターン件数[[#This Row],[管理番号]]=""),VLOOKUP(まとめ表_各Aパターン件数[[#This Row],[管理番号]],名前リスト[[#All],[管理番号]:[氏名]],2,TRUE),"")</f>
        <v>アリックスさん</v>
      </c>
      <c r="C85" s="6" t="str">
        <f>IF(NOT(まとめ表_各Aパターン件数[[#This Row],[管理番号]]=""),VLOOKUP(まとめ表_各Aパターン件数[[#This Row],[管理番号]],名前リスト[[#All],[管理番号]:[氏名]],3,TRUE),"")</f>
        <v>アリックスさん</v>
      </c>
      <c r="D85" s="76" t="str">
        <f t="shared" si="1"/>
        <v/>
      </c>
      <c r="E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6" spans="1:28">
      <c r="A86" s="20">
        <f>名前リスト[[#This Row],[管理番号]]</f>
        <v>85</v>
      </c>
      <c r="B86" s="6" t="str">
        <f>IF(NOT(まとめ表_各Aパターン件数[[#This Row],[管理番号]]=""),VLOOKUP(まとめ表_各Aパターン件数[[#This Row],[管理番号]],名前リスト[[#All],[管理番号]:[氏名]],2,TRUE),"")</f>
        <v>のぞみ</v>
      </c>
      <c r="C86" s="6" t="str">
        <f>IF(NOT(まとめ表_各Aパターン件数[[#This Row],[管理番号]]=""),VLOOKUP(まとめ表_各Aパターン件数[[#This Row],[管理番号]],名前リスト[[#All],[管理番号]:[氏名]],3,TRUE),"")</f>
        <v>竹隈　望</v>
      </c>
      <c r="D86" s="76" t="str">
        <f t="shared" si="1"/>
        <v/>
      </c>
      <c r="E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7" spans="1:28">
      <c r="A87" s="20">
        <f>名前リスト[[#This Row],[管理番号]]</f>
        <v>86</v>
      </c>
      <c r="B87" s="6" t="str">
        <f>IF(NOT(まとめ表_各Aパターン件数[[#This Row],[管理番号]]=""),VLOOKUP(まとめ表_各Aパターン件数[[#This Row],[管理番号]],名前リスト[[#All],[管理番号]:[氏名]],2,TRUE),"")</f>
        <v>おっかー</v>
      </c>
      <c r="C87" s="6" t="str">
        <f>IF(NOT(まとめ表_各Aパターン件数[[#This Row],[管理番号]]=""),VLOOKUP(まとめ表_各Aパターン件数[[#This Row],[管理番号]],名前リスト[[#All],[管理番号]:[氏名]],3,TRUE),"")</f>
        <v>岡部　将人</v>
      </c>
      <c r="D87" s="76" t="str">
        <f t="shared" si="1"/>
        <v/>
      </c>
      <c r="E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8" spans="1:28">
      <c r="A88" s="20">
        <f>名前リスト[[#This Row],[管理番号]]</f>
        <v>87</v>
      </c>
      <c r="B88" s="6" t="str">
        <f>IF(NOT(まとめ表_各Aパターン件数[[#This Row],[管理番号]]=""),VLOOKUP(まとめ表_各Aパターン件数[[#This Row],[管理番号]],名前リスト[[#All],[管理番号]:[氏名]],2,TRUE),"")</f>
        <v>金崎竜</v>
      </c>
      <c r="C88" s="6" t="str">
        <f>IF(NOT(まとめ表_各Aパターン件数[[#This Row],[管理番号]]=""),VLOOKUP(まとめ表_各Aパターン件数[[#This Row],[管理番号]],名前リスト[[#All],[管理番号]:[氏名]],3,TRUE),"")</f>
        <v>金崎　竜</v>
      </c>
      <c r="D88" s="76" t="str">
        <f t="shared" si="1"/>
        <v/>
      </c>
      <c r="E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89" spans="1:28">
      <c r="A89" s="20">
        <f>名前リスト[[#This Row],[管理番号]]</f>
        <v>88</v>
      </c>
      <c r="B89" s="6" t="str">
        <f>IF(NOT(まとめ表_各Aパターン件数[[#This Row],[管理番号]]=""),VLOOKUP(まとめ表_各Aパターン件数[[#This Row],[管理番号]],名前リスト[[#All],[管理番号]:[氏名]],2,TRUE),"")</f>
        <v>井上将吾</v>
      </c>
      <c r="C89" s="6" t="str">
        <f>IF(NOT(まとめ表_各Aパターン件数[[#This Row],[管理番号]]=""),VLOOKUP(まとめ表_各Aパターン件数[[#This Row],[管理番号]],名前リスト[[#All],[管理番号]:[氏名]],3,TRUE),"")</f>
        <v>井上　将吾</v>
      </c>
      <c r="D89" s="76" t="str">
        <f t="shared" si="1"/>
        <v/>
      </c>
      <c r="E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0" spans="1:28">
      <c r="A90" s="20">
        <f>名前リスト[[#This Row],[管理番号]]</f>
        <v>89</v>
      </c>
      <c r="B90" s="6" t="str">
        <f>IF(NOT(まとめ表_各Aパターン件数[[#This Row],[管理番号]]=""),VLOOKUP(まとめ表_各Aパターン件数[[#This Row],[管理番号]],名前リスト[[#All],[管理番号]:[氏名]],2,TRUE),"")</f>
        <v>押川</v>
      </c>
      <c r="C90" s="6" t="str">
        <f>IF(NOT(まとめ表_各Aパターン件数[[#This Row],[管理番号]]=""),VLOOKUP(まとめ表_各Aパターン件数[[#This Row],[管理番号]],名前リスト[[#All],[管理番号]:[氏名]],3,TRUE),"")</f>
        <v>おっしー</v>
      </c>
      <c r="D90" s="76" t="str">
        <f t="shared" si="1"/>
        <v/>
      </c>
      <c r="E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1" spans="1:28">
      <c r="A91" s="20">
        <f>名前リスト[[#This Row],[管理番号]]</f>
        <v>90</v>
      </c>
      <c r="B91" s="6" t="str">
        <f>IF(NOT(まとめ表_各Aパターン件数[[#This Row],[管理番号]]=""),VLOOKUP(まとめ表_各Aパターン件数[[#This Row],[管理番号]],名前リスト[[#All],[管理番号]:[氏名]],2,TRUE),"")</f>
        <v>ともや</v>
      </c>
      <c r="C91" s="6" t="str">
        <f>IF(NOT(まとめ表_各Aパターン件数[[#This Row],[管理番号]]=""),VLOOKUP(まとめ表_各Aパターン件数[[#This Row],[管理番号]],名前リスト[[#All],[管理番号]:[氏名]],3,TRUE),"")</f>
        <v>ともや</v>
      </c>
      <c r="D91" s="76" t="str">
        <f t="shared" si="1"/>
        <v/>
      </c>
      <c r="E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2" spans="1:28">
      <c r="A92" s="20">
        <f>名前リスト[[#This Row],[管理番号]]</f>
        <v>91</v>
      </c>
      <c r="B92" s="6" t="str">
        <f>IF(NOT(まとめ表_各Aパターン件数[[#This Row],[管理番号]]=""),VLOOKUP(まとめ表_各Aパターン件数[[#This Row],[管理番号]],名前リスト[[#All],[管理番号]:[氏名]],2,TRUE),"")</f>
        <v>日下勝</v>
      </c>
      <c r="C92" s="6" t="str">
        <f>IF(NOT(まとめ表_各Aパターン件数[[#This Row],[管理番号]]=""),VLOOKUP(まとめ表_各Aパターン件数[[#This Row],[管理番号]],名前リスト[[#All],[管理番号]:[氏名]],3,TRUE),"")</f>
        <v>日下　勝</v>
      </c>
      <c r="D92" s="76" t="str">
        <f t="shared" si="1"/>
        <v/>
      </c>
      <c r="E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3" spans="1:28">
      <c r="A93" s="20">
        <f>名前リスト[[#This Row],[管理番号]]</f>
        <v>92</v>
      </c>
      <c r="B93" s="6" t="str">
        <f>IF(NOT(まとめ表_各Aパターン件数[[#This Row],[管理番号]]=""),VLOOKUP(まとめ表_各Aパターン件数[[#This Row],[管理番号]],名前リスト[[#All],[管理番号]:[氏名]],2,TRUE),"")</f>
        <v>谷田雄哉</v>
      </c>
      <c r="C93" s="6" t="str">
        <f>IF(NOT(まとめ表_各Aパターン件数[[#This Row],[管理番号]]=""),VLOOKUP(まとめ表_各Aパターン件数[[#This Row],[管理番号]],名前リスト[[#All],[管理番号]:[氏名]],3,TRUE),"")</f>
        <v>谷田　雄哉</v>
      </c>
      <c r="D93" s="76" t="str">
        <f t="shared" si="1"/>
        <v/>
      </c>
      <c r="E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4" spans="1:28">
      <c r="A94" s="20">
        <f>名前リスト[[#This Row],[管理番号]]</f>
        <v>93</v>
      </c>
      <c r="B94" s="6" t="str">
        <f>IF(NOT(まとめ表_各Aパターン件数[[#This Row],[管理番号]]=""),VLOOKUP(まとめ表_各Aパターン件数[[#This Row],[管理番号]],名前リスト[[#All],[管理番号]:[氏名]],2,TRUE),"")</f>
        <v>まっすー</v>
      </c>
      <c r="C94" s="6" t="str">
        <f>IF(NOT(まとめ表_各Aパターン件数[[#This Row],[管理番号]]=""),VLOOKUP(まとめ表_各Aパターン件数[[#This Row],[管理番号]],名前リスト[[#All],[管理番号]:[氏名]],3,TRUE),"")</f>
        <v>まっすー</v>
      </c>
      <c r="D94" s="76" t="str">
        <f t="shared" si="1"/>
        <v/>
      </c>
      <c r="E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5" spans="1:28">
      <c r="A95" s="20">
        <f>名前リスト[[#This Row],[管理番号]]</f>
        <v>94</v>
      </c>
      <c r="B95" s="6" t="str">
        <f>IF(NOT(まとめ表_各Aパターン件数[[#This Row],[管理番号]]=""),VLOOKUP(まとめ表_各Aパターン件数[[#This Row],[管理番号]],名前リスト[[#All],[管理番号]:[氏名]],2,TRUE),"")</f>
        <v>いつき</v>
      </c>
      <c r="C95" s="6" t="str">
        <f>IF(NOT(まとめ表_各Aパターン件数[[#This Row],[管理番号]]=""),VLOOKUP(まとめ表_各Aパターン件数[[#This Row],[管理番号]],名前リスト[[#All],[管理番号]:[氏名]],3,TRUE),"")</f>
        <v>植田　樹</v>
      </c>
      <c r="D95" s="76" t="str">
        <f t="shared" si="1"/>
        <v/>
      </c>
      <c r="E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6" spans="1:28">
      <c r="A96" s="20">
        <f>名前リスト[[#This Row],[管理番号]]</f>
        <v>95</v>
      </c>
      <c r="B96" s="6" t="str">
        <f>IF(NOT(まとめ表_各Aパターン件数[[#This Row],[管理番号]]=""),VLOOKUP(まとめ表_各Aパターン件数[[#This Row],[管理番号]],名前リスト[[#All],[管理番号]:[氏名]],2,TRUE),"")</f>
        <v>中野さん</v>
      </c>
      <c r="C96" s="6" t="str">
        <f>IF(NOT(まとめ表_各Aパターン件数[[#This Row],[管理番号]]=""),VLOOKUP(まとめ表_各Aパターン件数[[#This Row],[管理番号]],名前リスト[[#All],[管理番号]:[氏名]],3,TRUE),"")</f>
        <v>中野さん</v>
      </c>
      <c r="D96" s="76" t="str">
        <f t="shared" si="1"/>
        <v/>
      </c>
      <c r="E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7" spans="1:28">
      <c r="A97" s="20">
        <f>名前リスト[[#This Row],[管理番号]]</f>
        <v>96</v>
      </c>
      <c r="B97" s="6" t="str">
        <f>IF(NOT(まとめ表_各Aパターン件数[[#This Row],[管理番号]]=""),VLOOKUP(まとめ表_各Aパターン件数[[#This Row],[管理番号]],名前リスト[[#All],[管理番号]:[氏名]],2,TRUE),"")</f>
        <v>森田健太郎</v>
      </c>
      <c r="C97" s="6" t="str">
        <f>IF(NOT(まとめ表_各Aパターン件数[[#This Row],[管理番号]]=""),VLOOKUP(まとめ表_各Aパターン件数[[#This Row],[管理番号]],名前リスト[[#All],[管理番号]:[氏名]],3,TRUE),"")</f>
        <v>森田健太郎</v>
      </c>
      <c r="D97" s="76" t="str">
        <f t="shared" si="1"/>
        <v/>
      </c>
      <c r="E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8" spans="1:28">
      <c r="A98" s="20">
        <f>名前リスト[[#This Row],[管理番号]]</f>
        <v>97</v>
      </c>
      <c r="B98" s="6" t="str">
        <f>IF(NOT(まとめ表_各Aパターン件数[[#This Row],[管理番号]]=""),VLOOKUP(まとめ表_各Aパターン件数[[#This Row],[管理番号]],名前リスト[[#All],[管理番号]:[氏名]],2,TRUE),"")</f>
        <v>モリヤコウキ</v>
      </c>
      <c r="C98" s="6" t="str">
        <f>IF(NOT(まとめ表_各Aパターン件数[[#This Row],[管理番号]]=""),VLOOKUP(まとめ表_各Aパターン件数[[#This Row],[管理番号]],名前リスト[[#All],[管理番号]:[氏名]],3,TRUE),"")</f>
        <v>モリヤコウキ</v>
      </c>
      <c r="D98" s="76" t="str">
        <f t="shared" si="1"/>
        <v/>
      </c>
      <c r="E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99" spans="1:28">
      <c r="A99" s="20">
        <f>名前リスト[[#This Row],[管理番号]]</f>
        <v>98</v>
      </c>
      <c r="B99" s="6" t="str">
        <f>IF(NOT(まとめ表_各Aパターン件数[[#This Row],[管理番号]]=""),VLOOKUP(まとめ表_各Aパターン件数[[#This Row],[管理番号]],名前リスト[[#All],[管理番号]:[氏名]],2,TRUE),"")</f>
        <v>佐藤　諄治</v>
      </c>
      <c r="C99" s="6" t="str">
        <f>IF(NOT(まとめ表_各Aパターン件数[[#This Row],[管理番号]]=""),VLOOKUP(まとめ表_各Aパターン件数[[#This Row],[管理番号]],名前リスト[[#All],[管理番号]:[氏名]],3,TRUE),"")</f>
        <v>佐藤　諄治</v>
      </c>
      <c r="D99" s="76" t="str">
        <f t="shared" si="1"/>
        <v/>
      </c>
      <c r="E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IF(NOT(まとめ表_各Aパターン件数[[#This Row],[管理番号]]=""),VLOOKUP(まとめ表_各Aパターン件数[[#This Row],[管理番号]],名前リスト[[#All],[管理番号]:[氏名]],2,TRUE),"")</f>
        <v>平岡京</v>
      </c>
      <c r="C100" s="6" t="str">
        <f>IF(NOT(まとめ表_各Aパターン件数[[#This Row],[管理番号]]=""),VLOOKUP(まとめ表_各Aパターン件数[[#This Row],[管理番号]],名前リスト[[#All],[管理番号]:[氏名]],3,TRUE),"")</f>
        <v>平岡京</v>
      </c>
      <c r="D100" s="76" t="str">
        <f t="shared" si="1"/>
        <v/>
      </c>
      <c r="E1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IF(NOT(まとめ表_各Aパターン件数[[#This Row],[管理番号]]=""),VLOOKUP(まとめ表_各Aパターン件数[[#This Row],[管理番号]],名前リスト[[#All],[管理番号]:[氏名]],2,TRUE),"")</f>
        <v>浅田翔平</v>
      </c>
      <c r="C101" s="6" t="str">
        <f>IF(NOT(まとめ表_各Aパターン件数[[#This Row],[管理番号]]=""),VLOOKUP(まとめ表_各Aパターン件数[[#This Row],[管理番号]],名前リスト[[#All],[管理番号]:[氏名]],3,TRUE),"")</f>
        <v>浅田翔平</v>
      </c>
      <c r="D101" s="76" t="str">
        <f t="shared" si="1"/>
        <v/>
      </c>
      <c r="E1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IF(NOT(まとめ表_各Aパターン件数[[#This Row],[管理番号]]=""),VLOOKUP(まとめ表_各Aパターン件数[[#This Row],[管理番号]],名前リスト[[#All],[管理番号]:[氏名]],2,TRUE),"")</f>
        <v>ヒガシモト　ヨウヘイ</v>
      </c>
      <c r="C102" s="6" t="str">
        <f>IF(NOT(まとめ表_各Aパターン件数[[#This Row],[管理番号]]=""),VLOOKUP(まとめ表_各Aパターン件数[[#This Row],[管理番号]],名前リスト[[#All],[管理番号]:[氏名]],3,TRUE),"")</f>
        <v>ヒガシモト　ヨウヘイ</v>
      </c>
      <c r="D102" s="76" t="str">
        <f t="shared" si="1"/>
        <v/>
      </c>
      <c r="E1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IF(NOT(まとめ表_各Aパターン件数[[#This Row],[管理番号]]=""),VLOOKUP(まとめ表_各Aパターン件数[[#This Row],[管理番号]],名前リスト[[#All],[管理番号]:[氏名]],2,TRUE),"")</f>
        <v>田中隼平</v>
      </c>
      <c r="C103" s="6" t="str">
        <f>IF(NOT(まとめ表_各Aパターン件数[[#This Row],[管理番号]]=""),VLOOKUP(まとめ表_各Aパターン件数[[#This Row],[管理番号]],名前リスト[[#All],[管理番号]:[氏名]],3,TRUE),"")</f>
        <v>田中隼平</v>
      </c>
      <c r="D103" s="76" t="str">
        <f t="shared" si="1"/>
        <v/>
      </c>
      <c r="E1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IF(NOT(まとめ表_各Aパターン件数[[#This Row],[管理番号]]=""),VLOOKUP(まとめ表_各Aパターン件数[[#This Row],[管理番号]],名前リスト[[#All],[管理番号]:[氏名]],2,TRUE),"")</f>
        <v>南よしき</v>
      </c>
      <c r="C104" s="6" t="str">
        <f>IF(NOT(まとめ表_各Aパターン件数[[#This Row],[管理番号]]=""),VLOOKUP(まとめ表_各Aパターン件数[[#This Row],[管理番号]],名前リスト[[#All],[管理番号]:[氏名]],3,TRUE),"")</f>
        <v>南よしき</v>
      </c>
      <c r="D104" s="76" t="str">
        <f t="shared" si="1"/>
        <v/>
      </c>
      <c r="E1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IF(NOT(まとめ表_各Aパターン件数[[#This Row],[管理番号]]=""),VLOOKUP(まとめ表_各Aパターン件数[[#This Row],[管理番号]],名前リスト[[#All],[管理番号]:[氏名]],2,TRUE),"")</f>
        <v>足立たけまさ</v>
      </c>
      <c r="C105" s="6" t="str">
        <f>IF(NOT(まとめ表_各Aパターン件数[[#This Row],[管理番号]]=""),VLOOKUP(まとめ表_各Aパターン件数[[#This Row],[管理番号]],名前リスト[[#All],[管理番号]:[氏名]],3,TRUE),"")</f>
        <v>足立たけまさ</v>
      </c>
      <c r="D105" s="76" t="str">
        <f t="shared" si="1"/>
        <v/>
      </c>
      <c r="E10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IF(NOT(まとめ表_各Aパターン件数[[#This Row],[管理番号]]=""),VLOOKUP(まとめ表_各Aパターン件数[[#This Row],[管理番号]],名前リスト[[#All],[管理番号]:[氏名]],2,TRUE),"")</f>
        <v>高橋けいご</v>
      </c>
      <c r="C106" s="6" t="str">
        <f>IF(NOT(まとめ表_各Aパターン件数[[#This Row],[管理番号]]=""),VLOOKUP(まとめ表_各Aパターン件数[[#This Row],[管理番号]],名前リスト[[#All],[管理番号]:[氏名]],3,TRUE),"")</f>
        <v>高橋けいご</v>
      </c>
      <c r="D106" s="76" t="str">
        <f t="shared" si="1"/>
        <v/>
      </c>
      <c r="E10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IF(NOT(まとめ表_各Aパターン件数[[#This Row],[管理番号]]=""),VLOOKUP(まとめ表_各Aパターン件数[[#This Row],[管理番号]],名前リスト[[#All],[管理番号]:[氏名]],2,TRUE),"")</f>
        <v>やまなこうすけ</v>
      </c>
      <c r="C107" s="6" t="str">
        <f>IF(NOT(まとめ表_各Aパターン件数[[#This Row],[管理番号]]=""),VLOOKUP(まとめ表_各Aパターン件数[[#This Row],[管理番号]],名前リスト[[#All],[管理番号]:[氏名]],3,TRUE),"")</f>
        <v>やまなこうすけ</v>
      </c>
      <c r="D107" s="76" t="str">
        <f t="shared" si="1"/>
        <v/>
      </c>
      <c r="E10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IF(NOT(まとめ表_各Aパターン件数[[#This Row],[管理番号]]=""),VLOOKUP(まとめ表_各Aパターン件数[[#This Row],[管理番号]],名前リスト[[#All],[管理番号]:[氏名]],2,TRUE),"")</f>
        <v>みなみりょうすけ</v>
      </c>
      <c r="C108" s="6" t="str">
        <f>IF(NOT(まとめ表_各Aパターン件数[[#This Row],[管理番号]]=""),VLOOKUP(まとめ表_各Aパターン件数[[#This Row],[管理番号]],名前リスト[[#All],[管理番号]:[氏名]],3,TRUE),"")</f>
        <v>みなみりょうすけ</v>
      </c>
      <c r="D108" s="76" t="str">
        <f t="shared" si="1"/>
        <v/>
      </c>
      <c r="E10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IF(NOT(まとめ表_各Aパターン件数[[#This Row],[管理番号]]=""),VLOOKUP(まとめ表_各Aパターン件数[[#This Row],[管理番号]],名前リスト[[#All],[管理番号]:[氏名]],2,TRUE),"")</f>
        <v>よしのりゆうすけ</v>
      </c>
      <c r="C109" s="6" t="str">
        <f>IF(NOT(まとめ表_各Aパターン件数[[#This Row],[管理番号]]=""),VLOOKUP(まとめ表_各Aパターン件数[[#This Row],[管理番号]],名前リスト[[#All],[管理番号]:[氏名]],3,TRUE),"")</f>
        <v>よしのりゆうすけ</v>
      </c>
      <c r="D109" s="76" t="str">
        <f t="shared" si="1"/>
        <v/>
      </c>
      <c r="E10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0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0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0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0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0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0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0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0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0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0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0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0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0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0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0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0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0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0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0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0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0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IF(NOT(まとめ表_各Aパターン件数[[#This Row],[管理番号]]=""),VLOOKUP(まとめ表_各Aパターン件数[[#This Row],[管理番号]],名前リスト[[#All],[管理番号]:[氏名]],2,TRUE),"")</f>
        <v>たけもとゆうき</v>
      </c>
      <c r="C110" s="6" t="str">
        <f>IF(NOT(まとめ表_各Aパターン件数[[#This Row],[管理番号]]=""),VLOOKUP(まとめ表_各Aパターン件数[[#This Row],[管理番号]],名前リスト[[#All],[管理番号]:[氏名]],3,TRUE),"")</f>
        <v>たけもとゆうき</v>
      </c>
      <c r="D110" s="76" t="str">
        <f t="shared" si="1"/>
        <v/>
      </c>
      <c r="E11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IF(NOT(まとめ表_各Aパターン件数[[#This Row],[管理番号]]=""),VLOOKUP(まとめ表_各Aパターン件数[[#This Row],[管理番号]],名前リスト[[#All],[管理番号]:[氏名]],2,TRUE),"")</f>
        <v>たけむらゆうき</v>
      </c>
      <c r="C111" s="6" t="str">
        <f>IF(NOT(まとめ表_各Aパターン件数[[#This Row],[管理番号]]=""),VLOOKUP(まとめ表_各Aパターン件数[[#This Row],[管理番号]],名前リスト[[#All],[管理番号]:[氏名]],3,TRUE),"")</f>
        <v>たけむらゆうき</v>
      </c>
      <c r="D111" s="76" t="str">
        <f t="shared" si="1"/>
        <v/>
      </c>
      <c r="E11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IF(NOT(まとめ表_各Aパターン件数[[#This Row],[管理番号]]=""),VLOOKUP(まとめ表_各Aパターン件数[[#This Row],[管理番号]],名前リスト[[#All],[管理番号]:[氏名]],2,TRUE),"")</f>
        <v>こうのけんと</v>
      </c>
      <c r="C112" s="6" t="str">
        <f>IF(NOT(まとめ表_各Aパターン件数[[#This Row],[管理番号]]=""),VLOOKUP(まとめ表_各Aパターン件数[[#This Row],[管理番号]],名前リスト[[#All],[管理番号]:[氏名]],3,TRUE),"")</f>
        <v>こうのけんと</v>
      </c>
      <c r="D112" s="76" t="str">
        <f t="shared" si="1"/>
        <v/>
      </c>
      <c r="E11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IF(NOT(まとめ表_各Aパターン件数[[#This Row],[管理番号]]=""),VLOOKUP(まとめ表_各Aパターン件数[[#This Row],[管理番号]],名前リスト[[#All],[管理番号]:[氏名]],2,TRUE),"")</f>
        <v>はやしたつき</v>
      </c>
      <c r="C113" s="6" t="str">
        <f>IF(NOT(まとめ表_各Aパターン件数[[#This Row],[管理番号]]=""),VLOOKUP(まとめ表_各Aパターン件数[[#This Row],[管理番号]],名前リスト[[#All],[管理番号]:[氏名]],3,TRUE),"")</f>
        <v>はやしたつき</v>
      </c>
      <c r="D113" s="76" t="str">
        <f t="shared" si="1"/>
        <v/>
      </c>
      <c r="E11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IF(NOT(まとめ表_各Aパターン件数[[#This Row],[管理番号]]=""),VLOOKUP(まとめ表_各Aパターン件数[[#This Row],[管理番号]],名前リスト[[#All],[管理番号]:[氏名]],2,TRUE),"")</f>
        <v>たさかこうき</v>
      </c>
      <c r="C114" s="6" t="str">
        <f>IF(NOT(まとめ表_各Aパターン件数[[#This Row],[管理番号]]=""),VLOOKUP(まとめ表_各Aパターン件数[[#This Row],[管理番号]],名前リスト[[#All],[管理番号]:[氏名]],3,TRUE),"")</f>
        <v>たさかこうき</v>
      </c>
      <c r="D114" s="76" t="str">
        <f t="shared" si="1"/>
        <v/>
      </c>
      <c r="E11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IF(NOT(まとめ表_各Aパターン件数[[#This Row],[管理番号]]=""),VLOOKUP(まとめ表_各Aパターン件数[[#This Row],[管理番号]],名前リスト[[#All],[管理番号]:[氏名]],2,TRUE),"")</f>
        <v>あらきさん</v>
      </c>
      <c r="C115" s="6" t="str">
        <f>IF(NOT(まとめ表_各Aパターン件数[[#This Row],[管理番号]]=""),VLOOKUP(まとめ表_各Aパターン件数[[#This Row],[管理番号]],名前リスト[[#All],[管理番号]:[氏名]],3,TRUE),"")</f>
        <v>あらきさん</v>
      </c>
      <c r="D115" s="76" t="str">
        <f t="shared" si="1"/>
        <v/>
      </c>
      <c r="E11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IF(NOT(まとめ表_各Aパターン件数[[#This Row],[管理番号]]=""),VLOOKUP(まとめ表_各Aパターン件数[[#This Row],[管理番号]],名前リスト[[#All],[管理番号]:[氏名]],2,TRUE),"")</f>
        <v>オカダさん</v>
      </c>
      <c r="C116" s="6" t="str">
        <f>IF(NOT(まとめ表_各Aパターン件数[[#This Row],[管理番号]]=""),VLOOKUP(まとめ表_各Aパターン件数[[#This Row],[管理番号]],名前リスト[[#All],[管理番号]:[氏名]],3,TRUE),"")</f>
        <v>オカダさん</v>
      </c>
      <c r="D116" s="76" t="str">
        <f t="shared" si="1"/>
        <v/>
      </c>
      <c r="E11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IF(NOT(まとめ表_各Aパターン件数[[#This Row],[管理番号]]=""),VLOOKUP(まとめ表_各Aパターン件数[[#This Row],[管理番号]],名前リスト[[#All],[管理番号]:[氏名]],2,TRUE),"")</f>
        <v>池田　大輝</v>
      </c>
      <c r="C117" s="6" t="str">
        <f>IF(NOT(まとめ表_各Aパターン件数[[#This Row],[管理番号]]=""),VLOOKUP(まとめ表_各Aパターン件数[[#This Row],[管理番号]],名前リスト[[#All],[管理番号]:[氏名]],3,TRUE),"")</f>
        <v>池田　大輝</v>
      </c>
      <c r="D117" s="76" t="str">
        <f t="shared" si="1"/>
        <v/>
      </c>
      <c r="E11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IF(NOT(まとめ表_各Aパターン件数[[#This Row],[管理番号]]=""),VLOOKUP(まとめ表_各Aパターン件数[[#This Row],[管理番号]],名前リスト[[#All],[管理番号]:[氏名]],2,TRUE),"")</f>
        <v>ジンエロン</v>
      </c>
      <c r="C118" s="6" t="str">
        <f>IF(NOT(まとめ表_各Aパターン件数[[#This Row],[管理番号]]=""),VLOOKUP(まとめ表_各Aパターン件数[[#This Row],[管理番号]],名前リスト[[#All],[管理番号]:[氏名]],3,TRUE),"")</f>
        <v>ジンエロン</v>
      </c>
      <c r="D118" s="76" t="str">
        <f t="shared" si="1"/>
        <v/>
      </c>
      <c r="E11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IF(NOT(まとめ表_各Aパターン件数[[#This Row],[管理番号]]=""),VLOOKUP(まとめ表_各Aパターン件数[[#This Row],[管理番号]],名前リスト[[#All],[管理番号]:[氏名]],2,TRUE),"")</f>
        <v>フクモトヨシキ</v>
      </c>
      <c r="C119" s="6" t="str">
        <f>IF(NOT(まとめ表_各Aパターン件数[[#This Row],[管理番号]]=""),VLOOKUP(まとめ表_各Aパターン件数[[#This Row],[管理番号]],名前リスト[[#All],[管理番号]:[氏名]],3,TRUE),"")</f>
        <v>フクモトヨシキ</v>
      </c>
      <c r="D119" s="76" t="str">
        <f t="shared" si="1"/>
        <v/>
      </c>
      <c r="E11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1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1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1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1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1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1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1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1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1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1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1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1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1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1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1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1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1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1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1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1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1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IF(NOT(まとめ表_各Aパターン件数[[#This Row],[管理番号]]=""),VLOOKUP(まとめ表_各Aパターン件数[[#This Row],[管理番号]],名前リスト[[#All],[管理番号]:[氏名]],2,TRUE),"")</f>
        <v>ヒノハラシン</v>
      </c>
      <c r="C120" s="6" t="str">
        <f>IF(NOT(まとめ表_各Aパターン件数[[#This Row],[管理番号]]=""),VLOOKUP(まとめ表_各Aパターン件数[[#This Row],[管理番号]],名前リスト[[#All],[管理番号]:[氏名]],3,TRUE),"")</f>
        <v>ヒノハラシン</v>
      </c>
      <c r="D120" s="76" t="str">
        <f t="shared" si="1"/>
        <v/>
      </c>
      <c r="E12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IF(NOT(まとめ表_各Aパターン件数[[#This Row],[管理番号]]=""),VLOOKUP(まとめ表_各Aパターン件数[[#This Row],[管理番号]],名前リスト[[#All],[管理番号]:[氏名]],2,TRUE),"")</f>
        <v>ヤマシタ セイナ</v>
      </c>
      <c r="C121" s="6" t="str">
        <f>IF(NOT(まとめ表_各Aパターン件数[[#This Row],[管理番号]]=""),VLOOKUP(まとめ表_各Aパターン件数[[#This Row],[管理番号]],名前リスト[[#All],[管理番号]:[氏名]],3,TRUE),"")</f>
        <v>ヤマシタ セイナ</v>
      </c>
      <c r="D121" s="76" t="str">
        <f t="shared" si="1"/>
        <v/>
      </c>
      <c r="E12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IF(NOT(まとめ表_各Aパターン件数[[#This Row],[管理番号]]=""),VLOOKUP(まとめ表_各Aパターン件数[[#This Row],[管理番号]],名前リスト[[#All],[管理番号]:[氏名]],2,TRUE),"")</f>
        <v>カミセ　タイキ</v>
      </c>
      <c r="C122" s="6" t="str">
        <f>IF(NOT(まとめ表_各Aパターン件数[[#This Row],[管理番号]]=""),VLOOKUP(まとめ表_各Aパターン件数[[#This Row],[管理番号]],名前リスト[[#All],[管理番号]:[氏名]],3,TRUE),"")</f>
        <v>カミセ　タイキ</v>
      </c>
      <c r="D122" s="76" t="str">
        <f t="shared" si="1"/>
        <v/>
      </c>
      <c r="E12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IF(NOT(まとめ表_各Aパターン件数[[#This Row],[管理番号]]=""),VLOOKUP(まとめ表_各Aパターン件数[[#This Row],[管理番号]],名前リスト[[#All],[管理番号]:[氏名]],2,TRUE),"")</f>
        <v>オダ　マサト</v>
      </c>
      <c r="C123" s="6" t="str">
        <f>IF(NOT(まとめ表_各Aパターン件数[[#This Row],[管理番号]]=""),VLOOKUP(まとめ表_各Aパターン件数[[#This Row],[管理番号]],名前リスト[[#All],[管理番号]:[氏名]],3,TRUE),"")</f>
        <v>オダ　マサト</v>
      </c>
      <c r="D123" s="76" t="str">
        <f t="shared" si="1"/>
        <v/>
      </c>
      <c r="E12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IF(NOT(まとめ表_各Aパターン件数[[#This Row],[管理番号]]=""),VLOOKUP(まとめ表_各Aパターン件数[[#This Row],[管理番号]],名前リスト[[#All],[管理番号]:[氏名]],2,TRUE),"")</f>
        <v>タナカ　タカヒロ</v>
      </c>
      <c r="C124" s="6" t="str">
        <f>IF(NOT(まとめ表_各Aパターン件数[[#This Row],[管理番号]]=""),VLOOKUP(まとめ表_各Aパターン件数[[#This Row],[管理番号]],名前リスト[[#All],[管理番号]:[氏名]],3,TRUE),"")</f>
        <v>タナカ　タカヒロ</v>
      </c>
      <c r="D124" s="76" t="str">
        <f t="shared" si="1"/>
        <v/>
      </c>
      <c r="E12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IF(NOT(まとめ表_各Aパターン件数[[#This Row],[管理番号]]=""),VLOOKUP(まとめ表_各Aパターン件数[[#This Row],[管理番号]],名前リスト[[#All],[管理番号]:[氏名]],2,TRUE),"")</f>
        <v>キタムラ　テッペイ</v>
      </c>
      <c r="C125" s="6" t="str">
        <f>IF(NOT(まとめ表_各Aパターン件数[[#This Row],[管理番号]]=""),VLOOKUP(まとめ表_各Aパターン件数[[#This Row],[管理番号]],名前リスト[[#All],[管理番号]:[氏名]],3,TRUE),"")</f>
        <v>キタムラ　テッペイ</v>
      </c>
      <c r="D125" s="76" t="str">
        <f t="shared" si="1"/>
        <v/>
      </c>
      <c r="E12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IF(NOT(まとめ表_各Aパターン件数[[#This Row],[管理番号]]=""),VLOOKUP(まとめ表_各Aパターン件数[[#This Row],[管理番号]],名前リスト[[#All],[管理番号]:[氏名]],2,TRUE),"")</f>
        <v>カワシマ　トモヒロ</v>
      </c>
      <c r="C126" s="6" t="str">
        <f>IF(NOT(まとめ表_各Aパターン件数[[#This Row],[管理番号]]=""),VLOOKUP(まとめ表_各Aパターン件数[[#This Row],[管理番号]],名前リスト[[#All],[管理番号]:[氏名]],3,TRUE),"")</f>
        <v>カワシマ　トモヒロ</v>
      </c>
      <c r="D126" s="76" t="str">
        <f t="shared" si="1"/>
        <v/>
      </c>
      <c r="E12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IF(NOT(まとめ表_各Aパターン件数[[#This Row],[管理番号]]=""),VLOOKUP(まとめ表_各Aパターン件数[[#This Row],[管理番号]],名前リスト[[#All],[管理番号]:[氏名]],2,TRUE),"")</f>
        <v>ヤマモト　コウヘイ</v>
      </c>
      <c r="C127" s="6" t="str">
        <f>IF(NOT(まとめ表_各Aパターン件数[[#This Row],[管理番号]]=""),VLOOKUP(まとめ表_各Aパターン件数[[#This Row],[管理番号]],名前リスト[[#All],[管理番号]:[氏名]],3,TRUE),"")</f>
        <v>ヤマモト　コウヘイ</v>
      </c>
      <c r="D127" s="76">
        <f t="shared" si="1"/>
        <v>3</v>
      </c>
      <c r="E12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3</v>
      </c>
      <c r="N12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IF(NOT(まとめ表_各Aパターン件数[[#This Row],[管理番号]]=""),VLOOKUP(まとめ表_各Aパターン件数[[#This Row],[管理番号]],名前リスト[[#All],[管理番号]:[氏名]],2,TRUE),"")</f>
        <v>ヤマモト　イッセイ</v>
      </c>
      <c r="C128" s="6" t="str">
        <f>IF(NOT(まとめ表_各Aパターン件数[[#This Row],[管理番号]]=""),VLOOKUP(まとめ表_各Aパターン件数[[#This Row],[管理番号]],名前リスト[[#All],[管理番号]:[氏名]],3,TRUE),"")</f>
        <v>ヤマモト　イッセイ</v>
      </c>
      <c r="D128" s="76" t="str">
        <f t="shared" si="1"/>
        <v/>
      </c>
      <c r="E12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IF(NOT(まとめ表_各Aパターン件数[[#This Row],[管理番号]]=""),VLOOKUP(まとめ表_各Aパターン件数[[#This Row],[管理番号]],名前リスト[[#All],[管理番号]:[氏名]],2,TRUE),"")</f>
        <v>キタヤマ　リョウメイ</v>
      </c>
      <c r="C129" s="6" t="str">
        <f>IF(NOT(まとめ表_各Aパターン件数[[#This Row],[管理番号]]=""),VLOOKUP(まとめ表_各Aパターン件数[[#This Row],[管理番号]],名前リスト[[#All],[管理番号]:[氏名]],3,TRUE),"")</f>
        <v>キタヤマ　リョウメイ</v>
      </c>
      <c r="D129" s="76" t="str">
        <f t="shared" si="1"/>
        <v/>
      </c>
      <c r="E12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2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2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2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2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2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2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2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2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2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2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2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2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2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2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2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2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2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2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2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2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2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IF(NOT(まとめ表_各Aパターン件数[[#This Row],[管理番号]]=""),VLOOKUP(まとめ表_各Aパターン件数[[#This Row],[管理番号]],名前リスト[[#All],[管理番号]:[氏名]],2,TRUE),"")</f>
        <v>シオミ　ヒナコ</v>
      </c>
      <c r="C130" s="6" t="str">
        <f>IF(NOT(まとめ表_各Aパターン件数[[#This Row],[管理番号]]=""),VLOOKUP(まとめ表_各Aパターン件数[[#This Row],[管理番号]],名前リスト[[#All],[管理番号]:[氏名]],3,TRUE),"")</f>
        <v>シオミ　ヒナコ</v>
      </c>
      <c r="D130" s="76" t="str">
        <f t="shared" ref="D130:D193" si="2">IF(SUM(E130:XFD130)=0,"",SUM(E130:XFD130))</f>
        <v/>
      </c>
      <c r="E13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IF(NOT(まとめ表_各Aパターン件数[[#This Row],[管理番号]]=""),VLOOKUP(まとめ表_各Aパターン件数[[#This Row],[管理番号]],名前リスト[[#All],[管理番号]:[氏名]],2,TRUE),"")</f>
        <v>ニシヤマ　ヒロタカ</v>
      </c>
      <c r="C131" s="6" t="str">
        <f>IF(NOT(まとめ表_各Aパターン件数[[#This Row],[管理番号]]=""),VLOOKUP(まとめ表_各Aパターン件数[[#This Row],[管理番号]],名前リスト[[#All],[管理番号]:[氏名]],3,TRUE),"")</f>
        <v>ニシヤマ　ヒロタカ</v>
      </c>
      <c r="D131" s="76" t="str">
        <f t="shared" si="2"/>
        <v/>
      </c>
      <c r="E13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IF(NOT(まとめ表_各Aパターン件数[[#This Row],[管理番号]]=""),VLOOKUP(まとめ表_各Aパターン件数[[#This Row],[管理番号]],名前リスト[[#All],[管理番号]:[氏名]],2,TRUE),"")</f>
        <v>ヤマグチ　マサキ</v>
      </c>
      <c r="C132" s="6" t="str">
        <f>IF(NOT(まとめ表_各Aパターン件数[[#This Row],[管理番号]]=""),VLOOKUP(まとめ表_各Aパターン件数[[#This Row],[管理番号]],名前リスト[[#All],[管理番号]:[氏名]],3,TRUE),"")</f>
        <v>ヤマグチ　マサキ</v>
      </c>
      <c r="D132" s="76" t="str">
        <f t="shared" si="2"/>
        <v/>
      </c>
      <c r="E13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IF(NOT(まとめ表_各Aパターン件数[[#This Row],[管理番号]]=""),VLOOKUP(まとめ表_各Aパターン件数[[#This Row],[管理番号]],名前リスト[[#All],[管理番号]:[氏名]],2,TRUE),"")</f>
        <v>ジンノ　ナナト</v>
      </c>
      <c r="C133" s="6" t="str">
        <f>IF(NOT(まとめ表_各Aパターン件数[[#This Row],[管理番号]]=""),VLOOKUP(まとめ表_各Aパターン件数[[#This Row],[管理番号]],名前リスト[[#All],[管理番号]:[氏名]],3,TRUE),"")</f>
        <v>ジンノ　ナナト</v>
      </c>
      <c r="D133" s="76" t="str">
        <f t="shared" si="2"/>
        <v/>
      </c>
      <c r="E13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IF(NOT(まとめ表_各Aパターン件数[[#This Row],[管理番号]]=""),VLOOKUP(まとめ表_各Aパターン件数[[#This Row],[管理番号]],名前リスト[[#All],[管理番号]:[氏名]],2,TRUE),"")</f>
        <v>アメヤマ　タツヤ</v>
      </c>
      <c r="C134" s="6" t="str">
        <f>IF(NOT(まとめ表_各Aパターン件数[[#This Row],[管理番号]]=""),VLOOKUP(まとめ表_各Aパターン件数[[#This Row],[管理番号]],名前リスト[[#All],[管理番号]:[氏名]],3,TRUE),"")</f>
        <v>アメヤマ　タツヤ</v>
      </c>
      <c r="D134" s="76" t="str">
        <f t="shared" si="2"/>
        <v/>
      </c>
      <c r="E13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IF(NOT(まとめ表_各Aパターン件数[[#This Row],[管理番号]]=""),VLOOKUP(まとめ表_各Aパターン件数[[#This Row],[管理番号]],名前リスト[[#All],[管理番号]:[氏名]],2,TRUE),"")</f>
        <v>タメス　トモアキ</v>
      </c>
      <c r="C135" s="6" t="str">
        <f>IF(NOT(まとめ表_各Aパターン件数[[#This Row],[管理番号]]=""),VLOOKUP(まとめ表_各Aパターン件数[[#This Row],[管理番号]],名前リスト[[#All],[管理番号]:[氏名]],3,TRUE),"")</f>
        <v>タメス　トモアキ</v>
      </c>
      <c r="D135" s="76" t="str">
        <f t="shared" si="2"/>
        <v/>
      </c>
      <c r="E13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IF(NOT(まとめ表_各Aパターン件数[[#This Row],[管理番号]]=""),VLOOKUP(まとめ表_各Aパターン件数[[#This Row],[管理番号]],名前リスト[[#All],[管理番号]:[氏名]],2,TRUE),"")</f>
        <v>イマナカ　ショウヤ</v>
      </c>
      <c r="C136" s="6" t="str">
        <f>IF(NOT(まとめ表_各Aパターン件数[[#This Row],[管理番号]]=""),VLOOKUP(まとめ表_各Aパターン件数[[#This Row],[管理番号]],名前リスト[[#All],[管理番号]:[氏名]],3,TRUE),"")</f>
        <v>イマナカ　ショウヤ</v>
      </c>
      <c r="D136" s="76" t="str">
        <f t="shared" si="2"/>
        <v/>
      </c>
      <c r="E13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IF(NOT(まとめ表_各Aパターン件数[[#This Row],[管理番号]]=""),VLOOKUP(まとめ表_各Aパターン件数[[#This Row],[管理番号]],名前リスト[[#All],[管理番号]:[氏名]],2,TRUE),"")</f>
        <v>マスモリ　サヤカ</v>
      </c>
      <c r="C137" s="6" t="str">
        <f>IF(NOT(まとめ表_各Aパターン件数[[#This Row],[管理番号]]=""),VLOOKUP(まとめ表_各Aパターン件数[[#This Row],[管理番号]],名前リスト[[#All],[管理番号]:[氏名]],3,TRUE),"")</f>
        <v>マスモリ　サヤカ</v>
      </c>
      <c r="D137" s="76" t="str">
        <f t="shared" si="2"/>
        <v/>
      </c>
      <c r="E13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IF(NOT(まとめ表_各Aパターン件数[[#This Row],[管理番号]]=""),VLOOKUP(まとめ表_各Aパターン件数[[#This Row],[管理番号]],名前リスト[[#All],[管理番号]:[氏名]],2,TRUE),"")</f>
        <v>ワタナベ　コウセイ</v>
      </c>
      <c r="C138" s="6" t="str">
        <f>IF(NOT(まとめ表_各Aパターン件数[[#This Row],[管理番号]]=""),VLOOKUP(まとめ表_各Aパターン件数[[#This Row],[管理番号]],名前リスト[[#All],[管理番号]:[氏名]],3,TRUE),"")</f>
        <v>ワタナベ　コウセイ</v>
      </c>
      <c r="D138" s="76" t="str">
        <f t="shared" si="2"/>
        <v/>
      </c>
      <c r="E13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IF(NOT(まとめ表_各Aパターン件数[[#This Row],[管理番号]]=""),VLOOKUP(まとめ表_各Aパターン件数[[#This Row],[管理番号]],名前リスト[[#All],[管理番号]:[氏名]],2,TRUE),"")</f>
        <v>クボ　ミユキ</v>
      </c>
      <c r="C139" s="6" t="str">
        <f>IF(NOT(まとめ表_各Aパターン件数[[#This Row],[管理番号]]=""),VLOOKUP(まとめ表_各Aパターン件数[[#This Row],[管理番号]],名前リスト[[#All],[管理番号]:[氏名]],3,TRUE),"")</f>
        <v>クボ　ミユキ</v>
      </c>
      <c r="D139" s="76" t="str">
        <f t="shared" si="2"/>
        <v/>
      </c>
      <c r="E13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3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3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3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3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3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3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3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3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3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3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3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3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3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3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3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3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3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3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3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3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3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IF(NOT(まとめ表_各Aパターン件数[[#This Row],[管理番号]]=""),VLOOKUP(まとめ表_各Aパターン件数[[#This Row],[管理番号]],名前リスト[[#All],[管理番号]:[氏名]],2,TRUE),"")</f>
        <v>マツダ　コウタ</v>
      </c>
      <c r="C140" s="6" t="str">
        <f>IF(NOT(まとめ表_各Aパターン件数[[#This Row],[管理番号]]=""),VLOOKUP(まとめ表_各Aパターン件数[[#This Row],[管理番号]],名前リスト[[#All],[管理番号]:[氏名]],3,TRUE),"")</f>
        <v>マツダ　コウタ</v>
      </c>
      <c r="D140" s="76" t="str">
        <f t="shared" si="2"/>
        <v/>
      </c>
      <c r="E14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IF(NOT(まとめ表_各Aパターン件数[[#This Row],[管理番号]]=""),VLOOKUP(まとめ表_各Aパターン件数[[#This Row],[管理番号]],名前リスト[[#All],[管理番号]:[氏名]],2,TRUE),"")</f>
        <v>マルオ　ショウジ</v>
      </c>
      <c r="C141" s="6" t="str">
        <f>IF(NOT(まとめ表_各Aパターン件数[[#This Row],[管理番号]]=""),VLOOKUP(まとめ表_各Aパターン件数[[#This Row],[管理番号]],名前リスト[[#All],[管理番号]:[氏名]],3,TRUE),"")</f>
        <v>マルオ　ショウジ</v>
      </c>
      <c r="D141" s="76" t="str">
        <f t="shared" si="2"/>
        <v/>
      </c>
      <c r="E14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IF(NOT(まとめ表_各Aパターン件数[[#This Row],[管理番号]]=""),VLOOKUP(まとめ表_各Aパターン件数[[#This Row],[管理番号]],名前リスト[[#All],[管理番号]:[氏名]],2,TRUE),"")</f>
        <v>ユキ　ダイキ</v>
      </c>
      <c r="C142" s="6" t="str">
        <f>IF(NOT(まとめ表_各Aパターン件数[[#This Row],[管理番号]]=""),VLOOKUP(まとめ表_各Aパターン件数[[#This Row],[管理番号]],名前リスト[[#All],[管理番号]:[氏名]],3,TRUE),"")</f>
        <v>ユキ　ダイキ</v>
      </c>
      <c r="D142" s="76" t="str">
        <f t="shared" si="2"/>
        <v/>
      </c>
      <c r="E14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IF(NOT(まとめ表_各Aパターン件数[[#This Row],[管理番号]]=""),VLOOKUP(まとめ表_各Aパターン件数[[#This Row],[管理番号]],名前リスト[[#All],[管理番号]:[氏名]],2,TRUE),"")</f>
        <v>タニグチ ヒロキ</v>
      </c>
      <c r="C143" s="6" t="str">
        <f>IF(NOT(まとめ表_各Aパターン件数[[#This Row],[管理番号]]=""),VLOOKUP(まとめ表_各Aパターン件数[[#This Row],[管理番号]],名前リスト[[#All],[管理番号]:[氏名]],3,TRUE),"")</f>
        <v>タニグチ ヒロキ</v>
      </c>
      <c r="D143" s="76" t="str">
        <f t="shared" si="2"/>
        <v/>
      </c>
      <c r="E14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IF(NOT(まとめ表_各Aパターン件数[[#This Row],[管理番号]]=""),VLOOKUP(まとめ表_各Aパターン件数[[#This Row],[管理番号]],名前リスト[[#All],[管理番号]:[氏名]],2,TRUE),"")</f>
        <v>カマイ　ユウスケ</v>
      </c>
      <c r="C144" s="6" t="str">
        <f>IF(NOT(まとめ表_各Aパターン件数[[#This Row],[管理番号]]=""),VLOOKUP(まとめ表_各Aパターン件数[[#This Row],[管理番号]],名前リスト[[#All],[管理番号]:[氏名]],3,TRUE),"")</f>
        <v>カマイ　ユウスケ</v>
      </c>
      <c r="D144" s="76" t="str">
        <f t="shared" si="2"/>
        <v/>
      </c>
      <c r="E14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IF(NOT(まとめ表_各Aパターン件数[[#This Row],[管理番号]]=""),VLOOKUP(まとめ表_各Aパターン件数[[#This Row],[管理番号]],名前リスト[[#All],[管理番号]:[氏名]],2,TRUE),"")</f>
        <v>ゴトウ　タケト</v>
      </c>
      <c r="C145" s="6" t="str">
        <f>IF(NOT(まとめ表_各Aパターン件数[[#This Row],[管理番号]]=""),VLOOKUP(まとめ表_各Aパターン件数[[#This Row],[管理番号]],名前リスト[[#All],[管理番号]:[氏名]],3,TRUE),"")</f>
        <v>ゴトウ　タケト</v>
      </c>
      <c r="D145" s="76" t="str">
        <f t="shared" si="2"/>
        <v/>
      </c>
      <c r="E14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IF(NOT(まとめ表_各Aパターン件数[[#This Row],[管理番号]]=""),VLOOKUP(まとめ表_各Aパターン件数[[#This Row],[管理番号]],名前リスト[[#All],[管理番号]:[氏名]],2,TRUE),"")</f>
        <v>サイトウ　マサト</v>
      </c>
      <c r="C146" s="6" t="str">
        <f>IF(NOT(まとめ表_各Aパターン件数[[#This Row],[管理番号]]=""),VLOOKUP(まとめ表_各Aパターン件数[[#This Row],[管理番号]],名前リスト[[#All],[管理番号]:[氏名]],3,TRUE),"")</f>
        <v>サイトウ　マサト</v>
      </c>
      <c r="D146" s="76" t="str">
        <f t="shared" si="2"/>
        <v/>
      </c>
      <c r="E14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IF(NOT(まとめ表_各Aパターン件数[[#This Row],[管理番号]]=""),VLOOKUP(まとめ表_各Aパターン件数[[#This Row],[管理番号]],名前リスト[[#All],[管理番号]:[氏名]],2,TRUE),"")</f>
        <v>アズマ　リクト</v>
      </c>
      <c r="C147" s="6" t="str">
        <f>IF(NOT(まとめ表_各Aパターン件数[[#This Row],[管理番号]]=""),VLOOKUP(まとめ表_各Aパターン件数[[#This Row],[管理番号]],名前リスト[[#All],[管理番号]:[氏名]],3,TRUE),"")</f>
        <v>アズマ　リクト</v>
      </c>
      <c r="D147" s="76" t="str">
        <f t="shared" si="2"/>
        <v/>
      </c>
      <c r="E14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IF(NOT(まとめ表_各Aパターン件数[[#This Row],[管理番号]]=""),VLOOKUP(まとめ表_各Aパターン件数[[#This Row],[管理番号]],名前リスト[[#All],[管理番号]:[氏名]],2,TRUE),"")</f>
        <v>ハナイ ショウゴ</v>
      </c>
      <c r="C148" s="6" t="str">
        <f>IF(NOT(まとめ表_各Aパターン件数[[#This Row],[管理番号]]=""),VLOOKUP(まとめ表_各Aパターン件数[[#This Row],[管理番号]],名前リスト[[#All],[管理番号]:[氏名]],3,TRUE),"")</f>
        <v>ハナイ ショウゴ</v>
      </c>
      <c r="D148" s="76" t="str">
        <f t="shared" si="2"/>
        <v/>
      </c>
      <c r="E14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IF(NOT(まとめ表_各Aパターン件数[[#This Row],[管理番号]]=""),VLOOKUP(まとめ表_各Aパターン件数[[#This Row],[管理番号]],名前リスト[[#All],[管理番号]:[氏名]],2,TRUE),"")</f>
        <v>ウオズミ　ソウイチロウ</v>
      </c>
      <c r="C149" s="6" t="str">
        <f>IF(NOT(まとめ表_各Aパターン件数[[#This Row],[管理番号]]=""),VLOOKUP(まとめ表_各Aパターン件数[[#This Row],[管理番号]],名前リスト[[#All],[管理番号]:[氏名]],3,TRUE),"")</f>
        <v>ウオズミ　ソウイチロウ</v>
      </c>
      <c r="D149" s="76" t="str">
        <f t="shared" si="2"/>
        <v/>
      </c>
      <c r="E14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4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4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4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4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4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4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4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4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4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4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4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4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4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4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4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4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4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4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4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4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4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IF(NOT(まとめ表_各Aパターン件数[[#This Row],[管理番号]]=""),VLOOKUP(まとめ表_各Aパターン件数[[#This Row],[管理番号]],名前リスト[[#All],[管理番号]:[氏名]],2,TRUE),"")</f>
        <v>モリサカ マヒロ</v>
      </c>
      <c r="C150" s="6" t="str">
        <f>IF(NOT(まとめ表_各Aパターン件数[[#This Row],[管理番号]]=""),VLOOKUP(まとめ表_各Aパターン件数[[#This Row],[管理番号]],名前リスト[[#All],[管理番号]:[氏名]],3,TRUE),"")</f>
        <v>モリサカ マヒロ</v>
      </c>
      <c r="D150" s="76" t="str">
        <f t="shared" si="2"/>
        <v/>
      </c>
      <c r="E15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IF(NOT(まとめ表_各Aパターン件数[[#This Row],[管理番号]]=""),VLOOKUP(まとめ表_各Aパターン件数[[#This Row],[管理番号]],名前リスト[[#All],[管理番号]:[氏名]],2,TRUE),"")</f>
        <v>ニシカワサヤカ</v>
      </c>
      <c r="C151" s="6" t="str">
        <f>IF(NOT(まとめ表_各Aパターン件数[[#This Row],[管理番号]]=""),VLOOKUP(まとめ表_各Aパターン件数[[#This Row],[管理番号]],名前リスト[[#All],[管理番号]:[氏名]],3,TRUE),"")</f>
        <v>ニシカワサヤカ</v>
      </c>
      <c r="D151" s="76" t="str">
        <f t="shared" si="2"/>
        <v/>
      </c>
      <c r="E15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IF(NOT(まとめ表_各Aパターン件数[[#This Row],[管理番号]]=""),VLOOKUP(まとめ表_各Aパターン件数[[#This Row],[管理番号]],名前リスト[[#All],[管理番号]:[氏名]],2,TRUE),"")</f>
        <v>マルヤマ　ヒロユキ</v>
      </c>
      <c r="C152" s="6" t="str">
        <f>IF(NOT(まとめ表_各Aパターン件数[[#This Row],[管理番号]]=""),VLOOKUP(まとめ表_各Aパターン件数[[#This Row],[管理番号]],名前リスト[[#All],[管理番号]:[氏名]],3,TRUE),"")</f>
        <v>マルヤマ　ヒロユキ</v>
      </c>
      <c r="D152" s="76" t="str">
        <f t="shared" si="2"/>
        <v/>
      </c>
      <c r="E15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IF(NOT(まとめ表_各Aパターン件数[[#This Row],[管理番号]]=""),VLOOKUP(まとめ表_各Aパターン件数[[#This Row],[管理番号]],名前リスト[[#All],[管理番号]:[氏名]],2,TRUE),"")</f>
        <v>カキイチ　トモキ</v>
      </c>
      <c r="C153" s="6" t="str">
        <f>IF(NOT(まとめ表_各Aパターン件数[[#This Row],[管理番号]]=""),VLOOKUP(まとめ表_各Aパターン件数[[#This Row],[管理番号]],名前リスト[[#All],[管理番号]:[氏名]],3,TRUE),"")</f>
        <v>カキイチ　トモキ</v>
      </c>
      <c r="D153" s="76" t="str">
        <f t="shared" si="2"/>
        <v/>
      </c>
      <c r="E15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IF(NOT(まとめ表_各Aパターン件数[[#This Row],[管理番号]]=""),VLOOKUP(まとめ表_各Aパターン件数[[#This Row],[管理番号]],名前リスト[[#All],[管理番号]:[氏名]],2,TRUE),"")</f>
        <v>ウエシバ　タツヤ</v>
      </c>
      <c r="C154" s="6" t="str">
        <f>IF(NOT(まとめ表_各Aパターン件数[[#This Row],[管理番号]]=""),VLOOKUP(まとめ表_各Aパターン件数[[#This Row],[管理番号]],名前リスト[[#All],[管理番号]:[氏名]],3,TRUE),"")</f>
        <v>ウエシバ　タツヤ</v>
      </c>
      <c r="D154" s="76" t="str">
        <f t="shared" si="2"/>
        <v/>
      </c>
      <c r="E15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IF(NOT(まとめ表_各Aパターン件数[[#This Row],[管理番号]]=""),VLOOKUP(まとめ表_各Aパターン件数[[#This Row],[管理番号]],名前リスト[[#All],[管理番号]:[氏名]],2,TRUE),"")</f>
        <v>オオハラショウゴ</v>
      </c>
      <c r="C155" s="6" t="str">
        <f>IF(NOT(まとめ表_各Aパターン件数[[#This Row],[管理番号]]=""),VLOOKUP(まとめ表_各Aパターン件数[[#This Row],[管理番号]],名前リスト[[#All],[管理番号]:[氏名]],3,TRUE),"")</f>
        <v>オオハラショウゴ</v>
      </c>
      <c r="D155" s="76" t="str">
        <f t="shared" si="2"/>
        <v/>
      </c>
      <c r="E15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IF(NOT(まとめ表_各Aパターン件数[[#This Row],[管理番号]]=""),VLOOKUP(まとめ表_各Aパターン件数[[#This Row],[管理番号]],名前リスト[[#All],[管理番号]:[氏名]],2,TRUE),"")</f>
        <v>マツナガ　カズヤ</v>
      </c>
      <c r="C156" s="6" t="str">
        <f>IF(NOT(まとめ表_各Aパターン件数[[#This Row],[管理番号]]=""),VLOOKUP(まとめ表_各Aパターン件数[[#This Row],[管理番号]],名前リスト[[#All],[管理番号]:[氏名]],3,TRUE),"")</f>
        <v>マツナガ　カズヤ</v>
      </c>
      <c r="D156" s="76" t="str">
        <f t="shared" si="2"/>
        <v/>
      </c>
      <c r="E15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IF(NOT(まとめ表_各Aパターン件数[[#This Row],[管理番号]]=""),VLOOKUP(まとめ表_各Aパターン件数[[#This Row],[管理番号]],名前リスト[[#All],[管理番号]:[氏名]],2,TRUE),"")</f>
        <v>コジマ　カエデ</v>
      </c>
      <c r="C157" s="6" t="str">
        <f>IF(NOT(まとめ表_各Aパターン件数[[#This Row],[管理番号]]=""),VLOOKUP(まとめ表_各Aパターン件数[[#This Row],[管理番号]],名前リスト[[#All],[管理番号]:[氏名]],3,TRUE),"")</f>
        <v>コジマ　カエデ</v>
      </c>
      <c r="D157" s="76" t="str">
        <f t="shared" si="2"/>
        <v/>
      </c>
      <c r="E15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IF(NOT(まとめ表_各Aパターン件数[[#This Row],[管理番号]]=""),VLOOKUP(まとめ表_各Aパターン件数[[#This Row],[管理番号]],名前リスト[[#All],[管理番号]:[氏名]],2,TRUE),"")</f>
        <v>アヤハラ　ハヤト</v>
      </c>
      <c r="C158" s="6" t="str">
        <f>IF(NOT(まとめ表_各Aパターン件数[[#This Row],[管理番号]]=""),VLOOKUP(まとめ表_各Aパターン件数[[#This Row],[管理番号]],名前リスト[[#All],[管理番号]:[氏名]],3,TRUE),"")</f>
        <v>アヤハラ　ハヤト</v>
      </c>
      <c r="D158" s="76" t="str">
        <f t="shared" si="2"/>
        <v/>
      </c>
      <c r="E15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IF(NOT(まとめ表_各Aパターン件数[[#This Row],[管理番号]]=""),VLOOKUP(まとめ表_各Aパターン件数[[#This Row],[管理番号]],名前リスト[[#All],[管理番号]:[氏名]],2,TRUE),"")</f>
        <v>ナンバカズキ</v>
      </c>
      <c r="C159" s="6" t="str">
        <f>IF(NOT(まとめ表_各Aパターン件数[[#This Row],[管理番号]]=""),VLOOKUP(まとめ表_各Aパターン件数[[#This Row],[管理番号]],名前リスト[[#All],[管理番号]:[氏名]],3,TRUE),"")</f>
        <v>ナンバカズキ</v>
      </c>
      <c r="D159" s="76" t="str">
        <f t="shared" si="2"/>
        <v/>
      </c>
      <c r="E15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5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5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5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5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5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5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5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5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5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5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5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5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5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5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5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5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5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5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5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5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5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IF(NOT(まとめ表_各Aパターン件数[[#This Row],[管理番号]]=""),VLOOKUP(まとめ表_各Aパターン件数[[#This Row],[管理番号]],名前リスト[[#All],[管理番号]:[氏名]],2,TRUE),"")</f>
        <v>ヒラタリュウキ</v>
      </c>
      <c r="C160" s="6" t="str">
        <f>IF(NOT(まとめ表_各Aパターン件数[[#This Row],[管理番号]]=""),VLOOKUP(まとめ表_各Aパターン件数[[#This Row],[管理番号]],名前リスト[[#All],[管理番号]:[氏名]],3,TRUE),"")</f>
        <v>ヒラタリュウキ</v>
      </c>
      <c r="D160" s="76" t="str">
        <f t="shared" si="2"/>
        <v/>
      </c>
      <c r="E16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IF(NOT(まとめ表_各Aパターン件数[[#This Row],[管理番号]]=""),VLOOKUP(まとめ表_各Aパターン件数[[#This Row],[管理番号]],名前リスト[[#All],[管理番号]:[氏名]],2,TRUE),"")</f>
        <v>コガ　ヨシキ</v>
      </c>
      <c r="C161" s="6" t="str">
        <f>IF(NOT(まとめ表_各Aパターン件数[[#This Row],[管理番号]]=""),VLOOKUP(まとめ表_各Aパターン件数[[#This Row],[管理番号]],名前リスト[[#All],[管理番号]:[氏名]],3,TRUE),"")</f>
        <v>コガ　ヨシキ</v>
      </c>
      <c r="D161" s="76" t="str">
        <f t="shared" si="2"/>
        <v/>
      </c>
      <c r="E16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IF(NOT(まとめ表_各Aパターン件数[[#This Row],[管理番号]]=""),VLOOKUP(まとめ表_各Aパターン件数[[#This Row],[管理番号]],名前リスト[[#All],[管理番号]:[氏名]],2,TRUE),"")</f>
        <v>ナンカイカズキ</v>
      </c>
      <c r="C162" s="6" t="str">
        <f>IF(NOT(まとめ表_各Aパターン件数[[#This Row],[管理番号]]=""),VLOOKUP(まとめ表_各Aパターン件数[[#This Row],[管理番号]],名前リスト[[#All],[管理番号]:[氏名]],3,TRUE),"")</f>
        <v>ナンカイカズキ</v>
      </c>
      <c r="D162" s="76" t="str">
        <f t="shared" si="2"/>
        <v/>
      </c>
      <c r="E16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IF(NOT(まとめ表_各Aパターン件数[[#This Row],[管理番号]]=""),VLOOKUP(まとめ表_各Aパターン件数[[#This Row],[管理番号]],名前リスト[[#All],[管理番号]:[氏名]],2,TRUE),"")</f>
        <v>サカモト シンペイ</v>
      </c>
      <c r="C163" s="6" t="str">
        <f>IF(NOT(まとめ表_各Aパターン件数[[#This Row],[管理番号]]=""),VLOOKUP(まとめ表_各Aパターン件数[[#This Row],[管理番号]],名前リスト[[#All],[管理番号]:[氏名]],3,TRUE),"")</f>
        <v>サカモト シンペイ</v>
      </c>
      <c r="D163" s="76" t="str">
        <f t="shared" si="2"/>
        <v/>
      </c>
      <c r="E16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IF(NOT(まとめ表_各Aパターン件数[[#This Row],[管理番号]]=""),VLOOKUP(まとめ表_各Aパターン件数[[#This Row],[管理番号]],名前リスト[[#All],[管理番号]:[氏名]],2,TRUE),"")</f>
        <v>ダイコクケイシュウ</v>
      </c>
      <c r="C164" s="6" t="str">
        <f>IF(NOT(まとめ表_各Aパターン件数[[#This Row],[管理番号]]=""),VLOOKUP(まとめ表_各Aパターン件数[[#This Row],[管理番号]],名前リスト[[#All],[管理番号]:[氏名]],3,TRUE),"")</f>
        <v>ダイコクケイシュウ</v>
      </c>
      <c r="D164" s="76" t="str">
        <f t="shared" si="2"/>
        <v/>
      </c>
      <c r="E16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IF(NOT(まとめ表_各Aパターン件数[[#This Row],[管理番号]]=""),VLOOKUP(まとめ表_各Aパターン件数[[#This Row],[管理番号]],名前リスト[[#All],[管理番号]:[氏名]],2,TRUE),"")</f>
        <v>ヨシトモ　ハルヤ</v>
      </c>
      <c r="C165" s="6" t="str">
        <f>IF(NOT(まとめ表_各Aパターン件数[[#This Row],[管理番号]]=""),VLOOKUP(まとめ表_各Aパターン件数[[#This Row],[管理番号]],名前リスト[[#All],[管理番号]:[氏名]],3,TRUE),"")</f>
        <v>ヨシトモ　ハルヤ</v>
      </c>
      <c r="D165" s="76" t="str">
        <f t="shared" si="2"/>
        <v/>
      </c>
      <c r="E16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IF(NOT(まとめ表_各Aパターン件数[[#This Row],[管理番号]]=""),VLOOKUP(まとめ表_各Aパターン件数[[#This Row],[管理番号]],名前リスト[[#All],[管理番号]:[氏名]],2,TRUE),"")</f>
        <v>スズキ　ダイスケ</v>
      </c>
      <c r="C166" s="6" t="str">
        <f>IF(NOT(まとめ表_各Aパターン件数[[#This Row],[管理番号]]=""),VLOOKUP(まとめ表_各Aパターン件数[[#This Row],[管理番号]],名前リスト[[#All],[管理番号]:[氏名]],3,TRUE),"")</f>
        <v>スズキ　ダイスケ</v>
      </c>
      <c r="D166" s="76" t="str">
        <f t="shared" si="2"/>
        <v/>
      </c>
      <c r="E16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IF(NOT(まとめ表_各Aパターン件数[[#This Row],[管理番号]]=""),VLOOKUP(まとめ表_各Aパターン件数[[#This Row],[管理番号]],名前リスト[[#All],[管理番号]:[氏名]],2,TRUE),"")</f>
        <v>モリカワ　ヒロユキ</v>
      </c>
      <c r="C167" s="6" t="str">
        <f>IF(NOT(まとめ表_各Aパターン件数[[#This Row],[管理番号]]=""),VLOOKUP(まとめ表_各Aパターン件数[[#This Row],[管理番号]],名前リスト[[#All],[管理番号]:[氏名]],3,TRUE),"")</f>
        <v>モリカワ　ヒロユキ</v>
      </c>
      <c r="D167" s="76" t="str">
        <f t="shared" si="2"/>
        <v/>
      </c>
      <c r="E16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IF(NOT(まとめ表_各Aパターン件数[[#This Row],[管理番号]]=""),VLOOKUP(まとめ表_各Aパターン件数[[#This Row],[管理番号]],名前リスト[[#All],[管理番号]:[氏名]],2,TRUE),"")</f>
        <v>ヤマモトマサヒロ</v>
      </c>
      <c r="C168" s="6" t="str">
        <f>IF(NOT(まとめ表_各Aパターン件数[[#This Row],[管理番号]]=""),VLOOKUP(まとめ表_各Aパターン件数[[#This Row],[管理番号]],名前リスト[[#All],[管理番号]:[氏名]],3,TRUE),"")</f>
        <v>ヤマモトマサヒロ</v>
      </c>
      <c r="D168" s="76" t="str">
        <f t="shared" si="2"/>
        <v/>
      </c>
      <c r="E16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IF(NOT(まとめ表_各Aパターン件数[[#This Row],[管理番号]]=""),VLOOKUP(まとめ表_各Aパターン件数[[#This Row],[管理番号]],名前リスト[[#All],[管理番号]:[氏名]],2,TRUE),"")</f>
        <v>クワタ　ヒデヤ</v>
      </c>
      <c r="C169" s="6" t="str">
        <f>IF(NOT(まとめ表_各Aパターン件数[[#This Row],[管理番号]]=""),VLOOKUP(まとめ表_各Aパターン件数[[#This Row],[管理番号]],名前リスト[[#All],[管理番号]:[氏名]],3,TRUE),"")</f>
        <v>クワタ　ヒデヤ</v>
      </c>
      <c r="D169" s="76" t="str">
        <f t="shared" si="2"/>
        <v/>
      </c>
      <c r="E16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6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6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6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6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6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6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6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6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6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6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6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6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6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6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6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6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6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6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6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6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6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IF(NOT(まとめ表_各Aパターン件数[[#This Row],[管理番号]]=""),VLOOKUP(まとめ表_各Aパターン件数[[#This Row],[管理番号]],名前リスト[[#All],[管理番号]:[氏名]],2,TRUE),"")</f>
        <v>ウエハラ　フェリペ</v>
      </c>
      <c r="C170" s="6" t="str">
        <f>IF(NOT(まとめ表_各Aパターン件数[[#This Row],[管理番号]]=""),VLOOKUP(まとめ表_各Aパターン件数[[#This Row],[管理番号]],名前リスト[[#All],[管理番号]:[氏名]],3,TRUE),"")</f>
        <v>ウエハラ　フェリペ</v>
      </c>
      <c r="D170" s="76" t="str">
        <f t="shared" si="2"/>
        <v/>
      </c>
      <c r="E17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IF(NOT(まとめ表_各Aパターン件数[[#This Row],[管理番号]]=""),VLOOKUP(まとめ表_各Aパターン件数[[#This Row],[管理番号]],名前リスト[[#All],[管理番号]:[氏名]],2,TRUE),"")</f>
        <v>フルカワナオヒロ</v>
      </c>
      <c r="C171" s="6" t="str">
        <f>IF(NOT(まとめ表_各Aパターン件数[[#This Row],[管理番号]]=""),VLOOKUP(まとめ表_各Aパターン件数[[#This Row],[管理番号]],名前リスト[[#All],[管理番号]:[氏名]],3,TRUE),"")</f>
        <v>フルカワナオヒロ</v>
      </c>
      <c r="D171" s="76" t="str">
        <f t="shared" si="2"/>
        <v/>
      </c>
      <c r="E17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IF(NOT(まとめ表_各Aパターン件数[[#This Row],[管理番号]]=""),VLOOKUP(まとめ表_各Aパターン件数[[#This Row],[管理番号]],名前リスト[[#All],[管理番号]:[氏名]],2,TRUE),"")</f>
        <v>カワイ　トクヒサ</v>
      </c>
      <c r="C172" s="6" t="str">
        <f>IF(NOT(まとめ表_各Aパターン件数[[#This Row],[管理番号]]=""),VLOOKUP(まとめ表_各Aパターン件数[[#This Row],[管理番号]],名前リスト[[#All],[管理番号]:[氏名]],3,TRUE),"")</f>
        <v>カワイ　トクヒサ</v>
      </c>
      <c r="D172" s="76" t="str">
        <f t="shared" si="2"/>
        <v/>
      </c>
      <c r="E17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IF(NOT(まとめ表_各Aパターン件数[[#This Row],[管理番号]]=""),VLOOKUP(まとめ表_各Aパターン件数[[#This Row],[管理番号]],名前リスト[[#All],[管理番号]:[氏名]],2,TRUE),"")</f>
        <v>カワタニ　ツバサ</v>
      </c>
      <c r="C173" s="6" t="str">
        <f>IF(NOT(まとめ表_各Aパターン件数[[#This Row],[管理番号]]=""),VLOOKUP(まとめ表_各Aパターン件数[[#This Row],[管理番号]],名前リスト[[#All],[管理番号]:[氏名]],3,TRUE),"")</f>
        <v>カワタニ　ツバサ</v>
      </c>
      <c r="D173" s="76" t="str">
        <f t="shared" si="2"/>
        <v/>
      </c>
      <c r="E17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IF(NOT(まとめ表_各Aパターン件数[[#This Row],[管理番号]]=""),VLOOKUP(まとめ表_各Aパターン件数[[#This Row],[管理番号]],名前リスト[[#All],[管理番号]:[氏名]],2,TRUE),"")</f>
        <v>フカタ　シュウタ</v>
      </c>
      <c r="C174" s="6" t="str">
        <f>IF(NOT(まとめ表_各Aパターン件数[[#This Row],[管理番号]]=""),VLOOKUP(まとめ表_各Aパターン件数[[#This Row],[管理番号]],名前リスト[[#All],[管理番号]:[氏名]],3,TRUE),"")</f>
        <v>フカタ　シュウタ</v>
      </c>
      <c r="D174" s="76" t="str">
        <f t="shared" si="2"/>
        <v/>
      </c>
      <c r="E17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IF(NOT(まとめ表_各Aパターン件数[[#This Row],[管理番号]]=""),VLOOKUP(まとめ表_各Aパターン件数[[#This Row],[管理番号]],名前リスト[[#All],[管理番号]:[氏名]],2,TRUE),"")</f>
        <v>カワサキ　ヨシキ</v>
      </c>
      <c r="C175" s="6" t="str">
        <f>IF(NOT(まとめ表_各Aパターン件数[[#This Row],[管理番号]]=""),VLOOKUP(まとめ表_各Aパターン件数[[#This Row],[管理番号]],名前リスト[[#All],[管理番号]:[氏名]],3,TRUE),"")</f>
        <v>カワサキ　ヨシキ</v>
      </c>
      <c r="D175" s="76" t="str">
        <f t="shared" si="2"/>
        <v/>
      </c>
      <c r="E17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IF(NOT(まとめ表_各Aパターン件数[[#This Row],[管理番号]]=""),VLOOKUP(まとめ表_各Aパターン件数[[#This Row],[管理番号]],名前リスト[[#All],[管理番号]:[氏名]],2,TRUE),"")</f>
        <v>オオシマ　ライ</v>
      </c>
      <c r="C176" s="6" t="str">
        <f>IF(NOT(まとめ表_各Aパターン件数[[#This Row],[管理番号]]=""),VLOOKUP(まとめ表_各Aパターン件数[[#This Row],[管理番号]],名前リスト[[#All],[管理番号]:[氏名]],3,TRUE),"")</f>
        <v>オオシマ　ライ</v>
      </c>
      <c r="D176" s="76" t="str">
        <f t="shared" si="2"/>
        <v/>
      </c>
      <c r="E17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IF(NOT(まとめ表_各Aパターン件数[[#This Row],[管理番号]]=""),VLOOKUP(まとめ表_各Aパターン件数[[#This Row],[管理番号]],名前リスト[[#All],[管理番号]:[氏名]],2,TRUE),"")</f>
        <v>キベさん⭐️</v>
      </c>
      <c r="C177" s="6" t="str">
        <f>IF(NOT(まとめ表_各Aパターン件数[[#This Row],[管理番号]]=""),VLOOKUP(まとめ表_各Aパターン件数[[#This Row],[管理番号]],名前リスト[[#All],[管理番号]:[氏名]],3,TRUE),"")</f>
        <v>キベさん⭐️</v>
      </c>
      <c r="D177" s="76" t="str">
        <f t="shared" si="2"/>
        <v/>
      </c>
      <c r="E17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IF(NOT(まとめ表_各Aパターン件数[[#This Row],[管理番号]]=""),VLOOKUP(まとめ表_各Aパターン件数[[#This Row],[管理番号]],名前リスト[[#All],[管理番号]:[氏名]],2,TRUE),"")</f>
        <v>キタガワヒデノリ</v>
      </c>
      <c r="C178" s="6" t="str">
        <f>IF(NOT(まとめ表_各Aパターン件数[[#This Row],[管理番号]]=""),VLOOKUP(まとめ表_各Aパターン件数[[#This Row],[管理番号]],名前リスト[[#All],[管理番号]:[氏名]],3,TRUE),"")</f>
        <v>キタガワヒデノリ</v>
      </c>
      <c r="D178" s="76" t="str">
        <f t="shared" si="2"/>
        <v/>
      </c>
      <c r="E17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IF(NOT(まとめ表_各Aパターン件数[[#This Row],[管理番号]]=""),VLOOKUP(まとめ表_各Aパターン件数[[#This Row],[管理番号]],名前リスト[[#All],[管理番号]:[氏名]],2,TRUE),"")</f>
        <v>イシオカ　ヨツスケ</v>
      </c>
      <c r="C179" s="6" t="str">
        <f>IF(NOT(まとめ表_各Aパターン件数[[#This Row],[管理番号]]=""),VLOOKUP(まとめ表_各Aパターン件数[[#This Row],[管理番号]],名前リスト[[#All],[管理番号]:[氏名]],3,TRUE),"")</f>
        <v>イシオカ　ヨツスケ</v>
      </c>
      <c r="D179" s="76" t="str">
        <f t="shared" si="2"/>
        <v/>
      </c>
      <c r="E17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7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7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7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7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7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7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7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7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7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7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7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7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7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7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7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7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7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7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7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7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7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IF(NOT(まとめ表_各Aパターン件数[[#This Row],[管理番号]]=""),VLOOKUP(まとめ表_各Aパターン件数[[#This Row],[管理番号]],名前リスト[[#All],[管理番号]:[氏名]],2,TRUE),"")</f>
        <v>ヤマモト　オウジ</v>
      </c>
      <c r="C180" s="6" t="str">
        <f>IF(NOT(まとめ表_各Aパターン件数[[#This Row],[管理番号]]=""),VLOOKUP(まとめ表_各Aパターン件数[[#This Row],[管理番号]],名前リスト[[#All],[管理番号]:[氏名]],3,TRUE),"")</f>
        <v>ヤマモト　オウジ</v>
      </c>
      <c r="D180" s="76" t="str">
        <f t="shared" si="2"/>
        <v/>
      </c>
      <c r="E18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IF(NOT(まとめ表_各Aパターン件数[[#This Row],[管理番号]]=""),VLOOKUP(まとめ表_各Aパターン件数[[#This Row],[管理番号]],名前リスト[[#All],[管理番号]:[氏名]],2,TRUE),"")</f>
        <v>ニシオカ　コウヘイ</v>
      </c>
      <c r="C181" s="6" t="str">
        <f>IF(NOT(まとめ表_各Aパターン件数[[#This Row],[管理番号]]=""),VLOOKUP(まとめ表_各Aパターン件数[[#This Row],[管理番号]],名前リスト[[#All],[管理番号]:[氏名]],3,TRUE),"")</f>
        <v>ニシオカ　コウヘイ</v>
      </c>
      <c r="D181" s="76" t="str">
        <f t="shared" si="2"/>
        <v/>
      </c>
      <c r="E18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IF(NOT(まとめ表_各Aパターン件数[[#This Row],[管理番号]]=""),VLOOKUP(まとめ表_各Aパターン件数[[#This Row],[管理番号]],名前リスト[[#All],[管理番号]:[氏名]],2,TRUE),"")</f>
        <v>アタラシ　ダイキチ</v>
      </c>
      <c r="C182" s="6" t="str">
        <f>IF(NOT(まとめ表_各Aパターン件数[[#This Row],[管理番号]]=""),VLOOKUP(まとめ表_各Aパターン件数[[#This Row],[管理番号]],名前リスト[[#All],[管理番号]:[氏名]],3,TRUE),"")</f>
        <v>アタラシ　ダイキチ</v>
      </c>
      <c r="D182" s="76" t="str">
        <f t="shared" si="2"/>
        <v/>
      </c>
      <c r="E18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IF(NOT(まとめ表_各Aパターン件数[[#This Row],[管理番号]]=""),VLOOKUP(まとめ表_各Aパターン件数[[#This Row],[管理番号]],名前リスト[[#All],[管理番号]:[氏名]],2,TRUE),"")</f>
        <v>サカイ　カンジ</v>
      </c>
      <c r="C183" s="6" t="str">
        <f>IF(NOT(まとめ表_各Aパターン件数[[#This Row],[管理番号]]=""),VLOOKUP(まとめ表_各Aパターン件数[[#This Row],[管理番号]],名前リスト[[#All],[管理番号]:[氏名]],3,TRUE),"")</f>
        <v>サカイ　カンジ</v>
      </c>
      <c r="D183" s="76" t="str">
        <f t="shared" si="2"/>
        <v/>
      </c>
      <c r="E18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IF(NOT(まとめ表_各Aパターン件数[[#This Row],[管理番号]]=""),VLOOKUP(まとめ表_各Aパターン件数[[#This Row],[管理番号]],名前リスト[[#All],[管理番号]:[氏名]],2,TRUE),"")</f>
        <v>コニシ　ホノカ</v>
      </c>
      <c r="C184" s="6" t="str">
        <f>IF(NOT(まとめ表_各Aパターン件数[[#This Row],[管理番号]]=""),VLOOKUP(まとめ表_各Aパターン件数[[#This Row],[管理番号]],名前リスト[[#All],[管理番号]:[氏名]],3,TRUE),"")</f>
        <v>コニシ　ホノカ</v>
      </c>
      <c r="D184" s="76" t="str">
        <f t="shared" si="2"/>
        <v/>
      </c>
      <c r="E18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IF(NOT(まとめ表_各Aパターン件数[[#This Row],[管理番号]]=""),VLOOKUP(まとめ表_各Aパターン件数[[#This Row],[管理番号]],名前リスト[[#All],[管理番号]:[氏名]],2,TRUE),"")</f>
        <v>イノウエ リナ</v>
      </c>
      <c r="C185" s="6" t="str">
        <f>IF(NOT(まとめ表_各Aパターン件数[[#This Row],[管理番号]]=""),VLOOKUP(まとめ表_各Aパターン件数[[#This Row],[管理番号]],名前リスト[[#All],[管理番号]:[氏名]],3,TRUE),"")</f>
        <v>イノウエ リナ</v>
      </c>
      <c r="D185" s="76" t="str">
        <f t="shared" si="2"/>
        <v/>
      </c>
      <c r="E18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IF(NOT(まとめ表_各Aパターン件数[[#This Row],[管理番号]]=""),VLOOKUP(まとめ表_各Aパターン件数[[#This Row],[管理番号]],名前リスト[[#All],[管理番号]:[氏名]],2,TRUE),"")</f>
        <v>タカハシ　アンジュ</v>
      </c>
      <c r="C186" s="6" t="str">
        <f>IF(NOT(まとめ表_各Aパターン件数[[#This Row],[管理番号]]=""),VLOOKUP(まとめ表_各Aパターン件数[[#This Row],[管理番号]],名前リスト[[#All],[管理番号]:[氏名]],3,TRUE),"")</f>
        <v>タカハシ　アンジュ</v>
      </c>
      <c r="D186" s="76" t="str">
        <f t="shared" si="2"/>
        <v/>
      </c>
      <c r="E18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IF(NOT(まとめ表_各Aパターン件数[[#This Row],[管理番号]]=""),VLOOKUP(まとめ表_各Aパターン件数[[#This Row],[管理番号]],名前リスト[[#All],[管理番号]:[氏名]],2,TRUE),"")</f>
        <v>ミヤギ　タツキ</v>
      </c>
      <c r="C187" s="6" t="str">
        <f>IF(NOT(まとめ表_各Aパターン件数[[#This Row],[管理番号]]=""),VLOOKUP(まとめ表_各Aパターン件数[[#This Row],[管理番号]],名前リスト[[#All],[管理番号]:[氏名]],3,TRUE),"")</f>
        <v>ミヤギ　タツキ</v>
      </c>
      <c r="D187" s="76" t="str">
        <f t="shared" si="2"/>
        <v/>
      </c>
      <c r="E18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IF(NOT(まとめ表_各Aパターン件数[[#This Row],[管理番号]]=""),VLOOKUP(まとめ表_各Aパターン件数[[#This Row],[管理番号]],名前リスト[[#All],[管理番号]:[氏名]],2,TRUE),"")</f>
        <v>ホリ　ショウイチロウ</v>
      </c>
      <c r="C188" s="6" t="str">
        <f>IF(NOT(まとめ表_各Aパターン件数[[#This Row],[管理番号]]=""),VLOOKUP(まとめ表_各Aパターン件数[[#This Row],[管理番号]],名前リスト[[#All],[管理番号]:[氏名]],3,TRUE),"")</f>
        <v>ホリ　ショウイチロウ</v>
      </c>
      <c r="D188" s="76" t="str">
        <f t="shared" si="2"/>
        <v/>
      </c>
      <c r="E18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IF(NOT(まとめ表_各Aパターン件数[[#This Row],[管理番号]]=""),VLOOKUP(まとめ表_各Aパターン件数[[#This Row],[管理番号]],名前リスト[[#All],[管理番号]:[氏名]],2,TRUE),"")</f>
        <v>カネダ　カホ</v>
      </c>
      <c r="C189" s="6" t="str">
        <f>IF(NOT(まとめ表_各Aパターン件数[[#This Row],[管理番号]]=""),VLOOKUP(まとめ表_各Aパターン件数[[#This Row],[管理番号]],名前リスト[[#All],[管理番号]:[氏名]],3,TRUE),"")</f>
        <v>カネダ　カホ</v>
      </c>
      <c r="D189" s="76" t="str">
        <f t="shared" si="2"/>
        <v/>
      </c>
      <c r="E18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8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8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8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8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8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8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8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8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8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8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8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8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8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8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8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8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8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8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8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8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8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0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0" s="76" t="str">
        <f t="shared" si="2"/>
        <v/>
      </c>
      <c r="E19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IF(NOT(まとめ表_各Aパターン件数[[#This Row],[管理番号]]=""),VLOOKUP(まとめ表_各Aパターン件数[[#This Row],[管理番号]],名前リスト[[#All],[管理番号]:[氏名]],2,TRUE),"")</f>
        <v>ヤスオカ　ダイキ</v>
      </c>
      <c r="C191" s="6" t="str">
        <f>IF(NOT(まとめ表_各Aパターン件数[[#This Row],[管理番号]]=""),VLOOKUP(まとめ表_各Aパターン件数[[#This Row],[管理番号]],名前リスト[[#All],[管理番号]:[氏名]],3,TRUE),"")</f>
        <v>ヤスオカ　ダイキ</v>
      </c>
      <c r="D191" s="76" t="str">
        <f t="shared" si="2"/>
        <v/>
      </c>
      <c r="E19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IF(NOT(まとめ表_各Aパターン件数[[#This Row],[管理番号]]=""),VLOOKUP(まとめ表_各Aパターン件数[[#This Row],[管理番号]],名前リスト[[#All],[管理番号]:[氏名]],2,TRUE),"")</f>
        <v>ヨシダ　トウマ</v>
      </c>
      <c r="C192" s="6" t="str">
        <f>IF(NOT(まとめ表_各Aパターン件数[[#This Row],[管理番号]]=""),VLOOKUP(まとめ表_各Aパターン件数[[#This Row],[管理番号]],名前リスト[[#All],[管理番号]:[氏名]],3,TRUE),"")</f>
        <v>ヨシダ　トウマ</v>
      </c>
      <c r="D192" s="76" t="str">
        <f t="shared" si="2"/>
        <v/>
      </c>
      <c r="E19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IF(NOT(まとめ表_各Aパターン件数[[#This Row],[管理番号]]=""),VLOOKUP(まとめ表_各Aパターン件数[[#This Row],[管理番号]],名前リスト[[#All],[管理番号]:[氏名]],2,TRUE),"")</f>
        <v>タニガキ　リサコ</v>
      </c>
      <c r="C193" s="6" t="str">
        <f>IF(NOT(まとめ表_各Aパターン件数[[#This Row],[管理番号]]=""),VLOOKUP(まとめ表_各Aパターン件数[[#This Row],[管理番号]],名前リスト[[#All],[管理番号]:[氏名]],3,TRUE),"")</f>
        <v>タニガキ　リサコ</v>
      </c>
      <c r="D193" s="76" t="str">
        <f t="shared" si="2"/>
        <v/>
      </c>
      <c r="E19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IF(NOT(まとめ表_各Aパターン件数[[#This Row],[管理番号]]=""),VLOOKUP(まとめ表_各Aパターン件数[[#This Row],[管理番号]],名前リスト[[#All],[管理番号]:[氏名]],2,TRUE),"")</f>
        <v>コウノ　ユウダイ</v>
      </c>
      <c r="C194" s="6" t="str">
        <f>IF(NOT(まとめ表_各Aパターン件数[[#This Row],[管理番号]]=""),VLOOKUP(まとめ表_各Aパターン件数[[#This Row],[管理番号]],名前リスト[[#All],[管理番号]:[氏名]],3,TRUE),"")</f>
        <v>コウノ　ユウダイ</v>
      </c>
      <c r="D194" s="76" t="str">
        <f t="shared" ref="D194:D257" si="3">IF(SUM(E194:XFD194)=0,"",SUM(E194:XFD194))</f>
        <v/>
      </c>
      <c r="E19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IF(NOT(まとめ表_各Aパターン件数[[#This Row],[管理番号]]=""),VLOOKUP(まとめ表_各Aパターン件数[[#This Row],[管理番号]],名前リスト[[#All],[管理番号]:[氏名]],2,TRUE),"")</f>
        <v>ウツミ　ユウキ</v>
      </c>
      <c r="C195" s="6" t="str">
        <f>IF(NOT(まとめ表_各Aパターン件数[[#This Row],[管理番号]]=""),VLOOKUP(まとめ表_各Aパターン件数[[#This Row],[管理番号]],名前リスト[[#All],[管理番号]:[氏名]],3,TRUE),"")</f>
        <v>ウツミ　ユウキ</v>
      </c>
      <c r="D195" s="76" t="str">
        <f t="shared" si="3"/>
        <v/>
      </c>
      <c r="E195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5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5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5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5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5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5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5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5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5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5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5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5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5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5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5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5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5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5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5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5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5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IF(NOT(まとめ表_各Aパターン件数[[#This Row],[管理番号]]=""),VLOOKUP(まとめ表_各Aパターン件数[[#This Row],[管理番号]],名前リスト[[#All],[管理番号]:[氏名]],2,TRUE),"")</f>
        <v>ヨコタ　ショウ</v>
      </c>
      <c r="C196" s="6" t="str">
        <f>IF(NOT(まとめ表_各Aパターン件数[[#This Row],[管理番号]]=""),VLOOKUP(まとめ表_各Aパターン件数[[#This Row],[管理番号]],名前リスト[[#All],[管理番号]:[氏名]],3,TRUE),"")</f>
        <v>ヨコタ　ショウ</v>
      </c>
      <c r="D196" s="76" t="str">
        <f t="shared" si="3"/>
        <v/>
      </c>
      <c r="E196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6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6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6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6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6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6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6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6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6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6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6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6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6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6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6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6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6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6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6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6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6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IF(NOT(まとめ表_各Aパターン件数[[#This Row],[管理番号]]=""),VLOOKUP(まとめ表_各Aパターン件数[[#This Row],[管理番号]],名前リスト[[#All],[管理番号]:[氏名]],2,TRUE),"")</f>
        <v>モリタ　コウダイ</v>
      </c>
      <c r="C197" s="6" t="str">
        <f>IF(NOT(まとめ表_各Aパターン件数[[#This Row],[管理番号]]=""),VLOOKUP(まとめ表_各Aパターン件数[[#This Row],[管理番号]],名前リスト[[#All],[管理番号]:[氏名]],3,TRUE),"")</f>
        <v>モリタ　コウダイ</v>
      </c>
      <c r="D197" s="76" t="str">
        <f t="shared" si="3"/>
        <v/>
      </c>
      <c r="E197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7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7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7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7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7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7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7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7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7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7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7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7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7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7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7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7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7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7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7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7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7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IF(NOT(まとめ表_各Aパターン件数[[#This Row],[管理番号]]=""),VLOOKUP(まとめ表_各Aパターン件数[[#This Row],[管理番号]],名前リスト[[#All],[管理番号]:[氏名]],2,TRUE),"")</f>
        <v>モリヤマアキヒサ</v>
      </c>
      <c r="C198" s="6" t="str">
        <f>IF(NOT(まとめ表_各Aパターン件数[[#This Row],[管理番号]]=""),VLOOKUP(まとめ表_各Aパターン件数[[#This Row],[管理番号]],名前リスト[[#All],[管理番号]:[氏名]],3,TRUE),"")</f>
        <v>モリヤマアキヒサ</v>
      </c>
      <c r="D198" s="76" t="str">
        <f t="shared" si="3"/>
        <v/>
      </c>
      <c r="E198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8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8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8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8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8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8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8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8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8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8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8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8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8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8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8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8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8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8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8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8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8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IF(NOT(まとめ表_各Aパターン件数[[#This Row],[管理番号]]=""),VLOOKUP(まとめ表_各Aパターン件数[[#This Row],[管理番号]],名前リスト[[#All],[管理番号]:[氏名]],2,TRUE),"")</f>
        <v>セイケ　クルミ</v>
      </c>
      <c r="C199" s="6" t="str">
        <f>IF(NOT(まとめ表_各Aパターン件数[[#This Row],[管理番号]]=""),VLOOKUP(まとめ表_各Aパターン件数[[#This Row],[管理番号]],名前リスト[[#All],[管理番号]:[氏名]],3,TRUE),"")</f>
        <v>セイケ　クルミ</v>
      </c>
      <c r="D199" s="76" t="str">
        <f t="shared" si="3"/>
        <v/>
      </c>
      <c r="E199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199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199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199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199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199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199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199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199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199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199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199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199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199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199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199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199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199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199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199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199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199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1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1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IF(NOT(まとめ表_各Aパターン件数[[#This Row],[管理番号]]=""),VLOOKUP(まとめ表_各Aパターン件数[[#This Row],[管理番号]],名前リスト[[#All],[管理番号]:[氏名]],2,TRUE),"")</f>
        <v>イシマル　タダユキ</v>
      </c>
      <c r="C200" s="6" t="str">
        <f>IF(NOT(まとめ表_各Aパターン件数[[#This Row],[管理番号]]=""),VLOOKUP(まとめ表_各Aパターン件数[[#This Row],[管理番号]],名前リスト[[#All],[管理番号]:[氏名]],3,TRUE),"")</f>
        <v>イシマル　タダユキ</v>
      </c>
      <c r="D200" s="76" t="str">
        <f t="shared" si="3"/>
        <v/>
      </c>
      <c r="E200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0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0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0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0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0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0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0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0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0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0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0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0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0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0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0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0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0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0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0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0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0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1" spans="1:28">
      <c r="A201" s="20">
        <f>名前リスト[[#This Row],[管理番号]]</f>
        <v>200</v>
      </c>
      <c r="B201" s="6" t="str">
        <f>IF(NOT(まとめ表_各Aパターン件数[[#This Row],[管理番号]]=""),VLOOKUP(まとめ表_各Aパターン件数[[#This Row],[管理番号]],名前リスト[[#All],[管理番号]:[氏名]],2,TRUE),"")</f>
        <v>コレカネ　ユウ</v>
      </c>
      <c r="C201" s="6" t="str">
        <f>IF(NOT(まとめ表_各Aパターン件数[[#This Row],[管理番号]]=""),VLOOKUP(まとめ表_各Aパターン件数[[#This Row],[管理番号]],名前リスト[[#All],[管理番号]:[氏名]],3,TRUE),"")</f>
        <v>コレカネ　ユウ</v>
      </c>
      <c r="D201" s="76" t="str">
        <f t="shared" si="3"/>
        <v/>
      </c>
      <c r="E201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1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1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1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1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1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1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1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1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1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1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1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1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1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1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1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1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1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1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1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1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1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IF(NOT(まとめ表_各Aパターン件数[[#This Row],[管理番号]]=""),VLOOKUP(まとめ表_各Aパターン件数[[#This Row],[管理番号]],名前リスト[[#All],[管理番号]:[氏名]],2,TRUE),"")</f>
        <v>ワタナベ　ユウタ</v>
      </c>
      <c r="C202" s="6" t="str">
        <f>IF(NOT(まとめ表_各Aパターン件数[[#This Row],[管理番号]]=""),VLOOKUP(まとめ表_各Aパターン件数[[#This Row],[管理番号]],名前リスト[[#All],[管理番号]:[氏名]],3,TRUE),"")</f>
        <v>ワタナベ　ユウタ</v>
      </c>
      <c r="D202" s="76" t="str">
        <f t="shared" si="3"/>
        <v/>
      </c>
      <c r="E202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2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2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2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2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2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2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2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2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2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2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2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2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2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2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2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2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2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2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2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2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2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IF(NOT(まとめ表_各Aパターン件数[[#This Row],[管理番号]]=""),VLOOKUP(まとめ表_各Aパターン件数[[#This Row],[管理番号]],名前リスト[[#All],[管理番号]:[氏名]],2,TRUE),"")</f>
        <v>イワカ　タクミ</v>
      </c>
      <c r="C203" s="6" t="str">
        <f>IF(NOT(まとめ表_各Aパターン件数[[#This Row],[管理番号]]=""),VLOOKUP(まとめ表_各Aパターン件数[[#This Row],[管理番号]],名前リスト[[#All],[管理番号]:[氏名]],3,TRUE),"")</f>
        <v>イワカ　タクミ</v>
      </c>
      <c r="D203" s="76" t="str">
        <f t="shared" si="3"/>
        <v/>
      </c>
      <c r="E203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3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3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3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3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3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3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3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3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3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3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3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3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3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3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3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3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3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3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3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3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3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4" spans="1:28">
      <c r="A204" s="109">
        <f>名前リスト[[#This Row],[管理番号]]</f>
        <v>203</v>
      </c>
      <c r="B204" s="26" t="str">
        <f>IF(NOT(まとめ表_各Aパターン件数[[#This Row],[管理番号]]=""),VLOOKUP(まとめ表_各Aパターン件数[[#This Row],[管理番号]],名前リスト[[#All],[管理番号]:[氏名]],2,TRUE),"")</f>
        <v>クニミ　タカト</v>
      </c>
      <c r="C204" s="26" t="str">
        <f>IF(NOT(まとめ表_各Aパターン件数[[#This Row],[管理番号]]=""),VLOOKUP(まとめ表_各Aパターン件数[[#This Row],[管理番号]],名前リスト[[#All],[管理番号]:[氏名]],3,TRUE),"")</f>
        <v>クニミ　タカト</v>
      </c>
      <c r="D204" s="110" t="str">
        <f t="shared" si="3"/>
        <v/>
      </c>
      <c r="E204" s="7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4" s="7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4" s="7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4" s="7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4" s="7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4" s="7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4" s="7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4" s="7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4" s="48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4" s="48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4" s="48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4" s="48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4" s="48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4" s="48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4" s="48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4" s="48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4" s="48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4" s="48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4" s="48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4" s="48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4" s="48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4" s="48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5" spans="1:28">
      <c r="A205" s="109">
        <f>名前リスト[[#This Row],[管理番号]]</f>
        <v>204</v>
      </c>
      <c r="B205" s="6" t="str">
        <f>IF(NOT(まとめ表_各Aパターン件数[[#This Row],[管理番号]]=""),VLOOKUP(まとめ表_各Aパターン件数[[#This Row],[管理番号]],名前リスト[[#All],[管理番号]:[氏名]],2,TRUE),"")</f>
        <v>タネダ　ジュリ</v>
      </c>
      <c r="C205" s="6" t="str">
        <f>IF(NOT(まとめ表_各Aパターン件数[[#This Row],[管理番号]]=""),VLOOKUP(まとめ表_各Aパターン件数[[#This Row],[管理番号]],名前リスト[[#All],[管理番号]:[氏名]],3,TRUE),"")</f>
        <v>タネダ　ジュリ</v>
      </c>
      <c r="D205" s="76" t="str">
        <f t="shared" si="3"/>
        <v/>
      </c>
      <c r="E2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6" spans="1:28">
      <c r="A206" s="109">
        <f>名前リスト[[#This Row],[管理番号]]</f>
        <v>205</v>
      </c>
      <c r="B206" s="6" t="str">
        <f>IF(NOT(まとめ表_各Aパターン件数[[#This Row],[管理番号]]=""),VLOOKUP(まとめ表_各Aパターン件数[[#This Row],[管理番号]],名前リスト[[#All],[管理番号]:[氏名]],2,TRUE),"")</f>
        <v>ナカジマ　ケイワ</v>
      </c>
      <c r="C206" s="6" t="str">
        <f>IF(NOT(まとめ表_各Aパターン件数[[#This Row],[管理番号]]=""),VLOOKUP(まとめ表_各Aパターン件数[[#This Row],[管理番号]],名前リスト[[#All],[管理番号]:[氏名]],3,TRUE),"")</f>
        <v>ナカジマ　ケイワ</v>
      </c>
      <c r="D206" s="76" t="str">
        <f t="shared" si="3"/>
        <v/>
      </c>
      <c r="E2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7" spans="1:28">
      <c r="A207" s="109">
        <f>名前リスト[[#This Row],[管理番号]]</f>
        <v>206</v>
      </c>
      <c r="B207" s="6" t="str">
        <f>IF(NOT(まとめ表_各Aパターン件数[[#This Row],[管理番号]]=""),VLOOKUP(まとめ表_各Aパターン件数[[#This Row],[管理番号]],名前リスト[[#All],[管理番号]:[氏名]],2,TRUE),"")</f>
        <v>ウメダ　ユウキ</v>
      </c>
      <c r="C207" s="6" t="str">
        <f>IF(NOT(まとめ表_各Aパターン件数[[#This Row],[管理番号]]=""),VLOOKUP(まとめ表_各Aパターン件数[[#This Row],[管理番号]],名前リスト[[#All],[管理番号]:[氏名]],3,TRUE),"")</f>
        <v>ウメダ　ユウキ</v>
      </c>
      <c r="D207" s="76" t="str">
        <f t="shared" si="3"/>
        <v/>
      </c>
      <c r="E2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8" spans="1:28">
      <c r="A208" s="109">
        <f>名前リスト[[#This Row],[管理番号]]</f>
        <v>207</v>
      </c>
      <c r="B208" s="6" t="str">
        <f>IF(NOT(まとめ表_各Aパターン件数[[#This Row],[管理番号]]=""),VLOOKUP(まとめ表_各Aパターン件数[[#This Row],[管理番号]],名前リスト[[#All],[管理番号]:[氏名]],2,TRUE),"")</f>
        <v>タダ　ミチヨ</v>
      </c>
      <c r="C208" s="6" t="str">
        <f>IF(NOT(まとめ表_各Aパターン件数[[#This Row],[管理番号]]=""),VLOOKUP(まとめ表_各Aパターン件数[[#This Row],[管理番号]],名前リスト[[#All],[管理番号]:[氏名]],3,TRUE),"")</f>
        <v>タダ　ミチヨ</v>
      </c>
      <c r="D208" s="76" t="str">
        <f t="shared" si="3"/>
        <v/>
      </c>
      <c r="E2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09" spans="1:28">
      <c r="A209" s="109">
        <f>名前リスト[[#This Row],[管理番号]]</f>
        <v>208</v>
      </c>
      <c r="B209" s="6" t="str">
        <f>IF(NOT(まとめ表_各Aパターン件数[[#This Row],[管理番号]]=""),VLOOKUP(まとめ表_各Aパターン件数[[#This Row],[管理番号]],名前リスト[[#All],[管理番号]:[氏名]],2,TRUE),"")</f>
        <v>スギマチ　タクミ</v>
      </c>
      <c r="C209" s="6" t="str">
        <f>IF(NOT(まとめ表_各Aパターン件数[[#This Row],[管理番号]]=""),VLOOKUP(まとめ表_各Aパターン件数[[#This Row],[管理番号]],名前リスト[[#All],[管理番号]:[氏名]],3,TRUE),"")</f>
        <v>スギマチ　タクミ</v>
      </c>
      <c r="D209" s="76" t="str">
        <f t="shared" si="3"/>
        <v/>
      </c>
      <c r="E2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0" spans="1:28">
      <c r="A210" s="109">
        <f>名前リスト[[#This Row],[管理番号]]</f>
        <v>209</v>
      </c>
      <c r="B210" s="6" t="str">
        <f>IF(NOT(まとめ表_各Aパターン件数[[#This Row],[管理番号]]=""),VLOOKUP(まとめ表_各Aパターン件数[[#This Row],[管理番号]],名前リスト[[#All],[管理番号]:[氏名]],2,TRUE),"")</f>
        <v>タカハラ　ハルカ</v>
      </c>
      <c r="C210" s="6" t="str">
        <f>IF(NOT(まとめ表_各Aパターン件数[[#This Row],[管理番号]]=""),VLOOKUP(まとめ表_各Aパターン件数[[#This Row],[管理番号]],名前リスト[[#All],[管理番号]:[氏名]],3,TRUE),"")</f>
        <v>タカハラ　ハルカ</v>
      </c>
      <c r="D210" s="76" t="str">
        <f t="shared" si="3"/>
        <v/>
      </c>
      <c r="E2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1" spans="1:28">
      <c r="A211" s="109">
        <f>名前リスト[[#This Row],[管理番号]]</f>
        <v>210</v>
      </c>
      <c r="B211" s="6" t="str">
        <f>IF(NOT(まとめ表_各Aパターン件数[[#This Row],[管理番号]]=""),VLOOKUP(まとめ表_各Aパターン件数[[#This Row],[管理番号]],名前リスト[[#All],[管理番号]:[氏名]],2,TRUE),"")</f>
        <v>ヒロオカ　ナツミ</v>
      </c>
      <c r="C211" s="6" t="str">
        <f>IF(NOT(まとめ表_各Aパターン件数[[#This Row],[管理番号]]=""),VLOOKUP(まとめ表_各Aパターン件数[[#This Row],[管理番号]],名前リスト[[#All],[管理番号]:[氏名]],3,TRUE),"")</f>
        <v>ヒロオカ　ナツミ</v>
      </c>
      <c r="D211" s="76" t="str">
        <f t="shared" si="3"/>
        <v/>
      </c>
      <c r="E2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2" spans="1:28">
      <c r="A212" s="109">
        <f>名前リスト[[#This Row],[管理番号]]</f>
        <v>211</v>
      </c>
      <c r="B212" s="6" t="str">
        <f>IF(NOT(まとめ表_各Aパターン件数[[#This Row],[管理番号]]=""),VLOOKUP(まとめ表_各Aパターン件数[[#This Row],[管理番号]],名前リスト[[#All],[管理番号]:[氏名]],2,TRUE),"")</f>
        <v>カサタニ　レイヤ</v>
      </c>
      <c r="C212" s="6" t="str">
        <f>IF(NOT(まとめ表_各Aパターン件数[[#This Row],[管理番号]]=""),VLOOKUP(まとめ表_各Aパターン件数[[#This Row],[管理番号]],名前リスト[[#All],[管理番号]:[氏名]],3,TRUE),"")</f>
        <v>カサタニ　レイヤ</v>
      </c>
      <c r="D212" s="76" t="str">
        <f t="shared" si="3"/>
        <v/>
      </c>
      <c r="E2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3" spans="1:28">
      <c r="A213" s="109">
        <f>名前リスト[[#This Row],[管理番号]]</f>
        <v>212</v>
      </c>
      <c r="B213" s="6" t="str">
        <f>IF(NOT(まとめ表_各Aパターン件数[[#This Row],[管理番号]]=""),VLOOKUP(まとめ表_各Aパターン件数[[#This Row],[管理番号]],名前リスト[[#All],[管理番号]:[氏名]],2,TRUE),"")</f>
        <v>ウラ　レオト</v>
      </c>
      <c r="C213" s="6" t="str">
        <f>IF(NOT(まとめ表_各Aパターン件数[[#This Row],[管理番号]]=""),VLOOKUP(まとめ表_各Aパターン件数[[#This Row],[管理番号]],名前リスト[[#All],[管理番号]:[氏名]],3,TRUE),"")</f>
        <v>ウラ　レオト</v>
      </c>
      <c r="D213" s="76" t="str">
        <f t="shared" si="3"/>
        <v/>
      </c>
      <c r="E2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4" spans="1:28">
      <c r="A214" s="109">
        <f>名前リスト[[#This Row],[管理番号]]</f>
        <v>213</v>
      </c>
      <c r="B214" s="6" t="str">
        <f>IF(NOT(まとめ表_各Aパターン件数[[#This Row],[管理番号]]=""),VLOOKUP(まとめ表_各Aパターン件数[[#This Row],[管理番号]],名前リスト[[#All],[管理番号]:[氏名]],2,TRUE),"")</f>
        <v>カメイ　コウキ</v>
      </c>
      <c r="C214" s="6" t="str">
        <f>IF(NOT(まとめ表_各Aパターン件数[[#This Row],[管理番号]]=""),VLOOKUP(まとめ表_各Aパターン件数[[#This Row],[管理番号]],名前リスト[[#All],[管理番号]:[氏名]],3,TRUE),"")</f>
        <v>カメイ　コウキ</v>
      </c>
      <c r="D214" s="76" t="str">
        <f t="shared" si="3"/>
        <v/>
      </c>
      <c r="E2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5" spans="1:28">
      <c r="A215" s="109">
        <f>名前リスト[[#This Row],[管理番号]]</f>
        <v>214</v>
      </c>
      <c r="B215" s="6" t="str">
        <f>IF(NOT(まとめ表_各Aパターン件数[[#This Row],[管理番号]]=""),VLOOKUP(まとめ表_各Aパターン件数[[#This Row],[管理番号]],名前リスト[[#All],[管理番号]:[氏名]],2,TRUE),"")</f>
        <v>スズキ　チハル</v>
      </c>
      <c r="C215" s="6" t="str">
        <f>IF(NOT(まとめ表_各Aパターン件数[[#This Row],[管理番号]]=""),VLOOKUP(まとめ表_各Aパターン件数[[#This Row],[管理番号]],名前リスト[[#All],[管理番号]:[氏名]],3,TRUE),"")</f>
        <v>スズキ　チハル</v>
      </c>
      <c r="D215" s="76" t="str">
        <f t="shared" si="3"/>
        <v/>
      </c>
      <c r="E2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6" spans="1:28">
      <c r="A216" s="109">
        <f>名前リスト[[#This Row],[管理番号]]</f>
        <v>215</v>
      </c>
      <c r="B216" s="6" t="str">
        <f>IF(NOT(まとめ表_各Aパターン件数[[#This Row],[管理番号]]=""),VLOOKUP(まとめ表_各Aパターン件数[[#This Row],[管理番号]],名前リスト[[#All],[管理番号]:[氏名]],2,TRUE),"")</f>
        <v>カワゴエ　ショウキ</v>
      </c>
      <c r="C216" s="6" t="str">
        <f>IF(NOT(まとめ表_各Aパターン件数[[#This Row],[管理番号]]=""),VLOOKUP(まとめ表_各Aパターン件数[[#This Row],[管理番号]],名前リスト[[#All],[管理番号]:[氏名]],3,TRUE),"")</f>
        <v>カワゴエ　ショウキ</v>
      </c>
      <c r="D216" s="76" t="str">
        <f t="shared" si="3"/>
        <v/>
      </c>
      <c r="E2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7" spans="1:28">
      <c r="A217" s="109">
        <f>名前リスト[[#This Row],[管理番号]]</f>
        <v>216</v>
      </c>
      <c r="B217" s="6" t="str">
        <f>IF(NOT(まとめ表_各Aパターン件数[[#This Row],[管理番号]]=""),VLOOKUP(まとめ表_各Aパターン件数[[#This Row],[管理番号]],名前リスト[[#All],[管理番号]:[氏名]],2,TRUE),"")</f>
        <v>ナカガマ ウタナ</v>
      </c>
      <c r="C217" s="6" t="str">
        <f>IF(NOT(まとめ表_各Aパターン件数[[#This Row],[管理番号]]=""),VLOOKUP(まとめ表_各Aパターン件数[[#This Row],[管理番号]],名前リスト[[#All],[管理番号]:[氏名]],3,TRUE),"")</f>
        <v>ナカガマ ウタナ</v>
      </c>
      <c r="D217" s="76" t="str">
        <f t="shared" si="3"/>
        <v/>
      </c>
      <c r="E2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8" spans="1:28">
      <c r="A218" s="109">
        <f>名前リスト[[#This Row],[管理番号]]</f>
        <v>217</v>
      </c>
      <c r="B218" s="6" t="str">
        <f>IF(NOT(まとめ表_各Aパターン件数[[#This Row],[管理番号]]=""),VLOOKUP(まとめ表_各Aパターン件数[[#This Row],[管理番号]],名前リスト[[#All],[管理番号]:[氏名]],2,TRUE),"")</f>
        <v>マツモト ナナ</v>
      </c>
      <c r="C218" s="6" t="str">
        <f>IF(NOT(まとめ表_各Aパターン件数[[#This Row],[管理番号]]=""),VLOOKUP(まとめ表_各Aパターン件数[[#This Row],[管理番号]],名前リスト[[#All],[管理番号]:[氏名]],3,TRUE),"")</f>
        <v>マツモト ナナ</v>
      </c>
      <c r="D218" s="76" t="str">
        <f t="shared" si="3"/>
        <v/>
      </c>
      <c r="E2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19" spans="1:28">
      <c r="A219" s="109">
        <f>名前リスト[[#This Row],[管理番号]]</f>
        <v>218</v>
      </c>
      <c r="B219" s="6" t="str">
        <f>IF(NOT(まとめ表_各Aパターン件数[[#This Row],[管理番号]]=""),VLOOKUP(まとめ表_各Aパターン件数[[#This Row],[管理番号]],名前リスト[[#All],[管理番号]:[氏名]],2,TRUE),"")</f>
        <v>ヤギュウ　リコ</v>
      </c>
      <c r="C219" s="6" t="str">
        <f>IF(NOT(まとめ表_各Aパターン件数[[#This Row],[管理番号]]=""),VLOOKUP(まとめ表_各Aパターン件数[[#This Row],[管理番号]],名前リスト[[#All],[管理番号]:[氏名]],3,TRUE),"")</f>
        <v>ヤギュウ　リコ</v>
      </c>
      <c r="D219" s="76" t="str">
        <f t="shared" si="3"/>
        <v/>
      </c>
      <c r="E2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0" spans="1:28">
      <c r="A220" s="109">
        <f>名前リスト[[#This Row],[管理番号]]</f>
        <v>219</v>
      </c>
      <c r="B220" s="6">
        <f>IF(NOT(まとめ表_各Aパターン件数[[#This Row],[管理番号]]=""),VLOOKUP(まとめ表_各Aパターン件数[[#This Row],[管理番号]],名前リスト[[#All],[管理番号]:[氏名]],2,TRUE),"")</f>
        <v>0</v>
      </c>
      <c r="C220" s="6" t="str">
        <f>IF(NOT(まとめ表_各Aパターン件数[[#This Row],[管理番号]]=""),VLOOKUP(まとめ表_各Aパターン件数[[#This Row],[管理番号]],名前リスト[[#All],[管理番号]:[氏名]],3,TRUE),"")</f>
        <v>ヤマナカ　アツシ</v>
      </c>
      <c r="D220" s="76" t="str">
        <f t="shared" si="3"/>
        <v/>
      </c>
      <c r="E2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1" spans="1:28">
      <c r="A221" s="109">
        <f>名前リスト[[#This Row],[管理番号]]</f>
        <v>220</v>
      </c>
      <c r="B221" s="6">
        <f>IF(NOT(まとめ表_各Aパターン件数[[#This Row],[管理番号]]=""),VLOOKUP(まとめ表_各Aパターン件数[[#This Row],[管理番号]],名前リスト[[#All],[管理番号]:[氏名]],2,TRUE),"")</f>
        <v>0</v>
      </c>
      <c r="C221" s="6" t="str">
        <f>IF(NOT(まとめ表_各Aパターン件数[[#This Row],[管理番号]]=""),VLOOKUP(まとめ表_各Aパターン件数[[#This Row],[管理番号]],名前リスト[[#All],[管理番号]:[氏名]],3,TRUE),"")</f>
        <v>モウリ　ケンゴ</v>
      </c>
      <c r="D221" s="76" t="str">
        <f t="shared" si="3"/>
        <v/>
      </c>
      <c r="E2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2" spans="1:28">
      <c r="A222" s="109">
        <f>名前リスト[[#This Row],[管理番号]]</f>
        <v>221</v>
      </c>
      <c r="B222" s="6">
        <f>IF(NOT(まとめ表_各Aパターン件数[[#This Row],[管理番号]]=""),VLOOKUP(まとめ表_各Aパターン件数[[#This Row],[管理番号]],名前リスト[[#All],[管理番号]:[氏名]],2,TRUE),"")</f>
        <v>0</v>
      </c>
      <c r="C222" s="6" t="str">
        <f>IF(NOT(まとめ表_各Aパターン件数[[#This Row],[管理番号]]=""),VLOOKUP(まとめ表_各Aパターン件数[[#This Row],[管理番号]],名前リスト[[#All],[管理番号]:[氏名]],3,TRUE),"")</f>
        <v>ナイトウ　コウヘイ</v>
      </c>
      <c r="D222" s="76" t="str">
        <f t="shared" si="3"/>
        <v/>
      </c>
      <c r="E2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3" spans="1:28">
      <c r="A223" s="109">
        <f>名前リスト[[#This Row],[管理番号]]</f>
        <v>222</v>
      </c>
      <c r="B223" s="6">
        <f>IF(NOT(まとめ表_各Aパターン件数[[#This Row],[管理番号]]=""),VLOOKUP(まとめ表_各Aパターン件数[[#This Row],[管理番号]],名前リスト[[#All],[管理番号]:[氏名]],2,TRUE),"")</f>
        <v>0</v>
      </c>
      <c r="C223" s="6" t="str">
        <f>IF(NOT(まとめ表_各Aパターン件数[[#This Row],[管理番号]]=""),VLOOKUP(まとめ表_各Aパターン件数[[#This Row],[管理番号]],名前リスト[[#All],[管理番号]:[氏名]],3,TRUE),"")</f>
        <v>モリタ　マミ</v>
      </c>
      <c r="D223" s="76" t="str">
        <f t="shared" si="3"/>
        <v/>
      </c>
      <c r="E2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4" spans="1:28">
      <c r="A224" s="109">
        <f>名前リスト[[#This Row],[管理番号]]</f>
        <v>223</v>
      </c>
      <c r="B224" s="6">
        <f>IF(NOT(まとめ表_各Aパターン件数[[#This Row],[管理番号]]=""),VLOOKUP(まとめ表_各Aパターン件数[[#This Row],[管理番号]],名前リスト[[#All],[管理番号]:[氏名]],2,TRUE),"")</f>
        <v>0</v>
      </c>
      <c r="C224" s="6" t="str">
        <f>IF(NOT(まとめ表_各Aパターン件数[[#This Row],[管理番号]]=""),VLOOKUP(まとめ表_各Aパターン件数[[#This Row],[管理番号]],名前リスト[[#All],[管理番号]:[氏名]],3,TRUE),"")</f>
        <v>オオモリ　リョウヘイ</v>
      </c>
      <c r="D224" s="76" t="str">
        <f t="shared" si="3"/>
        <v/>
      </c>
      <c r="E2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5" spans="1:28">
      <c r="A225" s="109">
        <f>名前リスト[[#This Row],[管理番号]]</f>
        <v>224</v>
      </c>
      <c r="B225" s="6">
        <f>IF(NOT(まとめ表_各Aパターン件数[[#This Row],[管理番号]]=""),VLOOKUP(まとめ表_各Aパターン件数[[#This Row],[管理番号]],名前リスト[[#All],[管理番号]:[氏名]],2,TRUE),"")</f>
        <v>0</v>
      </c>
      <c r="C225" s="6" t="str">
        <f>IF(NOT(まとめ表_各Aパターン件数[[#This Row],[管理番号]]=""),VLOOKUP(まとめ表_各Aパターン件数[[#This Row],[管理番号]],名前リスト[[#All],[管理番号]:[氏名]],3,TRUE),"")</f>
        <v>モリナガ　ユウスケ</v>
      </c>
      <c r="D225" s="76" t="str">
        <f t="shared" si="3"/>
        <v/>
      </c>
      <c r="E2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6" spans="1:28">
      <c r="A226" s="109">
        <f>名前リスト[[#This Row],[管理番号]]</f>
        <v>225</v>
      </c>
      <c r="B226" s="6">
        <f>IF(NOT(まとめ表_各Aパターン件数[[#This Row],[管理番号]]=""),VLOOKUP(まとめ表_各Aパターン件数[[#This Row],[管理番号]],名前リスト[[#All],[管理番号]:[氏名]],2,TRUE),"")</f>
        <v>0</v>
      </c>
      <c r="C226" s="6" t="str">
        <f>IF(NOT(まとめ表_各Aパターン件数[[#This Row],[管理番号]]=""),VLOOKUP(まとめ表_各Aパターン件数[[#This Row],[管理番号]],名前リスト[[#All],[管理番号]:[氏名]],3,TRUE),"")</f>
        <v>ワタナベ　チサコ</v>
      </c>
      <c r="D226" s="76" t="str">
        <f t="shared" si="3"/>
        <v/>
      </c>
      <c r="E2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7" spans="1:28">
      <c r="A227" s="109">
        <f>名前リスト[[#This Row],[管理番号]]</f>
        <v>226</v>
      </c>
      <c r="B227" s="6">
        <f>IF(NOT(まとめ表_各Aパターン件数[[#This Row],[管理番号]]=""),VLOOKUP(まとめ表_各Aパターン件数[[#This Row],[管理番号]],名前リスト[[#All],[管理番号]:[氏名]],2,TRUE),"")</f>
        <v>0</v>
      </c>
      <c r="C227" s="6" t="str">
        <f>IF(NOT(まとめ表_各Aパターン件数[[#This Row],[管理番号]]=""),VLOOKUP(まとめ表_各Aパターン件数[[#This Row],[管理番号]],名前リスト[[#All],[管理番号]:[氏名]],3,TRUE),"")</f>
        <v>カネイ　ユウキ</v>
      </c>
      <c r="D227" s="76" t="str">
        <f t="shared" si="3"/>
        <v/>
      </c>
      <c r="E2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8" spans="1:28">
      <c r="A228" s="109">
        <f>名前リスト[[#This Row],[管理番号]]</f>
        <v>227</v>
      </c>
      <c r="B228" s="6">
        <f>IF(NOT(まとめ表_各Aパターン件数[[#This Row],[管理番号]]=""),VLOOKUP(まとめ表_各Aパターン件数[[#This Row],[管理番号]],名前リスト[[#All],[管理番号]:[氏名]],2,TRUE),"")</f>
        <v>0</v>
      </c>
      <c r="C228" s="6" t="str">
        <f>IF(NOT(まとめ表_各Aパターン件数[[#This Row],[管理番号]]=""),VLOOKUP(まとめ表_各Aパターン件数[[#This Row],[管理番号]],名前リスト[[#All],[管理番号]:[氏名]],3,TRUE),"")</f>
        <v>コンドウ　ウララ</v>
      </c>
      <c r="D228" s="76" t="str">
        <f t="shared" si="3"/>
        <v/>
      </c>
      <c r="E2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29" spans="1:28">
      <c r="A229" s="109">
        <f>名前リスト[[#This Row],[管理番号]]</f>
        <v>228</v>
      </c>
      <c r="B229" s="6">
        <f>IF(NOT(まとめ表_各Aパターン件数[[#This Row],[管理番号]]=""),VLOOKUP(まとめ表_各Aパターン件数[[#This Row],[管理番号]],名前リスト[[#All],[管理番号]:[氏名]],2,TRUE),"")</f>
        <v>0</v>
      </c>
      <c r="C229" s="6" t="str">
        <f>IF(NOT(まとめ表_各Aパターン件数[[#This Row],[管理番号]]=""),VLOOKUP(まとめ表_各Aパターン件数[[#This Row],[管理番号]],名前リスト[[#All],[管理番号]:[氏名]],3,TRUE),"")</f>
        <v>ヒライ　タカフミ</v>
      </c>
      <c r="D229" s="76" t="str">
        <f t="shared" si="3"/>
        <v/>
      </c>
      <c r="E2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0" spans="1:28">
      <c r="A230" s="109">
        <f>名前リスト[[#This Row],[管理番号]]</f>
        <v>229</v>
      </c>
      <c r="B230" s="6">
        <f>IF(NOT(まとめ表_各Aパターン件数[[#This Row],[管理番号]]=""),VLOOKUP(まとめ表_各Aパターン件数[[#This Row],[管理番号]],名前リスト[[#All],[管理番号]:[氏名]],2,TRUE),"")</f>
        <v>0</v>
      </c>
      <c r="C230" s="6" t="str">
        <f>IF(NOT(まとめ表_各Aパターン件数[[#This Row],[管理番号]]=""),VLOOKUP(まとめ表_各Aパターン件数[[#This Row],[管理番号]],名前リスト[[#All],[管理番号]:[氏名]],3,TRUE),"")</f>
        <v>アマコ　ユウキ</v>
      </c>
      <c r="D230" s="76" t="str">
        <f t="shared" si="3"/>
        <v/>
      </c>
      <c r="E2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1" spans="1:28">
      <c r="A231" s="109">
        <f>名前リスト[[#This Row],[管理番号]]</f>
        <v>230</v>
      </c>
      <c r="B231" s="6">
        <f>IF(NOT(まとめ表_各Aパターン件数[[#This Row],[管理番号]]=""),VLOOKUP(まとめ表_各Aパターン件数[[#This Row],[管理番号]],名前リスト[[#All],[管理番号]:[氏名]],2,TRUE),"")</f>
        <v>0</v>
      </c>
      <c r="C231" s="6" t="str">
        <f>IF(NOT(まとめ表_各Aパターン件数[[#This Row],[管理番号]]=""),VLOOKUP(まとめ表_各Aパターン件数[[#This Row],[管理番号]],名前リスト[[#All],[管理番号]:[氏名]],3,TRUE),"")</f>
        <v>タナカ　ヨシユキ</v>
      </c>
      <c r="D231" s="76" t="str">
        <f t="shared" si="3"/>
        <v/>
      </c>
      <c r="E2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2" spans="1:28">
      <c r="A232" s="109">
        <f>名前リスト[[#This Row],[管理番号]]</f>
        <v>231</v>
      </c>
      <c r="B232" s="6">
        <f>IF(NOT(まとめ表_各Aパターン件数[[#This Row],[管理番号]]=""),VLOOKUP(まとめ表_各Aパターン件数[[#This Row],[管理番号]],名前リスト[[#All],[管理番号]:[氏名]],2,TRUE),"")</f>
        <v>0</v>
      </c>
      <c r="C232" s="6" t="str">
        <f>IF(NOT(まとめ表_各Aパターン件数[[#This Row],[管理番号]]=""),VLOOKUP(まとめ表_各Aパターン件数[[#This Row],[管理番号]],名前リスト[[#All],[管理番号]:[氏名]],3,TRUE),"")</f>
        <v>ミノダ　タクミ</v>
      </c>
      <c r="D232" s="76" t="str">
        <f t="shared" si="3"/>
        <v/>
      </c>
      <c r="E2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3" spans="1:28">
      <c r="A233" s="109">
        <f>名前リスト[[#This Row],[管理番号]]</f>
        <v>232</v>
      </c>
      <c r="B233" s="6">
        <f>IF(NOT(まとめ表_各Aパターン件数[[#This Row],[管理番号]]=""),VLOOKUP(まとめ表_各Aパターン件数[[#This Row],[管理番号]],名前リスト[[#All],[管理番号]:[氏名]],2,TRUE),"")</f>
        <v>0</v>
      </c>
      <c r="C233" s="6" t="str">
        <f>IF(NOT(まとめ表_各Aパターン件数[[#This Row],[管理番号]]=""),VLOOKUP(まとめ表_各Aパターン件数[[#This Row],[管理番号]],名前リスト[[#All],[管理番号]:[氏名]],3,TRUE),"")</f>
        <v>ホシゴエマサト</v>
      </c>
      <c r="D233" s="76" t="str">
        <f t="shared" si="3"/>
        <v/>
      </c>
      <c r="E2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4" spans="1:28">
      <c r="A234" s="109">
        <f>名前リスト[[#This Row],[管理番号]]</f>
        <v>233</v>
      </c>
      <c r="B234" s="6">
        <f>IF(NOT(まとめ表_各Aパターン件数[[#This Row],[管理番号]]=""),VLOOKUP(まとめ表_各Aパターン件数[[#This Row],[管理番号]],名前リスト[[#All],[管理番号]:[氏名]],2,TRUE),"")</f>
        <v>0</v>
      </c>
      <c r="C234" s="6" t="str">
        <f>IF(NOT(まとめ表_各Aパターン件数[[#This Row],[管理番号]]=""),VLOOKUP(まとめ表_各Aパターン件数[[#This Row],[管理番号]],名前リスト[[#All],[管理番号]:[氏名]],3,TRUE),"")</f>
        <v>イチヤナギ　ノリフミ</v>
      </c>
      <c r="D234" s="76" t="str">
        <f t="shared" si="3"/>
        <v/>
      </c>
      <c r="E2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5" spans="1:28">
      <c r="A235" s="109">
        <f>名前リスト[[#This Row],[管理番号]]</f>
        <v>234</v>
      </c>
      <c r="B235" s="6">
        <f>IF(NOT(まとめ表_各Aパターン件数[[#This Row],[管理番号]]=""),VLOOKUP(まとめ表_各Aパターン件数[[#This Row],[管理番号]],名前リスト[[#All],[管理番号]:[氏名]],2,TRUE),"")</f>
        <v>0</v>
      </c>
      <c r="C235" s="6" t="str">
        <f>IF(NOT(まとめ表_各Aパターン件数[[#This Row],[管理番号]]=""),VLOOKUP(まとめ表_各Aパターン件数[[#This Row],[管理番号]],名前リスト[[#All],[管理番号]:[氏名]],3,TRUE),"")</f>
        <v>クボ　コウタ</v>
      </c>
      <c r="D235" s="76" t="str">
        <f t="shared" si="3"/>
        <v/>
      </c>
      <c r="E2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6" spans="1:28">
      <c r="A236" s="109">
        <f>名前リスト[[#This Row],[管理番号]]</f>
        <v>235</v>
      </c>
      <c r="B236" s="6">
        <f>IF(NOT(まとめ表_各Aパターン件数[[#This Row],[管理番号]]=""),VLOOKUP(まとめ表_各Aパターン件数[[#This Row],[管理番号]],名前リスト[[#All],[管理番号]:[氏名]],2,TRUE),"")</f>
        <v>0</v>
      </c>
      <c r="C236" s="6">
        <f>IF(NOT(まとめ表_各Aパターン件数[[#This Row],[管理番号]]=""),VLOOKUP(まとめ表_各Aパターン件数[[#This Row],[管理番号]],名前リスト[[#All],[管理番号]:[氏名]],3,TRUE),"")</f>
        <v>0</v>
      </c>
      <c r="D236" s="76" t="str">
        <f t="shared" si="3"/>
        <v/>
      </c>
      <c r="E2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7" spans="1:28">
      <c r="A237" s="109">
        <f>名前リスト[[#This Row],[管理番号]]</f>
        <v>236</v>
      </c>
      <c r="B237" s="6">
        <f>IF(NOT(まとめ表_各Aパターン件数[[#This Row],[管理番号]]=""),VLOOKUP(まとめ表_各Aパターン件数[[#This Row],[管理番号]],名前リスト[[#All],[管理番号]:[氏名]],2,TRUE),"")</f>
        <v>0</v>
      </c>
      <c r="C237" s="6" t="str">
        <f>IF(NOT(まとめ表_各Aパターン件数[[#This Row],[管理番号]]=""),VLOOKUP(まとめ表_各Aパターン件数[[#This Row],[管理番号]],名前リスト[[#All],[管理番号]:[氏名]],3,TRUE),"")</f>
        <v>オオツカ　コウヘイ</v>
      </c>
      <c r="D237" s="76" t="str">
        <f t="shared" si="3"/>
        <v/>
      </c>
      <c r="E2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8" spans="1:28">
      <c r="A238" s="109">
        <f>名前リスト[[#This Row],[管理番号]]</f>
        <v>237</v>
      </c>
      <c r="B238" s="6">
        <f>IF(NOT(まとめ表_各Aパターン件数[[#This Row],[管理番号]]=""),VLOOKUP(まとめ表_各Aパターン件数[[#This Row],[管理番号]],名前リスト[[#All],[管理番号]:[氏名]],2,TRUE),"")</f>
        <v>0</v>
      </c>
      <c r="C238" s="6" t="str">
        <f>IF(NOT(まとめ表_各Aパターン件数[[#This Row],[管理番号]]=""),VLOOKUP(まとめ表_各Aパターン件数[[#This Row],[管理番号]],名前リスト[[#All],[管理番号]:[氏名]],3,TRUE),"")</f>
        <v>ヤマモト　ユウヤ</v>
      </c>
      <c r="D238" s="76" t="str">
        <f t="shared" si="3"/>
        <v/>
      </c>
      <c r="E2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39" spans="1:28">
      <c r="A239" s="109">
        <f>名前リスト[[#This Row],[管理番号]]</f>
        <v>238</v>
      </c>
      <c r="B239" s="6">
        <f>IF(NOT(まとめ表_各Aパターン件数[[#This Row],[管理番号]]=""),VLOOKUP(まとめ表_各Aパターン件数[[#This Row],[管理番号]],名前リスト[[#All],[管理番号]:[氏名]],2,TRUE),"")</f>
        <v>0</v>
      </c>
      <c r="C239" s="6" t="str">
        <f>IF(NOT(まとめ表_各Aパターン件数[[#This Row],[管理番号]]=""),VLOOKUP(まとめ表_各Aパターン件数[[#This Row],[管理番号]],名前リスト[[#All],[管理番号]:[氏名]],3,TRUE),"")</f>
        <v>ヒサシ　タカヒロ</v>
      </c>
      <c r="D239" s="76" t="str">
        <f t="shared" si="3"/>
        <v/>
      </c>
      <c r="E2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0" spans="1:28">
      <c r="A240" s="109">
        <f>名前リスト[[#This Row],[管理番号]]</f>
        <v>239</v>
      </c>
      <c r="B240" s="6">
        <f>IF(NOT(まとめ表_各Aパターン件数[[#This Row],[管理番号]]=""),VLOOKUP(まとめ表_各Aパターン件数[[#This Row],[管理番号]],名前リスト[[#All],[管理番号]:[氏名]],2,TRUE),"")</f>
        <v>0</v>
      </c>
      <c r="C240" s="6" t="str">
        <f>IF(NOT(まとめ表_各Aパターン件数[[#This Row],[管理番号]]=""),VLOOKUP(まとめ表_各Aパターン件数[[#This Row],[管理番号]],名前リスト[[#All],[管理番号]:[氏名]],3,TRUE),"")</f>
        <v>ヤマシタ　タカユキ</v>
      </c>
      <c r="D240" s="76" t="str">
        <f t="shared" si="3"/>
        <v/>
      </c>
      <c r="E2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1" spans="1:28">
      <c r="A241" s="109">
        <f>名前リスト[[#This Row],[管理番号]]</f>
        <v>240</v>
      </c>
      <c r="B241" s="6">
        <f>IF(NOT(まとめ表_各Aパターン件数[[#This Row],[管理番号]]=""),VLOOKUP(まとめ表_各Aパターン件数[[#This Row],[管理番号]],名前リスト[[#All],[管理番号]:[氏名]],2,TRUE),"")</f>
        <v>0</v>
      </c>
      <c r="C241" s="6" t="str">
        <f>IF(NOT(まとめ表_各Aパターン件数[[#This Row],[管理番号]]=""),VLOOKUP(まとめ表_各Aパターン件数[[#This Row],[管理番号]],名前リスト[[#All],[管理番号]:[氏名]],3,TRUE),"")</f>
        <v>スズキ　アンドレイ</v>
      </c>
      <c r="D241" s="76" t="str">
        <f t="shared" si="3"/>
        <v/>
      </c>
      <c r="E2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2" spans="1:28">
      <c r="A242" s="109">
        <f>名前リスト[[#This Row],[管理番号]]</f>
        <v>241</v>
      </c>
      <c r="B242" s="6">
        <f>IF(NOT(まとめ表_各Aパターン件数[[#This Row],[管理番号]]=""),VLOOKUP(まとめ表_各Aパターン件数[[#This Row],[管理番号]],名前リスト[[#All],[管理番号]:[氏名]],2,TRUE),"")</f>
        <v>0</v>
      </c>
      <c r="C242" s="6" t="str">
        <f>IF(NOT(まとめ表_各Aパターン件数[[#This Row],[管理番号]]=""),VLOOKUP(まとめ表_各Aパターン件数[[#This Row],[管理番号]],名前リスト[[#All],[管理番号]:[氏名]],3,TRUE),"")</f>
        <v>オオタ　タカシ</v>
      </c>
      <c r="D242" s="76" t="str">
        <f t="shared" si="3"/>
        <v/>
      </c>
      <c r="E2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3" spans="1:28">
      <c r="A243" s="109">
        <f>名前リスト[[#This Row],[管理番号]]</f>
        <v>242</v>
      </c>
      <c r="B243" s="6">
        <f>IF(NOT(まとめ表_各Aパターン件数[[#This Row],[管理番号]]=""),VLOOKUP(まとめ表_各Aパターン件数[[#This Row],[管理番号]],名前リスト[[#All],[管理番号]:[氏名]],2,TRUE),"")</f>
        <v>0</v>
      </c>
      <c r="C243" s="6" t="str">
        <f>IF(NOT(まとめ表_各Aパターン件数[[#This Row],[管理番号]]=""),VLOOKUP(まとめ表_各Aパターン件数[[#This Row],[管理番号]],名前リスト[[#All],[管理番号]:[氏名]],3,TRUE),"")</f>
        <v>ワタナベ　ユキノスケ</v>
      </c>
      <c r="D243" s="76" t="str">
        <f t="shared" si="3"/>
        <v/>
      </c>
      <c r="E2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4" spans="1:28">
      <c r="A244" s="109">
        <f>名前リスト[[#This Row],[管理番号]]</f>
        <v>243</v>
      </c>
      <c r="B244" s="6">
        <f>IF(NOT(まとめ表_各Aパターン件数[[#This Row],[管理番号]]=""),VLOOKUP(まとめ表_各Aパターン件数[[#This Row],[管理番号]],名前リスト[[#All],[管理番号]:[氏名]],2,TRUE),"")</f>
        <v>0</v>
      </c>
      <c r="C244" s="6" t="str">
        <f>IF(NOT(まとめ表_各Aパターン件数[[#This Row],[管理番号]]=""),VLOOKUP(まとめ表_各Aパターン件数[[#This Row],[管理番号]],名前リスト[[#All],[管理番号]:[氏名]],3,TRUE),"")</f>
        <v>トクナガ　チヒロ</v>
      </c>
      <c r="D244" s="76" t="str">
        <f t="shared" si="3"/>
        <v/>
      </c>
      <c r="E2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5" spans="1:28">
      <c r="A245" s="109">
        <f>名前リスト[[#This Row],[管理番号]]</f>
        <v>244</v>
      </c>
      <c r="B245" s="6">
        <f>IF(NOT(まとめ表_各Aパターン件数[[#This Row],[管理番号]]=""),VLOOKUP(まとめ表_各Aパターン件数[[#This Row],[管理番号]],名前リスト[[#All],[管理番号]:[氏名]],2,TRUE),"")</f>
        <v>0</v>
      </c>
      <c r="C245" s="6" t="str">
        <f>IF(NOT(まとめ表_各Aパターン件数[[#This Row],[管理番号]]=""),VLOOKUP(まとめ表_各Aパターン件数[[#This Row],[管理番号]],名前リスト[[#All],[管理番号]:[氏名]],3,TRUE),"")</f>
        <v>ヤマモト　ヤスアキ</v>
      </c>
      <c r="D245" s="76" t="str">
        <f t="shared" si="3"/>
        <v/>
      </c>
      <c r="E2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6" spans="1:28">
      <c r="A246" s="109">
        <f>名前リスト[[#This Row],[管理番号]]</f>
        <v>255</v>
      </c>
      <c r="B246" s="6">
        <f>IF(NOT(まとめ表_各Aパターン件数[[#This Row],[管理番号]]=""),VLOOKUP(まとめ表_各Aパターン件数[[#This Row],[管理番号]],名前リスト[[#All],[管理番号]:[氏名]],2,TRUE),"")</f>
        <v>0</v>
      </c>
      <c r="C246" s="6" t="str">
        <f>IF(NOT(まとめ表_各Aパターン件数[[#This Row],[管理番号]]=""),VLOOKUP(まとめ表_各Aパターン件数[[#This Row],[管理番号]],名前リスト[[#All],[管理番号]:[氏名]],3,TRUE),"")</f>
        <v>マエカワ　ナツキ</v>
      </c>
      <c r="D246" s="76" t="str">
        <f t="shared" si="3"/>
        <v/>
      </c>
      <c r="E2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7" spans="1:28">
      <c r="A247" s="109">
        <f>名前リスト[[#This Row],[管理番号]]</f>
        <v>256</v>
      </c>
      <c r="B247" s="6">
        <f>IF(NOT(まとめ表_各Aパターン件数[[#This Row],[管理番号]]=""),VLOOKUP(まとめ表_各Aパターン件数[[#This Row],[管理番号]],名前リスト[[#All],[管理番号]:[氏名]],2,TRUE),"")</f>
        <v>0</v>
      </c>
      <c r="C247" s="6" t="str">
        <f>IF(NOT(まとめ表_各Aパターン件数[[#This Row],[管理番号]]=""),VLOOKUP(まとめ表_各Aパターン件数[[#This Row],[管理番号]],名前リスト[[#All],[管理番号]:[氏名]],3,TRUE),"")</f>
        <v>ヨシムラ　カズヤ　3e</v>
      </c>
      <c r="D247" s="76" t="str">
        <f t="shared" si="3"/>
        <v/>
      </c>
      <c r="E2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8" spans="1:28">
      <c r="A248" s="109">
        <f>名前リスト[[#This Row],[管理番号]]</f>
        <v>257</v>
      </c>
      <c r="B248" s="6">
        <f>IF(NOT(まとめ表_各Aパターン件数[[#This Row],[管理番号]]=""),VLOOKUP(まとめ表_各Aパターン件数[[#This Row],[管理番号]],名前リスト[[#All],[管理番号]:[氏名]],2,TRUE),"")</f>
        <v>0</v>
      </c>
      <c r="C248" s="6" t="str">
        <f>IF(NOT(まとめ表_各Aパターン件数[[#This Row],[管理番号]]=""),VLOOKUP(まとめ表_各Aパターン件数[[#This Row],[管理番号]],名前リスト[[#All],[管理番号]:[氏名]],3,TRUE),"")</f>
        <v>サガワ　　チカ</v>
      </c>
      <c r="D248" s="76" t="str">
        <f t="shared" si="3"/>
        <v/>
      </c>
      <c r="E2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49" spans="1:28">
      <c r="A249" s="109">
        <f>名前リスト[[#This Row],[管理番号]]</f>
        <v>258</v>
      </c>
      <c r="B249" s="6">
        <f>IF(NOT(まとめ表_各Aパターン件数[[#This Row],[管理番号]]=""),VLOOKUP(まとめ表_各Aパターン件数[[#This Row],[管理番号]],名前リスト[[#All],[管理番号]:[氏名]],2,TRUE),"")</f>
        <v>0</v>
      </c>
      <c r="C249" s="6" t="str">
        <f>IF(NOT(まとめ表_各Aパターン件数[[#This Row],[管理番号]]=""),VLOOKUP(まとめ表_各Aパターン件数[[#This Row],[管理番号]],名前リスト[[#All],[管理番号]:[氏名]],3,TRUE),"")</f>
        <v>アカサカ　サトシ</v>
      </c>
      <c r="D249" s="76" t="str">
        <f t="shared" si="3"/>
        <v/>
      </c>
      <c r="E2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0" spans="1:28">
      <c r="A250" s="109">
        <f>名前リスト[[#This Row],[管理番号]]</f>
        <v>259</v>
      </c>
      <c r="B250" s="6">
        <f>IF(NOT(まとめ表_各Aパターン件数[[#This Row],[管理番号]]=""),VLOOKUP(まとめ表_各Aパターン件数[[#This Row],[管理番号]],名前リスト[[#All],[管理番号]:[氏名]],2,TRUE),"")</f>
        <v>0</v>
      </c>
      <c r="C250" s="6" t="str">
        <f>IF(NOT(まとめ表_各Aパターン件数[[#This Row],[管理番号]]=""),VLOOKUP(まとめ表_各Aパターン件数[[#This Row],[管理番号]],名前リスト[[#All],[管理番号]:[氏名]],3,TRUE),"")</f>
        <v>スガムラ　ダイチ</v>
      </c>
      <c r="D250" s="76" t="str">
        <f t="shared" si="3"/>
        <v/>
      </c>
      <c r="E2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1" spans="1:28">
      <c r="A251" s="109">
        <f>名前リスト[[#This Row],[管理番号]]</f>
        <v>260</v>
      </c>
      <c r="B251" s="6">
        <f>IF(NOT(まとめ表_各Aパターン件数[[#This Row],[管理番号]]=""),VLOOKUP(まとめ表_各Aパターン件数[[#This Row],[管理番号]],名前リスト[[#All],[管理番号]:[氏名]],2,TRUE),"")</f>
        <v>0</v>
      </c>
      <c r="C251" s="6" t="str">
        <f>IF(NOT(まとめ表_各Aパターン件数[[#This Row],[管理番号]]=""),VLOOKUP(まとめ表_各Aパターン件数[[#This Row],[管理番号]],名前リスト[[#All],[管理番号]:[氏名]],3,TRUE),"")</f>
        <v>アシダ　カズマ</v>
      </c>
      <c r="D251" s="76" t="str">
        <f t="shared" si="3"/>
        <v/>
      </c>
      <c r="E2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2" spans="1:28">
      <c r="A252" s="109">
        <f>名前リスト[[#This Row],[管理番号]]</f>
        <v>261</v>
      </c>
      <c r="B252" s="6">
        <f>IF(NOT(まとめ表_各Aパターン件数[[#This Row],[管理番号]]=""),VLOOKUP(まとめ表_各Aパターン件数[[#This Row],[管理番号]],名前リスト[[#All],[管理番号]:[氏名]],2,TRUE),"")</f>
        <v>0</v>
      </c>
      <c r="C252" s="6" t="str">
        <f>IF(NOT(まとめ表_各Aパターン件数[[#This Row],[管理番号]]=""),VLOOKUP(まとめ表_各Aパターン件数[[#This Row],[管理番号]],名前リスト[[#All],[管理番号]:[氏名]],3,TRUE),"")</f>
        <v>タナカ　ユウセイ</v>
      </c>
      <c r="D252" s="76" t="str">
        <f t="shared" si="3"/>
        <v/>
      </c>
      <c r="E25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3" spans="1:28">
      <c r="A253" s="109">
        <f>名前リスト[[#This Row],[管理番号]]</f>
        <v>262</v>
      </c>
      <c r="B253" s="6">
        <f>IF(NOT(まとめ表_各Aパターン件数[[#This Row],[管理番号]]=""),VLOOKUP(まとめ表_各Aパターン件数[[#This Row],[管理番号]],名前リスト[[#All],[管理番号]:[氏名]],2,TRUE),"")</f>
        <v>0</v>
      </c>
      <c r="C253" s="6" t="str">
        <f>IF(NOT(まとめ表_各Aパターン件数[[#This Row],[管理番号]]=""),VLOOKUP(まとめ表_各Aパターン件数[[#This Row],[管理番号]],名前リスト[[#All],[管理番号]:[氏名]],3,TRUE),"")</f>
        <v>カゲヤマ　ユウタロウ</v>
      </c>
      <c r="D253" s="76" t="str">
        <f t="shared" si="3"/>
        <v/>
      </c>
      <c r="E25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4" spans="1:28">
      <c r="A254" s="109">
        <f>名前リスト[[#This Row],[管理番号]]</f>
        <v>263</v>
      </c>
      <c r="B254" s="6">
        <f>IF(NOT(まとめ表_各Aパターン件数[[#This Row],[管理番号]]=""),VLOOKUP(まとめ表_各Aパターン件数[[#This Row],[管理番号]],名前リスト[[#All],[管理番号]:[氏名]],2,TRUE),"")</f>
        <v>0</v>
      </c>
      <c r="C254" s="6" t="str">
        <f>IF(NOT(まとめ表_各Aパターン件数[[#This Row],[管理番号]]=""),VLOOKUP(まとめ表_各Aパターン件数[[#This Row],[管理番号]],名前リスト[[#All],[管理番号]:[氏名]],3,TRUE),"")</f>
        <v>ノボル　ユウキ</v>
      </c>
      <c r="D254" s="76">
        <f t="shared" si="3"/>
        <v>3</v>
      </c>
      <c r="E25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1</v>
      </c>
      <c r="J25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2</v>
      </c>
      <c r="N25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5" spans="1:28">
      <c r="A255" s="109">
        <f>名前リスト[[#This Row],[管理番号]]</f>
        <v>264</v>
      </c>
      <c r="B255" s="6">
        <f>IF(NOT(まとめ表_各Aパターン件数[[#This Row],[管理番号]]=""),VLOOKUP(まとめ表_各Aパターン件数[[#This Row],[管理番号]],名前リスト[[#All],[管理番号]:[氏名]],2,TRUE),"")</f>
        <v>0</v>
      </c>
      <c r="C255" s="6" t="str">
        <f>IF(NOT(まとめ表_各Aパターン件数[[#This Row],[管理番号]]=""),VLOOKUP(まとめ表_各Aパターン件数[[#This Row],[管理番号]],名前リスト[[#All],[管理番号]:[氏名]],3,TRUE),"")</f>
        <v>クボ　　イッセイ</v>
      </c>
      <c r="D255" s="76" t="str">
        <f t="shared" si="3"/>
        <v/>
      </c>
      <c r="E25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6" spans="1:28">
      <c r="A256" s="109">
        <f>名前リスト[[#This Row],[管理番号]]</f>
        <v>265</v>
      </c>
      <c r="B256" s="6">
        <f>IF(NOT(まとめ表_各Aパターン件数[[#This Row],[管理番号]]=""),VLOOKUP(まとめ表_各Aパターン件数[[#This Row],[管理番号]],名前リスト[[#All],[管理番号]:[氏名]],2,TRUE),"")</f>
        <v>0</v>
      </c>
      <c r="C256" s="6" t="str">
        <f>IF(NOT(まとめ表_各Aパターン件数[[#This Row],[管理番号]]=""),VLOOKUP(まとめ表_各Aパターン件数[[#This Row],[管理番号]],名前リスト[[#All],[管理番号]:[氏名]],3,TRUE),"")</f>
        <v>サキサカ　ユメホ</v>
      </c>
      <c r="D256" s="76" t="str">
        <f t="shared" si="3"/>
        <v/>
      </c>
      <c r="E25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7" spans="1:28">
      <c r="A257" s="109">
        <f>名前リスト[[#This Row],[管理番号]]</f>
        <v>1000</v>
      </c>
      <c r="B257" s="6">
        <f>IF(NOT(まとめ表_各Aパターン件数[[#This Row],[管理番号]]=""),VLOOKUP(まとめ表_各Aパターン件数[[#This Row],[管理番号]],名前リスト[[#All],[管理番号]:[氏名]],2,TRUE),"")</f>
        <v>0</v>
      </c>
      <c r="C257" s="6" t="str">
        <f>IF(NOT(まとめ表_各Aパターン件数[[#This Row],[管理番号]]=""),VLOOKUP(まとめ表_各Aパターン件数[[#This Row],[管理番号]],名前リスト[[#All],[管理番号]:[氏名]],3,TRUE),"")</f>
        <v>モリタ　ヒデキ</v>
      </c>
      <c r="D257" s="76" t="str">
        <f t="shared" si="3"/>
        <v/>
      </c>
      <c r="E25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8" spans="1:28">
      <c r="A258" s="109">
        <f>名前リスト[[#This Row],[管理番号]]</f>
        <v>1001</v>
      </c>
      <c r="B258" s="6">
        <f>IF(NOT(まとめ表_各Aパターン件数[[#This Row],[管理番号]]=""),VLOOKUP(まとめ表_各Aパターン件数[[#This Row],[管理番号]],名前リスト[[#All],[管理番号]:[氏名]],2,TRUE),"")</f>
        <v>0</v>
      </c>
      <c r="C258" s="6" t="str">
        <f>IF(NOT(まとめ表_各Aパターン件数[[#This Row],[管理番号]]=""),VLOOKUP(まとめ表_各Aパターン件数[[#This Row],[管理番号]],名前リスト[[#All],[管理番号]:[氏名]],3,TRUE),"")</f>
        <v>ハナイ   ギンガ</v>
      </c>
      <c r="D258" s="76" t="str">
        <f t="shared" ref="D258:D321" si="4">IF(SUM(E258:XFD258)=0,"",SUM(E258:XFD258))</f>
        <v/>
      </c>
      <c r="E25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59" spans="1:28">
      <c r="A259" s="109">
        <f>名前リスト[[#This Row],[管理番号]]</f>
        <v>1002</v>
      </c>
      <c r="B259" s="6">
        <f>IF(NOT(まとめ表_各Aパターン件数[[#This Row],[管理番号]]=""),VLOOKUP(まとめ表_各Aパターン件数[[#This Row],[管理番号]],名前リスト[[#All],[管理番号]:[氏名]],2,TRUE),"")</f>
        <v>0</v>
      </c>
      <c r="C259" s="6" t="str">
        <f>IF(NOT(まとめ表_各Aパターン件数[[#This Row],[管理番号]]=""),VLOOKUP(まとめ表_各Aパターン件数[[#This Row],[管理番号]],名前リスト[[#All],[管理番号]:[氏名]],3,TRUE),"")</f>
        <v>スエヒロ　リュウジ</v>
      </c>
      <c r="D259" s="76" t="str">
        <f t="shared" si="4"/>
        <v/>
      </c>
      <c r="E25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5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5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5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5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5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5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5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5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5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5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5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5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5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5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5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5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5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5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5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5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5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5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5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0" spans="1:28">
      <c r="A260" s="109">
        <f>名前リスト[[#This Row],[管理番号]]</f>
        <v>1003</v>
      </c>
      <c r="B260" s="6">
        <f>IF(NOT(まとめ表_各Aパターン件数[[#This Row],[管理番号]]=""),VLOOKUP(まとめ表_各Aパターン件数[[#This Row],[管理番号]],名前リスト[[#All],[管理番号]:[氏名]],2,TRUE),"")</f>
        <v>0</v>
      </c>
      <c r="C260" s="6" t="str">
        <f>IF(NOT(まとめ表_各Aパターン件数[[#This Row],[管理番号]]=""),VLOOKUP(まとめ表_各Aパターン件数[[#This Row],[管理番号]],名前リスト[[#All],[管理番号]:[氏名]],3,TRUE),"")</f>
        <v>サカタ  アユミ</v>
      </c>
      <c r="D260" s="76" t="str">
        <f t="shared" si="4"/>
        <v/>
      </c>
      <c r="E26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1" spans="1:28">
      <c r="A261" s="109">
        <f>名前リスト[[#This Row],[管理番号]]</f>
        <v>1004</v>
      </c>
      <c r="B261" s="6">
        <f>IF(NOT(まとめ表_各Aパターン件数[[#This Row],[管理番号]]=""),VLOOKUP(まとめ表_各Aパターン件数[[#This Row],[管理番号]],名前リスト[[#All],[管理番号]:[氏名]],2,TRUE),"")</f>
        <v>0</v>
      </c>
      <c r="C261" s="6" t="str">
        <f>IF(NOT(まとめ表_各Aパターン件数[[#This Row],[管理番号]]=""),VLOOKUP(まとめ表_各Aパターン件数[[#This Row],[管理番号]],名前リスト[[#All],[管理番号]:[氏名]],3,TRUE),"")</f>
        <v>サイキ　タカラ</v>
      </c>
      <c r="D261" s="76" t="str">
        <f t="shared" si="4"/>
        <v/>
      </c>
      <c r="E26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2" spans="1:28">
      <c r="A262" s="109">
        <f>名前リスト[[#This Row],[管理番号]]</f>
        <v>1005</v>
      </c>
      <c r="B262" s="6">
        <f>IF(NOT(まとめ表_各Aパターン件数[[#This Row],[管理番号]]=""),VLOOKUP(まとめ表_各Aパターン件数[[#This Row],[管理番号]],名前リスト[[#All],[管理番号]:[氏名]],2,TRUE),"")</f>
        <v>0</v>
      </c>
      <c r="C262" s="6" t="str">
        <f>IF(NOT(まとめ表_各Aパターン件数[[#This Row],[管理番号]]=""),VLOOKUP(まとめ表_各Aパターン件数[[#This Row],[管理番号]],名前リスト[[#All],[管理番号]:[氏名]],3,TRUE),"")</f>
        <v>ナカムラ　リョウタ</v>
      </c>
      <c r="D262" s="76" t="str">
        <f t="shared" si="4"/>
        <v/>
      </c>
      <c r="E26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3" spans="1:28">
      <c r="A263" s="109">
        <f>名前リスト[[#This Row],[管理番号]]</f>
        <v>1006</v>
      </c>
      <c r="B263" s="6">
        <f>IF(NOT(まとめ表_各Aパターン件数[[#This Row],[管理番号]]=""),VLOOKUP(まとめ表_各Aパターン件数[[#This Row],[管理番号]],名前リスト[[#All],[管理番号]:[氏名]],2,TRUE),"")</f>
        <v>0</v>
      </c>
      <c r="C263" s="6" t="str">
        <f>IF(NOT(まとめ表_各Aパターン件数[[#This Row],[管理番号]]=""),VLOOKUP(まとめ表_各Aパターン件数[[#This Row],[管理番号]],名前リスト[[#All],[管理番号]:[氏名]],3,TRUE),"")</f>
        <v>タケモト　リオ</v>
      </c>
      <c r="D263" s="76" t="str">
        <f t="shared" si="4"/>
        <v/>
      </c>
      <c r="E26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4" spans="1:28">
      <c r="A264" s="109">
        <f>名前リスト[[#This Row],[管理番号]]</f>
        <v>1007</v>
      </c>
      <c r="B264" s="6">
        <f>IF(NOT(まとめ表_各Aパターン件数[[#This Row],[管理番号]]=""),VLOOKUP(まとめ表_各Aパターン件数[[#This Row],[管理番号]],名前リスト[[#All],[管理番号]:[氏名]],2,TRUE),"")</f>
        <v>0</v>
      </c>
      <c r="C264" s="6" t="str">
        <f>IF(NOT(まとめ表_各Aパターン件数[[#This Row],[管理番号]]=""),VLOOKUP(まとめ表_各Aパターン件数[[#This Row],[管理番号]],名前リスト[[#All],[管理番号]:[氏名]],3,TRUE),"")</f>
        <v>ヒライ　ヒサキ</v>
      </c>
      <c r="D264" s="76" t="str">
        <f t="shared" si="4"/>
        <v/>
      </c>
      <c r="E26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5" spans="1:28">
      <c r="A265" s="109">
        <f>名前リスト[[#This Row],[管理番号]]</f>
        <v>1008</v>
      </c>
      <c r="B265" s="6">
        <f>IF(NOT(まとめ表_各Aパターン件数[[#This Row],[管理番号]]=""),VLOOKUP(まとめ表_各Aパターン件数[[#This Row],[管理番号]],名前リスト[[#All],[管理番号]:[氏名]],2,TRUE),"")</f>
        <v>0</v>
      </c>
      <c r="C265" s="6" t="str">
        <f>IF(NOT(まとめ表_各Aパターン件数[[#This Row],[管理番号]]=""),VLOOKUP(まとめ表_各Aパターン件数[[#This Row],[管理番号]],名前リスト[[#All],[管理番号]:[氏名]],3,TRUE),"")</f>
        <v>マツダ　カオ</v>
      </c>
      <c r="D265" s="76" t="str">
        <f t="shared" si="4"/>
        <v/>
      </c>
      <c r="E26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6" spans="1:28">
      <c r="A266" s="109">
        <f>名前リスト[[#This Row],[管理番号]]</f>
        <v>1009</v>
      </c>
      <c r="B266" s="6">
        <f>IF(NOT(まとめ表_各Aパターン件数[[#This Row],[管理番号]]=""),VLOOKUP(まとめ表_各Aパターン件数[[#This Row],[管理番号]],名前リスト[[#All],[管理番号]:[氏名]],2,TRUE),"")</f>
        <v>0</v>
      </c>
      <c r="C266" s="6" t="str">
        <f>IF(NOT(まとめ表_各Aパターン件数[[#This Row],[管理番号]]=""),VLOOKUP(まとめ表_各Aパターン件数[[#This Row],[管理番号]],名前リスト[[#All],[管理番号]:[氏名]],3,TRUE),"")</f>
        <v>サワダ     サヤカ</v>
      </c>
      <c r="D266" s="76" t="str">
        <f t="shared" si="4"/>
        <v/>
      </c>
      <c r="E26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7" spans="1:28">
      <c r="A267" s="109">
        <f>名前リスト[[#This Row],[管理番号]]</f>
        <v>1010</v>
      </c>
      <c r="B267" s="6">
        <f>IF(NOT(まとめ表_各Aパターン件数[[#This Row],[管理番号]]=""),VLOOKUP(まとめ表_各Aパターン件数[[#This Row],[管理番号]],名前リスト[[#All],[管理番号]:[氏名]],2,TRUE),"")</f>
        <v>0</v>
      </c>
      <c r="C267" s="6" t="str">
        <f>IF(NOT(まとめ表_各Aパターン件数[[#This Row],[管理番号]]=""),VLOOKUP(まとめ表_各Aパターン件数[[#This Row],[管理番号]],名前リスト[[#All],[管理番号]:[氏名]],3,TRUE),"")</f>
        <v>キムラ　コウキ</v>
      </c>
      <c r="D267" s="76" t="str">
        <f t="shared" si="4"/>
        <v/>
      </c>
      <c r="E26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8" spans="1:28">
      <c r="A268" s="109">
        <f>名前リスト[[#This Row],[管理番号]]</f>
        <v>1011</v>
      </c>
      <c r="B268" s="6">
        <f>IF(NOT(まとめ表_各Aパターン件数[[#This Row],[管理番号]]=""),VLOOKUP(まとめ表_各Aパターン件数[[#This Row],[管理番号]],名前リスト[[#All],[管理番号]:[氏名]],2,TRUE),"")</f>
        <v>0</v>
      </c>
      <c r="C268" s="6" t="str">
        <f>IF(NOT(まとめ表_各Aパターン件数[[#This Row],[管理番号]]=""),VLOOKUP(まとめ表_各Aパターン件数[[#This Row],[管理番号]],名前リスト[[#All],[管理番号]:[氏名]],3,TRUE),"")</f>
        <v>ヤマダ　ナオ</v>
      </c>
      <c r="D268" s="76" t="str">
        <f t="shared" si="4"/>
        <v/>
      </c>
      <c r="E26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69" spans="1:28">
      <c r="A269" s="109">
        <f>名前リスト[[#This Row],[管理番号]]</f>
        <v>1012</v>
      </c>
      <c r="B269" s="6">
        <f>IF(NOT(まとめ表_各Aパターン件数[[#This Row],[管理番号]]=""),VLOOKUP(まとめ表_各Aパターン件数[[#This Row],[管理番号]],名前リスト[[#All],[管理番号]:[氏名]],2,TRUE),"")</f>
        <v>0</v>
      </c>
      <c r="C269" s="6" t="str">
        <f>IF(NOT(まとめ表_各Aパターン件数[[#This Row],[管理番号]]=""),VLOOKUP(まとめ表_各Aパターン件数[[#This Row],[管理番号]],名前リスト[[#All],[管理番号]:[氏名]],3,TRUE),"")</f>
        <v>カネモト　ナナ</v>
      </c>
      <c r="D269" s="76" t="str">
        <f t="shared" si="4"/>
        <v/>
      </c>
      <c r="E26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6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6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6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6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6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6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6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6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6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6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6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6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6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6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6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6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6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6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6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6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6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6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6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0" spans="1:28">
      <c r="A270" s="109">
        <f>名前リスト[[#This Row],[管理番号]]</f>
        <v>1013</v>
      </c>
      <c r="B270" s="6">
        <f>IF(NOT(まとめ表_各Aパターン件数[[#This Row],[管理番号]]=""),VLOOKUP(まとめ表_各Aパターン件数[[#This Row],[管理番号]],名前リスト[[#All],[管理番号]:[氏名]],2,TRUE),"")</f>
        <v>0</v>
      </c>
      <c r="C270" s="6" t="str">
        <f>IF(NOT(まとめ表_各Aパターン件数[[#This Row],[管理番号]]=""),VLOOKUP(まとめ表_各Aパターン件数[[#This Row],[管理番号]],名前リスト[[#All],[管理番号]:[氏名]],3,TRUE),"")</f>
        <v>フクモト リキ</v>
      </c>
      <c r="D270" s="76" t="str">
        <f t="shared" si="4"/>
        <v/>
      </c>
      <c r="E27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1" spans="1:28">
      <c r="A271" s="109">
        <f>名前リスト[[#This Row],[管理番号]]</f>
        <v>1014</v>
      </c>
      <c r="B271" s="6">
        <f>IF(NOT(まとめ表_各Aパターン件数[[#This Row],[管理番号]]=""),VLOOKUP(まとめ表_各Aパターン件数[[#This Row],[管理番号]],名前リスト[[#All],[管理番号]:[氏名]],2,TRUE),"")</f>
        <v>0</v>
      </c>
      <c r="C271" s="6" t="str">
        <f>IF(NOT(まとめ表_各Aパターン件数[[#This Row],[管理番号]]=""),VLOOKUP(まとめ表_各Aパターン件数[[#This Row],[管理番号]],名前リスト[[#All],[管理番号]:[氏名]],3,TRUE),"")</f>
        <v>エグチ　ダイキ</v>
      </c>
      <c r="D271" s="76" t="str">
        <f t="shared" si="4"/>
        <v/>
      </c>
      <c r="E27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2" spans="1:28">
      <c r="A272" s="109">
        <f>名前リスト[[#This Row],[管理番号]]</f>
        <v>1015</v>
      </c>
      <c r="B272" s="6">
        <f>IF(NOT(まとめ表_各Aパターン件数[[#This Row],[管理番号]]=""),VLOOKUP(まとめ表_各Aパターン件数[[#This Row],[管理番号]],名前リスト[[#All],[管理番号]:[氏名]],2,TRUE),"")</f>
        <v>0</v>
      </c>
      <c r="C272" s="6" t="str">
        <f>IF(NOT(まとめ表_各Aパターン件数[[#This Row],[管理番号]]=""),VLOOKUP(まとめ表_各Aパターン件数[[#This Row],[管理番号]],名前リスト[[#All],[管理番号]:[氏名]],3,TRUE),"")</f>
        <v>チュウマン　シュン</v>
      </c>
      <c r="D272" s="76" t="str">
        <f t="shared" si="4"/>
        <v/>
      </c>
      <c r="E27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3" spans="1:28">
      <c r="A273" s="109">
        <f>名前リスト[[#This Row],[管理番号]]</f>
        <v>1016</v>
      </c>
      <c r="B273" s="6">
        <f>IF(NOT(まとめ表_各Aパターン件数[[#This Row],[管理番号]]=""),VLOOKUP(まとめ表_各Aパターン件数[[#This Row],[管理番号]],名前リスト[[#All],[管理番号]:[氏名]],2,TRUE),"")</f>
        <v>0</v>
      </c>
      <c r="C273" s="6" t="str">
        <f>IF(NOT(まとめ表_各Aパターン件数[[#This Row],[管理番号]]=""),VLOOKUP(まとめ表_各Aパターン件数[[#This Row],[管理番号]],名前リスト[[#All],[管理番号]:[氏名]],3,TRUE),"")</f>
        <v>ヤマトヤ　ミク</v>
      </c>
      <c r="D273" s="76" t="str">
        <f t="shared" si="4"/>
        <v/>
      </c>
      <c r="E27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4" spans="1:28">
      <c r="A274" s="109">
        <f>名前リスト[[#This Row],[管理番号]]</f>
        <v>1017</v>
      </c>
      <c r="B274" s="6">
        <f>IF(NOT(まとめ表_各Aパターン件数[[#This Row],[管理番号]]=""),VLOOKUP(まとめ表_各Aパターン件数[[#This Row],[管理番号]],名前リスト[[#All],[管理番号]:[氏名]],2,TRUE),"")</f>
        <v>0</v>
      </c>
      <c r="C274" s="6" t="str">
        <f>IF(NOT(まとめ表_各Aパターン件数[[#This Row],[管理番号]]=""),VLOOKUP(まとめ表_各Aパターン件数[[#This Row],[管理番号]],名前リスト[[#All],[管理番号]:[氏名]],3,TRUE),"")</f>
        <v>ハシモト　リュウヤ</v>
      </c>
      <c r="D274" s="76" t="str">
        <f t="shared" si="4"/>
        <v/>
      </c>
      <c r="E27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5" spans="1:28">
      <c r="A275" s="109">
        <f>名前リスト[[#This Row],[管理番号]]</f>
        <v>1018</v>
      </c>
      <c r="B275" s="6">
        <f>IF(NOT(まとめ表_各Aパターン件数[[#This Row],[管理番号]]=""),VLOOKUP(まとめ表_各Aパターン件数[[#This Row],[管理番号]],名前リスト[[#All],[管理番号]:[氏名]],2,TRUE),"")</f>
        <v>0</v>
      </c>
      <c r="C275" s="6" t="str">
        <f>IF(NOT(まとめ表_各Aパターン件数[[#This Row],[管理番号]]=""),VLOOKUP(まとめ表_各Aパターン件数[[#This Row],[管理番号]],名前リスト[[#All],[管理番号]:[氏名]],3,TRUE),"")</f>
        <v>タハラ　タイセイ</v>
      </c>
      <c r="D275" s="76" t="str">
        <f t="shared" si="4"/>
        <v/>
      </c>
      <c r="E27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6" spans="1:28">
      <c r="A276" s="109">
        <f>名前リスト[[#This Row],[管理番号]]</f>
        <v>1019</v>
      </c>
      <c r="B276" s="6">
        <f>IF(NOT(まとめ表_各Aパターン件数[[#This Row],[管理番号]]=""),VLOOKUP(まとめ表_各Aパターン件数[[#This Row],[管理番号]],名前リスト[[#All],[管理番号]:[氏名]],2,TRUE),"")</f>
        <v>0</v>
      </c>
      <c r="C276" s="6" t="str">
        <f>IF(NOT(まとめ表_各Aパターン件数[[#This Row],[管理番号]]=""),VLOOKUP(まとめ表_各Aパターン件数[[#This Row],[管理番号]],名前リスト[[#All],[管理番号]:[氏名]],3,TRUE),"")</f>
        <v>タカクワ　アヤカ</v>
      </c>
      <c r="D276" s="76" t="str">
        <f t="shared" si="4"/>
        <v/>
      </c>
      <c r="E27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7" spans="1:28">
      <c r="A277" s="109">
        <f>名前リスト[[#This Row],[管理番号]]</f>
        <v>1020</v>
      </c>
      <c r="B277" s="6">
        <f>IF(NOT(まとめ表_各Aパターン件数[[#This Row],[管理番号]]=""),VLOOKUP(まとめ表_各Aパターン件数[[#This Row],[管理番号]],名前リスト[[#All],[管理番号]:[氏名]],2,TRUE),"")</f>
        <v>0</v>
      </c>
      <c r="C277" s="6" t="str">
        <f>IF(NOT(まとめ表_各Aパターン件数[[#This Row],[管理番号]]=""),VLOOKUP(まとめ表_各Aパターン件数[[#This Row],[管理番号]],名前リスト[[#All],[管理番号]:[氏名]],3,TRUE),"")</f>
        <v>マツエ　ハルナ</v>
      </c>
      <c r="D277" s="76" t="str">
        <f t="shared" si="4"/>
        <v/>
      </c>
      <c r="E27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8" spans="1:28">
      <c r="A278" s="109">
        <f>名前リスト[[#This Row],[管理番号]]</f>
        <v>1021</v>
      </c>
      <c r="B278" s="6">
        <f>IF(NOT(まとめ表_各Aパターン件数[[#This Row],[管理番号]]=""),VLOOKUP(まとめ表_各Aパターン件数[[#This Row],[管理番号]],名前リスト[[#All],[管理番号]:[氏名]],2,TRUE),"")</f>
        <v>0</v>
      </c>
      <c r="C278" s="6" t="str">
        <f>IF(NOT(まとめ表_各Aパターン件数[[#This Row],[管理番号]]=""),VLOOKUP(まとめ表_各Aパターン件数[[#This Row],[管理番号]],名前リスト[[#All],[管理番号]:[氏名]],3,TRUE),"")</f>
        <v>イタワキ リオ</v>
      </c>
      <c r="D278" s="76" t="str">
        <f t="shared" si="4"/>
        <v/>
      </c>
      <c r="E27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79" spans="1:28">
      <c r="A279" s="109">
        <f>名前リスト[[#This Row],[管理番号]]</f>
        <v>1022</v>
      </c>
      <c r="B279" s="6">
        <f>IF(NOT(まとめ表_各Aパターン件数[[#This Row],[管理番号]]=""),VLOOKUP(まとめ表_各Aパターン件数[[#This Row],[管理番号]],名前リスト[[#All],[管理番号]:[氏名]],2,TRUE),"")</f>
        <v>0</v>
      </c>
      <c r="C279" s="6" t="str">
        <f>IF(NOT(まとめ表_各Aパターン件数[[#This Row],[管理番号]]=""),VLOOKUP(まとめ表_各Aパターン件数[[#This Row],[管理番号]],名前リスト[[#All],[管理番号]:[氏名]],3,TRUE),"")</f>
        <v>サダモリ ユウサク</v>
      </c>
      <c r="D279" s="76" t="str">
        <f t="shared" si="4"/>
        <v/>
      </c>
      <c r="E27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7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7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7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7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7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7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7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7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7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7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7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7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7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7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7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7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7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7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7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7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7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7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7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0" spans="1:28">
      <c r="A280" s="109">
        <f>名前リスト[[#This Row],[管理番号]]</f>
        <v>1023</v>
      </c>
      <c r="B280" s="6">
        <f>IF(NOT(まとめ表_各Aパターン件数[[#This Row],[管理番号]]=""),VLOOKUP(まとめ表_各Aパターン件数[[#This Row],[管理番号]],名前リスト[[#All],[管理番号]:[氏名]],2,TRUE),"")</f>
        <v>0</v>
      </c>
      <c r="C280" s="6" t="str">
        <f>IF(NOT(まとめ表_各Aパターン件数[[#This Row],[管理番号]]=""),VLOOKUP(まとめ表_各Aパターン件数[[#This Row],[管理番号]],名前リスト[[#All],[管理番号]:[氏名]],3,TRUE),"")</f>
        <v>ヤマシタ フウカ</v>
      </c>
      <c r="D280" s="76" t="str">
        <f t="shared" si="4"/>
        <v/>
      </c>
      <c r="E28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1" spans="1:28">
      <c r="A281" s="109">
        <f>名前リスト[[#This Row],[管理番号]]</f>
        <v>1024</v>
      </c>
      <c r="B281" s="6">
        <f>IF(NOT(まとめ表_各Aパターン件数[[#This Row],[管理番号]]=""),VLOOKUP(まとめ表_各Aパターン件数[[#This Row],[管理番号]],名前リスト[[#All],[管理番号]:[氏名]],2,TRUE),"")</f>
        <v>0</v>
      </c>
      <c r="C281" s="6" t="str">
        <f>IF(NOT(まとめ表_各Aパターン件数[[#This Row],[管理番号]]=""),VLOOKUP(まとめ表_各Aパターン件数[[#This Row],[管理番号]],名前リスト[[#All],[管理番号]:[氏名]],3,TRUE),"")</f>
        <v>ハヤシ　ユウダイ</v>
      </c>
      <c r="D281" s="76" t="str">
        <f t="shared" si="4"/>
        <v/>
      </c>
      <c r="E28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2" spans="1:28">
      <c r="A282" s="109">
        <f>名前リスト[[#This Row],[管理番号]]</f>
        <v>1025</v>
      </c>
      <c r="B282" s="6">
        <f>IF(NOT(まとめ表_各Aパターン件数[[#This Row],[管理番号]]=""),VLOOKUP(まとめ表_各Aパターン件数[[#This Row],[管理番号]],名前リスト[[#All],[管理番号]:[氏名]],2,TRUE),"")</f>
        <v>0</v>
      </c>
      <c r="C282" s="6" t="str">
        <f>IF(NOT(まとめ表_各Aパターン件数[[#This Row],[管理番号]]=""),VLOOKUP(まとめ表_各Aパターン件数[[#This Row],[管理番号]],名前リスト[[#All],[管理番号]:[氏名]],3,TRUE),"")</f>
        <v>ナカイ　リノ</v>
      </c>
      <c r="D282" s="76" t="str">
        <f t="shared" si="4"/>
        <v/>
      </c>
      <c r="E28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3" spans="1:28">
      <c r="A283" s="109">
        <f>名前リスト[[#This Row],[管理番号]]</f>
        <v>1026</v>
      </c>
      <c r="B283" s="6">
        <f>IF(NOT(まとめ表_各Aパターン件数[[#This Row],[管理番号]]=""),VLOOKUP(まとめ表_各Aパターン件数[[#This Row],[管理番号]],名前リスト[[#All],[管理番号]:[氏名]],2,TRUE),"")</f>
        <v>0</v>
      </c>
      <c r="C283" s="6" t="str">
        <f>IF(NOT(まとめ表_各Aパターン件数[[#This Row],[管理番号]]=""),VLOOKUP(まとめ表_各Aパターン件数[[#This Row],[管理番号]],名前リスト[[#All],[管理番号]:[氏名]],3,TRUE),"")</f>
        <v>ヨコヤマ　ソウタ</v>
      </c>
      <c r="D283" s="76" t="str">
        <f t="shared" si="4"/>
        <v/>
      </c>
      <c r="E28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4" spans="1:28">
      <c r="A284" s="109">
        <f>名前リスト[[#This Row],[管理番号]]</f>
        <v>1027</v>
      </c>
      <c r="B284" s="6">
        <f>IF(NOT(まとめ表_各Aパターン件数[[#This Row],[管理番号]]=""),VLOOKUP(まとめ表_各Aパターン件数[[#This Row],[管理番号]],名前リスト[[#All],[管理番号]:[氏名]],2,TRUE),"")</f>
        <v>0</v>
      </c>
      <c r="C284" s="6" t="str">
        <f>IF(NOT(まとめ表_各Aパターン件数[[#This Row],[管理番号]]=""),VLOOKUP(まとめ表_各Aパターン件数[[#This Row],[管理番号]],名前リスト[[#All],[管理番号]:[氏名]],3,TRUE),"")</f>
        <v>トク　ソウマ</v>
      </c>
      <c r="D284" s="76" t="str">
        <f t="shared" si="4"/>
        <v/>
      </c>
      <c r="E28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5" spans="1:28">
      <c r="A285" s="109">
        <f>名前リスト[[#This Row],[管理番号]]</f>
        <v>1028</v>
      </c>
      <c r="B285" s="6">
        <f>IF(NOT(まとめ表_各Aパターン件数[[#This Row],[管理番号]]=""),VLOOKUP(まとめ表_各Aパターン件数[[#This Row],[管理番号]],名前リスト[[#All],[管理番号]:[氏名]],2,TRUE),"")</f>
        <v>0</v>
      </c>
      <c r="C285" s="6" t="str">
        <f>IF(NOT(まとめ表_各Aパターン件数[[#This Row],[管理番号]]=""),VLOOKUP(まとめ表_各Aパターン件数[[#This Row],[管理番号]],名前リスト[[#All],[管理番号]:[氏名]],3,TRUE),"")</f>
        <v>オオトモ コウスケ</v>
      </c>
      <c r="D285" s="76" t="str">
        <f t="shared" si="4"/>
        <v/>
      </c>
      <c r="E28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6" spans="1:28">
      <c r="A286" s="109">
        <f>名前リスト[[#This Row],[管理番号]]</f>
        <v>1029</v>
      </c>
      <c r="B286" s="6">
        <f>IF(NOT(まとめ表_各Aパターン件数[[#This Row],[管理番号]]=""),VLOOKUP(まとめ表_各Aパターン件数[[#This Row],[管理番号]],名前リスト[[#All],[管理番号]:[氏名]],2,TRUE),"")</f>
        <v>0</v>
      </c>
      <c r="C286" s="6" t="str">
        <f>IF(NOT(まとめ表_各Aパターン件数[[#This Row],[管理番号]]=""),VLOOKUP(まとめ表_各Aパターン件数[[#This Row],[管理番号]],名前リスト[[#All],[管理番号]:[氏名]],3,TRUE),"")</f>
        <v>サガ　トモカズ</v>
      </c>
      <c r="D286" s="76" t="str">
        <f t="shared" si="4"/>
        <v/>
      </c>
      <c r="E28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7" spans="1:28">
      <c r="A287" s="109">
        <f>名前リスト[[#This Row],[管理番号]]</f>
        <v>1030</v>
      </c>
      <c r="B287" s="6">
        <f>IF(NOT(まとめ表_各Aパターン件数[[#This Row],[管理番号]]=""),VLOOKUP(まとめ表_各Aパターン件数[[#This Row],[管理番号]],名前リスト[[#All],[管理番号]:[氏名]],2,TRUE),"")</f>
        <v>0</v>
      </c>
      <c r="C287" s="6" t="str">
        <f>IF(NOT(まとめ表_各Aパターン件数[[#This Row],[管理番号]]=""),VLOOKUP(まとめ表_各Aパターン件数[[#This Row],[管理番号]],名前リスト[[#All],[管理番号]:[氏名]],3,TRUE),"")</f>
        <v>ヒラノ　キョウスケ</v>
      </c>
      <c r="D287" s="76" t="str">
        <f t="shared" si="4"/>
        <v/>
      </c>
      <c r="E28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8" spans="1:28">
      <c r="A288" s="109">
        <f>名前リスト[[#This Row],[管理番号]]</f>
        <v>1031</v>
      </c>
      <c r="B288" s="6">
        <f>IF(NOT(まとめ表_各Aパターン件数[[#This Row],[管理番号]]=""),VLOOKUP(まとめ表_各Aパターン件数[[#This Row],[管理番号]],名前リスト[[#All],[管理番号]:[氏名]],2,TRUE),"")</f>
        <v>0</v>
      </c>
      <c r="C288" s="6" t="str">
        <f>IF(NOT(まとめ表_各Aパターン件数[[#This Row],[管理番号]]=""),VLOOKUP(まとめ表_各Aパターン件数[[#This Row],[管理番号]],名前リスト[[#All],[管理番号]:[氏名]],3,TRUE),"")</f>
        <v>シゲトシ　ナオキ</v>
      </c>
      <c r="D288" s="76" t="str">
        <f t="shared" si="4"/>
        <v/>
      </c>
      <c r="E28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89" spans="1:28">
      <c r="A289" s="109">
        <f>名前リスト[[#This Row],[管理番号]]</f>
        <v>1032</v>
      </c>
      <c r="B289" s="6">
        <f>IF(NOT(まとめ表_各Aパターン件数[[#This Row],[管理番号]]=""),VLOOKUP(まとめ表_各Aパターン件数[[#This Row],[管理番号]],名前リスト[[#All],[管理番号]:[氏名]],2,TRUE),"")</f>
        <v>0</v>
      </c>
      <c r="C289" s="6" t="str">
        <f>IF(NOT(まとめ表_各Aパターン件数[[#This Row],[管理番号]]=""),VLOOKUP(まとめ表_各Aパターン件数[[#This Row],[管理番号]],名前リスト[[#All],[管理番号]:[氏名]],3,TRUE),"")</f>
        <v>ツジ　テツヤ</v>
      </c>
      <c r="D289" s="76" t="str">
        <f t="shared" si="4"/>
        <v/>
      </c>
      <c r="E28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8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8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8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8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8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8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8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8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8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8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8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8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8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8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8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8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8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8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8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8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8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8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8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0" spans="1:28">
      <c r="A290" s="109">
        <f>名前リスト[[#This Row],[管理番号]]</f>
        <v>1033</v>
      </c>
      <c r="B290" s="6">
        <f>IF(NOT(まとめ表_各Aパターン件数[[#This Row],[管理番号]]=""),VLOOKUP(まとめ表_各Aパターン件数[[#This Row],[管理番号]],名前リスト[[#All],[管理番号]:[氏名]],2,TRUE),"")</f>
        <v>0</v>
      </c>
      <c r="C290" s="6" t="str">
        <f>IF(NOT(まとめ表_各Aパターン件数[[#This Row],[管理番号]]=""),VLOOKUP(まとめ表_各Aパターン件数[[#This Row],[管理番号]],名前リスト[[#All],[管理番号]:[氏名]],3,TRUE),"")</f>
        <v>シマモト　カズキ</v>
      </c>
      <c r="D290" s="76" t="str">
        <f t="shared" si="4"/>
        <v/>
      </c>
      <c r="E29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1" spans="1:28">
      <c r="A291" s="109">
        <f>名前リスト[[#This Row],[管理番号]]</f>
        <v>1034</v>
      </c>
      <c r="B291" s="6">
        <f>IF(NOT(まとめ表_各Aパターン件数[[#This Row],[管理番号]]=""),VLOOKUP(まとめ表_各Aパターン件数[[#This Row],[管理番号]],名前リスト[[#All],[管理番号]:[氏名]],2,TRUE),"")</f>
        <v>0</v>
      </c>
      <c r="C291" s="6" t="str">
        <f>IF(NOT(まとめ表_各Aパターン件数[[#This Row],[管理番号]]=""),VLOOKUP(まとめ表_各Aパターン件数[[#This Row],[管理番号]],名前リスト[[#All],[管理番号]:[氏名]],3,TRUE),"")</f>
        <v>オクノ  リル</v>
      </c>
      <c r="D291" s="76" t="str">
        <f t="shared" si="4"/>
        <v/>
      </c>
      <c r="E29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2" spans="1:28">
      <c r="A292" s="109">
        <f>名前リスト[[#This Row],[管理番号]]</f>
        <v>1035</v>
      </c>
      <c r="B292" s="6">
        <f>IF(NOT(まとめ表_各Aパターン件数[[#This Row],[管理番号]]=""),VLOOKUP(まとめ表_各Aパターン件数[[#This Row],[管理番号]],名前リスト[[#All],[管理番号]:[氏名]],2,TRUE),"")</f>
        <v>0</v>
      </c>
      <c r="C292" s="6" t="str">
        <f>IF(NOT(まとめ表_各Aパターン件数[[#This Row],[管理番号]]=""),VLOOKUP(まとめ表_各Aパターン件数[[#This Row],[管理番号]],名前リスト[[#All],[管理番号]:[氏名]],3,TRUE),"")</f>
        <v>ヨコヤマ リキヤ</v>
      </c>
      <c r="D292" s="76" t="str">
        <f t="shared" si="4"/>
        <v/>
      </c>
      <c r="E29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3" spans="1:28">
      <c r="A293" s="109">
        <f>名前リスト[[#This Row],[管理番号]]</f>
        <v>1036</v>
      </c>
      <c r="B293" s="6">
        <f>IF(NOT(まとめ表_各Aパターン件数[[#This Row],[管理番号]]=""),VLOOKUP(まとめ表_各Aパターン件数[[#This Row],[管理番号]],名前リスト[[#All],[管理番号]:[氏名]],2,TRUE),"")</f>
        <v>0</v>
      </c>
      <c r="C293" s="6" t="str">
        <f>IF(NOT(まとめ表_各Aパターン件数[[#This Row],[管理番号]]=""),VLOOKUP(まとめ表_各Aパターン件数[[#This Row],[管理番号]],名前リスト[[#All],[管理番号]:[氏名]],3,TRUE),"")</f>
        <v>フジタ　リク</v>
      </c>
      <c r="D293" s="76" t="str">
        <f t="shared" si="4"/>
        <v/>
      </c>
      <c r="E29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4" spans="1:28">
      <c r="A294" s="109">
        <f>名前リスト[[#This Row],[管理番号]]</f>
        <v>1037</v>
      </c>
      <c r="B294" s="6">
        <f>IF(NOT(まとめ表_各Aパターン件数[[#This Row],[管理番号]]=""),VLOOKUP(まとめ表_各Aパターン件数[[#This Row],[管理番号]],名前リスト[[#All],[管理番号]:[氏名]],2,TRUE),"")</f>
        <v>0</v>
      </c>
      <c r="C294" s="6" t="str">
        <f>IF(NOT(まとめ表_各Aパターン件数[[#This Row],[管理番号]]=""),VLOOKUP(まとめ表_各Aパターン件数[[#This Row],[管理番号]],名前リスト[[#All],[管理番号]:[氏名]],3,TRUE),"")</f>
        <v>コタケ　ケンタ</v>
      </c>
      <c r="D294" s="76" t="str">
        <f t="shared" si="4"/>
        <v/>
      </c>
      <c r="E29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5" spans="1:28">
      <c r="A295" s="109">
        <f>名前リスト[[#This Row],[管理番号]]</f>
        <v>1038</v>
      </c>
      <c r="B295" s="6">
        <f>IF(NOT(まとめ表_各Aパターン件数[[#This Row],[管理番号]]=""),VLOOKUP(まとめ表_各Aパターン件数[[#This Row],[管理番号]],名前リスト[[#All],[管理番号]:[氏名]],2,TRUE),"")</f>
        <v>0</v>
      </c>
      <c r="C295" s="6" t="str">
        <f>IF(NOT(まとめ表_各Aパターン件数[[#This Row],[管理番号]]=""),VLOOKUP(まとめ表_各Aパターン件数[[#This Row],[管理番号]],名前リスト[[#All],[管理番号]:[氏名]],3,TRUE),"")</f>
        <v>コニシ　リョウヘイ</v>
      </c>
      <c r="D295" s="76" t="str">
        <f t="shared" si="4"/>
        <v/>
      </c>
      <c r="E29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6" spans="1:28">
      <c r="A296" s="109">
        <f>名前リスト[[#This Row],[管理番号]]</f>
        <v>1039</v>
      </c>
      <c r="B296" s="6">
        <f>IF(NOT(まとめ表_各Aパターン件数[[#This Row],[管理番号]]=""),VLOOKUP(まとめ表_各Aパターン件数[[#This Row],[管理番号]],名前リスト[[#All],[管理番号]:[氏名]],2,TRUE),"")</f>
        <v>0</v>
      </c>
      <c r="C296" s="6" t="str">
        <f>IF(NOT(まとめ表_各Aパターン件数[[#This Row],[管理番号]]=""),VLOOKUP(まとめ表_各Aパターン件数[[#This Row],[管理番号]],名前リスト[[#All],[管理番号]:[氏名]],3,TRUE),"")</f>
        <v>クスイ　ユウヤ</v>
      </c>
      <c r="D296" s="76" t="str">
        <f t="shared" si="4"/>
        <v/>
      </c>
      <c r="E29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7" spans="1:28">
      <c r="A297" s="109">
        <f>名前リスト[[#This Row],[管理番号]]</f>
        <v>1040</v>
      </c>
      <c r="B297" s="6">
        <f>IF(NOT(まとめ表_各Aパターン件数[[#This Row],[管理番号]]=""),VLOOKUP(まとめ表_各Aパターン件数[[#This Row],[管理番号]],名前リスト[[#All],[管理番号]:[氏名]],2,TRUE),"")</f>
        <v>0</v>
      </c>
      <c r="C297" s="6" t="str">
        <f>IF(NOT(まとめ表_各Aパターン件数[[#This Row],[管理番号]]=""),VLOOKUP(まとめ表_各Aパターン件数[[#This Row],[管理番号]],名前リスト[[#All],[管理番号]:[氏名]],3,TRUE),"")</f>
        <v>タナカ　ソウタ</v>
      </c>
      <c r="D297" s="76" t="str">
        <f t="shared" si="4"/>
        <v/>
      </c>
      <c r="E29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8" spans="1:28">
      <c r="A298" s="109">
        <f>名前リスト[[#This Row],[管理番号]]</f>
        <v>1041</v>
      </c>
      <c r="B298" s="6">
        <f>IF(NOT(まとめ表_各Aパターン件数[[#This Row],[管理番号]]=""),VLOOKUP(まとめ表_各Aパターン件数[[#This Row],[管理番号]],名前リスト[[#All],[管理番号]:[氏名]],2,TRUE),"")</f>
        <v>0</v>
      </c>
      <c r="C298" s="6" t="str">
        <f>IF(NOT(まとめ表_各Aパターン件数[[#This Row],[管理番号]]=""),VLOOKUP(まとめ表_各Aパターン件数[[#This Row],[管理番号]],名前リスト[[#All],[管理番号]:[氏名]],3,TRUE),"")</f>
        <v>ヨシオカ　ユウキ</v>
      </c>
      <c r="D298" s="76" t="str">
        <f t="shared" si="4"/>
        <v/>
      </c>
      <c r="E29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299" spans="1:28">
      <c r="A299" s="109">
        <f>名前リスト[[#This Row],[管理番号]]</f>
        <v>1042</v>
      </c>
      <c r="B299" s="6">
        <f>IF(NOT(まとめ表_各Aパターン件数[[#This Row],[管理番号]]=""),VLOOKUP(まとめ表_各Aパターン件数[[#This Row],[管理番号]],名前リスト[[#All],[管理番号]:[氏名]],2,TRUE),"")</f>
        <v>0</v>
      </c>
      <c r="C299" s="6" t="str">
        <f>IF(NOT(まとめ表_各Aパターン件数[[#This Row],[管理番号]]=""),VLOOKUP(まとめ表_各Aパターン件数[[#This Row],[管理番号]],名前リスト[[#All],[管理番号]:[氏名]],3,TRUE),"")</f>
        <v>シミズ  リュウイチ</v>
      </c>
      <c r="D299" s="76" t="str">
        <f t="shared" si="4"/>
        <v/>
      </c>
      <c r="E29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29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29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29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29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29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29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29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29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29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29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29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29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29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29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29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29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29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29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29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29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29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29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29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0" spans="1:28">
      <c r="A300" s="109">
        <f>名前リスト[[#This Row],[管理番号]]</f>
        <v>1043</v>
      </c>
      <c r="B300" s="6">
        <f>IF(NOT(まとめ表_各Aパターン件数[[#This Row],[管理番号]]=""),VLOOKUP(まとめ表_各Aパターン件数[[#This Row],[管理番号]],名前リスト[[#All],[管理番号]:[氏名]],2,TRUE),"")</f>
        <v>0</v>
      </c>
      <c r="C300" s="6" t="str">
        <f>IF(NOT(まとめ表_各Aパターン件数[[#This Row],[管理番号]]=""),VLOOKUP(まとめ表_各Aパターン件数[[#This Row],[管理番号]],名前リスト[[#All],[管理番号]:[氏名]],3,TRUE),"")</f>
        <v>カトウ マサト</v>
      </c>
      <c r="D300" s="76" t="str">
        <f t="shared" si="4"/>
        <v/>
      </c>
      <c r="E30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1" spans="1:28">
      <c r="A301" s="109">
        <f>名前リスト[[#This Row],[管理番号]]</f>
        <v>1044</v>
      </c>
      <c r="B301" s="6">
        <f>IF(NOT(まとめ表_各Aパターン件数[[#This Row],[管理番号]]=""),VLOOKUP(まとめ表_各Aパターン件数[[#This Row],[管理番号]],名前リスト[[#All],[管理番号]:[氏名]],2,TRUE),"")</f>
        <v>0</v>
      </c>
      <c r="C301" s="6" t="str">
        <f>IF(NOT(まとめ表_各Aパターン件数[[#This Row],[管理番号]]=""),VLOOKUP(まとめ表_各Aパターン件数[[#This Row],[管理番号]],名前リスト[[#All],[管理番号]:[氏名]],3,TRUE),"")</f>
        <v>マツダイラ　ナオヤ</v>
      </c>
      <c r="D301" s="76" t="str">
        <f t="shared" si="4"/>
        <v/>
      </c>
      <c r="E30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2" spans="1:28">
      <c r="A302" s="109">
        <f>名前リスト[[#This Row],[管理番号]]</f>
        <v>1045</v>
      </c>
      <c r="B302" s="6">
        <f>IF(NOT(まとめ表_各Aパターン件数[[#This Row],[管理番号]]=""),VLOOKUP(まとめ表_各Aパターン件数[[#This Row],[管理番号]],名前リスト[[#All],[管理番号]:[氏名]],2,TRUE),"")</f>
        <v>0</v>
      </c>
      <c r="C302" s="6" t="str">
        <f>IF(NOT(まとめ表_各Aパターン件数[[#This Row],[管理番号]]=""),VLOOKUP(まとめ表_各Aパターン件数[[#This Row],[管理番号]],名前リスト[[#All],[管理番号]:[氏名]],3,TRUE),"")</f>
        <v>イデノ    ショウタ</v>
      </c>
      <c r="D302" s="76" t="str">
        <f t="shared" si="4"/>
        <v/>
      </c>
      <c r="E30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3" spans="1:28">
      <c r="A303" s="109">
        <f>名前リスト[[#This Row],[管理番号]]</f>
        <v>1046</v>
      </c>
      <c r="B303" s="6">
        <f>IF(NOT(まとめ表_各Aパターン件数[[#This Row],[管理番号]]=""),VLOOKUP(まとめ表_各Aパターン件数[[#This Row],[管理番号]],名前リスト[[#All],[管理番号]:[氏名]],2,TRUE),"")</f>
        <v>0</v>
      </c>
      <c r="C303" s="6" t="str">
        <f>IF(NOT(まとめ表_各Aパターン件数[[#This Row],[管理番号]]=""),VLOOKUP(まとめ表_各Aパターン件数[[#This Row],[管理番号]],名前リスト[[#All],[管理番号]:[氏名]],3,TRUE),"")</f>
        <v>カミモト マコ</v>
      </c>
      <c r="D303" s="76" t="str">
        <f t="shared" si="4"/>
        <v/>
      </c>
      <c r="E30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4" spans="1:28">
      <c r="A304" s="109">
        <f>名前リスト[[#This Row],[管理番号]]</f>
        <v>1047</v>
      </c>
      <c r="B304" s="6">
        <f>IF(NOT(まとめ表_各Aパターン件数[[#This Row],[管理番号]]=""),VLOOKUP(まとめ表_各Aパターン件数[[#This Row],[管理番号]],名前リスト[[#All],[管理番号]:[氏名]],2,TRUE),"")</f>
        <v>0</v>
      </c>
      <c r="C304" s="6" t="str">
        <f>IF(NOT(まとめ表_各Aパターン件数[[#This Row],[管理番号]]=""),VLOOKUP(まとめ表_各Aパターン件数[[#This Row],[管理番号]],名前リスト[[#All],[管理番号]:[氏名]],3,TRUE),"")</f>
        <v>ヤマサカ　ツヨシ</v>
      </c>
      <c r="D304" s="76" t="str">
        <f t="shared" si="4"/>
        <v/>
      </c>
      <c r="E30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5" spans="1:28">
      <c r="A305" s="109">
        <f>名前リスト[[#This Row],[管理番号]]</f>
        <v>1048</v>
      </c>
      <c r="B305" s="6">
        <f>IF(NOT(まとめ表_各Aパターン件数[[#This Row],[管理番号]]=""),VLOOKUP(まとめ表_各Aパターン件数[[#This Row],[管理番号]],名前リスト[[#All],[管理番号]:[氏名]],2,TRUE),"")</f>
        <v>0</v>
      </c>
      <c r="C305" s="6" t="str">
        <f>IF(NOT(まとめ表_各Aパターン件数[[#This Row],[管理番号]]=""),VLOOKUP(まとめ表_各Aパターン件数[[#This Row],[管理番号]],名前リスト[[#All],[管理番号]:[氏名]],3,TRUE),"")</f>
        <v>ミズイ　カンタ</v>
      </c>
      <c r="D305" s="76" t="str">
        <f t="shared" si="4"/>
        <v/>
      </c>
      <c r="E30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6" spans="1:28">
      <c r="A306" s="109">
        <f>名前リスト[[#This Row],[管理番号]]</f>
        <v>1049</v>
      </c>
      <c r="B306" s="6">
        <f>IF(NOT(まとめ表_各Aパターン件数[[#This Row],[管理番号]]=""),VLOOKUP(まとめ表_各Aパターン件数[[#This Row],[管理番号]],名前リスト[[#All],[管理番号]:[氏名]],2,TRUE),"")</f>
        <v>0</v>
      </c>
      <c r="C306" s="6" t="str">
        <f>IF(NOT(まとめ表_各Aパターン件数[[#This Row],[管理番号]]=""),VLOOKUP(まとめ表_各Aパターン件数[[#This Row],[管理番号]],名前リスト[[#All],[管理番号]:[氏名]],3,TRUE),"")</f>
        <v>カキウチ ダイスケ</v>
      </c>
      <c r="D306" s="76" t="str">
        <f t="shared" si="4"/>
        <v/>
      </c>
      <c r="E30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7" spans="1:28">
      <c r="A307" s="109">
        <f>名前リスト[[#This Row],[管理番号]]</f>
        <v>1050</v>
      </c>
      <c r="B307" s="6">
        <f>IF(NOT(まとめ表_各Aパターン件数[[#This Row],[管理番号]]=""),VLOOKUP(まとめ表_各Aパターン件数[[#This Row],[管理番号]],名前リスト[[#All],[管理番号]:[氏名]],2,TRUE),"")</f>
        <v>0</v>
      </c>
      <c r="C307" s="6" t="str">
        <f>IF(NOT(まとめ表_各Aパターン件数[[#This Row],[管理番号]]=""),VLOOKUP(まとめ表_各Aパターン件数[[#This Row],[管理番号]],名前リスト[[#All],[管理番号]:[氏名]],3,TRUE),"")</f>
        <v>タイラ　ユウマ</v>
      </c>
      <c r="D307" s="76" t="str">
        <f t="shared" si="4"/>
        <v/>
      </c>
      <c r="E30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8" spans="1:28">
      <c r="A308" s="109">
        <f>名前リスト[[#This Row],[管理番号]]</f>
        <v>1051</v>
      </c>
      <c r="B308" s="6">
        <f>IF(NOT(まとめ表_各Aパターン件数[[#This Row],[管理番号]]=""),VLOOKUP(まとめ表_各Aパターン件数[[#This Row],[管理番号]],名前リスト[[#All],[管理番号]:[氏名]],2,TRUE),"")</f>
        <v>0</v>
      </c>
      <c r="C308" s="6" t="str">
        <f>IF(NOT(まとめ表_各Aパターン件数[[#This Row],[管理番号]]=""),VLOOKUP(まとめ表_各Aパターン件数[[#This Row],[管理番号]],名前リスト[[#All],[管理番号]:[氏名]],3,TRUE),"")</f>
        <v>マエダ　ケイト</v>
      </c>
      <c r="D308" s="76" t="str">
        <f t="shared" si="4"/>
        <v/>
      </c>
      <c r="E30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09" spans="1:28">
      <c r="A309" s="109">
        <f>名前リスト[[#This Row],[管理番号]]</f>
        <v>1052</v>
      </c>
      <c r="B309" s="6">
        <f>IF(NOT(まとめ表_各Aパターン件数[[#This Row],[管理番号]]=""),VLOOKUP(まとめ表_各Aパターン件数[[#This Row],[管理番号]],名前リスト[[#All],[管理番号]:[氏名]],2,TRUE),"")</f>
        <v>0</v>
      </c>
      <c r="C309" s="6" t="str">
        <f>IF(NOT(まとめ表_各Aパターン件数[[#This Row],[管理番号]]=""),VLOOKUP(まとめ表_各Aパターン件数[[#This Row],[管理番号]],名前リスト[[#All],[管理番号]:[氏名]],3,TRUE),"")</f>
        <v>シマ　カズアキ</v>
      </c>
      <c r="D309" s="76" t="str">
        <f t="shared" si="4"/>
        <v/>
      </c>
      <c r="E30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0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0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0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0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0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0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0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0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0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0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0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0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0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0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0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0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0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0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0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0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0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0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0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0" spans="1:28">
      <c r="A310" s="109">
        <f>名前リスト[[#This Row],[管理番号]]</f>
        <v>1053</v>
      </c>
      <c r="B310" s="6">
        <f>IF(NOT(まとめ表_各Aパターン件数[[#This Row],[管理番号]]=""),VLOOKUP(まとめ表_各Aパターン件数[[#This Row],[管理番号]],名前リスト[[#All],[管理番号]:[氏名]],2,TRUE),"")</f>
        <v>0</v>
      </c>
      <c r="C310" s="6" t="str">
        <f>IF(NOT(まとめ表_各Aパターン件数[[#This Row],[管理番号]]=""),VLOOKUP(まとめ表_各Aパターン件数[[#This Row],[管理番号]],名前リスト[[#All],[管理番号]:[氏名]],3,TRUE),"")</f>
        <v>イシハラ　チズゴ</v>
      </c>
      <c r="D310" s="76" t="str">
        <f t="shared" si="4"/>
        <v/>
      </c>
      <c r="E31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1" spans="1:28">
      <c r="A311" s="109">
        <f>名前リスト[[#This Row],[管理番号]]</f>
        <v>1054</v>
      </c>
      <c r="B311" s="6">
        <f>IF(NOT(まとめ表_各Aパターン件数[[#This Row],[管理番号]]=""),VLOOKUP(まとめ表_各Aパターン件数[[#This Row],[管理番号]],名前リスト[[#All],[管理番号]:[氏名]],2,TRUE),"")</f>
        <v>0</v>
      </c>
      <c r="C311" s="6" t="str">
        <f>IF(NOT(まとめ表_各Aパターン件数[[#This Row],[管理番号]]=""),VLOOKUP(まとめ表_各Aパターン件数[[#This Row],[管理番号]],名前リスト[[#All],[管理番号]:[氏名]],3,TRUE),"")</f>
        <v>フクトミ　ダイスケ</v>
      </c>
      <c r="D311" s="76" t="str">
        <f t="shared" si="4"/>
        <v/>
      </c>
      <c r="E31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2" spans="1:28">
      <c r="A312" s="109">
        <f>名前リスト[[#This Row],[管理番号]]</f>
        <v>1055</v>
      </c>
      <c r="B312" s="6">
        <f>IF(NOT(まとめ表_各Aパターン件数[[#This Row],[管理番号]]=""),VLOOKUP(まとめ表_各Aパターン件数[[#This Row],[管理番号]],名前リスト[[#All],[管理番号]:[氏名]],2,TRUE),"")</f>
        <v>0</v>
      </c>
      <c r="C312" s="6" t="str">
        <f>IF(NOT(まとめ表_各Aパターン件数[[#This Row],[管理番号]]=""),VLOOKUP(まとめ表_各Aパターン件数[[#This Row],[管理番号]],名前リスト[[#All],[管理番号]:[氏名]],3,TRUE),"")</f>
        <v>クワハラ　ジュンマ</v>
      </c>
      <c r="D312" s="76" t="str">
        <f t="shared" si="4"/>
        <v/>
      </c>
      <c r="E31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3" spans="1:28">
      <c r="A313" s="109">
        <f>名前リスト[[#This Row],[管理番号]]</f>
        <v>1056</v>
      </c>
      <c r="B313" s="6">
        <f>IF(NOT(まとめ表_各Aパターン件数[[#This Row],[管理番号]]=""),VLOOKUP(まとめ表_各Aパターン件数[[#This Row],[管理番号]],名前リスト[[#All],[管理番号]:[氏名]],2,TRUE),"")</f>
        <v>0</v>
      </c>
      <c r="C313" s="6" t="str">
        <f>IF(NOT(まとめ表_各Aパターン件数[[#This Row],[管理番号]]=""),VLOOKUP(まとめ表_各Aパターン件数[[#This Row],[管理番号]],名前リスト[[#All],[管理番号]:[氏名]],3,TRUE),"")</f>
        <v>オバタ　ユミ</v>
      </c>
      <c r="D313" s="76" t="str">
        <f t="shared" si="4"/>
        <v/>
      </c>
      <c r="E31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4" spans="1:28">
      <c r="A314" s="109">
        <f>名前リスト[[#This Row],[管理番号]]</f>
        <v>1057</v>
      </c>
      <c r="B314" s="6">
        <f>IF(NOT(まとめ表_各Aパターン件数[[#This Row],[管理番号]]=""),VLOOKUP(まとめ表_各Aパターン件数[[#This Row],[管理番号]],名前リスト[[#All],[管理番号]:[氏名]],2,TRUE),"")</f>
        <v>0</v>
      </c>
      <c r="C314" s="6" t="str">
        <f>IF(NOT(まとめ表_各Aパターン件数[[#This Row],[管理番号]]=""),VLOOKUP(まとめ表_各Aパターン件数[[#This Row],[管理番号]],名前リスト[[#All],[管理番号]:[氏名]],3,TRUE),"")</f>
        <v>シチジョウ　タクミ</v>
      </c>
      <c r="D314" s="76" t="str">
        <f t="shared" si="4"/>
        <v/>
      </c>
      <c r="E31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5" spans="1:28">
      <c r="A315" s="109">
        <f>名前リスト[[#This Row],[管理番号]]</f>
        <v>1058</v>
      </c>
      <c r="B315" s="6">
        <f>IF(NOT(まとめ表_各Aパターン件数[[#This Row],[管理番号]]=""),VLOOKUP(まとめ表_各Aパターン件数[[#This Row],[管理番号]],名前リスト[[#All],[管理番号]:[氏名]],2,TRUE),"")</f>
        <v>0</v>
      </c>
      <c r="C315" s="6" t="str">
        <f>IF(NOT(まとめ表_各Aパターン件数[[#This Row],[管理番号]]=""),VLOOKUP(まとめ表_各Aパターン件数[[#This Row],[管理番号]],名前リスト[[#All],[管理番号]:[氏名]],3,TRUE),"")</f>
        <v>ヤノ　コウキ</v>
      </c>
      <c r="D315" s="76" t="str">
        <f t="shared" si="4"/>
        <v/>
      </c>
      <c r="E31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6" spans="1:28">
      <c r="A316" s="109">
        <f>名前リスト[[#This Row],[管理番号]]</f>
        <v>1059</v>
      </c>
      <c r="B316" s="6">
        <f>IF(NOT(まとめ表_各Aパターン件数[[#This Row],[管理番号]]=""),VLOOKUP(まとめ表_各Aパターン件数[[#This Row],[管理番号]],名前リスト[[#All],[管理番号]:[氏名]],2,TRUE),"")</f>
        <v>0</v>
      </c>
      <c r="C316" s="6" t="str">
        <f>IF(NOT(まとめ表_各Aパターン件数[[#This Row],[管理番号]]=""),VLOOKUP(まとめ表_各Aパターン件数[[#This Row],[管理番号]],名前リスト[[#All],[管理番号]:[氏名]],3,TRUE),"")</f>
        <v>ミヨシ　ユウダイ</v>
      </c>
      <c r="D316" s="76" t="str">
        <f t="shared" si="4"/>
        <v/>
      </c>
      <c r="E31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7" spans="1:28">
      <c r="A317" s="109">
        <f>名前リスト[[#This Row],[管理番号]]</f>
        <v>1060</v>
      </c>
      <c r="B317" s="6">
        <f>IF(NOT(まとめ表_各Aパターン件数[[#This Row],[管理番号]]=""),VLOOKUP(まとめ表_各Aパターン件数[[#This Row],[管理番号]],名前リスト[[#All],[管理番号]:[氏名]],2,TRUE),"")</f>
        <v>0</v>
      </c>
      <c r="C317" s="6" t="str">
        <f>IF(NOT(まとめ表_各Aパターン件数[[#This Row],[管理番号]]=""),VLOOKUP(まとめ表_各Aパターン件数[[#This Row],[管理番号]],名前リスト[[#All],[管理番号]:[氏名]],3,TRUE),"")</f>
        <v>ヤマモト　ハヤテ</v>
      </c>
      <c r="D317" s="76" t="str">
        <f t="shared" si="4"/>
        <v/>
      </c>
      <c r="E31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8" spans="1:28">
      <c r="A318" s="109">
        <f>名前リスト[[#This Row],[管理番号]]</f>
        <v>1061</v>
      </c>
      <c r="B318" s="6">
        <f>IF(NOT(まとめ表_各Aパターン件数[[#This Row],[管理番号]]=""),VLOOKUP(まとめ表_各Aパターン件数[[#This Row],[管理番号]],名前リスト[[#All],[管理番号]:[氏名]],2,TRUE),"")</f>
        <v>0</v>
      </c>
      <c r="C318" s="6" t="str">
        <f>IF(NOT(まとめ表_各Aパターン件数[[#This Row],[管理番号]]=""),VLOOKUP(まとめ表_各Aパターン件数[[#This Row],[管理番号]],名前リスト[[#All],[管理番号]:[氏名]],3,TRUE),"")</f>
        <v>ナカニシ　コウキ</v>
      </c>
      <c r="D318" s="76" t="str">
        <f t="shared" si="4"/>
        <v/>
      </c>
      <c r="E31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19" spans="1:28">
      <c r="A319" s="109">
        <f>名前リスト[[#This Row],[管理番号]]</f>
        <v>1062</v>
      </c>
      <c r="B319" s="6">
        <f>IF(NOT(まとめ表_各Aパターン件数[[#This Row],[管理番号]]=""),VLOOKUP(まとめ表_各Aパターン件数[[#This Row],[管理番号]],名前リスト[[#All],[管理番号]:[氏名]],2,TRUE),"")</f>
        <v>0</v>
      </c>
      <c r="C319" s="6" t="str">
        <f>IF(NOT(まとめ表_各Aパターン件数[[#This Row],[管理番号]]=""),VLOOKUP(まとめ表_各Aパターン件数[[#This Row],[管理番号]],名前リスト[[#All],[管理番号]:[氏名]],3,TRUE),"")</f>
        <v>ヨシカワ ケンシン</v>
      </c>
      <c r="D319" s="76" t="str">
        <f t="shared" si="4"/>
        <v/>
      </c>
      <c r="E31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1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1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1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1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1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1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1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1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1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1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1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1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1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1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1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1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1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1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1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1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1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1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1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0" spans="1:28">
      <c r="A320" s="109">
        <f>名前リスト[[#This Row],[管理番号]]</f>
        <v>1063</v>
      </c>
      <c r="B320" s="6">
        <f>IF(NOT(まとめ表_各Aパターン件数[[#This Row],[管理番号]]=""),VLOOKUP(まとめ表_各Aパターン件数[[#This Row],[管理番号]],名前リスト[[#All],[管理番号]:[氏名]],2,TRUE),"")</f>
        <v>0</v>
      </c>
      <c r="C320" s="6" t="str">
        <f>IF(NOT(まとめ表_各Aパターン件数[[#This Row],[管理番号]]=""),VLOOKUP(まとめ表_各Aパターン件数[[#This Row],[管理番号]],名前リスト[[#All],[管理番号]:[氏名]],3,TRUE),"")</f>
        <v>サカウエ　ハルキ</v>
      </c>
      <c r="D320" s="76" t="str">
        <f t="shared" si="4"/>
        <v/>
      </c>
      <c r="E32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1" spans="1:28">
      <c r="A321" s="109">
        <f>名前リスト[[#This Row],[管理番号]]</f>
        <v>1064</v>
      </c>
      <c r="B321" s="6">
        <f>IF(NOT(まとめ表_各Aパターン件数[[#This Row],[管理番号]]=""),VLOOKUP(まとめ表_各Aパターン件数[[#This Row],[管理番号]],名前リスト[[#All],[管理番号]:[氏名]],2,TRUE),"")</f>
        <v>0</v>
      </c>
      <c r="C321" s="6" t="str">
        <f>IF(NOT(まとめ表_各Aパターン件数[[#This Row],[管理番号]]=""),VLOOKUP(まとめ表_各Aパターン件数[[#This Row],[管理番号]],名前リスト[[#All],[管理番号]:[氏名]],3,TRUE),"")</f>
        <v>オダ　テッペイ</v>
      </c>
      <c r="D321" s="76" t="str">
        <f t="shared" si="4"/>
        <v/>
      </c>
      <c r="E32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2" spans="1:28">
      <c r="A322" s="109">
        <f>名前リスト[[#This Row],[管理番号]]</f>
        <v>1065</v>
      </c>
      <c r="B322" s="6">
        <f>IF(NOT(まとめ表_各Aパターン件数[[#This Row],[管理番号]]=""),VLOOKUP(まとめ表_各Aパターン件数[[#This Row],[管理番号]],名前リスト[[#All],[管理番号]:[氏名]],2,TRUE),"")</f>
        <v>0</v>
      </c>
      <c r="C322" s="6" t="str">
        <f>IF(NOT(まとめ表_各Aパターン件数[[#This Row],[管理番号]]=""),VLOOKUP(まとめ表_各Aパターン件数[[#This Row],[管理番号]],名前リスト[[#All],[管理番号]:[氏名]],3,TRUE),"")</f>
        <v>ヤマグチ　マリ</v>
      </c>
      <c r="D322" s="76" t="str">
        <f t="shared" ref="D322:D351" si="5">IF(SUM(E322:XFD322)=0,"",SUM(E322:XFD322))</f>
        <v/>
      </c>
      <c r="E32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3" spans="1:28">
      <c r="A323" s="109">
        <f>名前リスト[[#This Row],[管理番号]]</f>
        <v>1066</v>
      </c>
      <c r="B323" s="6">
        <f>IF(NOT(まとめ表_各Aパターン件数[[#This Row],[管理番号]]=""),VLOOKUP(まとめ表_各Aパターン件数[[#This Row],[管理番号]],名前リスト[[#All],[管理番号]:[氏名]],2,TRUE),"")</f>
        <v>0</v>
      </c>
      <c r="C323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3" s="76" t="str">
        <f t="shared" si="5"/>
        <v/>
      </c>
      <c r="E32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4" spans="1:28">
      <c r="A324" s="109">
        <f>名前リスト[[#This Row],[管理番号]]</f>
        <v>1067</v>
      </c>
      <c r="B324" s="6">
        <f>IF(NOT(まとめ表_各Aパターン件数[[#This Row],[管理番号]]=""),VLOOKUP(まとめ表_各Aパターン件数[[#This Row],[管理番号]],名前リスト[[#All],[管理番号]:[氏名]],2,TRUE),"")</f>
        <v>0</v>
      </c>
      <c r="C324" s="6" t="str">
        <f>IF(NOT(まとめ表_各Aパターン件数[[#This Row],[管理番号]]=""),VLOOKUP(まとめ表_各Aパターン件数[[#This Row],[管理番号]],名前リスト[[#All],[管理番号]:[氏名]],3,TRUE),"")</f>
        <v>タキガワ　アヤネ</v>
      </c>
      <c r="D324" s="76" t="str">
        <f t="shared" si="5"/>
        <v/>
      </c>
      <c r="E32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5" spans="1:28">
      <c r="A325" s="109">
        <f>名前リスト[[#This Row],[管理番号]]</f>
        <v>1068</v>
      </c>
      <c r="B325" s="6">
        <f>IF(NOT(まとめ表_各Aパターン件数[[#This Row],[管理番号]]=""),VLOOKUP(まとめ表_各Aパターン件数[[#This Row],[管理番号]],名前リスト[[#All],[管理番号]:[氏名]],2,TRUE),"")</f>
        <v>0</v>
      </c>
      <c r="C325" s="6" t="str">
        <f>IF(NOT(まとめ表_各Aパターン件数[[#This Row],[管理番号]]=""),VLOOKUP(まとめ表_各Aパターン件数[[#This Row],[管理番号]],名前リスト[[#All],[管理番号]:[氏名]],3,TRUE),"")</f>
        <v>ニシダ　マナ</v>
      </c>
      <c r="D325" s="76" t="str">
        <f t="shared" si="5"/>
        <v/>
      </c>
      <c r="E32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6" spans="1:28">
      <c r="A326" s="109">
        <f>名前リスト[[#This Row],[管理番号]]</f>
        <v>1069</v>
      </c>
      <c r="B326" s="6">
        <f>IF(NOT(まとめ表_各Aパターン件数[[#This Row],[管理番号]]=""),VLOOKUP(まとめ表_各Aパターン件数[[#This Row],[管理番号]],名前リスト[[#All],[管理番号]:[氏名]],2,TRUE),"")</f>
        <v>0</v>
      </c>
      <c r="C326" s="6" t="str">
        <f>IF(NOT(まとめ表_各Aパターン件数[[#This Row],[管理番号]]=""),VLOOKUP(まとめ表_各Aパターン件数[[#This Row],[管理番号]],名前リスト[[#All],[管理番号]:[氏名]],3,TRUE),"")</f>
        <v>フジヨシ　カゼヒロ</v>
      </c>
      <c r="D326" s="76" t="str">
        <f t="shared" si="5"/>
        <v/>
      </c>
      <c r="E32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7" spans="1:28">
      <c r="A327" s="109">
        <f>名前リスト[[#This Row],[管理番号]]</f>
        <v>1070</v>
      </c>
      <c r="B327" s="6">
        <f>IF(NOT(まとめ表_各Aパターン件数[[#This Row],[管理番号]]=""),VLOOKUP(まとめ表_各Aパターン件数[[#This Row],[管理番号]],名前リスト[[#All],[管理番号]:[氏名]],2,TRUE),"")</f>
        <v>0</v>
      </c>
      <c r="C327" s="6" t="str">
        <f>IF(NOT(まとめ表_各Aパターン件数[[#This Row],[管理番号]]=""),VLOOKUP(まとめ表_各Aパターン件数[[#This Row],[管理番号]],名前リスト[[#All],[管理番号]:[氏名]],3,TRUE),"")</f>
        <v>ホリタ コウガ</v>
      </c>
      <c r="D327" s="76" t="str">
        <f t="shared" si="5"/>
        <v/>
      </c>
      <c r="E32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8" spans="1:28">
      <c r="A328" s="109">
        <f>名前リスト[[#This Row],[管理番号]]</f>
        <v>1071</v>
      </c>
      <c r="B328" s="6">
        <f>IF(NOT(まとめ表_各Aパターン件数[[#This Row],[管理番号]]=""),VLOOKUP(まとめ表_各Aパターン件数[[#This Row],[管理番号]],名前リスト[[#All],[管理番号]:[氏名]],2,TRUE),"")</f>
        <v>0</v>
      </c>
      <c r="C328" s="6" t="str">
        <f>IF(NOT(まとめ表_各Aパターン件数[[#This Row],[管理番号]]=""),VLOOKUP(まとめ表_各Aパターン件数[[#This Row],[管理番号]],名前リスト[[#All],[管理番号]:[氏名]],3,TRUE),"")</f>
        <v>ナカタ　モモ</v>
      </c>
      <c r="D328" s="76" t="str">
        <f t="shared" si="5"/>
        <v/>
      </c>
      <c r="E32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29" spans="1:28">
      <c r="A329" s="109">
        <f>名前リスト[[#This Row],[管理番号]]</f>
        <v>1072</v>
      </c>
      <c r="B329" s="6">
        <f>IF(NOT(まとめ表_各Aパターン件数[[#This Row],[管理番号]]=""),VLOOKUP(まとめ表_各Aパターン件数[[#This Row],[管理番号]],名前リスト[[#All],[管理番号]:[氏名]],2,TRUE),"")</f>
        <v>0</v>
      </c>
      <c r="C329" s="6" t="str">
        <f>IF(NOT(まとめ表_各Aパターン件数[[#This Row],[管理番号]]=""),VLOOKUP(まとめ表_各Aパターン件数[[#This Row],[管理番号]],名前リスト[[#All],[管理番号]:[氏名]],3,TRUE),"")</f>
        <v>ホシバ　モモカ</v>
      </c>
      <c r="D329" s="76" t="str">
        <f t="shared" si="5"/>
        <v/>
      </c>
      <c r="E32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2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2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2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2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2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2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2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2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2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2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2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2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2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2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2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2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2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2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2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2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2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2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2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0" spans="1:28">
      <c r="A330" s="109">
        <f>名前リスト[[#This Row],[管理番号]]</f>
        <v>1073</v>
      </c>
      <c r="B330" s="6">
        <f>IF(NOT(まとめ表_各Aパターン件数[[#This Row],[管理番号]]=""),VLOOKUP(まとめ表_各Aパターン件数[[#This Row],[管理番号]],名前リスト[[#All],[管理番号]:[氏名]],2,TRUE),"")</f>
        <v>0</v>
      </c>
      <c r="C330" s="6" t="str">
        <f>IF(NOT(まとめ表_各Aパターン件数[[#This Row],[管理番号]]=""),VLOOKUP(まとめ表_各Aパターン件数[[#This Row],[管理番号]],名前リスト[[#All],[管理番号]:[氏名]],3,TRUE),"")</f>
        <v>ツジハラ　タクヤ</v>
      </c>
      <c r="D330" s="76" t="str">
        <f t="shared" si="5"/>
        <v/>
      </c>
      <c r="E33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1" spans="1:28">
      <c r="A331" s="109">
        <f>名前リスト[[#This Row],[管理番号]]</f>
        <v>1074</v>
      </c>
      <c r="B331" s="6">
        <f>IF(NOT(まとめ表_各Aパターン件数[[#This Row],[管理番号]]=""),VLOOKUP(まとめ表_各Aパターン件数[[#This Row],[管理番号]],名前リスト[[#All],[管理番号]:[氏名]],2,TRUE),"")</f>
        <v>0</v>
      </c>
      <c r="C331" s="6" t="str">
        <f>IF(NOT(まとめ表_各Aパターン件数[[#This Row],[管理番号]]=""),VLOOKUP(まとめ表_各Aパターン件数[[#This Row],[管理番号]],名前リスト[[#All],[管理番号]:[氏名]],3,TRUE),"")</f>
        <v>ハジメ　トモヤ</v>
      </c>
      <c r="D331" s="76" t="str">
        <f t="shared" si="5"/>
        <v/>
      </c>
      <c r="E33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2" spans="1:28">
      <c r="A332" s="109">
        <f>名前リスト[[#This Row],[管理番号]]</f>
        <v>1075</v>
      </c>
      <c r="B332" s="6">
        <f>IF(NOT(まとめ表_各Aパターン件数[[#This Row],[管理番号]]=""),VLOOKUP(まとめ表_各Aパターン件数[[#This Row],[管理番号]],名前リスト[[#All],[管理番号]:[氏名]],2,TRUE),"")</f>
        <v>0</v>
      </c>
      <c r="C332" s="6" t="str">
        <f>IF(NOT(まとめ表_各Aパターン件数[[#This Row],[管理番号]]=""),VLOOKUP(まとめ表_各Aパターン件数[[#This Row],[管理番号]],名前リスト[[#All],[管理番号]:[氏名]],3,TRUE),"")</f>
        <v>ウエダ　ショウブ</v>
      </c>
      <c r="D332" s="76" t="str">
        <f t="shared" si="5"/>
        <v/>
      </c>
      <c r="E33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3" spans="1:28">
      <c r="A333" s="109">
        <f>名前リスト[[#This Row],[管理番号]]</f>
        <v>1076</v>
      </c>
      <c r="B333" s="6">
        <f>IF(NOT(まとめ表_各Aパターン件数[[#This Row],[管理番号]]=""),VLOOKUP(まとめ表_各Aパターン件数[[#This Row],[管理番号]],名前リスト[[#All],[管理番号]:[氏名]],2,TRUE),"")</f>
        <v>0</v>
      </c>
      <c r="C333" s="6" t="str">
        <f>IF(NOT(まとめ表_各Aパターン件数[[#This Row],[管理番号]]=""),VLOOKUP(まとめ表_各Aパターン件数[[#This Row],[管理番号]],名前リスト[[#All],[管理番号]:[氏名]],3,TRUE),"")</f>
        <v>サノ ジュンコ</v>
      </c>
      <c r="D333" s="76" t="str">
        <f t="shared" si="5"/>
        <v/>
      </c>
      <c r="E33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4" spans="1:28">
      <c r="A334" s="109">
        <f>名前リスト[[#This Row],[管理番号]]</f>
        <v>1077</v>
      </c>
      <c r="B334" s="6">
        <f>IF(NOT(まとめ表_各Aパターン件数[[#This Row],[管理番号]]=""),VLOOKUP(まとめ表_各Aパターン件数[[#This Row],[管理番号]],名前リスト[[#All],[管理番号]:[氏名]],2,TRUE),"")</f>
        <v>0</v>
      </c>
      <c r="C334" s="6" t="str">
        <f>IF(NOT(まとめ表_各Aパターン件数[[#This Row],[管理番号]]=""),VLOOKUP(まとめ表_各Aパターン件数[[#This Row],[管理番号]],名前リスト[[#All],[管理番号]:[氏名]],3,TRUE),"")</f>
        <v>ミチノ　ナツキ</v>
      </c>
      <c r="D334" s="76" t="str">
        <f t="shared" si="5"/>
        <v/>
      </c>
      <c r="E33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5" spans="1:28">
      <c r="A335" s="109">
        <f>名前リスト[[#This Row],[管理番号]]</f>
        <v>1078</v>
      </c>
      <c r="B335" s="6">
        <f>IF(NOT(まとめ表_各Aパターン件数[[#This Row],[管理番号]]=""),VLOOKUP(まとめ表_各Aパターン件数[[#This Row],[管理番号]],名前リスト[[#All],[管理番号]:[氏名]],2,TRUE),"")</f>
        <v>0</v>
      </c>
      <c r="C335" s="6" t="str">
        <f>IF(NOT(まとめ表_各Aパターン件数[[#This Row],[管理番号]]=""),VLOOKUP(まとめ表_各Aパターン件数[[#This Row],[管理番号]],名前リスト[[#All],[管理番号]:[氏名]],3,TRUE),"")</f>
        <v>ヤマグチ　マサト</v>
      </c>
      <c r="D335" s="76" t="str">
        <f t="shared" si="5"/>
        <v/>
      </c>
      <c r="E33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6" spans="1:28">
      <c r="A336" s="109">
        <f>名前リスト[[#This Row],[管理番号]]</f>
        <v>1079</v>
      </c>
      <c r="B336" s="6">
        <f>IF(NOT(まとめ表_各Aパターン件数[[#This Row],[管理番号]]=""),VLOOKUP(まとめ表_各Aパターン件数[[#This Row],[管理番号]],名前リスト[[#All],[管理番号]:[氏名]],2,TRUE),"")</f>
        <v>0</v>
      </c>
      <c r="C336" s="6" t="str">
        <f>IF(NOT(まとめ表_各Aパターン件数[[#This Row],[管理番号]]=""),VLOOKUP(まとめ表_各Aパターン件数[[#This Row],[管理番号]],名前リスト[[#All],[管理番号]:[氏名]],3,TRUE),"")</f>
        <v>クボ　ヒヨリ</v>
      </c>
      <c r="D336" s="76" t="str">
        <f t="shared" si="5"/>
        <v/>
      </c>
      <c r="E33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7" spans="1:28">
      <c r="A337" s="109">
        <f>名前リスト[[#This Row],[管理番号]]</f>
        <v>1080</v>
      </c>
      <c r="B337" s="6">
        <f>IF(NOT(まとめ表_各Aパターン件数[[#This Row],[管理番号]]=""),VLOOKUP(まとめ表_各Aパターン件数[[#This Row],[管理番号]],名前リスト[[#All],[管理番号]:[氏名]],2,TRUE),"")</f>
        <v>0</v>
      </c>
      <c r="C337" s="6" t="str">
        <f>IF(NOT(まとめ表_各Aパターン件数[[#This Row],[管理番号]]=""),VLOOKUP(まとめ表_各Aパターン件数[[#This Row],[管理番号]],名前リスト[[#All],[管理番号]:[氏名]],3,TRUE),"")</f>
        <v>ナガイ　タツキ</v>
      </c>
      <c r="D337" s="76" t="str">
        <f t="shared" si="5"/>
        <v/>
      </c>
      <c r="E33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8" spans="1:28">
      <c r="A338" s="109">
        <f>名前リスト[[#This Row],[管理番号]]</f>
        <v>1081</v>
      </c>
      <c r="B338" s="6">
        <f>IF(NOT(まとめ表_各Aパターン件数[[#This Row],[管理番号]]=""),VLOOKUP(まとめ表_各Aパターン件数[[#This Row],[管理番号]],名前リスト[[#All],[管理番号]:[氏名]],2,TRUE),"")</f>
        <v>0</v>
      </c>
      <c r="C338" s="6" t="str">
        <f>IF(NOT(まとめ表_各Aパターン件数[[#This Row],[管理番号]]=""),VLOOKUP(まとめ表_各Aパターン件数[[#This Row],[管理番号]],名前リスト[[#All],[管理番号]:[氏名]],3,TRUE),"")</f>
        <v>タニマ　ショウタ</v>
      </c>
      <c r="D338" s="76" t="str">
        <f t="shared" si="5"/>
        <v/>
      </c>
      <c r="E33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39" spans="1:28">
      <c r="A339" s="109">
        <f>名前リスト[[#This Row],[管理番号]]</f>
        <v>1082</v>
      </c>
      <c r="B339" s="6">
        <f>IF(NOT(まとめ表_各Aパターン件数[[#This Row],[管理番号]]=""),VLOOKUP(まとめ表_各Aパターン件数[[#This Row],[管理番号]],名前リスト[[#All],[管理番号]:[氏名]],2,TRUE),"")</f>
        <v>0</v>
      </c>
      <c r="C339" s="6" t="str">
        <f>IF(NOT(まとめ表_各Aパターン件数[[#This Row],[管理番号]]=""),VLOOKUP(まとめ表_各Aパターン件数[[#This Row],[管理番号]],名前リスト[[#All],[管理番号]:[氏名]],3,TRUE),"")</f>
        <v>コバヤシ　ユウタ</v>
      </c>
      <c r="D339" s="76" t="str">
        <f t="shared" si="5"/>
        <v/>
      </c>
      <c r="E33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3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3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3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3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3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3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3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3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3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3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3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3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3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3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3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3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3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3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3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3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3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3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3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0" spans="1:28">
      <c r="A340" s="109">
        <f>名前リスト[[#This Row],[管理番号]]</f>
        <v>1083</v>
      </c>
      <c r="B340" s="6">
        <f>IF(NOT(まとめ表_各Aパターン件数[[#This Row],[管理番号]]=""),VLOOKUP(まとめ表_各Aパターン件数[[#This Row],[管理番号]],名前リスト[[#All],[管理番号]:[氏名]],2,TRUE),"")</f>
        <v>0</v>
      </c>
      <c r="C340" s="6" t="str">
        <f>IF(NOT(まとめ表_各Aパターン件数[[#This Row],[管理番号]]=""),VLOOKUP(まとめ表_各Aパターン件数[[#This Row],[管理番号]],名前リスト[[#All],[管理番号]:[氏名]],3,TRUE),"")</f>
        <v>フルモト　ダイキ</v>
      </c>
      <c r="D340" s="76" t="str">
        <f t="shared" si="5"/>
        <v/>
      </c>
      <c r="E34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1" spans="1:28">
      <c r="A341" s="109">
        <f>名前リスト[[#This Row],[管理番号]]</f>
        <v>1084</v>
      </c>
      <c r="B341" s="6">
        <f>IF(NOT(まとめ表_各Aパターン件数[[#This Row],[管理番号]]=""),VLOOKUP(まとめ表_各Aパターン件数[[#This Row],[管理番号]],名前リスト[[#All],[管理番号]:[氏名]],2,TRUE),"")</f>
        <v>0</v>
      </c>
      <c r="C341" s="6" t="str">
        <f>IF(NOT(まとめ表_各Aパターン件数[[#This Row],[管理番号]]=""),VLOOKUP(まとめ表_各Aパターン件数[[#This Row],[管理番号]],名前リスト[[#All],[管理番号]:[氏名]],3,TRUE),"")</f>
        <v>ミチネ　アンナ</v>
      </c>
      <c r="D341" s="76" t="str">
        <f t="shared" si="5"/>
        <v/>
      </c>
      <c r="E34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2" spans="1:28">
      <c r="A342" s="109">
        <f>名前リスト[[#This Row],[管理番号]]</f>
        <v>1085</v>
      </c>
      <c r="B342" s="6">
        <f>IF(NOT(まとめ表_各Aパターン件数[[#This Row],[管理番号]]=""),VLOOKUP(まとめ表_各Aパターン件数[[#This Row],[管理番号]],名前リスト[[#All],[管理番号]:[氏名]],2,TRUE),"")</f>
        <v>0</v>
      </c>
      <c r="C342" s="6" t="str">
        <f>IF(NOT(まとめ表_各Aパターン件数[[#This Row],[管理番号]]=""),VLOOKUP(まとめ表_各Aパターン件数[[#This Row],[管理番号]],名前リスト[[#All],[管理番号]:[氏名]],3,TRUE),"")</f>
        <v>イケダ　アキヒロ</v>
      </c>
      <c r="D342" s="76" t="str">
        <f t="shared" si="5"/>
        <v/>
      </c>
      <c r="E342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2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2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2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2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2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2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2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2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2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2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2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2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2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2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2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2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2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2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2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2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2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2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2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3" spans="1:28">
      <c r="A343" s="109">
        <f>名前リスト[[#This Row],[管理番号]]</f>
        <v>1086</v>
      </c>
      <c r="B343" s="6">
        <f>IF(NOT(まとめ表_各Aパターン件数[[#This Row],[管理番号]]=""),VLOOKUP(まとめ表_各Aパターン件数[[#This Row],[管理番号]],名前リスト[[#All],[管理番号]:[氏名]],2,TRUE),"")</f>
        <v>0</v>
      </c>
      <c r="C343" s="6" t="str">
        <f>IF(NOT(まとめ表_各Aパターン件数[[#This Row],[管理番号]]=""),VLOOKUP(まとめ表_各Aパターン件数[[#This Row],[管理番号]],名前リスト[[#All],[管理番号]:[氏名]],3,TRUE),"")</f>
        <v>タケムラ　マヤ</v>
      </c>
      <c r="D343" s="76" t="str">
        <f t="shared" si="5"/>
        <v/>
      </c>
      <c r="E343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3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3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3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3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3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3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3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3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3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3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3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3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3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3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3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3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3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3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3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3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3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3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3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4" spans="1:28">
      <c r="A344" s="109">
        <f>名前リスト[[#This Row],[管理番号]]</f>
        <v>1087</v>
      </c>
      <c r="B344" s="6">
        <f>IF(NOT(まとめ表_各Aパターン件数[[#This Row],[管理番号]]=""),VLOOKUP(まとめ表_各Aパターン件数[[#This Row],[管理番号]],名前リスト[[#All],[管理番号]:[氏名]],2,TRUE),"")</f>
        <v>0</v>
      </c>
      <c r="C344" s="6" t="str">
        <f>IF(NOT(まとめ表_各Aパターン件数[[#This Row],[管理番号]]=""),VLOOKUP(まとめ表_各Aパターン件数[[#This Row],[管理番号]],名前リスト[[#All],[管理番号]:[氏名]],3,TRUE),"")</f>
        <v>ツジ　カスミ</v>
      </c>
      <c r="D344" s="76" t="str">
        <f t="shared" si="5"/>
        <v/>
      </c>
      <c r="E344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4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4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4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4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4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4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4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4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4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4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4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4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4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4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4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4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4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4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4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4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4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4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4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5" spans="1:28">
      <c r="A345" s="109">
        <f>名前リスト[[#This Row],[管理番号]]</f>
        <v>1088</v>
      </c>
      <c r="B345" s="6">
        <f>IF(NOT(まとめ表_各Aパターン件数[[#This Row],[管理番号]]=""),VLOOKUP(まとめ表_各Aパターン件数[[#This Row],[管理番号]],名前リスト[[#All],[管理番号]:[氏名]],2,TRUE),"")</f>
        <v>0</v>
      </c>
      <c r="C345" s="6" t="str">
        <f>IF(NOT(まとめ表_各Aパターン件数[[#This Row],[管理番号]]=""),VLOOKUP(まとめ表_各Aパターン件数[[#This Row],[管理番号]],名前リスト[[#All],[管理番号]:[氏名]],3,TRUE),"")</f>
        <v>ムラオカ　ナナ</v>
      </c>
      <c r="D345" s="76" t="str">
        <f t="shared" si="5"/>
        <v/>
      </c>
      <c r="E345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5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5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5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5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5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5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5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5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5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5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5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5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5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5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5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5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5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5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5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5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5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5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5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6" spans="1:28">
      <c r="A346" s="109">
        <f>名前リスト[[#This Row],[管理番号]]</f>
        <v>1089</v>
      </c>
      <c r="B346" s="6">
        <f>IF(NOT(まとめ表_各Aパターン件数[[#This Row],[管理番号]]=""),VLOOKUP(まとめ表_各Aパターン件数[[#This Row],[管理番号]],名前リスト[[#All],[管理番号]:[氏名]],2,TRUE),"")</f>
        <v>0</v>
      </c>
      <c r="C346" s="6" t="str">
        <f>IF(NOT(まとめ表_各Aパターン件数[[#This Row],[管理番号]]=""),VLOOKUP(まとめ表_各Aパターン件数[[#This Row],[管理番号]],名前リスト[[#All],[管理番号]:[氏名]],3,TRUE),"")</f>
        <v>オノ　リンタロウ</v>
      </c>
      <c r="D346" s="76" t="str">
        <f t="shared" si="5"/>
        <v/>
      </c>
      <c r="E346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6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6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6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6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6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6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6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6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6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6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6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6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6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6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6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6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6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6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6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6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6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6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6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7" spans="1:28">
      <c r="A347" s="109">
        <f>名前リスト[[#This Row],[管理番号]]</f>
        <v>1090</v>
      </c>
      <c r="B347" s="6">
        <f>IF(NOT(まとめ表_各Aパターン件数[[#This Row],[管理番号]]=""),VLOOKUP(まとめ表_各Aパターン件数[[#This Row],[管理番号]],名前リスト[[#All],[管理番号]:[氏名]],2,TRUE),"")</f>
        <v>0</v>
      </c>
      <c r="C347" s="6" t="str">
        <f>IF(NOT(まとめ表_各Aパターン件数[[#This Row],[管理番号]]=""),VLOOKUP(まとめ表_各Aパターン件数[[#This Row],[管理番号]],名前リスト[[#All],[管理番号]:[氏名]],3,TRUE),"")</f>
        <v>ハヤシ サヤカ</v>
      </c>
      <c r="D347" s="76" t="str">
        <f t="shared" si="5"/>
        <v/>
      </c>
      <c r="E347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7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7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7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7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7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7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7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7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7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7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7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7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7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7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7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7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7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7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7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7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7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7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7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8" spans="1:28">
      <c r="A348" s="109">
        <f>名前リスト[[#This Row],[管理番号]]</f>
        <v>1091</v>
      </c>
      <c r="B348" s="6">
        <f>IF(NOT(まとめ表_各Aパターン件数[[#This Row],[管理番号]]=""),VLOOKUP(まとめ表_各Aパターン件数[[#This Row],[管理番号]],名前リスト[[#All],[管理番号]:[氏名]],2,TRUE),"")</f>
        <v>0</v>
      </c>
      <c r="C348" s="6">
        <f>IF(NOT(まとめ表_各Aパターン件数[[#This Row],[管理番号]]=""),VLOOKUP(まとめ表_各Aパターン件数[[#This Row],[管理番号]],名前リスト[[#All],[管理番号]:[氏名]],3,TRUE),"")</f>
        <v>0</v>
      </c>
      <c r="D348" s="76" t="str">
        <f t="shared" si="5"/>
        <v/>
      </c>
      <c r="E348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8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8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8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8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8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8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8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8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8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8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8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8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8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8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8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8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8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8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8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8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8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8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8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49" spans="1:28">
      <c r="A349" s="109">
        <f>名前リスト[[#This Row],[管理番号]]</f>
        <v>1092</v>
      </c>
      <c r="B349" s="6">
        <f>IF(NOT(まとめ表_各Aパターン件数[[#This Row],[管理番号]]=""),VLOOKUP(まとめ表_各Aパターン件数[[#This Row],[管理番号]],名前リスト[[#All],[管理番号]:[氏名]],2,TRUE),"")</f>
        <v>0</v>
      </c>
      <c r="C349" s="6">
        <f>IF(NOT(まとめ表_各Aパターン件数[[#This Row],[管理番号]]=""),VLOOKUP(まとめ表_各Aパターン件数[[#This Row],[管理番号]],名前リスト[[#All],[管理番号]:[氏名]],3,TRUE),"")</f>
        <v>0</v>
      </c>
      <c r="D349" s="76" t="str">
        <f t="shared" si="5"/>
        <v/>
      </c>
      <c r="E349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49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49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49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49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49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49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49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49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49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49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49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49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49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49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49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49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49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49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49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49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49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49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49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0" spans="1:28">
      <c r="A350" s="109">
        <f>名前リスト[[#This Row],[管理番号]]</f>
        <v>1093</v>
      </c>
      <c r="B350" s="6">
        <f>IF(NOT(まとめ表_各Aパターン件数[[#This Row],[管理番号]]=""),VLOOKUP(まとめ表_各Aパターン件数[[#This Row],[管理番号]],名前リスト[[#All],[管理番号]:[氏名]],2,TRUE),"")</f>
        <v>0</v>
      </c>
      <c r="C350" s="6">
        <f>IF(NOT(まとめ表_各Aパターン件数[[#This Row],[管理番号]]=""),VLOOKUP(まとめ表_各Aパターン件数[[#This Row],[管理番号]],名前リスト[[#All],[管理番号]:[氏名]],3,TRUE),"")</f>
        <v>0</v>
      </c>
      <c r="D350" s="76" t="str">
        <f t="shared" si="5"/>
        <v/>
      </c>
      <c r="E350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0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0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0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0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0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0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0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0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0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0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0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0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0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0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0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0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0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0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0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0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0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0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0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  <row r="351" spans="1:28">
      <c r="A351" s="109">
        <f>名前リスト[[#This Row],[管理番号]]</f>
        <v>1094</v>
      </c>
      <c r="B351" s="6" t="str">
        <f>IF(NOT(まとめ表_各Aパターン件数[[#This Row],[管理番号]]=""),VLOOKUP(まとめ表_各Aパターン件数[[#This Row],[管理番号]],名前リスト[[#All],[管理番号]:[氏名]],2,TRUE),"")</f>
        <v>たくま</v>
      </c>
      <c r="C351" s="6">
        <f>IF(NOT(まとめ表_各Aパターン件数[[#This Row],[管理番号]]=""),VLOOKUP(まとめ表_各Aパターン件数[[#This Row],[管理番号]],名前リスト[[#All],[管理番号]:[氏名]],3,TRUE),"")</f>
        <v>0</v>
      </c>
      <c r="D351" s="76" t="str">
        <f t="shared" si="5"/>
        <v/>
      </c>
      <c r="E351" s="112">
        <f>SUMIFS(梅田キャンプ4000[[#All],[Aパターン]],梅田キャンプ4000[[#All],[イベンター予約名]],まとめ表_各Aパターン件数[[#This Row],[管理番号]])+SUMIFS(梅田キャンプ3500[[#All],[Aパターン]],梅田キャンプ3500[[#All],[イベンター予約名]],まとめ表_各Aパターン件数[[#This Row],[管理番号]])</f>
        <v>0</v>
      </c>
      <c r="F351" s="112">
        <f>SUMIFS(梅田パンプキン4000[[#All],[Aパターン]],梅田パンプキン4000[[#All],[イベンター予約名]],まとめ表_各Aパターン件数[[#This Row],[管理番号]])+SUMIFS(梅田パンプキン3500[[#All],[Aパターン]],梅田パンプキン3500[[#All],[イベンター予約名]],まとめ表_各Aパターン件数[[#This Row],[管理番号]])</f>
        <v>0</v>
      </c>
      <c r="G351" s="112">
        <f>SUMIFS(堀江あいあい4000[[#All],[Aパターン]],堀江あいあい4000[[#All],[イベンター予約名]],まとめ表_各Aパターン件数[[#This Row],[管理番号]])+SUMIFS(堀江あいあい3500[[#All],[Aパターン]],堀江あいあい3500[[#All],[イベンター予約名]],まとめ表_各Aパターン件数[[#This Row],[管理番号]])</f>
        <v>0</v>
      </c>
      <c r="H351" s="112">
        <f>SUMIFS(堀江ファイブ4000[[#All],[Aパターン]],堀江ファイブ4000[[#All],[イベンター予約名]],まとめ表_各Aパターン件数[[#This Row],[管理番号]])+SUMIFS(堀江ファイブ3500[[#All],[Aパターン]],堀江ファイブ3500[[#All],[イベンター予約名]],まとめ表_各Aパターン件数[[#This Row],[管理番号]])</f>
        <v>0</v>
      </c>
      <c r="I351" s="112">
        <f>SUMIFS(北新地ファイブ4000[[#All],[Aパターン]],北新地ファイブ4000[[#All],[イベンター予約名]],まとめ表_各Aパターン件数[[#This Row],[管理番号]])+SUMIFS(北新地ファイブ3500[[#All],[Aパターン]],北新地ファイブ3500[[#All],[イベンター予約名]],まとめ表_各Aパターン件数[[#This Row],[管理番号]])</f>
        <v>0</v>
      </c>
      <c r="J351" s="112">
        <f>SUMIFS(梅田ここから4000[[#All],[Aパターン]],梅田ここから4000[[#All],[イベンター予約名]],まとめ表_各Aパターン件数[[#This Row],[管理番号]])+SUMIFS(梅田ここから3500[[#All],[Aパターン]],梅田ここから3500[[#All],[イベンター予約名]],まとめ表_各Aパターン件数[[#This Row],[管理番号]])</f>
        <v>0</v>
      </c>
      <c r="K351" s="112">
        <f>SUMIFS(梅田石狩4000[[#All],[Aパターン]],梅田石狩4000[[#All],[イベンター予約名]],まとめ表_各Aパターン件数[[#This Row],[管理番号]])+SUMIFS(梅田石狩3500[[#All],[Aパターン]],梅田石狩3500[[#All],[イベンター予約名]],まとめ表_各Aパターン件数[[#This Row],[管理番号]])</f>
        <v>0</v>
      </c>
      <c r="L351" s="112">
        <f>SUMIFS(梅田あん4000[[#All],[Aパターン]],梅田あん4000[[#All],[イベンター予約名]],まとめ表_各Aパターン件数[[#This Row],[管理番号]])+SUMIFS(梅田あん3500[[#All],[Aパターン]],梅田あん3500[[#All],[イベンター予約名]],まとめ表_各Aパターン件数[[#This Row],[管理番号]])</f>
        <v>0</v>
      </c>
      <c r="M351" s="112">
        <f>SUMIFS(心斎橋サファリ4000[[#All],[Aパターン]],心斎橋サファリ4000[[#All],[イベンター予約名]],まとめ表_各Aパターン件数[[#This Row],[管理番号]])+SUMIFS(心斎橋サファリ3500[[#All],[Aパターン]],心斎橋サファリ3500[[#All],[イベンター予約名]],まとめ表_各Aパターン件数[[#This Row],[管理番号]])</f>
        <v>0</v>
      </c>
      <c r="N351" s="112">
        <f>SUMIFS(心斎橋3ebar4000円[[#All],[Aパターン]],心斎橋3ebar4000円[[#All],[予約番号]],まとめ表_各Aパターン件数[[#This Row],[管理番号]])+SUMIFS(心斎橋3ebar3500円[[#All],[Aパターン]],心斎橋3ebar3500円[[#All],[予約番号]],まとめ表_各Aパターン件数[[#This Row],[管理番号]])</f>
        <v>0</v>
      </c>
      <c r="O351" s="112">
        <f>SUMIFS(心斎橋ラプロメッサ4000円[[#All],[Aパターン]],心斎橋ラプロメッサ4000円[[#All],[予約番号]],まとめ表_各Aパターン件数[[#This Row],[管理番号]])+SUMIFS(心斎橋ラプロメッサ3500円[[#All],[Aパターン]],心斎橋ラプロメッサ3500円[[#All],[予約番号]],まとめ表_各Aパターン件数[[#This Row],[管理番号]])</f>
        <v>0</v>
      </c>
      <c r="P351" s="112">
        <f>SUMIFS(心斎橋MアンドM4000円[[#All],[Aパターン]],心斎橋MアンドM4000円[[#All],[予約番号]],まとめ表_各Aパターン件数[[#This Row],[管理番号]])+SUMIFS(心斎橋MアンドM3500円[[#All],[Aパターン]],心斎橋MアンドM3500円[[#All],[予約番号]],まとめ表_各Aパターン件数[[#This Row],[管理番号]])</f>
        <v>0</v>
      </c>
      <c r="Q351" s="112">
        <f>SUMIFS(心斎橋CSB4000円[[#All],[Aパターン]],心斎橋CSB4000円[[#All],[予約番号]],まとめ表_各Aパターン件数[[#This Row],[管理番号]])+SUMIFS(心斎橋CSB3500円[[#All],[Aパターン]],心斎橋CSB3500円[[#All],[予約番号]],まとめ表_各Aパターン件数[[#This Row],[管理番号]])</f>
        <v>0</v>
      </c>
      <c r="R351" s="112">
        <f>SUMIFS(梅田煙4000[[#All],[Aパターン]],梅田煙4000[[#All],[イベンター予約名]],まとめ表_各Aパターン件数[[#This Row],[管理番号]])+SUMIFS(梅田煙3500[[#All],[Aパターン]],梅田煙3500[[#All],[イベンター予約名]],まとめ表_各Aパターン件数[[#This Row],[管理番号]])</f>
        <v>0</v>
      </c>
      <c r="S351" s="112">
        <f>SUMIFS(難波煙4000円[[#All],[Aパターン]],難波煙4000円[[#All],[予約番号]],まとめ表_各Aパターン件数[[#This Row],[管理番号]])+SUMIFS(難波煙3500円[[#All],[Aパターン]],難波煙3500円[[#All],[予約番号]],まとめ表_各Aパターン件数[[#This Row],[管理番号]])</f>
        <v>0</v>
      </c>
      <c r="T351" s="112">
        <f>SUMIFS(三ノ宮多味庵4000[[#All],[Aパターン]],三ノ宮多味庵4000[[#All],[イベンター予約名]],まとめ表_各Aパターン件数[[#This Row],[管理番号]])+SUMIFS(三ノ宮多味庵3500[[#All],[Aパターン]],三ノ宮多味庵3500[[#All],[イベンター予約名]],まとめ表_各Aパターン件数[[#This Row],[管理番号]])</f>
        <v>0</v>
      </c>
      <c r="U351" s="112">
        <f>SUMIFS(天王寺キャンパス4000円[[#All],[Aパターン]],天王寺キャンパス4000円[[#All],[イベンター予約名]],まとめ表_各Aパターン件数[[#This Row],[管理番号]])+SUMIFS(天王寺キャンパス3500円[[#All],[Aパターン]],天王寺キャンパス3500円[[#All],[イベンター予約名]],まとめ表_各Aパターン件数[[#This Row],[管理番号]])</f>
        <v>0</v>
      </c>
      <c r="V351" s="112">
        <f>SUMIFS(三ノ宮琥珀の泉4000円[[#All],[Aパターン]],三ノ宮琥珀の泉4000円[[#All],[イベンター予約名]],まとめ表_各Aパターン件数[[#This Row],[管理番号]])+SUMIFS(三ノ宮琥珀の泉3500円[[#All],[Aパターン]],三ノ宮琥珀の泉3500円[[#All],[イベンター予約名]],まとめ表_各Aパターン件数[[#This Row],[管理番号]])</f>
        <v>0</v>
      </c>
      <c r="W351" s="112">
        <f>SUMIFS(三ノ宮旬家4000円[[#All],[Aパターン]],三ノ宮旬家4000円[[#All],[イベンター予約名]],まとめ表_各Aパターン件数[[#This Row],[管理番号]])+SUMIFS(三ノ宮旬家3500円[[#All],[Aパターン]],三ノ宮旬家3500円[[#All],[イベンター予約名]],まとめ表_各Aパターン件数[[#This Row],[管理番号]])</f>
        <v>0</v>
      </c>
      <c r="X351" s="112">
        <f>SUMIFS(三ノ宮きさらぎ4000円[[#All],[Aパターン]],三ノ宮きさらぎ4000円[[#All],[イベンター予約名]],まとめ表_各Aパターン件数[[#This Row],[管理番号]])+SUMIFS(三ノ宮きさらぎ3500円[[#All],[Aパターン]],三ノ宮きさらぎ3500円[[#All],[イベンター予約名]],まとめ表_各Aパターン件数[[#This Row],[管理番号]])</f>
        <v>0</v>
      </c>
      <c r="Y351" s="112">
        <f>SUMIFS(三ノ宮肉バルしょうじ4000円[[#All],[Aパターン]],三ノ宮肉バルしょうじ4000円[[#All],[イベンター予約名]],まとめ表_各Aパターン件数[[#This Row],[管理番号]])+SUMIFS(三ノ宮肉バルしょうじ3500円[[#All],[Aパターン]],三ノ宮肉バルしょうじ3500円[[#All],[イベンター予約名]],まとめ表_各Aパターン件数[[#This Row],[管理番号]])</f>
        <v>0</v>
      </c>
      <c r="Z351" s="112">
        <f>SUMIFS(京都パンプキ4000円[[#All],[Aパターン]],京都パンプキ4000円[[#All],[イベンター予約名]],まとめ表_各Aパターン件数[[#This Row],[管理番号]])+SUMIFS(京都パンプキ3500円[[#All],[Aパターン]],京都パンプキ3500円[[#All],[イベンター予約名]],まとめ表_各Aパターン件数[[#This Row],[管理番号]])</f>
        <v>0</v>
      </c>
      <c r="AA351" s="79">
        <f>SUMIFS(京都A554000円[[#All],[Aパターン]],京都A554000円[[#All],[イベンター予約名]],まとめ表_各Aパターン件数[[#This Row],[管理番号]])+SUMIFS(京都A553500円[[#All],[Aパターン]],京都A553500円[[#All],[イベンター予約名]],まとめ表_各Aパターン件数[[#This Row],[管理番号]])</f>
        <v>0</v>
      </c>
      <c r="AB351" s="76">
        <f>SUMIFS(三ノ宮Barさんかく4000[[#All],[Aパターン]],三ノ宮Barさんかく4000[[#All],[イベンター予約名]],まとめ表_各Aパターン件数[[#This Row],[管理番号]])+SUMIFS(三ノ宮Barさんかく3500[[#All],[Aパターン]],三ノ宮Barさんかく3500[[#All],[イベンター予約名]],まとめ表_各Aパターン件数[[#This Row],[管理番号]])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C2A2-5087-40D6-9398-3A154F4E0A1B}">
  <sheetPr codeName="Sheet1"/>
  <dimension ref="A1:AB351"/>
  <sheetViews>
    <sheetView zoomScale="82" workbookViewId="0"/>
  </sheetViews>
  <sheetFormatPr defaultColWidth="11.5546875" defaultRowHeight="19.5"/>
  <cols>
    <col min="1" max="1" width="10.77734375" style="8" bestFit="1" customWidth="1"/>
    <col min="2" max="3" width="22.33203125" style="8" bestFit="1" customWidth="1"/>
    <col min="4" max="4" width="18.109375" style="8" customWidth="1"/>
    <col min="5" max="5" width="10.77734375" style="9" bestFit="1" customWidth="1"/>
    <col min="6" max="6" width="12.6640625" style="9" bestFit="1" customWidth="1"/>
    <col min="7" max="7" width="12.33203125" style="9" customWidth="1"/>
    <col min="8" max="8" width="18.6640625" style="9" bestFit="1" customWidth="1"/>
    <col min="9" max="9" width="20.5546875" style="9" bestFit="1" customWidth="1"/>
    <col min="10" max="10" width="20.5546875" style="9" customWidth="1"/>
    <col min="11" max="11" width="12.33203125" style="9" customWidth="1"/>
    <col min="12" max="12" width="12.44140625" style="9" customWidth="1"/>
    <col min="13" max="13" width="13.6640625" style="8" customWidth="1"/>
    <col min="14" max="14" width="13.5546875" style="8" customWidth="1"/>
    <col min="15" max="15" width="14.5546875" style="8" bestFit="1" customWidth="1"/>
    <col min="16" max="16" width="8.77734375" style="8" bestFit="1" customWidth="1"/>
    <col min="17" max="17" width="7.33203125" style="8" bestFit="1" customWidth="1"/>
    <col min="18" max="18" width="10.77734375" style="8" bestFit="1" customWidth="1"/>
    <col min="19" max="19" width="10.77734375" style="8" customWidth="1"/>
    <col min="20" max="16384" width="11.5546875" style="8"/>
  </cols>
  <sheetData>
    <row r="1" spans="1:28" ht="24.95" customHeight="1">
      <c r="A1" s="77" t="s">
        <v>234</v>
      </c>
      <c r="B1" s="11" t="s">
        <v>197</v>
      </c>
      <c r="C1" s="12" t="s">
        <v>198</v>
      </c>
      <c r="D1" s="78" t="s">
        <v>329</v>
      </c>
      <c r="E1" s="51" t="s">
        <v>199</v>
      </c>
      <c r="F1" s="51" t="s">
        <v>200</v>
      </c>
      <c r="G1" s="51" t="s">
        <v>201</v>
      </c>
      <c r="H1" s="51" t="s">
        <v>202</v>
      </c>
      <c r="I1" s="51" t="s">
        <v>203</v>
      </c>
      <c r="J1" s="62" t="s">
        <v>325</v>
      </c>
      <c r="K1" s="62" t="s">
        <v>322</v>
      </c>
      <c r="L1" s="51" t="s">
        <v>204</v>
      </c>
      <c r="M1" s="51" t="s">
        <v>227</v>
      </c>
      <c r="N1" s="51" t="s">
        <v>228</v>
      </c>
      <c r="O1" s="51" t="s">
        <v>229</v>
      </c>
      <c r="P1" s="51" t="s">
        <v>230</v>
      </c>
      <c r="Q1" s="51" t="s">
        <v>231</v>
      </c>
      <c r="R1" s="61" t="s">
        <v>246</v>
      </c>
      <c r="S1" s="62" t="s">
        <v>252</v>
      </c>
      <c r="T1" s="62" t="s">
        <v>317</v>
      </c>
      <c r="U1" s="62" t="s">
        <v>318</v>
      </c>
      <c r="V1" s="62" t="s">
        <v>319</v>
      </c>
      <c r="W1" s="62" t="s">
        <v>320</v>
      </c>
      <c r="X1" s="62" t="s">
        <v>327</v>
      </c>
      <c r="Y1" s="62" t="s">
        <v>321</v>
      </c>
      <c r="Z1" s="62" t="s">
        <v>326</v>
      </c>
      <c r="AA1" s="75" t="s">
        <v>328</v>
      </c>
      <c r="AB1" s="118" t="s">
        <v>521</v>
      </c>
    </row>
    <row r="2" spans="1:28">
      <c r="A2" s="20">
        <f>名前リスト[[#This Row],[管理番号]]</f>
        <v>1</v>
      </c>
      <c r="B2" s="6" t="str">
        <f>IF(NOT(まとめ表_バック金額[[#This Row],[管理番号]]=""),VLOOKUP(まとめ表_バック金額[[#This Row],[管理番号]],名前リスト[[#All],[管理番号]:[氏名]],2,TRUE),"")</f>
        <v>ゆうき</v>
      </c>
      <c r="C2" s="6" t="str">
        <f>IF(NOT(まとめ表_バック金額[[#This Row],[管理番号]]=""),VLOOKUP(まとめ表_バック金額[[#This Row],[管理番号]],名前リスト[[#All],[管理番号]:[氏名]],3,TRUE),"")</f>
        <v>いしだ　ゆうき</v>
      </c>
      <c r="D2" s="79" t="str">
        <f t="shared" ref="D2:D65" si="0">IF(SUM(E2:XFD2)=0,"",SUM(E2:XFD2))</f>
        <v/>
      </c>
      <c r="E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" s="60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" s="60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" s="60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" s="60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" s="60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" s="60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" s="60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" s="60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" s="60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" s="60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" s="60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" s="60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" s="60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" s="60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" spans="1:28">
      <c r="A3" s="20">
        <f>名前リスト[[#This Row],[管理番号]]</f>
        <v>2</v>
      </c>
      <c r="B3" s="6" t="str">
        <f>IF(NOT(まとめ表_バック金額[[#This Row],[管理番号]]=""),VLOOKUP(まとめ表_バック金額[[#This Row],[管理番号]],名前リスト[[#All],[管理番号]:[氏名]],2,TRUE),"")</f>
        <v>あしゅ</v>
      </c>
      <c r="C3" s="21" t="str">
        <f>IF(NOT(まとめ表_バック金額[[#This Row],[管理番号]]=""),VLOOKUP(まとめ表_バック金額[[#This Row],[管理番号]],名前リスト[[#All],[管理番号]:[氏名]],3,TRUE),"")</f>
        <v>中村　郁斗</v>
      </c>
      <c r="D3" s="79" t="str">
        <f t="shared" si="0"/>
        <v/>
      </c>
      <c r="E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" spans="1:28">
      <c r="A4" s="20">
        <f>名前リスト[[#This Row],[管理番号]]</f>
        <v>3</v>
      </c>
      <c r="B4" s="6" t="str">
        <f>IF(NOT(まとめ表_バック金額[[#This Row],[管理番号]]=""),VLOOKUP(まとめ表_バック金額[[#This Row],[管理番号]],名前リスト[[#All],[管理番号]:[氏名]],2,TRUE),"")</f>
        <v>佐藤　涼</v>
      </c>
      <c r="C4" s="21" t="str">
        <f>IF(NOT(まとめ表_バック金額[[#This Row],[管理番号]]=""),VLOOKUP(まとめ表_バック金額[[#This Row],[管理番号]],名前リスト[[#All],[管理番号]:[氏名]],3,TRUE),"")</f>
        <v>佐藤　涼</v>
      </c>
      <c r="D4" s="79" t="str">
        <f t="shared" si="0"/>
        <v/>
      </c>
      <c r="E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" spans="1:28">
      <c r="A5" s="20">
        <f>名前リスト[[#This Row],[管理番号]]</f>
        <v>4</v>
      </c>
      <c r="B5" s="6" t="str">
        <f>IF(NOT(まとめ表_バック金額[[#This Row],[管理番号]]=""),VLOOKUP(まとめ表_バック金額[[#This Row],[管理番号]],名前リスト[[#All],[管理番号]:[氏名]],2,TRUE),"")</f>
        <v>うちのませい</v>
      </c>
      <c r="C5" s="21" t="str">
        <f>IF(NOT(まとめ表_バック金額[[#This Row],[管理番号]]=""),VLOOKUP(まとめ表_バック金額[[#This Row],[管理番号]],名前リスト[[#All],[管理番号]:[氏名]],3,TRUE),"")</f>
        <v>内野　真静</v>
      </c>
      <c r="D5" s="79" t="str">
        <f t="shared" si="0"/>
        <v/>
      </c>
      <c r="E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" spans="1:28">
      <c r="A6" s="20">
        <f>名前リスト[[#This Row],[管理番号]]</f>
        <v>5</v>
      </c>
      <c r="B6" s="6" t="str">
        <f>IF(NOT(まとめ表_バック金額[[#This Row],[管理番号]]=""),VLOOKUP(まとめ表_バック金額[[#This Row],[管理番号]],名前リスト[[#All],[管理番号]:[氏名]],2,TRUE),"")</f>
        <v>あつし</v>
      </c>
      <c r="C6" s="21" t="str">
        <f>IF(NOT(まとめ表_バック金額[[#This Row],[管理番号]]=""),VLOOKUP(まとめ表_バック金額[[#This Row],[管理番号]],名前リスト[[#All],[管理番号]:[氏名]],3,TRUE),"")</f>
        <v>山本　惇史</v>
      </c>
      <c r="D6" s="79" t="str">
        <f t="shared" si="0"/>
        <v/>
      </c>
      <c r="E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" spans="1:28">
      <c r="A7" s="20">
        <f>名前リスト[[#This Row],[管理番号]]</f>
        <v>6</v>
      </c>
      <c r="B7" s="6" t="str">
        <f>IF(NOT(まとめ表_バック金額[[#This Row],[管理番号]]=""),VLOOKUP(まとめ表_バック金額[[#This Row],[管理番号]],名前リスト[[#All],[管理番号]:[氏名]],2,TRUE),"")</f>
        <v>しばた</v>
      </c>
      <c r="C7" s="21" t="str">
        <f>IF(NOT(まとめ表_バック金額[[#This Row],[管理番号]]=""),VLOOKUP(まとめ表_バック金額[[#This Row],[管理番号]],名前リスト[[#All],[管理番号]:[氏名]],3,TRUE),"")</f>
        <v>柴田　正紀</v>
      </c>
      <c r="D7" s="79">
        <f t="shared" si="0"/>
        <v>27000</v>
      </c>
      <c r="E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27000</v>
      </c>
      <c r="N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" spans="1:28">
      <c r="A8" s="20">
        <f>名前リスト[[#This Row],[管理番号]]</f>
        <v>7</v>
      </c>
      <c r="B8" s="6" t="str">
        <f>IF(NOT(まとめ表_バック金額[[#This Row],[管理番号]]=""),VLOOKUP(まとめ表_バック金額[[#This Row],[管理番号]],名前リスト[[#All],[管理番号]:[氏名]],2,TRUE),"")</f>
        <v>コバン</v>
      </c>
      <c r="C8" s="21" t="str">
        <f>IF(NOT(まとめ表_バック金額[[#This Row],[管理番号]]=""),VLOOKUP(まとめ表_バック金額[[#This Row],[管理番号]],名前リスト[[#All],[管理番号]:[氏名]],3,TRUE),"")</f>
        <v>小林　優太</v>
      </c>
      <c r="D8" s="79" t="str">
        <f t="shared" si="0"/>
        <v/>
      </c>
      <c r="E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" spans="1:28">
      <c r="A9" s="20">
        <f>名前リスト[[#This Row],[管理番号]]</f>
        <v>8</v>
      </c>
      <c r="B9" s="6" t="str">
        <f>IF(NOT(まとめ表_バック金額[[#This Row],[管理番号]]=""),VLOOKUP(まとめ表_バック金額[[#This Row],[管理番号]],名前リスト[[#All],[管理番号]:[氏名]],2,TRUE),"")</f>
        <v>出流</v>
      </c>
      <c r="C9" s="21" t="str">
        <f>IF(NOT(まとめ表_バック金額[[#This Row],[管理番号]]=""),VLOOKUP(まとめ表_バック金額[[#This Row],[管理番号]],名前リスト[[#All],[管理番号]:[氏名]],3,TRUE),"")</f>
        <v>福山　出流</v>
      </c>
      <c r="D9" s="79" t="str">
        <f t="shared" si="0"/>
        <v/>
      </c>
      <c r="E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" spans="1:28">
      <c r="A10" s="20">
        <f>名前リスト[[#This Row],[管理番号]]</f>
        <v>9</v>
      </c>
      <c r="B10" s="6" t="str">
        <f>IF(NOT(まとめ表_バック金額[[#This Row],[管理番号]]=""),VLOOKUP(まとめ表_バック金額[[#This Row],[管理番号]],名前リスト[[#All],[管理番号]:[氏名]],2,TRUE),"")</f>
        <v>吉野　翔</v>
      </c>
      <c r="C10" s="21" t="str">
        <f>IF(NOT(まとめ表_バック金額[[#This Row],[管理番号]]=""),VLOOKUP(まとめ表_バック金額[[#This Row],[管理番号]],名前リスト[[#All],[管理番号]:[氏名]],3,TRUE),"")</f>
        <v>吉野　翔</v>
      </c>
      <c r="D10" s="79" t="str">
        <f t="shared" si="0"/>
        <v/>
      </c>
      <c r="E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" spans="1:28">
      <c r="A11" s="20">
        <f>名前リスト[[#This Row],[管理番号]]</f>
        <v>10</v>
      </c>
      <c r="B11" s="6" t="str">
        <f>IF(NOT(まとめ表_バック金額[[#This Row],[管理番号]]=""),VLOOKUP(まとめ表_バック金額[[#This Row],[管理番号]],名前リスト[[#All],[管理番号]:[氏名]],2,TRUE),"")</f>
        <v>makoto</v>
      </c>
      <c r="C11" s="21" t="str">
        <f>IF(NOT(まとめ表_バック金額[[#This Row],[管理番号]]=""),VLOOKUP(まとめ表_バック金額[[#This Row],[管理番号]],名前リスト[[#All],[管理番号]:[氏名]],3,TRUE),"")</f>
        <v>中川　誠</v>
      </c>
      <c r="D11" s="79">
        <f t="shared" si="0"/>
        <v>6000</v>
      </c>
      <c r="E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6000</v>
      </c>
      <c r="P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" spans="1:28">
      <c r="A12" s="20">
        <f>名前リスト[[#This Row],[管理番号]]</f>
        <v>11</v>
      </c>
      <c r="B12" s="6" t="str">
        <f>IF(NOT(まとめ表_バック金額[[#This Row],[管理番号]]=""),VLOOKUP(まとめ表_バック金額[[#This Row],[管理番号]],名前リスト[[#All],[管理番号]:[氏名]],2,TRUE),"")</f>
        <v>足立　迅</v>
      </c>
      <c r="C12" s="21" t="str">
        <f>IF(NOT(まとめ表_バック金額[[#This Row],[管理番号]]=""),VLOOKUP(まとめ表_バック金額[[#This Row],[管理番号]],名前リスト[[#All],[管理番号]:[氏名]],3,TRUE),"")</f>
        <v>足立　迅（わたる）</v>
      </c>
      <c r="D12" s="79" t="str">
        <f t="shared" si="0"/>
        <v/>
      </c>
      <c r="E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" spans="1:28">
      <c r="A13" s="20">
        <f>名前リスト[[#This Row],[管理番号]]</f>
        <v>12</v>
      </c>
      <c r="B13" s="6" t="str">
        <f>IF(NOT(まとめ表_バック金額[[#This Row],[管理番号]]=""),VLOOKUP(まとめ表_バック金額[[#This Row],[管理番号]],名前リスト[[#All],[管理番号]:[氏名]],2,TRUE),"")</f>
        <v>kenshi</v>
      </c>
      <c r="C13" s="21" t="str">
        <f>IF(NOT(まとめ表_バック金額[[#This Row],[管理番号]]=""),VLOOKUP(まとめ表_バック金額[[#This Row],[管理番号]],名前リスト[[#All],[管理番号]:[氏名]],3,TRUE),"")</f>
        <v>脇田　健史</v>
      </c>
      <c r="D13" s="79" t="str">
        <f t="shared" si="0"/>
        <v/>
      </c>
      <c r="E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" spans="1:28">
      <c r="A14" s="20">
        <f>名前リスト[[#This Row],[管理番号]]</f>
        <v>13</v>
      </c>
      <c r="B14" s="6" t="str">
        <f>IF(NOT(まとめ表_バック金額[[#This Row],[管理番号]]=""),VLOOKUP(まとめ表_バック金額[[#This Row],[管理番号]],名前リスト[[#All],[管理番号]:[氏名]],2,TRUE),"")</f>
        <v>syota</v>
      </c>
      <c r="C14" s="21" t="str">
        <f>IF(NOT(まとめ表_バック金額[[#This Row],[管理番号]]=""),VLOOKUP(まとめ表_バック金額[[#This Row],[管理番号]],名前リスト[[#All],[管理番号]:[氏名]],3,TRUE),"")</f>
        <v>三宅　将太</v>
      </c>
      <c r="D14" s="79" t="str">
        <f t="shared" si="0"/>
        <v/>
      </c>
      <c r="E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" spans="1:28">
      <c r="A15" s="20">
        <f>名前リスト[[#This Row],[管理番号]]</f>
        <v>14</v>
      </c>
      <c r="B15" s="6" t="str">
        <f>IF(NOT(まとめ表_バック金額[[#This Row],[管理番号]]=""),VLOOKUP(まとめ表_バック金額[[#This Row],[管理番号]],名前リスト[[#All],[管理番号]:[氏名]],2,TRUE),"")</f>
        <v>りゅうすけ</v>
      </c>
      <c r="C15" s="21" t="str">
        <f>IF(NOT(まとめ表_バック金額[[#This Row],[管理番号]]=""),VLOOKUP(まとめ表_バック金額[[#This Row],[管理番号]],名前リスト[[#All],[管理番号]:[氏名]],3,TRUE),"")</f>
        <v>大路　龍佑</v>
      </c>
      <c r="D15" s="79" t="str">
        <f t="shared" si="0"/>
        <v/>
      </c>
      <c r="E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" spans="1:28">
      <c r="A16" s="20">
        <f>名前リスト[[#This Row],[管理番号]]</f>
        <v>15</v>
      </c>
      <c r="B16" s="6" t="str">
        <f>IF(NOT(まとめ表_バック金額[[#This Row],[管理番号]]=""),VLOOKUP(まとめ表_バック金額[[#This Row],[管理番号]],名前リスト[[#All],[管理番号]:[氏名]],2,TRUE),"")</f>
        <v>名倉静香</v>
      </c>
      <c r="C16" s="21" t="str">
        <f>IF(NOT(まとめ表_バック金額[[#This Row],[管理番号]]=""),VLOOKUP(まとめ表_バック金額[[#This Row],[管理番号]],名前リスト[[#All],[管理番号]:[氏名]],3,TRUE),"")</f>
        <v>名倉　静香</v>
      </c>
      <c r="D16" s="79" t="str">
        <f t="shared" si="0"/>
        <v/>
      </c>
      <c r="E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" spans="1:28">
      <c r="A17" s="20">
        <f>名前リスト[[#This Row],[管理番号]]</f>
        <v>16</v>
      </c>
      <c r="B17" s="6" t="str">
        <f>IF(NOT(まとめ表_バック金額[[#This Row],[管理番号]]=""),VLOOKUP(まとめ表_バック金額[[#This Row],[管理番号]],名前リスト[[#All],[管理番号]:[氏名]],2,TRUE),"")</f>
        <v>寺田翔太</v>
      </c>
      <c r="C17" s="21" t="str">
        <f>IF(NOT(まとめ表_バック金額[[#This Row],[管理番号]]=""),VLOOKUP(まとめ表_バック金額[[#This Row],[管理番号]],名前リスト[[#All],[管理番号]:[氏名]],3,TRUE),"")</f>
        <v>寺田　翔太</v>
      </c>
      <c r="D17" s="79" t="str">
        <f t="shared" si="0"/>
        <v/>
      </c>
      <c r="E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" spans="1:28">
      <c r="A18" s="20">
        <f>名前リスト[[#This Row],[管理番号]]</f>
        <v>17</v>
      </c>
      <c r="B18" s="6" t="str">
        <f>IF(NOT(まとめ表_バック金額[[#This Row],[管理番号]]=""),VLOOKUP(まとめ表_バック金額[[#This Row],[管理番号]],名前リスト[[#All],[管理番号]:[氏名]],2,TRUE),"")</f>
        <v>さあや</v>
      </c>
      <c r="C18" s="21" t="str">
        <f>IF(NOT(まとめ表_バック金額[[#This Row],[管理番号]]=""),VLOOKUP(まとめ表_バック金額[[#This Row],[管理番号]],名前リスト[[#All],[管理番号]:[氏名]],3,TRUE),"")</f>
        <v>門口　沙彩</v>
      </c>
      <c r="D18" s="79" t="str">
        <f t="shared" si="0"/>
        <v/>
      </c>
      <c r="E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" spans="1:28">
      <c r="A19" s="20">
        <f>名前リスト[[#This Row],[管理番号]]</f>
        <v>18</v>
      </c>
      <c r="B19" s="6" t="str">
        <f>IF(NOT(まとめ表_バック金額[[#This Row],[管理番号]]=""),VLOOKUP(まとめ表_バック金額[[#This Row],[管理番号]],名前リスト[[#All],[管理番号]:[氏名]],2,TRUE),"")</f>
        <v>tt</v>
      </c>
      <c r="C19" s="21" t="str">
        <f>IF(NOT(まとめ表_バック金額[[#This Row],[管理番号]]=""),VLOOKUP(まとめ表_バック金額[[#This Row],[管理番号]],名前リスト[[#All],[管理番号]:[氏名]],3,TRUE),"")</f>
        <v>田中　達也</v>
      </c>
      <c r="D19" s="79" t="str">
        <f t="shared" si="0"/>
        <v/>
      </c>
      <c r="E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" spans="1:28">
      <c r="A20" s="20">
        <f>名前リスト[[#This Row],[管理番号]]</f>
        <v>19</v>
      </c>
      <c r="B20" s="6" t="str">
        <f>IF(NOT(まとめ表_バック金額[[#This Row],[管理番号]]=""),VLOOKUP(まとめ表_バック金額[[#This Row],[管理番号]],名前リスト[[#All],[管理番号]:[氏名]],2,TRUE),"")</f>
        <v>あきら</v>
      </c>
      <c r="C20" s="21" t="str">
        <f>IF(NOT(まとめ表_バック金額[[#This Row],[管理番号]]=""),VLOOKUP(まとめ表_バック金額[[#This Row],[管理番号]],名前リスト[[#All],[管理番号]:[氏名]],3,TRUE),"")</f>
        <v>藤田　瑛</v>
      </c>
      <c r="D20" s="79" t="str">
        <f t="shared" si="0"/>
        <v/>
      </c>
      <c r="E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" spans="1:28">
      <c r="A21" s="20">
        <f>名前リスト[[#This Row],[管理番号]]</f>
        <v>20</v>
      </c>
      <c r="B21" s="6" t="str">
        <f>IF(NOT(まとめ表_バック金額[[#This Row],[管理番号]]=""),VLOOKUP(まとめ表_バック金額[[#This Row],[管理番号]],名前リスト[[#All],[管理番号]:[氏名]],2,TRUE),"")</f>
        <v>ゆうき</v>
      </c>
      <c r="C21" s="21" t="str">
        <f>IF(NOT(まとめ表_バック金額[[#This Row],[管理番号]]=""),VLOOKUP(まとめ表_バック金額[[#This Row],[管理番号]],名前リスト[[#All],[管理番号]:[氏名]],3,TRUE),"")</f>
        <v>児島　優樹</v>
      </c>
      <c r="D21" s="79" t="str">
        <f t="shared" si="0"/>
        <v/>
      </c>
      <c r="E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" spans="1:28">
      <c r="A22" s="20">
        <f>名前リスト[[#This Row],[管理番号]]</f>
        <v>21</v>
      </c>
      <c r="B22" s="6" t="str">
        <f>IF(NOT(まとめ表_バック金額[[#This Row],[管理番号]]=""),VLOOKUP(まとめ表_バック金額[[#This Row],[管理番号]],名前リスト[[#All],[管理番号]:[氏名]],2,TRUE),"")</f>
        <v>貴裕</v>
      </c>
      <c r="C22" s="21" t="str">
        <f>IF(NOT(まとめ表_バック金額[[#This Row],[管理番号]]=""),VLOOKUP(まとめ表_バック金額[[#This Row],[管理番号]],名前リスト[[#All],[管理番号]:[氏名]],3,TRUE),"")</f>
        <v>辻　貴裕</v>
      </c>
      <c r="D22" s="79" t="str">
        <f t="shared" si="0"/>
        <v/>
      </c>
      <c r="E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" spans="1:28">
      <c r="A23" s="20">
        <f>名前リスト[[#This Row],[管理番号]]</f>
        <v>22</v>
      </c>
      <c r="B23" s="6" t="str">
        <f>IF(NOT(まとめ表_バック金額[[#This Row],[管理番号]]=""),VLOOKUP(まとめ表_バック金額[[#This Row],[管理番号]],名前リスト[[#All],[管理番号]:[氏名]],2,TRUE),"")</f>
        <v>katsu</v>
      </c>
      <c r="C23" s="21" t="str">
        <f>IF(NOT(まとめ表_バック金額[[#This Row],[管理番号]]=""),VLOOKUP(まとめ表_バック金額[[#This Row],[管理番号]],名前リスト[[#All],[管理番号]:[氏名]],3,TRUE),"")</f>
        <v>鈴木　勝時</v>
      </c>
      <c r="D23" s="79" t="str">
        <f t="shared" si="0"/>
        <v/>
      </c>
      <c r="E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" spans="1:28">
      <c r="A24" s="20">
        <f>名前リスト[[#This Row],[管理番号]]</f>
        <v>23</v>
      </c>
      <c r="B24" s="6" t="str">
        <f>IF(NOT(まとめ表_バック金額[[#This Row],[管理番号]]=""),VLOOKUP(まとめ表_バック金額[[#This Row],[管理番号]],名前リスト[[#All],[管理番号]:[氏名]],2,TRUE),"")</f>
        <v>中田篤史</v>
      </c>
      <c r="C24" s="21" t="str">
        <f>IF(NOT(まとめ表_バック金額[[#This Row],[管理番号]]=""),VLOOKUP(まとめ表_バック金額[[#This Row],[管理番号]],名前リスト[[#All],[管理番号]:[氏名]],3,TRUE),"")</f>
        <v>中田　篤史</v>
      </c>
      <c r="D24" s="79" t="str">
        <f t="shared" si="0"/>
        <v/>
      </c>
      <c r="E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" spans="1:28">
      <c r="A25" s="20">
        <f>名前リスト[[#This Row],[管理番号]]</f>
        <v>24</v>
      </c>
      <c r="B25" s="6" t="str">
        <f>IF(NOT(まとめ表_バック金額[[#This Row],[管理番号]]=""),VLOOKUP(まとめ表_バック金額[[#This Row],[管理番号]],名前リスト[[#All],[管理番号]:[氏名]],2,TRUE),"")</f>
        <v>祐介</v>
      </c>
      <c r="C25" s="21" t="str">
        <f>IF(NOT(まとめ表_バック金額[[#This Row],[管理番号]]=""),VLOOKUP(まとめ表_バック金額[[#This Row],[管理番号]],名前リスト[[#All],[管理番号]:[氏名]],3,TRUE),"")</f>
        <v>中野　祐介</v>
      </c>
      <c r="D25" s="79" t="str">
        <f t="shared" si="0"/>
        <v/>
      </c>
      <c r="E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" spans="1:28">
      <c r="A26" s="20">
        <f>名前リスト[[#This Row],[管理番号]]</f>
        <v>25</v>
      </c>
      <c r="B26" s="6" t="str">
        <f>IF(NOT(まとめ表_バック金額[[#This Row],[管理番号]]=""),VLOOKUP(まとめ表_バック金額[[#This Row],[管理番号]],名前リスト[[#All],[管理番号]:[氏名]],2,TRUE),"")</f>
        <v>ヒョウタ</v>
      </c>
      <c r="C26" s="21" t="str">
        <f>IF(NOT(まとめ表_バック金額[[#This Row],[管理番号]]=""),VLOOKUP(まとめ表_バック金額[[#This Row],[管理番号]],名前リスト[[#All],[管理番号]:[氏名]],3,TRUE),"")</f>
        <v>タナカ　ヒョウタ</v>
      </c>
      <c r="D26" s="79" t="str">
        <f t="shared" si="0"/>
        <v/>
      </c>
      <c r="E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" spans="1:28">
      <c r="A27" s="20">
        <f>名前リスト[[#This Row],[管理番号]]</f>
        <v>26</v>
      </c>
      <c r="B27" s="6" t="str">
        <f>IF(NOT(まとめ表_バック金額[[#This Row],[管理番号]]=""),VLOOKUP(まとめ表_バック金額[[#This Row],[管理番号]],名前リスト[[#All],[管理番号]:[氏名]],2,TRUE),"")</f>
        <v>石原優介</v>
      </c>
      <c r="C27" s="21" t="str">
        <f>IF(NOT(まとめ表_バック金額[[#This Row],[管理番号]]=""),VLOOKUP(まとめ表_バック金額[[#This Row],[管理番号]],名前リスト[[#All],[管理番号]:[氏名]],3,TRUE),"")</f>
        <v>石原　優介</v>
      </c>
      <c r="D27" s="79" t="str">
        <f t="shared" si="0"/>
        <v/>
      </c>
      <c r="E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" spans="1:28">
      <c r="A28" s="20">
        <f>名前リスト[[#This Row],[管理番号]]</f>
        <v>27</v>
      </c>
      <c r="B28" s="6" t="str">
        <f>IF(NOT(まとめ表_バック金額[[#This Row],[管理番号]]=""),VLOOKUP(まとめ表_バック金額[[#This Row],[管理番号]],名前リスト[[#All],[管理番号]:[氏名]],2,TRUE),"")</f>
        <v>森田裕也</v>
      </c>
      <c r="C28" s="21" t="str">
        <f>IF(NOT(まとめ表_バック金額[[#This Row],[管理番号]]=""),VLOOKUP(まとめ表_バック金額[[#This Row],[管理番号]],名前リスト[[#All],[管理番号]:[氏名]],3,TRUE),"")</f>
        <v>森田　裕也</v>
      </c>
      <c r="D28" s="79">
        <f t="shared" si="0"/>
        <v>6000</v>
      </c>
      <c r="E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6000</v>
      </c>
      <c r="J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" spans="1:28">
      <c r="A29" s="20">
        <f>名前リスト[[#This Row],[管理番号]]</f>
        <v>28</v>
      </c>
      <c r="B29" s="6" t="str">
        <f>IF(NOT(まとめ表_バック金額[[#This Row],[管理番号]]=""),VLOOKUP(まとめ表_バック金額[[#This Row],[管理番号]],名前リスト[[#All],[管理番号]:[氏名]],2,TRUE),"")</f>
        <v>さとう</v>
      </c>
      <c r="C29" s="21" t="str">
        <f>IF(NOT(まとめ表_バック金額[[#This Row],[管理番号]]=""),VLOOKUP(まとめ表_バック金額[[#This Row],[管理番号]],名前リスト[[#All],[管理番号]:[氏名]],3,TRUE),"")</f>
        <v>佐藤　頼知</v>
      </c>
      <c r="D29" s="79" t="str">
        <f t="shared" si="0"/>
        <v/>
      </c>
      <c r="E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" spans="1:28">
      <c r="A30" s="20">
        <f>名前リスト[[#This Row],[管理番号]]</f>
        <v>29</v>
      </c>
      <c r="B30" s="6" t="str">
        <f>IF(NOT(まとめ表_バック金額[[#This Row],[管理番号]]=""),VLOOKUP(まとめ表_バック金額[[#This Row],[管理番号]],名前リスト[[#All],[管理番号]:[氏名]],2,TRUE),"")</f>
        <v>セイゴ</v>
      </c>
      <c r="C30" s="21" t="str">
        <f>IF(NOT(まとめ表_バック金額[[#This Row],[管理番号]]=""),VLOOKUP(まとめ表_バック金額[[#This Row],[管理番号]],名前リスト[[#All],[管理番号]:[氏名]],3,TRUE),"")</f>
        <v>近藤　靖吾</v>
      </c>
      <c r="D30" s="79" t="str">
        <f t="shared" si="0"/>
        <v/>
      </c>
      <c r="E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" spans="1:28">
      <c r="A31" s="20">
        <f>名前リスト[[#This Row],[管理番号]]</f>
        <v>30</v>
      </c>
      <c r="B31" s="6" t="str">
        <f>IF(NOT(まとめ表_バック金額[[#This Row],[管理番号]]=""),VLOOKUP(まとめ表_バック金額[[#This Row],[管理番号]],名前リスト[[#All],[管理番号]:[氏名]],2,TRUE),"")</f>
        <v>そーたろー</v>
      </c>
      <c r="C31" s="21" t="str">
        <f>IF(NOT(まとめ表_バック金額[[#This Row],[管理番号]]=""),VLOOKUP(まとめ表_バック金額[[#This Row],[管理番号]],名前リスト[[#All],[管理番号]:[氏名]],3,TRUE),"")</f>
        <v>廣垣　奏太郎</v>
      </c>
      <c r="D31" s="79" t="str">
        <f t="shared" si="0"/>
        <v/>
      </c>
      <c r="E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" spans="1:28">
      <c r="A32" s="20">
        <f>名前リスト[[#This Row],[管理番号]]</f>
        <v>31</v>
      </c>
      <c r="B32" s="6" t="str">
        <f>IF(NOT(まとめ表_バック金額[[#This Row],[管理番号]]=""),VLOOKUP(まとめ表_バック金額[[#This Row],[管理番号]],名前リスト[[#All],[管理番号]:[氏名]],2,TRUE),"")</f>
        <v>AYAKA</v>
      </c>
      <c r="C32" s="21" t="str">
        <f>IF(NOT(まとめ表_バック金額[[#This Row],[管理番号]]=""),VLOOKUP(まとめ表_バック金額[[#This Row],[管理番号]],名前リスト[[#All],[管理番号]:[氏名]],3,TRUE),"")</f>
        <v>池田　彩夏</v>
      </c>
      <c r="D32" s="79" t="str">
        <f t="shared" si="0"/>
        <v/>
      </c>
      <c r="E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" spans="1:28">
      <c r="A33" s="20">
        <f>名前リスト[[#This Row],[管理番号]]</f>
        <v>32</v>
      </c>
      <c r="B33" s="6" t="str">
        <f>IF(NOT(まとめ表_バック金額[[#This Row],[管理番号]]=""),VLOOKUP(まとめ表_バック金額[[#This Row],[管理番号]],名前リスト[[#All],[管理番号]:[氏名]],2,TRUE),"")</f>
        <v>まるや〜ま</v>
      </c>
      <c r="C33" s="21" t="str">
        <f>IF(NOT(まとめ表_バック金額[[#This Row],[管理番号]]=""),VLOOKUP(まとめ表_バック金額[[#This Row],[管理番号]],名前リスト[[#All],[管理番号]:[氏名]],3,TRUE),"")</f>
        <v>鈴木　貴雅</v>
      </c>
      <c r="D33" s="79" t="str">
        <f t="shared" si="0"/>
        <v/>
      </c>
      <c r="E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" spans="1:28">
      <c r="A34" s="20">
        <f>名前リスト[[#This Row],[管理番号]]</f>
        <v>33</v>
      </c>
      <c r="B34" s="6" t="str">
        <f>IF(NOT(まとめ表_バック金額[[#This Row],[管理番号]]=""),VLOOKUP(まとめ表_バック金額[[#This Row],[管理番号]],名前リスト[[#All],[管理番号]:[氏名]],2,TRUE),"")</f>
        <v>さかぐちゆうや</v>
      </c>
      <c r="C34" s="21" t="str">
        <f>IF(NOT(まとめ表_バック金額[[#This Row],[管理番号]]=""),VLOOKUP(まとめ表_バック金額[[#This Row],[管理番号]],名前リスト[[#All],[管理番号]:[氏名]],3,TRUE),"")</f>
        <v>坂口　裕也</v>
      </c>
      <c r="D34" s="79" t="str">
        <f t="shared" si="0"/>
        <v/>
      </c>
      <c r="E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" spans="1:28">
      <c r="A35" s="20">
        <f>名前リスト[[#This Row],[管理番号]]</f>
        <v>34</v>
      </c>
      <c r="B35" s="6" t="str">
        <f>IF(NOT(まとめ表_バック金額[[#This Row],[管理番号]]=""),VLOOKUP(まとめ表_バック金額[[#This Row],[管理番号]],名前リスト[[#All],[管理番号]:[氏名]],2,TRUE),"")</f>
        <v>c,m,s</v>
      </c>
      <c r="C35" s="21" t="str">
        <f>IF(NOT(まとめ表_バック金額[[#This Row],[管理番号]]=""),VLOOKUP(まとめ表_バック金額[[#This Row],[管理番号]],名前リスト[[#All],[管理番号]:[氏名]],3,TRUE),"")</f>
        <v>赤井　千奈</v>
      </c>
      <c r="D35" s="79" t="str">
        <f t="shared" si="0"/>
        <v/>
      </c>
      <c r="E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6" spans="1:28">
      <c r="A36" s="20">
        <f>名前リスト[[#This Row],[管理番号]]</f>
        <v>35</v>
      </c>
      <c r="B36" s="6" t="str">
        <f>IF(NOT(まとめ表_バック金額[[#This Row],[管理番号]]=""),VLOOKUP(まとめ表_バック金額[[#This Row],[管理番号]],名前リスト[[#All],[管理番号]:[氏名]],2,TRUE),"")</f>
        <v>前川かつき</v>
      </c>
      <c r="C36" s="21" t="str">
        <f>IF(NOT(まとめ表_バック金額[[#This Row],[管理番号]]=""),VLOOKUP(まとめ表_バック金額[[#This Row],[管理番号]],名前リスト[[#All],[管理番号]:[氏名]],3,TRUE),"")</f>
        <v>前川　克樹</v>
      </c>
      <c r="D36" s="79" t="str">
        <f t="shared" si="0"/>
        <v/>
      </c>
      <c r="E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7" spans="1:28">
      <c r="A37" s="20">
        <f>名前リスト[[#This Row],[管理番号]]</f>
        <v>36</v>
      </c>
      <c r="B37" s="6" t="str">
        <f>IF(NOT(まとめ表_バック金額[[#This Row],[管理番号]]=""),VLOOKUP(まとめ表_バック金額[[#This Row],[管理番号]],名前リスト[[#All],[管理番号]:[氏名]],2,TRUE),"")</f>
        <v>kantaro</v>
      </c>
      <c r="C37" s="21" t="str">
        <f>IF(NOT(まとめ表_バック金額[[#This Row],[管理番号]]=""),VLOOKUP(まとめ表_バック金額[[#This Row],[管理番号]],名前リスト[[#All],[管理番号]:[氏名]],3,TRUE),"")</f>
        <v>森畠　勘太郎</v>
      </c>
      <c r="D37" s="79" t="str">
        <f t="shared" si="0"/>
        <v/>
      </c>
      <c r="E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8" spans="1:28">
      <c r="A38" s="20">
        <f>名前リスト[[#This Row],[管理番号]]</f>
        <v>37</v>
      </c>
      <c r="B38" s="6" t="str">
        <f>IF(NOT(まとめ表_バック金額[[#This Row],[管理番号]]=""),VLOOKUP(まとめ表_バック金額[[#This Row],[管理番号]],名前リスト[[#All],[管理番号]:[氏名]],2,TRUE),"")</f>
        <v>きだ　ひろし</v>
      </c>
      <c r="C38" s="21" t="str">
        <f>IF(NOT(まとめ表_バック金額[[#This Row],[管理番号]]=""),VLOOKUP(まとめ表_バック金額[[#This Row],[管理番号]],名前リスト[[#All],[管理番号]:[氏名]],3,TRUE),"")</f>
        <v>貴田　洋史</v>
      </c>
      <c r="D38" s="79" t="str">
        <f t="shared" si="0"/>
        <v/>
      </c>
      <c r="E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9" spans="1:28">
      <c r="A39" s="20">
        <f>名前リスト[[#This Row],[管理番号]]</f>
        <v>38</v>
      </c>
      <c r="B39" s="6" t="str">
        <f>IF(NOT(まとめ表_バック金額[[#This Row],[管理番号]]=""),VLOOKUP(まとめ表_バック金額[[#This Row],[管理番号]],名前リスト[[#All],[管理番号]:[氏名]],2,TRUE),"")</f>
        <v>丹祐希</v>
      </c>
      <c r="C39" s="21" t="str">
        <f>IF(NOT(まとめ表_バック金額[[#This Row],[管理番号]]=""),VLOOKUP(まとめ表_バック金額[[#This Row],[管理番号]],名前リスト[[#All],[管理番号]:[氏名]],3,TRUE),"")</f>
        <v>丹　祐希</v>
      </c>
      <c r="D39" s="79" t="str">
        <f t="shared" si="0"/>
        <v/>
      </c>
      <c r="E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0" spans="1:28">
      <c r="A40" s="20">
        <f>名前リスト[[#This Row],[管理番号]]</f>
        <v>39</v>
      </c>
      <c r="B40" s="6" t="str">
        <f>IF(NOT(まとめ表_バック金額[[#This Row],[管理番号]]=""),VLOOKUP(まとめ表_バック金額[[#This Row],[管理番号]],名前リスト[[#All],[管理番号]:[氏名]],2,TRUE),"")</f>
        <v>なかたにしょうへい</v>
      </c>
      <c r="C40" s="21" t="str">
        <f>IF(NOT(まとめ表_バック金額[[#This Row],[管理番号]]=""),VLOOKUP(まとめ表_バック金額[[#This Row],[管理番号]],名前リスト[[#All],[管理番号]:[氏名]],3,TRUE),"")</f>
        <v>中谷　昌平</v>
      </c>
      <c r="D40" s="79" t="str">
        <f t="shared" si="0"/>
        <v/>
      </c>
      <c r="E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1" spans="1:28">
      <c r="A41" s="20">
        <f>名前リスト[[#This Row],[管理番号]]</f>
        <v>40</v>
      </c>
      <c r="B41" s="6" t="str">
        <f>IF(NOT(まとめ表_バック金額[[#This Row],[管理番号]]=""),VLOOKUP(まとめ表_バック金額[[#This Row],[管理番号]],名前リスト[[#All],[管理番号]:[氏名]],2,TRUE),"")</f>
        <v>片山　善斗</v>
      </c>
      <c r="C41" s="21" t="str">
        <f>IF(NOT(まとめ表_バック金額[[#This Row],[管理番号]]=""),VLOOKUP(まとめ表_バック金額[[#This Row],[管理番号]],名前リスト[[#All],[管理番号]:[氏名]],3,TRUE),"")</f>
        <v>片山　善斗</v>
      </c>
      <c r="D41" s="79" t="str">
        <f t="shared" si="0"/>
        <v/>
      </c>
      <c r="E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2" spans="1:28">
      <c r="A42" s="20">
        <f>名前リスト[[#This Row],[管理番号]]</f>
        <v>41</v>
      </c>
      <c r="B42" s="6" t="str">
        <f>IF(NOT(まとめ表_バック金額[[#This Row],[管理番号]]=""),VLOOKUP(まとめ表_バック金額[[#This Row],[管理番号]],名前リスト[[#All],[管理番号]:[氏名]],2,TRUE),"")</f>
        <v>長谷川　直人</v>
      </c>
      <c r="C42" s="21" t="str">
        <f>IF(NOT(まとめ表_バック金額[[#This Row],[管理番号]]=""),VLOOKUP(まとめ表_バック金額[[#This Row],[管理番号]],名前リスト[[#All],[管理番号]:[氏名]],3,TRUE),"")</f>
        <v>長谷川　直人</v>
      </c>
      <c r="D42" s="79" t="str">
        <f t="shared" si="0"/>
        <v/>
      </c>
      <c r="E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3" spans="1:28">
      <c r="A43" s="20">
        <f>名前リスト[[#This Row],[管理番号]]</f>
        <v>42</v>
      </c>
      <c r="B43" s="6" t="str">
        <f>IF(NOT(まとめ表_バック金額[[#This Row],[管理番号]]=""),VLOOKUP(まとめ表_バック金額[[#This Row],[管理番号]],名前リスト[[#All],[管理番号]:[氏名]],2,TRUE),"")</f>
        <v>けいちゃんYDK</v>
      </c>
      <c r="C43" s="21" t="str">
        <f>IF(NOT(まとめ表_バック金額[[#This Row],[管理番号]]=""),VLOOKUP(まとめ表_バック金額[[#This Row],[管理番号]],名前リスト[[#All],[管理番号]:[氏名]],3,TRUE),"")</f>
        <v>イケダ　ケイタ</v>
      </c>
      <c r="D43" s="79" t="str">
        <f t="shared" si="0"/>
        <v/>
      </c>
      <c r="E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4" spans="1:28">
      <c r="A44" s="20">
        <f>名前リスト[[#This Row],[管理番号]]</f>
        <v>43</v>
      </c>
      <c r="B44" s="6" t="str">
        <f>IF(NOT(まとめ表_バック金額[[#This Row],[管理番号]]=""),VLOOKUP(まとめ表_バック金額[[#This Row],[管理番号]],名前リスト[[#All],[管理番号]:[氏名]],2,TRUE),"")</f>
        <v>まみ</v>
      </c>
      <c r="C44" s="21" t="str">
        <f>IF(NOT(まとめ表_バック金額[[#This Row],[管理番号]]=""),VLOOKUP(まとめ表_バック金額[[#This Row],[管理番号]],名前リスト[[#All],[管理番号]:[氏名]],3,TRUE),"")</f>
        <v>中山　茉美</v>
      </c>
      <c r="D44" s="79" t="str">
        <f t="shared" si="0"/>
        <v/>
      </c>
      <c r="E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5" spans="1:28">
      <c r="A45" s="20">
        <f>名前リスト[[#This Row],[管理番号]]</f>
        <v>44</v>
      </c>
      <c r="B45" s="6" t="str">
        <f>IF(NOT(まとめ表_バック金額[[#This Row],[管理番号]]=""),VLOOKUP(まとめ表_バック金額[[#This Row],[管理番号]],名前リスト[[#All],[管理番号]:[氏名]],2,TRUE),"")</f>
        <v>平本　悠馬</v>
      </c>
      <c r="C45" s="21" t="str">
        <f>IF(NOT(まとめ表_バック金額[[#This Row],[管理番号]]=""),VLOOKUP(まとめ表_バック金額[[#This Row],[管理番号]],名前リスト[[#All],[管理番号]:[氏名]],3,TRUE),"")</f>
        <v>平本　悠馬</v>
      </c>
      <c r="D45" s="79" t="str">
        <f t="shared" si="0"/>
        <v/>
      </c>
      <c r="E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6" spans="1:28">
      <c r="A46" s="20">
        <f>名前リスト[[#This Row],[管理番号]]</f>
        <v>45</v>
      </c>
      <c r="B46" s="6" t="str">
        <f>IF(NOT(まとめ表_バック金額[[#This Row],[管理番号]]=""),VLOOKUP(まとめ表_バック金額[[#This Row],[管理番号]],名前リスト[[#All],[管理番号]:[氏名]],2,TRUE),"")</f>
        <v>山田隆生</v>
      </c>
      <c r="C46" s="21" t="str">
        <f>IF(NOT(まとめ表_バック金額[[#This Row],[管理番号]]=""),VLOOKUP(まとめ表_バック金額[[#This Row],[管理番号]],名前リスト[[#All],[管理番号]:[氏名]],3,TRUE),"")</f>
        <v>山田　隆生</v>
      </c>
      <c r="D46" s="79" t="str">
        <f t="shared" si="0"/>
        <v/>
      </c>
      <c r="E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7" spans="1:28">
      <c r="A47" s="20">
        <f>名前リスト[[#This Row],[管理番号]]</f>
        <v>46</v>
      </c>
      <c r="B47" s="6" t="str">
        <f>IF(NOT(まとめ表_バック金額[[#This Row],[管理番号]]=""),VLOOKUP(まとめ表_バック金額[[#This Row],[管理番号]],名前リスト[[#All],[管理番号]:[氏名]],2,TRUE),"")</f>
        <v>なかじま</v>
      </c>
      <c r="C47" s="21" t="str">
        <f>IF(NOT(まとめ表_バック金額[[#This Row],[管理番号]]=""),VLOOKUP(まとめ表_バック金額[[#This Row],[管理番号]],名前リスト[[#All],[管理番号]:[氏名]],3,TRUE),"")</f>
        <v>中嶋　一輝</v>
      </c>
      <c r="D47" s="79" t="str">
        <f t="shared" si="0"/>
        <v/>
      </c>
      <c r="E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8" spans="1:28">
      <c r="A48" s="20">
        <f>名前リスト[[#This Row],[管理番号]]</f>
        <v>47</v>
      </c>
      <c r="B48" s="6" t="str">
        <f>IF(NOT(まとめ表_バック金額[[#This Row],[管理番号]]=""),VLOOKUP(まとめ表_バック金額[[#This Row],[管理番号]],名前リスト[[#All],[管理番号]:[氏名]],2,TRUE),"")</f>
        <v>WATARU</v>
      </c>
      <c r="C48" s="21" t="str">
        <f>IF(NOT(まとめ表_バック金額[[#This Row],[管理番号]]=""),VLOOKUP(まとめ表_バック金額[[#This Row],[管理番号]],名前リスト[[#All],[管理番号]:[氏名]],3,TRUE),"")</f>
        <v>熊谷　航</v>
      </c>
      <c r="D48" s="79" t="str">
        <f t="shared" si="0"/>
        <v/>
      </c>
      <c r="E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49" spans="1:28">
      <c r="A49" s="20">
        <f>名前リスト[[#This Row],[管理番号]]</f>
        <v>48</v>
      </c>
      <c r="B49" s="6" t="str">
        <f>IF(NOT(まとめ表_バック金額[[#This Row],[管理番号]]=""),VLOOKUP(まとめ表_バック金額[[#This Row],[管理番号]],名前リスト[[#All],[管理番号]:[氏名]],2,TRUE),"")</f>
        <v>亜美</v>
      </c>
      <c r="C49" s="21" t="str">
        <f>IF(NOT(まとめ表_バック金額[[#This Row],[管理番号]]=""),VLOOKUP(まとめ表_バック金額[[#This Row],[管理番号]],名前リスト[[#All],[管理番号]:[氏名]],3,TRUE),"")</f>
        <v>南原　亜美</v>
      </c>
      <c r="D49" s="79" t="str">
        <f t="shared" si="0"/>
        <v/>
      </c>
      <c r="E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0" spans="1:28">
      <c r="A50" s="20">
        <f>名前リスト[[#This Row],[管理番号]]</f>
        <v>49</v>
      </c>
      <c r="B50" s="6" t="str">
        <f>IF(NOT(まとめ表_バック金額[[#This Row],[管理番号]]=""),VLOOKUP(まとめ表_バック金額[[#This Row],[管理番号]],名前リスト[[#All],[管理番号]:[氏名]],2,TRUE),"")</f>
        <v>kamitani</v>
      </c>
      <c r="C50" s="21" t="str">
        <f>IF(NOT(まとめ表_バック金額[[#This Row],[管理番号]]=""),VLOOKUP(まとめ表_バック金額[[#This Row],[管理番号]],名前リスト[[#All],[管理番号]:[氏名]],3,TRUE),"")</f>
        <v>紙谷　莉央</v>
      </c>
      <c r="D50" s="79" t="str">
        <f t="shared" si="0"/>
        <v/>
      </c>
      <c r="E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1" spans="1:28">
      <c r="A51" s="20">
        <f>名前リスト[[#This Row],[管理番号]]</f>
        <v>50</v>
      </c>
      <c r="B51" s="6" t="str">
        <f>IF(NOT(まとめ表_バック金額[[#This Row],[管理番号]]=""),VLOOKUP(まとめ表_バック金額[[#This Row],[管理番号]],名前リスト[[#All],[管理番号]:[氏名]],2,TRUE),"")</f>
        <v>hyoma</v>
      </c>
      <c r="C51" s="21" t="str">
        <f>IF(NOT(まとめ表_バック金額[[#This Row],[管理番号]]=""),VLOOKUP(まとめ表_バック金額[[#This Row],[管理番号]],名前リスト[[#All],[管理番号]:[氏名]],3,TRUE),"")</f>
        <v>庄司　彪真</v>
      </c>
      <c r="D51" s="79" t="str">
        <f t="shared" si="0"/>
        <v/>
      </c>
      <c r="E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2" spans="1:28">
      <c r="A52" s="20">
        <f>名前リスト[[#This Row],[管理番号]]</f>
        <v>51</v>
      </c>
      <c r="B52" s="6" t="str">
        <f>IF(NOT(まとめ表_バック金額[[#This Row],[管理番号]]=""),VLOOKUP(まとめ表_バック金額[[#This Row],[管理番号]],名前リスト[[#All],[管理番号]:[氏名]],2,TRUE),"")</f>
        <v>きのしたこうき</v>
      </c>
      <c r="C52" s="21" t="str">
        <f>IF(NOT(まとめ表_バック金額[[#This Row],[管理番号]]=""),VLOOKUP(まとめ表_バック金額[[#This Row],[管理番号]],名前リスト[[#All],[管理番号]:[氏名]],3,TRUE),"")</f>
        <v>木下　光樹</v>
      </c>
      <c r="D52" s="79" t="str">
        <f t="shared" si="0"/>
        <v/>
      </c>
      <c r="E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3" spans="1:28">
      <c r="A53" s="20">
        <f>名前リスト[[#This Row],[管理番号]]</f>
        <v>52</v>
      </c>
      <c r="B53" s="6" t="str">
        <f>IF(NOT(まとめ表_バック金額[[#This Row],[管理番号]]=""),VLOOKUP(まとめ表_バック金額[[#This Row],[管理番号]],名前リスト[[#All],[管理番号]:[氏名]],2,TRUE),"")</f>
        <v>tamaki</v>
      </c>
      <c r="C53" s="21" t="str">
        <f>IF(NOT(まとめ表_バック金額[[#This Row],[管理番号]]=""),VLOOKUP(まとめ表_バック金額[[#This Row],[管理番号]],名前リスト[[#All],[管理番号]:[氏名]],3,TRUE),"")</f>
        <v>玉木　祐</v>
      </c>
      <c r="D53" s="79" t="str">
        <f t="shared" si="0"/>
        <v/>
      </c>
      <c r="E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4" spans="1:28">
      <c r="A54" s="20">
        <f>名前リスト[[#This Row],[管理番号]]</f>
        <v>53</v>
      </c>
      <c r="B54" s="6" t="str">
        <f>IF(NOT(まとめ表_バック金額[[#This Row],[管理番号]]=""),VLOOKUP(まとめ表_バック金額[[#This Row],[管理番号]],名前リスト[[#All],[管理番号]:[氏名]],2,TRUE),"")</f>
        <v>さや</v>
      </c>
      <c r="C54" s="21" t="str">
        <f>IF(NOT(まとめ表_バック金額[[#This Row],[管理番号]]=""),VLOOKUP(まとめ表_バック金額[[#This Row],[管理番号]],名前リスト[[#All],[管理番号]:[氏名]],3,TRUE),"")</f>
        <v>藤田　彩椰</v>
      </c>
      <c r="D54" s="79" t="str">
        <f t="shared" si="0"/>
        <v/>
      </c>
      <c r="E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5" spans="1:28">
      <c r="A55" s="20">
        <f>名前リスト[[#This Row],[管理番号]]</f>
        <v>54</v>
      </c>
      <c r="B55" s="6" t="str">
        <f>IF(NOT(まとめ表_バック金額[[#This Row],[管理番号]]=""),VLOOKUP(まとめ表_バック金額[[#This Row],[管理番号]],名前リスト[[#All],[管理番号]:[氏名]],2,TRUE),"")</f>
        <v>図子涼太</v>
      </c>
      <c r="C55" s="21" t="str">
        <f>IF(NOT(まとめ表_バック金額[[#This Row],[管理番号]]=""),VLOOKUP(まとめ表_バック金額[[#This Row],[管理番号]],名前リスト[[#All],[管理番号]:[氏名]],3,TRUE),"")</f>
        <v>図子　涼太</v>
      </c>
      <c r="D55" s="79" t="str">
        <f t="shared" si="0"/>
        <v/>
      </c>
      <c r="E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6" spans="1:28">
      <c r="A56" s="20">
        <f>名前リスト[[#This Row],[管理番号]]</f>
        <v>55</v>
      </c>
      <c r="B56" s="6" t="str">
        <f>IF(NOT(まとめ表_バック金額[[#This Row],[管理番号]]=""),VLOOKUP(まとめ表_バック金額[[#This Row],[管理番号]],名前リスト[[#All],[管理番号]:[氏名]],2,TRUE),"")</f>
        <v>じおん</v>
      </c>
      <c r="C56" s="21" t="str">
        <f>IF(NOT(まとめ表_バック金額[[#This Row],[管理番号]]=""),VLOOKUP(まとめ表_バック金額[[#This Row],[管理番号]],名前リスト[[#All],[管理番号]:[氏名]],3,TRUE),"")</f>
        <v>友原　慈恩</v>
      </c>
      <c r="D56" s="79" t="str">
        <f t="shared" si="0"/>
        <v/>
      </c>
      <c r="E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7" spans="1:28">
      <c r="A57" s="20">
        <f>名前リスト[[#This Row],[管理番号]]</f>
        <v>56</v>
      </c>
      <c r="B57" s="6" t="str">
        <f>IF(NOT(まとめ表_バック金額[[#This Row],[管理番号]]=""),VLOOKUP(まとめ表_バック金額[[#This Row],[管理番号]],名前リスト[[#All],[管理番号]:[氏名]],2,TRUE),"")</f>
        <v>高橋だいき</v>
      </c>
      <c r="C57" s="21" t="str">
        <f>IF(NOT(まとめ表_バック金額[[#This Row],[管理番号]]=""),VLOOKUP(まとめ表_バック金額[[#This Row],[管理番号]],名前リスト[[#All],[管理番号]:[氏名]],3,TRUE),"")</f>
        <v>高橋　大喜</v>
      </c>
      <c r="D57" s="79" t="str">
        <f t="shared" si="0"/>
        <v/>
      </c>
      <c r="E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8" spans="1:28">
      <c r="A58" s="20">
        <f>名前リスト[[#This Row],[管理番号]]</f>
        <v>57</v>
      </c>
      <c r="B58" s="6" t="str">
        <f>IF(NOT(まとめ表_バック金額[[#This Row],[管理番号]]=""),VLOOKUP(まとめ表_バック金額[[#This Row],[管理番号]],名前リスト[[#All],[管理番号]:[氏名]],2,TRUE),"")</f>
        <v>若江祐香</v>
      </c>
      <c r="C58" s="21" t="str">
        <f>IF(NOT(まとめ表_バック金額[[#This Row],[管理番号]]=""),VLOOKUP(まとめ表_バック金額[[#This Row],[管理番号]],名前リスト[[#All],[管理番号]:[氏名]],3,TRUE),"")</f>
        <v>若江　祐香</v>
      </c>
      <c r="D58" s="79" t="str">
        <f t="shared" si="0"/>
        <v/>
      </c>
      <c r="E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59" spans="1:28">
      <c r="A59" s="20">
        <f>名前リスト[[#This Row],[管理番号]]</f>
        <v>58</v>
      </c>
      <c r="B59" s="6" t="str">
        <f>IF(NOT(まとめ表_バック金額[[#This Row],[管理番号]]=""),VLOOKUP(まとめ表_バック金額[[#This Row],[管理番号]],名前リスト[[#All],[管理番号]:[氏名]],2,TRUE),"")</f>
        <v>ゆり</v>
      </c>
      <c r="C59" s="21" t="str">
        <f>IF(NOT(まとめ表_バック金額[[#This Row],[管理番号]]=""),VLOOKUP(まとめ表_バック金額[[#This Row],[管理番号]],名前リスト[[#All],[管理番号]:[氏名]],3,TRUE),"")</f>
        <v>羽坂　友里</v>
      </c>
      <c r="D59" s="79" t="str">
        <f t="shared" si="0"/>
        <v/>
      </c>
      <c r="E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0" spans="1:28">
      <c r="A60" s="20">
        <f>名前リスト[[#This Row],[管理番号]]</f>
        <v>59</v>
      </c>
      <c r="B60" s="6" t="str">
        <f>IF(NOT(まとめ表_バック金額[[#This Row],[管理番号]]=""),VLOOKUP(まとめ表_バック金額[[#This Row],[管理番号]],名前リスト[[#All],[管理番号]:[氏名]],2,TRUE),"")</f>
        <v>たなかもとひで</v>
      </c>
      <c r="C60" s="21" t="str">
        <f>IF(NOT(まとめ表_バック金額[[#This Row],[管理番号]]=""),VLOOKUP(まとめ表_バック金額[[#This Row],[管理番号]],名前リスト[[#All],[管理番号]:[氏名]],3,TRUE),"")</f>
        <v>田中　元秀</v>
      </c>
      <c r="D60" s="79" t="str">
        <f t="shared" si="0"/>
        <v/>
      </c>
      <c r="E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1" spans="1:28">
      <c r="A61" s="20">
        <f>名前リスト[[#This Row],[管理番号]]</f>
        <v>60</v>
      </c>
      <c r="B61" s="6" t="str">
        <f>IF(NOT(まとめ表_バック金額[[#This Row],[管理番号]]=""),VLOOKUP(まとめ表_バック金額[[#This Row],[管理番号]],名前リスト[[#All],[管理番号]:[氏名]],2,TRUE),"")</f>
        <v>藤井康裕</v>
      </c>
      <c r="C61" s="21" t="str">
        <f>IF(NOT(まとめ表_バック金額[[#This Row],[管理番号]]=""),VLOOKUP(まとめ表_バック金額[[#This Row],[管理番号]],名前リスト[[#All],[管理番号]:[氏名]],3,TRUE),"")</f>
        <v>藤井　康裕</v>
      </c>
      <c r="D61" s="79" t="str">
        <f t="shared" si="0"/>
        <v/>
      </c>
      <c r="E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2" spans="1:28">
      <c r="A62" s="20">
        <f>名前リスト[[#This Row],[管理番号]]</f>
        <v>61</v>
      </c>
      <c r="B62" s="6" t="str">
        <f>IF(NOT(まとめ表_バック金額[[#This Row],[管理番号]]=""),VLOOKUP(まとめ表_バック金額[[#This Row],[管理番号]],名前リスト[[#All],[管理番号]:[氏名]],2,TRUE),"")</f>
        <v>あおこう</v>
      </c>
      <c r="C62" s="21" t="str">
        <f>IF(NOT(まとめ表_バック金額[[#This Row],[管理番号]]=""),VLOOKUP(まとめ表_バック金額[[#This Row],[管理番号]],名前リスト[[#All],[管理番号]:[氏名]],3,TRUE),"")</f>
        <v>青地　耕平</v>
      </c>
      <c r="D62" s="79" t="str">
        <f t="shared" si="0"/>
        <v/>
      </c>
      <c r="E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3" spans="1:28">
      <c r="A63" s="20">
        <f>名前リスト[[#This Row],[管理番号]]</f>
        <v>62</v>
      </c>
      <c r="B63" s="6" t="str">
        <f>IF(NOT(まとめ表_バック金額[[#This Row],[管理番号]]=""),VLOOKUP(まとめ表_バック金額[[#This Row],[管理番号]],名前リスト[[#All],[管理番号]:[氏名]],2,TRUE),"")</f>
        <v>近藤智樹</v>
      </c>
      <c r="C63" s="21" t="str">
        <f>IF(NOT(まとめ表_バック金額[[#This Row],[管理番号]]=""),VLOOKUP(まとめ表_バック金額[[#This Row],[管理番号]],名前リスト[[#All],[管理番号]:[氏名]],3,TRUE),"")</f>
        <v>近藤　智樹</v>
      </c>
      <c r="D63" s="79" t="str">
        <f t="shared" si="0"/>
        <v/>
      </c>
      <c r="E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4" spans="1:28">
      <c r="A64" s="20">
        <f>名前リスト[[#This Row],[管理番号]]</f>
        <v>63</v>
      </c>
      <c r="B64" s="6" t="str">
        <f>IF(NOT(まとめ表_バック金額[[#This Row],[管理番号]]=""),VLOOKUP(まとめ表_バック金額[[#This Row],[管理番号]],名前リスト[[#All],[管理番号]:[氏名]],2,TRUE),"")</f>
        <v>金子心</v>
      </c>
      <c r="C64" s="21" t="str">
        <f>IF(NOT(まとめ表_バック金額[[#This Row],[管理番号]]=""),VLOOKUP(まとめ表_バック金額[[#This Row],[管理番号]],名前リスト[[#All],[管理番号]:[氏名]],3,TRUE),"")</f>
        <v>金子　心</v>
      </c>
      <c r="D64" s="79" t="str">
        <f t="shared" si="0"/>
        <v/>
      </c>
      <c r="E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5" spans="1:28">
      <c r="A65" s="20">
        <f>名前リスト[[#This Row],[管理番号]]</f>
        <v>64</v>
      </c>
      <c r="B65" s="6" t="str">
        <f>IF(NOT(まとめ表_バック金額[[#This Row],[管理番号]]=""),VLOOKUP(まとめ表_バック金額[[#This Row],[管理番号]],名前リスト[[#All],[管理番号]:[氏名]],2,TRUE),"")</f>
        <v>田中弦</v>
      </c>
      <c r="C65" s="21" t="str">
        <f>IF(NOT(まとめ表_バック金額[[#This Row],[管理番号]]=""),VLOOKUP(まとめ表_バック金額[[#This Row],[管理番号]],名前リスト[[#All],[管理番号]:[氏名]],3,TRUE),"")</f>
        <v>田中　弦</v>
      </c>
      <c r="D65" s="79">
        <f t="shared" si="0"/>
        <v>9000</v>
      </c>
      <c r="E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6" spans="1:28">
      <c r="A66" s="20">
        <f>名前リスト[[#This Row],[管理番号]]</f>
        <v>65</v>
      </c>
      <c r="B66" s="6" t="str">
        <f>IF(NOT(まとめ表_バック金額[[#This Row],[管理番号]]=""),VLOOKUP(まとめ表_バック金額[[#This Row],[管理番号]],名前リスト[[#All],[管理番号]:[氏名]],2,TRUE),"")</f>
        <v>りな</v>
      </c>
      <c r="C66" s="21" t="str">
        <f>IF(NOT(まとめ表_バック金額[[#This Row],[管理番号]]=""),VLOOKUP(まとめ表_バック金額[[#This Row],[管理番号]],名前リスト[[#All],[管理番号]:[氏名]],3,TRUE),"")</f>
        <v>水田　里奈</v>
      </c>
      <c r="D66" s="79" t="str">
        <f t="shared" ref="D66:D129" si="1">IF(SUM(E66:XFD66)=0,"",SUM(E66:XFD66))</f>
        <v/>
      </c>
      <c r="E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7" spans="1:28">
      <c r="A67" s="20">
        <f>名前リスト[[#This Row],[管理番号]]</f>
        <v>66</v>
      </c>
      <c r="B67" s="6" t="str">
        <f>IF(NOT(まとめ表_バック金額[[#This Row],[管理番号]]=""),VLOOKUP(まとめ表_バック金額[[#This Row],[管理番号]],名前リスト[[#All],[管理番号]:[氏名]],2,TRUE),"")</f>
        <v>山本裕介</v>
      </c>
      <c r="C67" s="21" t="str">
        <f>IF(NOT(まとめ表_バック金額[[#This Row],[管理番号]]=""),VLOOKUP(まとめ表_バック金額[[#This Row],[管理番号]],名前リスト[[#All],[管理番号]:[氏名]],3,TRUE),"")</f>
        <v>山本　裕介</v>
      </c>
      <c r="D67" s="79" t="str">
        <f t="shared" si="1"/>
        <v/>
      </c>
      <c r="E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8" spans="1:28">
      <c r="A68" s="20">
        <f>名前リスト[[#This Row],[管理番号]]</f>
        <v>67</v>
      </c>
      <c r="B68" s="6" t="str">
        <f>IF(NOT(まとめ表_バック金額[[#This Row],[管理番号]]=""),VLOOKUP(まとめ表_バック金額[[#This Row],[管理番号]],名前リスト[[#All],[管理番号]:[氏名]],2,TRUE),"")</f>
        <v>久元昭人</v>
      </c>
      <c r="C68" s="21" t="str">
        <f>IF(NOT(まとめ表_バック金額[[#This Row],[管理番号]]=""),VLOOKUP(まとめ表_バック金額[[#This Row],[管理番号]],名前リスト[[#All],[管理番号]:[氏名]],3,TRUE),"")</f>
        <v>久元　昭人</v>
      </c>
      <c r="D68" s="79" t="str">
        <f t="shared" si="1"/>
        <v/>
      </c>
      <c r="E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69" spans="1:28">
      <c r="A69" s="20">
        <f>名前リスト[[#This Row],[管理番号]]</f>
        <v>68</v>
      </c>
      <c r="B69" s="6" t="str">
        <f>IF(NOT(まとめ表_バック金額[[#This Row],[管理番号]]=""),VLOOKUP(まとめ表_バック金額[[#This Row],[管理番号]],名前リスト[[#All],[管理番号]:[氏名]],2,TRUE),"")</f>
        <v>白水　祐太</v>
      </c>
      <c r="C69" s="21" t="str">
        <f>IF(NOT(まとめ表_バック金額[[#This Row],[管理番号]]=""),VLOOKUP(まとめ表_バック金額[[#This Row],[管理番号]],名前リスト[[#All],[管理番号]:[氏名]],3,TRUE),"")</f>
        <v>白水　祐太</v>
      </c>
      <c r="D69" s="79" t="str">
        <f t="shared" si="1"/>
        <v/>
      </c>
      <c r="E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0" spans="1:28">
      <c r="A70" s="20">
        <f>名前リスト[[#This Row],[管理番号]]</f>
        <v>69</v>
      </c>
      <c r="B70" s="6" t="str">
        <f>IF(NOT(まとめ表_バック金額[[#This Row],[管理番号]]=""),VLOOKUP(まとめ表_バック金額[[#This Row],[管理番号]],名前リスト[[#All],[管理番号]:[氏名]],2,TRUE),"")</f>
        <v>水津直樹</v>
      </c>
      <c r="C70" s="21" t="str">
        <f>IF(NOT(まとめ表_バック金額[[#This Row],[管理番号]]=""),VLOOKUP(まとめ表_バック金額[[#This Row],[管理番号]],名前リスト[[#All],[管理番号]:[氏名]],3,TRUE),"")</f>
        <v>水津　直樹</v>
      </c>
      <c r="D70" s="79" t="str">
        <f t="shared" si="1"/>
        <v/>
      </c>
      <c r="E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1" spans="1:28">
      <c r="A71" s="20">
        <f>名前リスト[[#This Row],[管理番号]]</f>
        <v>70</v>
      </c>
      <c r="B71" s="6" t="str">
        <f>IF(NOT(まとめ表_バック金額[[#This Row],[管理番号]]=""),VLOOKUP(まとめ表_バック金額[[#This Row],[管理番号]],名前リスト[[#All],[管理番号]:[氏名]],2,TRUE),"")</f>
        <v>のさかりょうすけ</v>
      </c>
      <c r="C71" s="21" t="str">
        <f>IF(NOT(まとめ表_バック金額[[#This Row],[管理番号]]=""),VLOOKUP(まとめ表_バック金額[[#This Row],[管理番号]],名前リスト[[#All],[管理番号]:[氏名]],3,TRUE),"")</f>
        <v>野坂　亮介</v>
      </c>
      <c r="D71" s="79" t="str">
        <f t="shared" si="1"/>
        <v/>
      </c>
      <c r="E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2" spans="1:28">
      <c r="A72" s="20">
        <f>名前リスト[[#This Row],[管理番号]]</f>
        <v>71</v>
      </c>
      <c r="B72" s="6" t="str">
        <f>IF(NOT(まとめ表_バック金額[[#This Row],[管理番号]]=""),VLOOKUP(まとめ表_バック金額[[#This Row],[管理番号]],名前リスト[[#All],[管理番号]:[氏名]],2,TRUE),"")</f>
        <v>いしだともみ</v>
      </c>
      <c r="C72" s="21" t="str">
        <f>IF(NOT(まとめ表_バック金額[[#This Row],[管理番号]]=""),VLOOKUP(まとめ表_バック金額[[#This Row],[管理番号]],名前リスト[[#All],[管理番号]:[氏名]],3,TRUE),"")</f>
        <v>石田　智美</v>
      </c>
      <c r="D72" s="79" t="str">
        <f t="shared" si="1"/>
        <v/>
      </c>
      <c r="E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3" spans="1:28">
      <c r="A73" s="20">
        <f>名前リスト[[#This Row],[管理番号]]</f>
        <v>72</v>
      </c>
      <c r="B73" s="6" t="str">
        <f>IF(NOT(まとめ表_バック金額[[#This Row],[管理番号]]=""),VLOOKUP(まとめ表_バック金額[[#This Row],[管理番号]],名前リスト[[#All],[管理番号]:[氏名]],2,TRUE),"")</f>
        <v>ひが</v>
      </c>
      <c r="C73" s="21" t="str">
        <f>IF(NOT(まとめ表_バック金額[[#This Row],[管理番号]]=""),VLOOKUP(まとめ表_バック金額[[#This Row],[管理番号]],名前リスト[[#All],[管理番号]:[氏名]],3,TRUE),"")</f>
        <v>比嘉　健太</v>
      </c>
      <c r="D73" s="79" t="str">
        <f t="shared" si="1"/>
        <v/>
      </c>
      <c r="E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4" spans="1:28">
      <c r="A74" s="20">
        <f>名前リスト[[#This Row],[管理番号]]</f>
        <v>73</v>
      </c>
      <c r="B74" s="6" t="str">
        <f>IF(NOT(まとめ表_バック金額[[#This Row],[管理番号]]=""),VLOOKUP(まとめ表_バック金額[[#This Row],[管理番号]],名前リスト[[#All],[管理番号]:[氏名]],2,TRUE),"")</f>
        <v>yuukuki</v>
      </c>
      <c r="C74" s="21" t="str">
        <f>IF(NOT(まとめ表_バック金額[[#This Row],[管理番号]]=""),VLOOKUP(まとめ表_バック金額[[#This Row],[管理番号]],名前リスト[[#All],[管理番号]:[氏名]],3,TRUE),"")</f>
        <v>大山　優樹</v>
      </c>
      <c r="D74" s="79" t="str">
        <f t="shared" si="1"/>
        <v/>
      </c>
      <c r="E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5" spans="1:28">
      <c r="A75" s="20">
        <f>名前リスト[[#This Row],[管理番号]]</f>
        <v>74</v>
      </c>
      <c r="B75" s="6" t="str">
        <f>IF(NOT(まとめ表_バック金額[[#This Row],[管理番号]]=""),VLOOKUP(まとめ表_バック金額[[#This Row],[管理番号]],名前リスト[[#All],[管理番号]:[氏名]],2,TRUE),"")</f>
        <v>池田裕哉</v>
      </c>
      <c r="C75" s="21" t="str">
        <f>IF(NOT(まとめ表_バック金額[[#This Row],[管理番号]]=""),VLOOKUP(まとめ表_バック金額[[#This Row],[管理番号]],名前リスト[[#All],[管理番号]:[氏名]],3,TRUE),"")</f>
        <v>池田　裕哉</v>
      </c>
      <c r="D75" s="79" t="str">
        <f t="shared" si="1"/>
        <v/>
      </c>
      <c r="E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6" spans="1:28">
      <c r="A76" s="20">
        <f>名前リスト[[#This Row],[管理番号]]</f>
        <v>75</v>
      </c>
      <c r="B76" s="6" t="str">
        <f>IF(NOT(まとめ表_バック金額[[#This Row],[管理番号]]=""),VLOOKUP(まとめ表_バック金額[[#This Row],[管理番号]],名前リスト[[#All],[管理番号]:[氏名]],2,TRUE),"")</f>
        <v>辰己隆一郎</v>
      </c>
      <c r="C76" s="21" t="str">
        <f>IF(NOT(まとめ表_バック金額[[#This Row],[管理番号]]=""),VLOOKUP(まとめ表_バック金額[[#This Row],[管理番号]],名前リスト[[#All],[管理番号]:[氏名]],3,TRUE),"")</f>
        <v>辰己　隆一郎</v>
      </c>
      <c r="D76" s="79" t="str">
        <f t="shared" si="1"/>
        <v/>
      </c>
      <c r="E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7" spans="1:28">
      <c r="A77" s="20">
        <f>名前リスト[[#This Row],[管理番号]]</f>
        <v>76</v>
      </c>
      <c r="B77" s="6" t="str">
        <f>IF(NOT(まとめ表_バック金額[[#This Row],[管理番号]]=""),VLOOKUP(まとめ表_バック金額[[#This Row],[管理番号]],名前リスト[[#All],[管理番号]:[氏名]],2,TRUE),"")</f>
        <v>chihiro</v>
      </c>
      <c r="C77" s="21" t="str">
        <f>IF(NOT(まとめ表_バック金額[[#This Row],[管理番号]]=""),VLOOKUP(まとめ表_バック金額[[#This Row],[管理番号]],名前リスト[[#All],[管理番号]:[氏名]],3,TRUE),"")</f>
        <v>井上　千裕</v>
      </c>
      <c r="D77" s="79" t="str">
        <f t="shared" si="1"/>
        <v/>
      </c>
      <c r="E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8" spans="1:28">
      <c r="A78" s="20">
        <f>名前リスト[[#This Row],[管理番号]]</f>
        <v>77</v>
      </c>
      <c r="B78" s="6" t="str">
        <f>IF(NOT(まとめ表_バック金額[[#This Row],[管理番号]]=""),VLOOKUP(まとめ表_バック金額[[#This Row],[管理番号]],名前リスト[[#All],[管理番号]:[氏名]],2,TRUE),"")</f>
        <v>キムラ</v>
      </c>
      <c r="C78" s="21" t="str">
        <f>IF(NOT(まとめ表_バック金額[[#This Row],[管理番号]]=""),VLOOKUP(まとめ表_バック金額[[#This Row],[管理番号]],名前リスト[[#All],[管理番号]:[氏名]],3,TRUE),"")</f>
        <v>木村　慎一郎</v>
      </c>
      <c r="D78" s="79" t="str">
        <f t="shared" si="1"/>
        <v/>
      </c>
      <c r="E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79" spans="1:28">
      <c r="A79" s="20">
        <f>名前リスト[[#This Row],[管理番号]]</f>
        <v>78</v>
      </c>
      <c r="B79" s="6" t="str">
        <f>IF(NOT(まとめ表_バック金額[[#This Row],[管理番号]]=""),VLOOKUP(まとめ表_バック金額[[#This Row],[管理番号]],名前リスト[[#All],[管理番号]:[氏名]],2,TRUE),"")</f>
        <v>ゆうや</v>
      </c>
      <c r="C79" s="21" t="str">
        <f>IF(NOT(まとめ表_バック金額[[#This Row],[管理番号]]=""),VLOOKUP(まとめ表_バック金額[[#This Row],[管理番号]],名前リスト[[#All],[管理番号]:[氏名]],3,TRUE),"")</f>
        <v>大野　裕哉</v>
      </c>
      <c r="D79" s="79" t="str">
        <f t="shared" si="1"/>
        <v/>
      </c>
      <c r="E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0" spans="1:28">
      <c r="A80" s="20">
        <f>名前リスト[[#This Row],[管理番号]]</f>
        <v>79</v>
      </c>
      <c r="B80" s="6">
        <f>IF(NOT(まとめ表_バック金額[[#This Row],[管理番号]]=""),VLOOKUP(まとめ表_バック金額[[#This Row],[管理番号]],名前リスト[[#All],[管理番号]:[氏名]],2,TRUE),"")</f>
        <v>0</v>
      </c>
      <c r="C80" s="21">
        <f>IF(NOT(まとめ表_バック金額[[#This Row],[管理番号]]=""),VLOOKUP(まとめ表_バック金額[[#This Row],[管理番号]],名前リスト[[#All],[管理番号]:[氏名]],3,TRUE),"")</f>
        <v>0</v>
      </c>
      <c r="D80" s="79" t="str">
        <f t="shared" si="1"/>
        <v/>
      </c>
      <c r="E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1" spans="1:28">
      <c r="A81" s="20">
        <f>名前リスト[[#This Row],[管理番号]]</f>
        <v>80</v>
      </c>
      <c r="B81" s="6" t="str">
        <f>IF(NOT(まとめ表_バック金額[[#This Row],[管理番号]]=""),VLOOKUP(まとめ表_バック金額[[#This Row],[管理番号]],名前リスト[[#All],[管理番号]:[氏名]],2,TRUE),"")</f>
        <v>新宅玄基</v>
      </c>
      <c r="C81" s="21" t="str">
        <f>IF(NOT(まとめ表_バック金額[[#This Row],[管理番号]]=""),VLOOKUP(まとめ表_バック金額[[#This Row],[管理番号]],名前リスト[[#All],[管理番号]:[氏名]],3,TRUE),"")</f>
        <v>新宅玄基</v>
      </c>
      <c r="D81" s="79" t="str">
        <f t="shared" si="1"/>
        <v/>
      </c>
      <c r="E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2" spans="1:28">
      <c r="A82" s="20">
        <f>名前リスト[[#This Row],[管理番号]]</f>
        <v>81</v>
      </c>
      <c r="B82" s="6" t="str">
        <f>IF(NOT(まとめ表_バック金額[[#This Row],[管理番号]]=""),VLOOKUP(まとめ表_バック金額[[#This Row],[管理番号]],名前リスト[[#All],[管理番号]:[氏名]],2,TRUE),"")</f>
        <v>岩崎ゆうや</v>
      </c>
      <c r="C82" s="21" t="str">
        <f>IF(NOT(まとめ表_バック金額[[#This Row],[管理番号]]=""),VLOOKUP(まとめ表_バック金額[[#This Row],[管理番号]],名前リスト[[#All],[管理番号]:[氏名]],3,TRUE),"")</f>
        <v>岩崎ゆうや</v>
      </c>
      <c r="D82" s="79" t="str">
        <f t="shared" si="1"/>
        <v/>
      </c>
      <c r="E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3" spans="1:28">
      <c r="A83" s="20">
        <f>名前リスト[[#This Row],[管理番号]]</f>
        <v>82</v>
      </c>
      <c r="B83" s="6" t="str">
        <f>IF(NOT(まとめ表_バック金額[[#This Row],[管理番号]]=""),VLOOKUP(まとめ表_バック金額[[#This Row],[管理番号]],名前リスト[[#All],[管理番号]:[氏名]],2,TRUE),"")</f>
        <v>ウエノリュウセイ</v>
      </c>
      <c r="C83" s="21" t="str">
        <f>IF(NOT(まとめ表_バック金額[[#This Row],[管理番号]]=""),VLOOKUP(まとめ表_バック金額[[#This Row],[管理番号]],名前リスト[[#All],[管理番号]:[氏名]],3,TRUE),"")</f>
        <v>ウエノリュウセイ</v>
      </c>
      <c r="D83" s="79" t="str">
        <f t="shared" si="1"/>
        <v/>
      </c>
      <c r="E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4" spans="1:28">
      <c r="A84" s="20">
        <f>名前リスト[[#This Row],[管理番号]]</f>
        <v>83</v>
      </c>
      <c r="B84" s="6" t="str">
        <f>IF(NOT(まとめ表_バック金額[[#This Row],[管理番号]]=""),VLOOKUP(まとめ表_バック金額[[#This Row],[管理番号]],名前リスト[[#All],[管理番号]:[氏名]],2,TRUE),"")</f>
        <v>なるちさん</v>
      </c>
      <c r="C84" s="21" t="str">
        <f>IF(NOT(まとめ表_バック金額[[#This Row],[管理番号]]=""),VLOOKUP(まとめ表_バック金額[[#This Row],[管理番号]],名前リスト[[#All],[管理番号]:[氏名]],3,TRUE),"")</f>
        <v>なるちさん</v>
      </c>
      <c r="D84" s="79" t="str">
        <f t="shared" si="1"/>
        <v/>
      </c>
      <c r="E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5" spans="1:28">
      <c r="A85" s="20">
        <f>名前リスト[[#This Row],[管理番号]]</f>
        <v>84</v>
      </c>
      <c r="B85" s="6" t="str">
        <f>IF(NOT(まとめ表_バック金額[[#This Row],[管理番号]]=""),VLOOKUP(まとめ表_バック金額[[#This Row],[管理番号]],名前リスト[[#All],[管理番号]:[氏名]],2,TRUE),"")</f>
        <v>アリックスさん</v>
      </c>
      <c r="C85" s="21" t="str">
        <f>IF(NOT(まとめ表_バック金額[[#This Row],[管理番号]]=""),VLOOKUP(まとめ表_バック金額[[#This Row],[管理番号]],名前リスト[[#All],[管理番号]:[氏名]],3,TRUE),"")</f>
        <v>アリックスさん</v>
      </c>
      <c r="D85" s="79" t="str">
        <f t="shared" si="1"/>
        <v/>
      </c>
      <c r="E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6" spans="1:28">
      <c r="A86" s="20">
        <f>名前リスト[[#This Row],[管理番号]]</f>
        <v>85</v>
      </c>
      <c r="B86" s="6" t="str">
        <f>IF(NOT(まとめ表_バック金額[[#This Row],[管理番号]]=""),VLOOKUP(まとめ表_バック金額[[#This Row],[管理番号]],名前リスト[[#All],[管理番号]:[氏名]],2,TRUE),"")</f>
        <v>のぞみ</v>
      </c>
      <c r="C86" s="21" t="str">
        <f>IF(NOT(まとめ表_バック金額[[#This Row],[管理番号]]=""),VLOOKUP(まとめ表_バック金額[[#This Row],[管理番号]],名前リスト[[#All],[管理番号]:[氏名]],3,TRUE),"")</f>
        <v>竹隈　望</v>
      </c>
      <c r="D86" s="79" t="str">
        <f t="shared" si="1"/>
        <v/>
      </c>
      <c r="E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7" spans="1:28">
      <c r="A87" s="20">
        <f>名前リスト[[#This Row],[管理番号]]</f>
        <v>86</v>
      </c>
      <c r="B87" s="6" t="str">
        <f>IF(NOT(まとめ表_バック金額[[#This Row],[管理番号]]=""),VLOOKUP(まとめ表_バック金額[[#This Row],[管理番号]],名前リスト[[#All],[管理番号]:[氏名]],2,TRUE),"")</f>
        <v>おっかー</v>
      </c>
      <c r="C87" s="21" t="str">
        <f>IF(NOT(まとめ表_バック金額[[#This Row],[管理番号]]=""),VLOOKUP(まとめ表_バック金額[[#This Row],[管理番号]],名前リスト[[#All],[管理番号]:[氏名]],3,TRUE),"")</f>
        <v>岡部　将人</v>
      </c>
      <c r="D87" s="79" t="str">
        <f t="shared" si="1"/>
        <v/>
      </c>
      <c r="E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8" spans="1:28">
      <c r="A88" s="20">
        <f>名前リスト[[#This Row],[管理番号]]</f>
        <v>87</v>
      </c>
      <c r="B88" s="6" t="str">
        <f>IF(NOT(まとめ表_バック金額[[#This Row],[管理番号]]=""),VLOOKUP(まとめ表_バック金額[[#This Row],[管理番号]],名前リスト[[#All],[管理番号]:[氏名]],2,TRUE),"")</f>
        <v>金崎竜</v>
      </c>
      <c r="C88" s="21" t="str">
        <f>IF(NOT(まとめ表_バック金額[[#This Row],[管理番号]]=""),VLOOKUP(まとめ表_バック金額[[#This Row],[管理番号]],名前リスト[[#All],[管理番号]:[氏名]],3,TRUE),"")</f>
        <v>金崎　竜</v>
      </c>
      <c r="D88" s="79" t="str">
        <f t="shared" si="1"/>
        <v/>
      </c>
      <c r="E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89" spans="1:28">
      <c r="A89" s="20">
        <f>名前リスト[[#This Row],[管理番号]]</f>
        <v>88</v>
      </c>
      <c r="B89" s="6" t="str">
        <f>IF(NOT(まとめ表_バック金額[[#This Row],[管理番号]]=""),VLOOKUP(まとめ表_バック金額[[#This Row],[管理番号]],名前リスト[[#All],[管理番号]:[氏名]],2,TRUE),"")</f>
        <v>井上将吾</v>
      </c>
      <c r="C89" s="21" t="str">
        <f>IF(NOT(まとめ表_バック金額[[#This Row],[管理番号]]=""),VLOOKUP(まとめ表_バック金額[[#This Row],[管理番号]],名前リスト[[#All],[管理番号]:[氏名]],3,TRUE),"")</f>
        <v>井上　将吾</v>
      </c>
      <c r="D89" s="79" t="str">
        <f t="shared" si="1"/>
        <v/>
      </c>
      <c r="E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0" spans="1:28">
      <c r="A90" s="20">
        <f>名前リスト[[#This Row],[管理番号]]</f>
        <v>89</v>
      </c>
      <c r="B90" s="6" t="str">
        <f>IF(NOT(まとめ表_バック金額[[#This Row],[管理番号]]=""),VLOOKUP(まとめ表_バック金額[[#This Row],[管理番号]],名前リスト[[#All],[管理番号]:[氏名]],2,TRUE),"")</f>
        <v>押川</v>
      </c>
      <c r="C90" s="21" t="str">
        <f>IF(NOT(まとめ表_バック金額[[#This Row],[管理番号]]=""),VLOOKUP(まとめ表_バック金額[[#This Row],[管理番号]],名前リスト[[#All],[管理番号]:[氏名]],3,TRUE),"")</f>
        <v>おっしー</v>
      </c>
      <c r="D90" s="79" t="str">
        <f t="shared" si="1"/>
        <v/>
      </c>
      <c r="E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1" spans="1:28">
      <c r="A91" s="20">
        <f>名前リスト[[#This Row],[管理番号]]</f>
        <v>90</v>
      </c>
      <c r="B91" s="6" t="str">
        <f>IF(NOT(まとめ表_バック金額[[#This Row],[管理番号]]=""),VLOOKUP(まとめ表_バック金額[[#This Row],[管理番号]],名前リスト[[#All],[管理番号]:[氏名]],2,TRUE),"")</f>
        <v>ともや</v>
      </c>
      <c r="C91" s="21" t="str">
        <f>IF(NOT(まとめ表_バック金額[[#This Row],[管理番号]]=""),VLOOKUP(まとめ表_バック金額[[#This Row],[管理番号]],名前リスト[[#All],[管理番号]:[氏名]],3,TRUE),"")</f>
        <v>ともや</v>
      </c>
      <c r="D91" s="79" t="str">
        <f t="shared" si="1"/>
        <v/>
      </c>
      <c r="E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2" spans="1:28">
      <c r="A92" s="20">
        <f>名前リスト[[#This Row],[管理番号]]</f>
        <v>91</v>
      </c>
      <c r="B92" s="6" t="str">
        <f>IF(NOT(まとめ表_バック金額[[#This Row],[管理番号]]=""),VLOOKUP(まとめ表_バック金額[[#This Row],[管理番号]],名前リスト[[#All],[管理番号]:[氏名]],2,TRUE),"")</f>
        <v>日下勝</v>
      </c>
      <c r="C92" s="21" t="str">
        <f>IF(NOT(まとめ表_バック金額[[#This Row],[管理番号]]=""),VLOOKUP(まとめ表_バック金額[[#This Row],[管理番号]],名前リスト[[#All],[管理番号]:[氏名]],3,TRUE),"")</f>
        <v>日下　勝</v>
      </c>
      <c r="D92" s="79" t="str">
        <f t="shared" si="1"/>
        <v/>
      </c>
      <c r="E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3" spans="1:28">
      <c r="A93" s="20">
        <f>名前リスト[[#This Row],[管理番号]]</f>
        <v>92</v>
      </c>
      <c r="B93" s="6" t="str">
        <f>IF(NOT(まとめ表_バック金額[[#This Row],[管理番号]]=""),VLOOKUP(まとめ表_バック金額[[#This Row],[管理番号]],名前リスト[[#All],[管理番号]:[氏名]],2,TRUE),"")</f>
        <v>谷田雄哉</v>
      </c>
      <c r="C93" s="21" t="str">
        <f>IF(NOT(まとめ表_バック金額[[#This Row],[管理番号]]=""),VLOOKUP(まとめ表_バック金額[[#This Row],[管理番号]],名前リスト[[#All],[管理番号]:[氏名]],3,TRUE),"")</f>
        <v>谷田　雄哉</v>
      </c>
      <c r="D93" s="79" t="str">
        <f t="shared" si="1"/>
        <v/>
      </c>
      <c r="E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4" spans="1:28">
      <c r="A94" s="20">
        <f>名前リスト[[#This Row],[管理番号]]</f>
        <v>93</v>
      </c>
      <c r="B94" s="6" t="str">
        <f>IF(NOT(まとめ表_バック金額[[#This Row],[管理番号]]=""),VLOOKUP(まとめ表_バック金額[[#This Row],[管理番号]],名前リスト[[#All],[管理番号]:[氏名]],2,TRUE),"")</f>
        <v>まっすー</v>
      </c>
      <c r="C94" s="21" t="str">
        <f>IF(NOT(まとめ表_バック金額[[#This Row],[管理番号]]=""),VLOOKUP(まとめ表_バック金額[[#This Row],[管理番号]],名前リスト[[#All],[管理番号]:[氏名]],3,TRUE),"")</f>
        <v>まっすー</v>
      </c>
      <c r="D94" s="79" t="str">
        <f t="shared" si="1"/>
        <v/>
      </c>
      <c r="E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5" spans="1:28">
      <c r="A95" s="20">
        <f>名前リスト[[#This Row],[管理番号]]</f>
        <v>94</v>
      </c>
      <c r="B95" s="6" t="str">
        <f>IF(NOT(まとめ表_バック金額[[#This Row],[管理番号]]=""),VLOOKUP(まとめ表_バック金額[[#This Row],[管理番号]],名前リスト[[#All],[管理番号]:[氏名]],2,TRUE),"")</f>
        <v>いつき</v>
      </c>
      <c r="C95" s="21" t="str">
        <f>IF(NOT(まとめ表_バック金額[[#This Row],[管理番号]]=""),VLOOKUP(まとめ表_バック金額[[#This Row],[管理番号]],名前リスト[[#All],[管理番号]:[氏名]],3,TRUE),"")</f>
        <v>植田　樹</v>
      </c>
      <c r="D95" s="79" t="str">
        <f t="shared" si="1"/>
        <v/>
      </c>
      <c r="E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6" spans="1:28">
      <c r="A96" s="20">
        <f>名前リスト[[#This Row],[管理番号]]</f>
        <v>95</v>
      </c>
      <c r="B96" s="6" t="str">
        <f>IF(NOT(まとめ表_バック金額[[#This Row],[管理番号]]=""),VLOOKUP(まとめ表_バック金額[[#This Row],[管理番号]],名前リスト[[#All],[管理番号]:[氏名]],2,TRUE),"")</f>
        <v>中野さん</v>
      </c>
      <c r="C96" s="21" t="str">
        <f>IF(NOT(まとめ表_バック金額[[#This Row],[管理番号]]=""),VLOOKUP(まとめ表_バック金額[[#This Row],[管理番号]],名前リスト[[#All],[管理番号]:[氏名]],3,TRUE),"")</f>
        <v>中野さん</v>
      </c>
      <c r="D96" s="79" t="str">
        <f t="shared" si="1"/>
        <v/>
      </c>
      <c r="E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7" spans="1:28">
      <c r="A97" s="20">
        <f>名前リスト[[#This Row],[管理番号]]</f>
        <v>96</v>
      </c>
      <c r="B97" s="6" t="str">
        <f>IF(NOT(まとめ表_バック金額[[#This Row],[管理番号]]=""),VLOOKUP(まとめ表_バック金額[[#This Row],[管理番号]],名前リスト[[#All],[管理番号]:[氏名]],2,TRUE),"")</f>
        <v>森田健太郎</v>
      </c>
      <c r="C97" s="21" t="str">
        <f>IF(NOT(まとめ表_バック金額[[#This Row],[管理番号]]=""),VLOOKUP(まとめ表_バック金額[[#This Row],[管理番号]],名前リスト[[#All],[管理番号]:[氏名]],3,TRUE),"")</f>
        <v>森田健太郎</v>
      </c>
      <c r="D97" s="79" t="str">
        <f t="shared" si="1"/>
        <v/>
      </c>
      <c r="E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8" spans="1:28">
      <c r="A98" s="20">
        <f>名前リスト[[#This Row],[管理番号]]</f>
        <v>97</v>
      </c>
      <c r="B98" s="6" t="str">
        <f>IF(NOT(まとめ表_バック金額[[#This Row],[管理番号]]=""),VLOOKUP(まとめ表_バック金額[[#This Row],[管理番号]],名前リスト[[#All],[管理番号]:[氏名]],2,TRUE),"")</f>
        <v>モリヤコウキ</v>
      </c>
      <c r="C98" s="21" t="str">
        <f>IF(NOT(まとめ表_バック金額[[#This Row],[管理番号]]=""),VLOOKUP(まとめ表_バック金額[[#This Row],[管理番号]],名前リスト[[#All],[管理番号]:[氏名]],3,TRUE),"")</f>
        <v>モリヤコウキ</v>
      </c>
      <c r="D98" s="79" t="str">
        <f t="shared" si="1"/>
        <v/>
      </c>
      <c r="E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99" spans="1:28">
      <c r="A99" s="20">
        <f>名前リスト[[#This Row],[管理番号]]</f>
        <v>98</v>
      </c>
      <c r="B99" s="6" t="str">
        <f>IF(NOT(まとめ表_バック金額[[#This Row],[管理番号]]=""),VLOOKUP(まとめ表_バック金額[[#This Row],[管理番号]],名前リスト[[#All],[管理番号]:[氏名]],2,TRUE),"")</f>
        <v>佐藤　諄治</v>
      </c>
      <c r="C99" s="21" t="str">
        <f>IF(NOT(まとめ表_バック金額[[#This Row],[管理番号]]=""),VLOOKUP(まとめ表_バック金額[[#This Row],[管理番号]],名前リスト[[#All],[管理番号]:[氏名]],3,TRUE),"")</f>
        <v>佐藤　諄治</v>
      </c>
      <c r="D99" s="79" t="str">
        <f t="shared" si="1"/>
        <v/>
      </c>
      <c r="E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0" spans="1:28">
      <c r="A100" s="20">
        <f>名前リスト[[#This Row],[管理番号]]</f>
        <v>99</v>
      </c>
      <c r="B100" s="6" t="str">
        <f>IF(NOT(まとめ表_バック金額[[#This Row],[管理番号]]=""),VLOOKUP(まとめ表_バック金額[[#This Row],[管理番号]],名前リスト[[#All],[管理番号]:[氏名]],2,TRUE),"")</f>
        <v>平岡京</v>
      </c>
      <c r="C100" s="21" t="str">
        <f>IF(NOT(まとめ表_バック金額[[#This Row],[管理番号]]=""),VLOOKUP(まとめ表_バック金額[[#This Row],[管理番号]],名前リスト[[#All],[管理番号]:[氏名]],3,TRUE),"")</f>
        <v>平岡京</v>
      </c>
      <c r="D100" s="79" t="str">
        <f t="shared" si="1"/>
        <v/>
      </c>
      <c r="E1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1" spans="1:28">
      <c r="A101" s="20">
        <f>名前リスト[[#This Row],[管理番号]]</f>
        <v>100</v>
      </c>
      <c r="B101" s="6" t="str">
        <f>IF(NOT(まとめ表_バック金額[[#This Row],[管理番号]]=""),VLOOKUP(まとめ表_バック金額[[#This Row],[管理番号]],名前リスト[[#All],[管理番号]:[氏名]],2,TRUE),"")</f>
        <v>浅田翔平</v>
      </c>
      <c r="C101" s="21" t="str">
        <f>IF(NOT(まとめ表_バック金額[[#This Row],[管理番号]]=""),VLOOKUP(まとめ表_バック金額[[#This Row],[管理番号]],名前リスト[[#All],[管理番号]:[氏名]],3,TRUE),"")</f>
        <v>浅田翔平</v>
      </c>
      <c r="D101" s="79" t="str">
        <f t="shared" si="1"/>
        <v/>
      </c>
      <c r="E1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2" spans="1:28">
      <c r="A102" s="20">
        <f>名前リスト[[#This Row],[管理番号]]</f>
        <v>101</v>
      </c>
      <c r="B102" s="6" t="str">
        <f>IF(NOT(まとめ表_バック金額[[#This Row],[管理番号]]=""),VLOOKUP(まとめ表_バック金額[[#This Row],[管理番号]],名前リスト[[#All],[管理番号]:[氏名]],2,TRUE),"")</f>
        <v>ヒガシモト　ヨウヘイ</v>
      </c>
      <c r="C102" s="21" t="str">
        <f>IF(NOT(まとめ表_バック金額[[#This Row],[管理番号]]=""),VLOOKUP(まとめ表_バック金額[[#This Row],[管理番号]],名前リスト[[#All],[管理番号]:[氏名]],3,TRUE),"")</f>
        <v>ヒガシモト　ヨウヘイ</v>
      </c>
      <c r="D102" s="79" t="str">
        <f t="shared" si="1"/>
        <v/>
      </c>
      <c r="E1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3" spans="1:28">
      <c r="A103" s="20">
        <f>名前リスト[[#This Row],[管理番号]]</f>
        <v>102</v>
      </c>
      <c r="B103" s="6" t="str">
        <f>IF(NOT(まとめ表_バック金額[[#This Row],[管理番号]]=""),VLOOKUP(まとめ表_バック金額[[#This Row],[管理番号]],名前リスト[[#All],[管理番号]:[氏名]],2,TRUE),"")</f>
        <v>田中隼平</v>
      </c>
      <c r="C103" s="21" t="str">
        <f>IF(NOT(まとめ表_バック金額[[#This Row],[管理番号]]=""),VLOOKUP(まとめ表_バック金額[[#This Row],[管理番号]],名前リスト[[#All],[管理番号]:[氏名]],3,TRUE),"")</f>
        <v>田中隼平</v>
      </c>
      <c r="D103" s="79" t="str">
        <f t="shared" si="1"/>
        <v/>
      </c>
      <c r="E1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4" spans="1:28">
      <c r="A104" s="20">
        <f>名前リスト[[#This Row],[管理番号]]</f>
        <v>103</v>
      </c>
      <c r="B104" s="6" t="str">
        <f>IF(NOT(まとめ表_バック金額[[#This Row],[管理番号]]=""),VLOOKUP(まとめ表_バック金額[[#This Row],[管理番号]],名前リスト[[#All],[管理番号]:[氏名]],2,TRUE),"")</f>
        <v>南よしき</v>
      </c>
      <c r="C104" s="21" t="str">
        <f>IF(NOT(まとめ表_バック金額[[#This Row],[管理番号]]=""),VLOOKUP(まとめ表_バック金額[[#This Row],[管理番号]],名前リスト[[#All],[管理番号]:[氏名]],3,TRUE),"")</f>
        <v>南よしき</v>
      </c>
      <c r="D104" s="79" t="str">
        <f t="shared" si="1"/>
        <v/>
      </c>
      <c r="E1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5" spans="1:28">
      <c r="A105" s="20">
        <f>名前リスト[[#This Row],[管理番号]]</f>
        <v>104</v>
      </c>
      <c r="B105" s="6" t="str">
        <f>IF(NOT(まとめ表_バック金額[[#This Row],[管理番号]]=""),VLOOKUP(まとめ表_バック金額[[#This Row],[管理番号]],名前リスト[[#All],[管理番号]:[氏名]],2,TRUE),"")</f>
        <v>足立たけまさ</v>
      </c>
      <c r="C105" s="21" t="str">
        <f>IF(NOT(まとめ表_バック金額[[#This Row],[管理番号]]=""),VLOOKUP(まとめ表_バック金額[[#This Row],[管理番号]],名前リスト[[#All],[管理番号]:[氏名]],3,TRUE),"")</f>
        <v>足立たけまさ</v>
      </c>
      <c r="D105" s="79" t="str">
        <f t="shared" si="1"/>
        <v/>
      </c>
      <c r="E1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6" spans="1:28">
      <c r="A106" s="20">
        <f>名前リスト[[#This Row],[管理番号]]</f>
        <v>105</v>
      </c>
      <c r="B106" s="6" t="str">
        <f>IF(NOT(まとめ表_バック金額[[#This Row],[管理番号]]=""),VLOOKUP(まとめ表_バック金額[[#This Row],[管理番号]],名前リスト[[#All],[管理番号]:[氏名]],2,TRUE),"")</f>
        <v>高橋けいご</v>
      </c>
      <c r="C106" s="21" t="str">
        <f>IF(NOT(まとめ表_バック金額[[#This Row],[管理番号]]=""),VLOOKUP(まとめ表_バック金額[[#This Row],[管理番号]],名前リスト[[#All],[管理番号]:[氏名]],3,TRUE),"")</f>
        <v>高橋けいご</v>
      </c>
      <c r="D106" s="79" t="str">
        <f t="shared" si="1"/>
        <v/>
      </c>
      <c r="E1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7" spans="1:28">
      <c r="A107" s="20">
        <f>名前リスト[[#This Row],[管理番号]]</f>
        <v>106</v>
      </c>
      <c r="B107" s="6" t="str">
        <f>IF(NOT(まとめ表_バック金額[[#This Row],[管理番号]]=""),VLOOKUP(まとめ表_バック金額[[#This Row],[管理番号]],名前リスト[[#All],[管理番号]:[氏名]],2,TRUE),"")</f>
        <v>やまなこうすけ</v>
      </c>
      <c r="C107" s="21" t="str">
        <f>IF(NOT(まとめ表_バック金額[[#This Row],[管理番号]]=""),VLOOKUP(まとめ表_バック金額[[#This Row],[管理番号]],名前リスト[[#All],[管理番号]:[氏名]],3,TRUE),"")</f>
        <v>やまなこうすけ</v>
      </c>
      <c r="D107" s="79" t="str">
        <f t="shared" si="1"/>
        <v/>
      </c>
      <c r="E1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8" spans="1:28">
      <c r="A108" s="20">
        <f>名前リスト[[#This Row],[管理番号]]</f>
        <v>107</v>
      </c>
      <c r="B108" s="6" t="str">
        <f>IF(NOT(まとめ表_バック金額[[#This Row],[管理番号]]=""),VLOOKUP(まとめ表_バック金額[[#This Row],[管理番号]],名前リスト[[#All],[管理番号]:[氏名]],2,TRUE),"")</f>
        <v>みなみりょうすけ</v>
      </c>
      <c r="C108" s="21" t="str">
        <f>IF(NOT(まとめ表_バック金額[[#This Row],[管理番号]]=""),VLOOKUP(まとめ表_バック金額[[#This Row],[管理番号]],名前リスト[[#All],[管理番号]:[氏名]],3,TRUE),"")</f>
        <v>みなみりょうすけ</v>
      </c>
      <c r="D108" s="79" t="str">
        <f t="shared" si="1"/>
        <v/>
      </c>
      <c r="E10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09" spans="1:28">
      <c r="A109" s="20">
        <f>名前リスト[[#This Row],[管理番号]]</f>
        <v>108</v>
      </c>
      <c r="B109" s="6" t="str">
        <f>IF(NOT(まとめ表_バック金額[[#This Row],[管理番号]]=""),VLOOKUP(まとめ表_バック金額[[#This Row],[管理番号]],名前リスト[[#All],[管理番号]:[氏名]],2,TRUE),"")</f>
        <v>よしのりゆうすけ</v>
      </c>
      <c r="C109" s="21" t="str">
        <f>IF(NOT(まとめ表_バック金額[[#This Row],[管理番号]]=""),VLOOKUP(まとめ表_バック金額[[#This Row],[管理番号]],名前リスト[[#All],[管理番号]:[氏名]],3,TRUE),"")</f>
        <v>よしのりゆうすけ</v>
      </c>
      <c r="D109" s="79" t="str">
        <f t="shared" si="1"/>
        <v/>
      </c>
      <c r="E10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0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0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0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0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0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0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0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0" spans="1:28">
      <c r="A110" s="20">
        <f>名前リスト[[#This Row],[管理番号]]</f>
        <v>109</v>
      </c>
      <c r="B110" s="6" t="str">
        <f>IF(NOT(まとめ表_バック金額[[#This Row],[管理番号]]=""),VLOOKUP(まとめ表_バック金額[[#This Row],[管理番号]],名前リスト[[#All],[管理番号]:[氏名]],2,TRUE),"")</f>
        <v>たけもとゆうき</v>
      </c>
      <c r="C110" s="21" t="str">
        <f>IF(NOT(まとめ表_バック金額[[#This Row],[管理番号]]=""),VLOOKUP(まとめ表_バック金額[[#This Row],[管理番号]],名前リスト[[#All],[管理番号]:[氏名]],3,TRUE),"")</f>
        <v>たけもとゆうき</v>
      </c>
      <c r="D110" s="79" t="str">
        <f t="shared" si="1"/>
        <v/>
      </c>
      <c r="E11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1" spans="1:28">
      <c r="A111" s="20">
        <f>名前リスト[[#This Row],[管理番号]]</f>
        <v>110</v>
      </c>
      <c r="B111" s="6" t="str">
        <f>IF(NOT(まとめ表_バック金額[[#This Row],[管理番号]]=""),VLOOKUP(まとめ表_バック金額[[#This Row],[管理番号]],名前リスト[[#All],[管理番号]:[氏名]],2,TRUE),"")</f>
        <v>たけむらゆうき</v>
      </c>
      <c r="C111" s="21" t="str">
        <f>IF(NOT(まとめ表_バック金額[[#This Row],[管理番号]]=""),VLOOKUP(まとめ表_バック金額[[#This Row],[管理番号]],名前リスト[[#All],[管理番号]:[氏名]],3,TRUE),"")</f>
        <v>たけむらゆうき</v>
      </c>
      <c r="D111" s="79" t="str">
        <f t="shared" si="1"/>
        <v/>
      </c>
      <c r="E11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2" spans="1:28">
      <c r="A112" s="20">
        <f>名前リスト[[#This Row],[管理番号]]</f>
        <v>111</v>
      </c>
      <c r="B112" s="6" t="str">
        <f>IF(NOT(まとめ表_バック金額[[#This Row],[管理番号]]=""),VLOOKUP(まとめ表_バック金額[[#This Row],[管理番号]],名前リスト[[#All],[管理番号]:[氏名]],2,TRUE),"")</f>
        <v>こうのけんと</v>
      </c>
      <c r="C112" s="21" t="str">
        <f>IF(NOT(まとめ表_バック金額[[#This Row],[管理番号]]=""),VLOOKUP(まとめ表_バック金額[[#This Row],[管理番号]],名前リスト[[#All],[管理番号]:[氏名]],3,TRUE),"")</f>
        <v>こうのけんと</v>
      </c>
      <c r="D112" s="79" t="str">
        <f t="shared" si="1"/>
        <v/>
      </c>
      <c r="E11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3" spans="1:28">
      <c r="A113" s="20">
        <f>名前リスト[[#This Row],[管理番号]]</f>
        <v>112</v>
      </c>
      <c r="B113" s="6" t="str">
        <f>IF(NOT(まとめ表_バック金額[[#This Row],[管理番号]]=""),VLOOKUP(まとめ表_バック金額[[#This Row],[管理番号]],名前リスト[[#All],[管理番号]:[氏名]],2,TRUE),"")</f>
        <v>はやしたつき</v>
      </c>
      <c r="C113" s="21" t="str">
        <f>IF(NOT(まとめ表_バック金額[[#This Row],[管理番号]]=""),VLOOKUP(まとめ表_バック金額[[#This Row],[管理番号]],名前リスト[[#All],[管理番号]:[氏名]],3,TRUE),"")</f>
        <v>はやしたつき</v>
      </c>
      <c r="D113" s="79" t="str">
        <f t="shared" si="1"/>
        <v/>
      </c>
      <c r="E11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4" spans="1:28">
      <c r="A114" s="20">
        <f>名前リスト[[#This Row],[管理番号]]</f>
        <v>113</v>
      </c>
      <c r="B114" s="6" t="str">
        <f>IF(NOT(まとめ表_バック金額[[#This Row],[管理番号]]=""),VLOOKUP(まとめ表_バック金額[[#This Row],[管理番号]],名前リスト[[#All],[管理番号]:[氏名]],2,TRUE),"")</f>
        <v>たさかこうき</v>
      </c>
      <c r="C114" s="21" t="str">
        <f>IF(NOT(まとめ表_バック金額[[#This Row],[管理番号]]=""),VLOOKUP(まとめ表_バック金額[[#This Row],[管理番号]],名前リスト[[#All],[管理番号]:[氏名]],3,TRUE),"")</f>
        <v>たさかこうき</v>
      </c>
      <c r="D114" s="79" t="str">
        <f t="shared" si="1"/>
        <v/>
      </c>
      <c r="E11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5" spans="1:28">
      <c r="A115" s="20">
        <f>名前リスト[[#This Row],[管理番号]]</f>
        <v>114</v>
      </c>
      <c r="B115" s="6" t="str">
        <f>IF(NOT(まとめ表_バック金額[[#This Row],[管理番号]]=""),VLOOKUP(まとめ表_バック金額[[#This Row],[管理番号]],名前リスト[[#All],[管理番号]:[氏名]],2,TRUE),"")</f>
        <v>あらきさん</v>
      </c>
      <c r="C115" s="21" t="str">
        <f>IF(NOT(まとめ表_バック金額[[#This Row],[管理番号]]=""),VLOOKUP(まとめ表_バック金額[[#This Row],[管理番号]],名前リスト[[#All],[管理番号]:[氏名]],3,TRUE),"")</f>
        <v>あらきさん</v>
      </c>
      <c r="D115" s="79" t="str">
        <f t="shared" si="1"/>
        <v/>
      </c>
      <c r="E11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6" spans="1:28">
      <c r="A116" s="20">
        <f>名前リスト[[#This Row],[管理番号]]</f>
        <v>115</v>
      </c>
      <c r="B116" s="6" t="str">
        <f>IF(NOT(まとめ表_バック金額[[#This Row],[管理番号]]=""),VLOOKUP(まとめ表_バック金額[[#This Row],[管理番号]],名前リスト[[#All],[管理番号]:[氏名]],2,TRUE),"")</f>
        <v>オカダさん</v>
      </c>
      <c r="C116" s="21" t="str">
        <f>IF(NOT(まとめ表_バック金額[[#This Row],[管理番号]]=""),VLOOKUP(まとめ表_バック金額[[#This Row],[管理番号]],名前リスト[[#All],[管理番号]:[氏名]],3,TRUE),"")</f>
        <v>オカダさん</v>
      </c>
      <c r="D116" s="79" t="str">
        <f t="shared" si="1"/>
        <v/>
      </c>
      <c r="E11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7" spans="1:28">
      <c r="A117" s="20">
        <f>名前リスト[[#This Row],[管理番号]]</f>
        <v>116</v>
      </c>
      <c r="B117" s="6" t="str">
        <f>IF(NOT(まとめ表_バック金額[[#This Row],[管理番号]]=""),VLOOKUP(まとめ表_バック金額[[#This Row],[管理番号]],名前リスト[[#All],[管理番号]:[氏名]],2,TRUE),"")</f>
        <v>池田　大輝</v>
      </c>
      <c r="C117" s="21" t="str">
        <f>IF(NOT(まとめ表_バック金額[[#This Row],[管理番号]]=""),VLOOKUP(まとめ表_バック金額[[#This Row],[管理番号]],名前リスト[[#All],[管理番号]:[氏名]],3,TRUE),"")</f>
        <v>池田　大輝</v>
      </c>
      <c r="D117" s="79" t="str">
        <f t="shared" si="1"/>
        <v/>
      </c>
      <c r="E11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8" spans="1:28">
      <c r="A118" s="20">
        <f>名前リスト[[#This Row],[管理番号]]</f>
        <v>117</v>
      </c>
      <c r="B118" s="6" t="str">
        <f>IF(NOT(まとめ表_バック金額[[#This Row],[管理番号]]=""),VLOOKUP(まとめ表_バック金額[[#This Row],[管理番号]],名前リスト[[#All],[管理番号]:[氏名]],2,TRUE),"")</f>
        <v>ジンエロン</v>
      </c>
      <c r="C118" s="21" t="str">
        <f>IF(NOT(まとめ表_バック金額[[#This Row],[管理番号]]=""),VLOOKUP(まとめ表_バック金額[[#This Row],[管理番号]],名前リスト[[#All],[管理番号]:[氏名]],3,TRUE),"")</f>
        <v>ジンエロン</v>
      </c>
      <c r="D118" s="79" t="str">
        <f t="shared" si="1"/>
        <v/>
      </c>
      <c r="E11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19" spans="1:28">
      <c r="A119" s="20">
        <f>名前リスト[[#This Row],[管理番号]]</f>
        <v>118</v>
      </c>
      <c r="B119" s="6" t="str">
        <f>IF(NOT(まとめ表_バック金額[[#This Row],[管理番号]]=""),VLOOKUP(まとめ表_バック金額[[#This Row],[管理番号]],名前リスト[[#All],[管理番号]:[氏名]],2,TRUE),"")</f>
        <v>フクモトヨシキ</v>
      </c>
      <c r="C119" s="21" t="str">
        <f>IF(NOT(まとめ表_バック金額[[#This Row],[管理番号]]=""),VLOOKUP(まとめ表_バック金額[[#This Row],[管理番号]],名前リスト[[#All],[管理番号]:[氏名]],3,TRUE),"")</f>
        <v>フクモトヨシキ</v>
      </c>
      <c r="D119" s="79" t="str">
        <f t="shared" si="1"/>
        <v/>
      </c>
      <c r="E11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1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1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1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1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1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1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1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0" spans="1:28">
      <c r="A120" s="20">
        <f>名前リスト[[#This Row],[管理番号]]</f>
        <v>119</v>
      </c>
      <c r="B120" s="6" t="str">
        <f>IF(NOT(まとめ表_バック金額[[#This Row],[管理番号]]=""),VLOOKUP(まとめ表_バック金額[[#This Row],[管理番号]],名前リスト[[#All],[管理番号]:[氏名]],2,TRUE),"")</f>
        <v>ヒノハラシン</v>
      </c>
      <c r="C120" s="21" t="str">
        <f>IF(NOT(まとめ表_バック金額[[#This Row],[管理番号]]=""),VLOOKUP(まとめ表_バック金額[[#This Row],[管理番号]],名前リスト[[#All],[管理番号]:[氏名]],3,TRUE),"")</f>
        <v>ヒノハラシン</v>
      </c>
      <c r="D120" s="79" t="str">
        <f t="shared" si="1"/>
        <v/>
      </c>
      <c r="E12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1" spans="1:28">
      <c r="A121" s="20">
        <f>名前リスト[[#This Row],[管理番号]]</f>
        <v>120</v>
      </c>
      <c r="B121" s="6" t="str">
        <f>IF(NOT(まとめ表_バック金額[[#This Row],[管理番号]]=""),VLOOKUP(まとめ表_バック金額[[#This Row],[管理番号]],名前リスト[[#All],[管理番号]:[氏名]],2,TRUE),"")</f>
        <v>ヤマシタ セイナ</v>
      </c>
      <c r="C121" s="21" t="str">
        <f>IF(NOT(まとめ表_バック金額[[#This Row],[管理番号]]=""),VLOOKUP(まとめ表_バック金額[[#This Row],[管理番号]],名前リスト[[#All],[管理番号]:[氏名]],3,TRUE),"")</f>
        <v>ヤマシタ セイナ</v>
      </c>
      <c r="D121" s="79" t="str">
        <f t="shared" si="1"/>
        <v/>
      </c>
      <c r="E12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2" spans="1:28">
      <c r="A122" s="20">
        <f>名前リスト[[#This Row],[管理番号]]</f>
        <v>121</v>
      </c>
      <c r="B122" s="6" t="str">
        <f>IF(NOT(まとめ表_バック金額[[#This Row],[管理番号]]=""),VLOOKUP(まとめ表_バック金額[[#This Row],[管理番号]],名前リスト[[#All],[管理番号]:[氏名]],2,TRUE),"")</f>
        <v>カミセ　タイキ</v>
      </c>
      <c r="C122" s="21" t="str">
        <f>IF(NOT(まとめ表_バック金額[[#This Row],[管理番号]]=""),VLOOKUP(まとめ表_バック金額[[#This Row],[管理番号]],名前リスト[[#All],[管理番号]:[氏名]],3,TRUE),"")</f>
        <v>カミセ　タイキ</v>
      </c>
      <c r="D122" s="79" t="str">
        <f t="shared" si="1"/>
        <v/>
      </c>
      <c r="E12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3" spans="1:28">
      <c r="A123" s="20">
        <f>名前リスト[[#This Row],[管理番号]]</f>
        <v>122</v>
      </c>
      <c r="B123" s="6" t="str">
        <f>IF(NOT(まとめ表_バック金額[[#This Row],[管理番号]]=""),VLOOKUP(まとめ表_バック金額[[#This Row],[管理番号]],名前リスト[[#All],[管理番号]:[氏名]],2,TRUE),"")</f>
        <v>オダ　マサト</v>
      </c>
      <c r="C123" s="21" t="str">
        <f>IF(NOT(まとめ表_バック金額[[#This Row],[管理番号]]=""),VLOOKUP(まとめ表_バック金額[[#This Row],[管理番号]],名前リスト[[#All],[管理番号]:[氏名]],3,TRUE),"")</f>
        <v>オダ　マサト</v>
      </c>
      <c r="D123" s="79" t="str">
        <f t="shared" si="1"/>
        <v/>
      </c>
      <c r="E12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4" spans="1:28">
      <c r="A124" s="20">
        <f>名前リスト[[#This Row],[管理番号]]</f>
        <v>123</v>
      </c>
      <c r="B124" s="6" t="str">
        <f>IF(NOT(まとめ表_バック金額[[#This Row],[管理番号]]=""),VLOOKUP(まとめ表_バック金額[[#This Row],[管理番号]],名前リスト[[#All],[管理番号]:[氏名]],2,TRUE),"")</f>
        <v>タナカ　タカヒロ</v>
      </c>
      <c r="C124" s="21" t="str">
        <f>IF(NOT(まとめ表_バック金額[[#This Row],[管理番号]]=""),VLOOKUP(まとめ表_バック金額[[#This Row],[管理番号]],名前リスト[[#All],[管理番号]:[氏名]],3,TRUE),"")</f>
        <v>タナカ　タカヒロ</v>
      </c>
      <c r="D124" s="79" t="str">
        <f t="shared" si="1"/>
        <v/>
      </c>
      <c r="E12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5" spans="1:28">
      <c r="A125" s="20">
        <f>名前リスト[[#This Row],[管理番号]]</f>
        <v>124</v>
      </c>
      <c r="B125" s="6" t="str">
        <f>IF(NOT(まとめ表_バック金額[[#This Row],[管理番号]]=""),VLOOKUP(まとめ表_バック金額[[#This Row],[管理番号]],名前リスト[[#All],[管理番号]:[氏名]],2,TRUE),"")</f>
        <v>キタムラ　テッペイ</v>
      </c>
      <c r="C125" s="21" t="str">
        <f>IF(NOT(まとめ表_バック金額[[#This Row],[管理番号]]=""),VLOOKUP(まとめ表_バック金額[[#This Row],[管理番号]],名前リスト[[#All],[管理番号]:[氏名]],3,TRUE),"")</f>
        <v>キタムラ　テッペイ</v>
      </c>
      <c r="D125" s="79" t="str">
        <f t="shared" si="1"/>
        <v/>
      </c>
      <c r="E12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6" spans="1:28">
      <c r="A126" s="20">
        <f>名前リスト[[#This Row],[管理番号]]</f>
        <v>125</v>
      </c>
      <c r="B126" s="6" t="str">
        <f>IF(NOT(まとめ表_バック金額[[#This Row],[管理番号]]=""),VLOOKUP(まとめ表_バック金額[[#This Row],[管理番号]],名前リスト[[#All],[管理番号]:[氏名]],2,TRUE),"")</f>
        <v>カワシマ　トモヒロ</v>
      </c>
      <c r="C126" s="21" t="str">
        <f>IF(NOT(まとめ表_バック金額[[#This Row],[管理番号]]=""),VLOOKUP(まとめ表_バック金額[[#This Row],[管理番号]],名前リスト[[#All],[管理番号]:[氏名]],3,TRUE),"")</f>
        <v>カワシマ　トモヒロ</v>
      </c>
      <c r="D126" s="79" t="str">
        <f t="shared" si="1"/>
        <v/>
      </c>
      <c r="E12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7" spans="1:28">
      <c r="A127" s="20">
        <f>名前リスト[[#This Row],[管理番号]]</f>
        <v>126</v>
      </c>
      <c r="B127" s="6" t="str">
        <f>IF(NOT(まとめ表_バック金額[[#This Row],[管理番号]]=""),VLOOKUP(まとめ表_バック金額[[#This Row],[管理番号]],名前リスト[[#All],[管理番号]:[氏名]],2,TRUE),"")</f>
        <v>ヤマモト　コウヘイ</v>
      </c>
      <c r="C127" s="21" t="str">
        <f>IF(NOT(まとめ表_バック金額[[#This Row],[管理番号]]=""),VLOOKUP(まとめ表_バック金額[[#This Row],[管理番号]],名前リスト[[#All],[管理番号]:[氏名]],3,TRUE),"")</f>
        <v>ヤマモト　コウヘイ</v>
      </c>
      <c r="D127" s="79">
        <f t="shared" si="1"/>
        <v>32000</v>
      </c>
      <c r="E12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32000</v>
      </c>
      <c r="N1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8" spans="1:28">
      <c r="A128" s="20">
        <f>名前リスト[[#This Row],[管理番号]]</f>
        <v>127</v>
      </c>
      <c r="B128" s="6" t="str">
        <f>IF(NOT(まとめ表_バック金額[[#This Row],[管理番号]]=""),VLOOKUP(まとめ表_バック金額[[#This Row],[管理番号]],名前リスト[[#All],[管理番号]:[氏名]],2,TRUE),"")</f>
        <v>ヤマモト　イッセイ</v>
      </c>
      <c r="C128" s="21" t="str">
        <f>IF(NOT(まとめ表_バック金額[[#This Row],[管理番号]]=""),VLOOKUP(まとめ表_バック金額[[#This Row],[管理番号]],名前リスト[[#All],[管理番号]:[氏名]],3,TRUE),"")</f>
        <v>ヤマモト　イッセイ</v>
      </c>
      <c r="D128" s="79" t="str">
        <f t="shared" si="1"/>
        <v/>
      </c>
      <c r="E12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29" spans="1:28">
      <c r="A129" s="20">
        <f>名前リスト[[#This Row],[管理番号]]</f>
        <v>128</v>
      </c>
      <c r="B129" s="6" t="str">
        <f>IF(NOT(まとめ表_バック金額[[#This Row],[管理番号]]=""),VLOOKUP(まとめ表_バック金額[[#This Row],[管理番号]],名前リスト[[#All],[管理番号]:[氏名]],2,TRUE),"")</f>
        <v>キタヤマ　リョウメイ</v>
      </c>
      <c r="C129" s="21" t="str">
        <f>IF(NOT(まとめ表_バック金額[[#This Row],[管理番号]]=""),VLOOKUP(まとめ表_バック金額[[#This Row],[管理番号]],名前リスト[[#All],[管理番号]:[氏名]],3,TRUE),"")</f>
        <v>キタヤマ　リョウメイ</v>
      </c>
      <c r="D129" s="79" t="str">
        <f t="shared" si="1"/>
        <v/>
      </c>
      <c r="E12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2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2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2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2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2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2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2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0" spans="1:28">
      <c r="A130" s="20">
        <f>名前リスト[[#This Row],[管理番号]]</f>
        <v>129</v>
      </c>
      <c r="B130" s="6" t="str">
        <f>IF(NOT(まとめ表_バック金額[[#This Row],[管理番号]]=""),VLOOKUP(まとめ表_バック金額[[#This Row],[管理番号]],名前リスト[[#All],[管理番号]:[氏名]],2,TRUE),"")</f>
        <v>シオミ　ヒナコ</v>
      </c>
      <c r="C130" s="21" t="str">
        <f>IF(NOT(まとめ表_バック金額[[#This Row],[管理番号]]=""),VLOOKUP(まとめ表_バック金額[[#This Row],[管理番号]],名前リスト[[#All],[管理番号]:[氏名]],3,TRUE),"")</f>
        <v>シオミ　ヒナコ</v>
      </c>
      <c r="D130" s="79" t="str">
        <f t="shared" ref="D130:D193" si="2">IF(SUM(E130:XFD130)=0,"",SUM(E130:XFD130))</f>
        <v/>
      </c>
      <c r="E13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1" spans="1:28">
      <c r="A131" s="20">
        <f>名前リスト[[#This Row],[管理番号]]</f>
        <v>130</v>
      </c>
      <c r="B131" s="6" t="str">
        <f>IF(NOT(まとめ表_バック金額[[#This Row],[管理番号]]=""),VLOOKUP(まとめ表_バック金額[[#This Row],[管理番号]],名前リスト[[#All],[管理番号]:[氏名]],2,TRUE),"")</f>
        <v>ニシヤマ　ヒロタカ</v>
      </c>
      <c r="C131" s="21" t="str">
        <f>IF(NOT(まとめ表_バック金額[[#This Row],[管理番号]]=""),VLOOKUP(まとめ表_バック金額[[#This Row],[管理番号]],名前リスト[[#All],[管理番号]:[氏名]],3,TRUE),"")</f>
        <v>ニシヤマ　ヒロタカ</v>
      </c>
      <c r="D131" s="79" t="str">
        <f t="shared" si="2"/>
        <v/>
      </c>
      <c r="E13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2" spans="1:28">
      <c r="A132" s="20">
        <f>名前リスト[[#This Row],[管理番号]]</f>
        <v>131</v>
      </c>
      <c r="B132" s="6" t="str">
        <f>IF(NOT(まとめ表_バック金額[[#This Row],[管理番号]]=""),VLOOKUP(まとめ表_バック金額[[#This Row],[管理番号]],名前リスト[[#All],[管理番号]:[氏名]],2,TRUE),"")</f>
        <v>ヤマグチ　マサキ</v>
      </c>
      <c r="C132" s="21" t="str">
        <f>IF(NOT(まとめ表_バック金額[[#This Row],[管理番号]]=""),VLOOKUP(まとめ表_バック金額[[#This Row],[管理番号]],名前リスト[[#All],[管理番号]:[氏名]],3,TRUE),"")</f>
        <v>ヤマグチ　マサキ</v>
      </c>
      <c r="D132" s="79" t="str">
        <f t="shared" si="2"/>
        <v/>
      </c>
      <c r="E13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3" spans="1:28">
      <c r="A133" s="20">
        <f>名前リスト[[#This Row],[管理番号]]</f>
        <v>132</v>
      </c>
      <c r="B133" s="6" t="str">
        <f>IF(NOT(まとめ表_バック金額[[#This Row],[管理番号]]=""),VLOOKUP(まとめ表_バック金額[[#This Row],[管理番号]],名前リスト[[#All],[管理番号]:[氏名]],2,TRUE),"")</f>
        <v>ジンノ　ナナト</v>
      </c>
      <c r="C133" s="21" t="str">
        <f>IF(NOT(まとめ表_バック金額[[#This Row],[管理番号]]=""),VLOOKUP(まとめ表_バック金額[[#This Row],[管理番号]],名前リスト[[#All],[管理番号]:[氏名]],3,TRUE),"")</f>
        <v>ジンノ　ナナト</v>
      </c>
      <c r="D133" s="79" t="str">
        <f t="shared" si="2"/>
        <v/>
      </c>
      <c r="E13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4" spans="1:28">
      <c r="A134" s="20">
        <f>名前リスト[[#This Row],[管理番号]]</f>
        <v>133</v>
      </c>
      <c r="B134" s="6" t="str">
        <f>IF(NOT(まとめ表_バック金額[[#This Row],[管理番号]]=""),VLOOKUP(まとめ表_バック金額[[#This Row],[管理番号]],名前リスト[[#All],[管理番号]:[氏名]],2,TRUE),"")</f>
        <v>アメヤマ　タツヤ</v>
      </c>
      <c r="C134" s="21" t="str">
        <f>IF(NOT(まとめ表_バック金額[[#This Row],[管理番号]]=""),VLOOKUP(まとめ表_バック金額[[#This Row],[管理番号]],名前リスト[[#All],[管理番号]:[氏名]],3,TRUE),"")</f>
        <v>アメヤマ　タツヤ</v>
      </c>
      <c r="D134" s="79" t="str">
        <f t="shared" si="2"/>
        <v/>
      </c>
      <c r="E13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5" spans="1:28">
      <c r="A135" s="20">
        <f>名前リスト[[#This Row],[管理番号]]</f>
        <v>134</v>
      </c>
      <c r="B135" s="6" t="str">
        <f>IF(NOT(まとめ表_バック金額[[#This Row],[管理番号]]=""),VLOOKUP(まとめ表_バック金額[[#This Row],[管理番号]],名前リスト[[#All],[管理番号]:[氏名]],2,TRUE),"")</f>
        <v>タメス　トモアキ</v>
      </c>
      <c r="C135" s="21" t="str">
        <f>IF(NOT(まとめ表_バック金額[[#This Row],[管理番号]]=""),VLOOKUP(まとめ表_バック金額[[#This Row],[管理番号]],名前リスト[[#All],[管理番号]:[氏名]],3,TRUE),"")</f>
        <v>タメス　トモアキ</v>
      </c>
      <c r="D135" s="79">
        <f t="shared" si="2"/>
        <v>7000</v>
      </c>
      <c r="E13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7000</v>
      </c>
      <c r="N1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6" spans="1:28">
      <c r="A136" s="20">
        <f>名前リスト[[#This Row],[管理番号]]</f>
        <v>135</v>
      </c>
      <c r="B136" s="6" t="str">
        <f>IF(NOT(まとめ表_バック金額[[#This Row],[管理番号]]=""),VLOOKUP(まとめ表_バック金額[[#This Row],[管理番号]],名前リスト[[#All],[管理番号]:[氏名]],2,TRUE),"")</f>
        <v>イマナカ　ショウヤ</v>
      </c>
      <c r="C136" s="21" t="str">
        <f>IF(NOT(まとめ表_バック金額[[#This Row],[管理番号]]=""),VLOOKUP(まとめ表_バック金額[[#This Row],[管理番号]],名前リスト[[#All],[管理番号]:[氏名]],3,TRUE),"")</f>
        <v>イマナカ　ショウヤ</v>
      </c>
      <c r="D136" s="79" t="str">
        <f t="shared" si="2"/>
        <v/>
      </c>
      <c r="E13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7" spans="1:28">
      <c r="A137" s="20">
        <f>名前リスト[[#This Row],[管理番号]]</f>
        <v>136</v>
      </c>
      <c r="B137" s="6" t="str">
        <f>IF(NOT(まとめ表_バック金額[[#This Row],[管理番号]]=""),VLOOKUP(まとめ表_バック金額[[#This Row],[管理番号]],名前リスト[[#All],[管理番号]:[氏名]],2,TRUE),"")</f>
        <v>マスモリ　サヤカ</v>
      </c>
      <c r="C137" s="21" t="str">
        <f>IF(NOT(まとめ表_バック金額[[#This Row],[管理番号]]=""),VLOOKUP(まとめ表_バック金額[[#This Row],[管理番号]],名前リスト[[#All],[管理番号]:[氏名]],3,TRUE),"")</f>
        <v>マスモリ　サヤカ</v>
      </c>
      <c r="D137" s="79" t="str">
        <f t="shared" si="2"/>
        <v/>
      </c>
      <c r="E13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8" spans="1:28">
      <c r="A138" s="20">
        <f>名前リスト[[#This Row],[管理番号]]</f>
        <v>137</v>
      </c>
      <c r="B138" s="6" t="str">
        <f>IF(NOT(まとめ表_バック金額[[#This Row],[管理番号]]=""),VLOOKUP(まとめ表_バック金額[[#This Row],[管理番号]],名前リスト[[#All],[管理番号]:[氏名]],2,TRUE),"")</f>
        <v>ワタナベ　コウセイ</v>
      </c>
      <c r="C138" s="21" t="str">
        <f>IF(NOT(まとめ表_バック金額[[#This Row],[管理番号]]=""),VLOOKUP(まとめ表_バック金額[[#This Row],[管理番号]],名前リスト[[#All],[管理番号]:[氏名]],3,TRUE),"")</f>
        <v>ワタナベ　コウセイ</v>
      </c>
      <c r="D138" s="79" t="str">
        <f t="shared" si="2"/>
        <v/>
      </c>
      <c r="E13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39" spans="1:28">
      <c r="A139" s="20">
        <f>名前リスト[[#This Row],[管理番号]]</f>
        <v>138</v>
      </c>
      <c r="B139" s="6" t="str">
        <f>IF(NOT(まとめ表_バック金額[[#This Row],[管理番号]]=""),VLOOKUP(まとめ表_バック金額[[#This Row],[管理番号]],名前リスト[[#All],[管理番号]:[氏名]],2,TRUE),"")</f>
        <v>クボ　ミユキ</v>
      </c>
      <c r="C139" s="21" t="str">
        <f>IF(NOT(まとめ表_バック金額[[#This Row],[管理番号]]=""),VLOOKUP(まとめ表_バック金額[[#This Row],[管理番号]],名前リスト[[#All],[管理番号]:[氏名]],3,TRUE),"")</f>
        <v>クボ　ミユキ</v>
      </c>
      <c r="D139" s="79" t="str">
        <f t="shared" si="2"/>
        <v/>
      </c>
      <c r="E13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3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3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3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3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3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3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3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0" spans="1:28">
      <c r="A140" s="20">
        <f>名前リスト[[#This Row],[管理番号]]</f>
        <v>139</v>
      </c>
      <c r="B140" s="6" t="str">
        <f>IF(NOT(まとめ表_バック金額[[#This Row],[管理番号]]=""),VLOOKUP(まとめ表_バック金額[[#This Row],[管理番号]],名前リスト[[#All],[管理番号]:[氏名]],2,TRUE),"")</f>
        <v>マツダ　コウタ</v>
      </c>
      <c r="C140" s="21" t="str">
        <f>IF(NOT(まとめ表_バック金額[[#This Row],[管理番号]]=""),VLOOKUP(まとめ表_バック金額[[#This Row],[管理番号]],名前リスト[[#All],[管理番号]:[氏名]],3,TRUE),"")</f>
        <v>マツダ　コウタ</v>
      </c>
      <c r="D140" s="79" t="str">
        <f t="shared" si="2"/>
        <v/>
      </c>
      <c r="E14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1" spans="1:28">
      <c r="A141" s="20">
        <f>名前リスト[[#This Row],[管理番号]]</f>
        <v>140</v>
      </c>
      <c r="B141" s="6" t="str">
        <f>IF(NOT(まとめ表_バック金額[[#This Row],[管理番号]]=""),VLOOKUP(まとめ表_バック金額[[#This Row],[管理番号]],名前リスト[[#All],[管理番号]:[氏名]],2,TRUE),"")</f>
        <v>マルオ　ショウジ</v>
      </c>
      <c r="C141" s="21" t="str">
        <f>IF(NOT(まとめ表_バック金額[[#This Row],[管理番号]]=""),VLOOKUP(まとめ表_バック金額[[#This Row],[管理番号]],名前リスト[[#All],[管理番号]:[氏名]],3,TRUE),"")</f>
        <v>マルオ　ショウジ</v>
      </c>
      <c r="D141" s="79" t="str">
        <f t="shared" si="2"/>
        <v/>
      </c>
      <c r="E14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2" spans="1:28">
      <c r="A142" s="20">
        <f>名前リスト[[#This Row],[管理番号]]</f>
        <v>141</v>
      </c>
      <c r="B142" s="6" t="str">
        <f>IF(NOT(まとめ表_バック金額[[#This Row],[管理番号]]=""),VLOOKUP(まとめ表_バック金額[[#This Row],[管理番号]],名前リスト[[#All],[管理番号]:[氏名]],2,TRUE),"")</f>
        <v>ユキ　ダイキ</v>
      </c>
      <c r="C142" s="21" t="str">
        <f>IF(NOT(まとめ表_バック金額[[#This Row],[管理番号]]=""),VLOOKUP(まとめ表_バック金額[[#This Row],[管理番号]],名前リスト[[#All],[管理番号]:[氏名]],3,TRUE),"")</f>
        <v>ユキ　ダイキ</v>
      </c>
      <c r="D142" s="79" t="str">
        <f t="shared" si="2"/>
        <v/>
      </c>
      <c r="E14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3" spans="1:28">
      <c r="A143" s="20">
        <f>名前リスト[[#This Row],[管理番号]]</f>
        <v>142</v>
      </c>
      <c r="B143" s="6" t="str">
        <f>IF(NOT(まとめ表_バック金額[[#This Row],[管理番号]]=""),VLOOKUP(まとめ表_バック金額[[#This Row],[管理番号]],名前リスト[[#All],[管理番号]:[氏名]],2,TRUE),"")</f>
        <v>タニグチ ヒロキ</v>
      </c>
      <c r="C143" s="21" t="str">
        <f>IF(NOT(まとめ表_バック金額[[#This Row],[管理番号]]=""),VLOOKUP(まとめ表_バック金額[[#This Row],[管理番号]],名前リスト[[#All],[管理番号]:[氏名]],3,TRUE),"")</f>
        <v>タニグチ ヒロキ</v>
      </c>
      <c r="D143" s="79" t="str">
        <f t="shared" si="2"/>
        <v/>
      </c>
      <c r="E14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4" spans="1:28">
      <c r="A144" s="20">
        <f>名前リスト[[#This Row],[管理番号]]</f>
        <v>143</v>
      </c>
      <c r="B144" s="6" t="str">
        <f>IF(NOT(まとめ表_バック金額[[#This Row],[管理番号]]=""),VLOOKUP(まとめ表_バック金額[[#This Row],[管理番号]],名前リスト[[#All],[管理番号]:[氏名]],2,TRUE),"")</f>
        <v>カマイ　ユウスケ</v>
      </c>
      <c r="C144" s="21" t="str">
        <f>IF(NOT(まとめ表_バック金額[[#This Row],[管理番号]]=""),VLOOKUP(まとめ表_バック金額[[#This Row],[管理番号]],名前リスト[[#All],[管理番号]:[氏名]],3,TRUE),"")</f>
        <v>カマイ　ユウスケ</v>
      </c>
      <c r="D144" s="79" t="str">
        <f t="shared" si="2"/>
        <v/>
      </c>
      <c r="E14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5" spans="1:28">
      <c r="A145" s="20">
        <f>名前リスト[[#This Row],[管理番号]]</f>
        <v>144</v>
      </c>
      <c r="B145" s="6" t="str">
        <f>IF(NOT(まとめ表_バック金額[[#This Row],[管理番号]]=""),VLOOKUP(まとめ表_バック金額[[#This Row],[管理番号]],名前リスト[[#All],[管理番号]:[氏名]],2,TRUE),"")</f>
        <v>ゴトウ　タケト</v>
      </c>
      <c r="C145" s="21" t="str">
        <f>IF(NOT(まとめ表_バック金額[[#This Row],[管理番号]]=""),VLOOKUP(まとめ表_バック金額[[#This Row],[管理番号]],名前リスト[[#All],[管理番号]:[氏名]],3,TRUE),"")</f>
        <v>ゴトウ　タケト</v>
      </c>
      <c r="D145" s="79" t="str">
        <f t="shared" si="2"/>
        <v/>
      </c>
      <c r="E14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6" spans="1:28">
      <c r="A146" s="20">
        <f>名前リスト[[#This Row],[管理番号]]</f>
        <v>145</v>
      </c>
      <c r="B146" s="6" t="str">
        <f>IF(NOT(まとめ表_バック金額[[#This Row],[管理番号]]=""),VLOOKUP(まとめ表_バック金額[[#This Row],[管理番号]],名前リスト[[#All],[管理番号]:[氏名]],2,TRUE),"")</f>
        <v>サイトウ　マサト</v>
      </c>
      <c r="C146" s="21" t="str">
        <f>IF(NOT(まとめ表_バック金額[[#This Row],[管理番号]]=""),VLOOKUP(まとめ表_バック金額[[#This Row],[管理番号]],名前リスト[[#All],[管理番号]:[氏名]],3,TRUE),"")</f>
        <v>サイトウ　マサト</v>
      </c>
      <c r="D146" s="79" t="str">
        <f t="shared" si="2"/>
        <v/>
      </c>
      <c r="E14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7" spans="1:28">
      <c r="A147" s="20">
        <f>名前リスト[[#This Row],[管理番号]]</f>
        <v>146</v>
      </c>
      <c r="B147" s="6" t="str">
        <f>IF(NOT(まとめ表_バック金額[[#This Row],[管理番号]]=""),VLOOKUP(まとめ表_バック金額[[#This Row],[管理番号]],名前リスト[[#All],[管理番号]:[氏名]],2,TRUE),"")</f>
        <v>アズマ　リクト</v>
      </c>
      <c r="C147" s="21" t="str">
        <f>IF(NOT(まとめ表_バック金額[[#This Row],[管理番号]]=""),VLOOKUP(まとめ表_バック金額[[#This Row],[管理番号]],名前リスト[[#All],[管理番号]:[氏名]],3,TRUE),"")</f>
        <v>アズマ　リクト</v>
      </c>
      <c r="D147" s="79" t="str">
        <f t="shared" si="2"/>
        <v/>
      </c>
      <c r="E14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8" spans="1:28">
      <c r="A148" s="20">
        <f>名前リスト[[#This Row],[管理番号]]</f>
        <v>147</v>
      </c>
      <c r="B148" s="6" t="str">
        <f>IF(NOT(まとめ表_バック金額[[#This Row],[管理番号]]=""),VLOOKUP(まとめ表_バック金額[[#This Row],[管理番号]],名前リスト[[#All],[管理番号]:[氏名]],2,TRUE),"")</f>
        <v>ハナイ ショウゴ</v>
      </c>
      <c r="C148" s="21" t="str">
        <f>IF(NOT(まとめ表_バック金額[[#This Row],[管理番号]]=""),VLOOKUP(まとめ表_バック金額[[#This Row],[管理番号]],名前リスト[[#All],[管理番号]:[氏名]],3,TRUE),"")</f>
        <v>ハナイ ショウゴ</v>
      </c>
      <c r="D148" s="79" t="str">
        <f t="shared" si="2"/>
        <v/>
      </c>
      <c r="E14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49" spans="1:28">
      <c r="A149" s="20">
        <f>名前リスト[[#This Row],[管理番号]]</f>
        <v>148</v>
      </c>
      <c r="B149" s="6" t="str">
        <f>IF(NOT(まとめ表_バック金額[[#This Row],[管理番号]]=""),VLOOKUP(まとめ表_バック金額[[#This Row],[管理番号]],名前リスト[[#All],[管理番号]:[氏名]],2,TRUE),"")</f>
        <v>ウオズミ　ソウイチロウ</v>
      </c>
      <c r="C149" s="21" t="str">
        <f>IF(NOT(まとめ表_バック金額[[#This Row],[管理番号]]=""),VLOOKUP(まとめ表_バック金額[[#This Row],[管理番号]],名前リスト[[#All],[管理番号]:[氏名]],3,TRUE),"")</f>
        <v>ウオズミ　ソウイチロウ</v>
      </c>
      <c r="D149" s="79" t="str">
        <f t="shared" si="2"/>
        <v/>
      </c>
      <c r="E14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4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4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4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4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4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4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4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0" spans="1:28">
      <c r="A150" s="20">
        <f>名前リスト[[#This Row],[管理番号]]</f>
        <v>149</v>
      </c>
      <c r="B150" s="6" t="str">
        <f>IF(NOT(まとめ表_バック金額[[#This Row],[管理番号]]=""),VLOOKUP(まとめ表_バック金額[[#This Row],[管理番号]],名前リスト[[#All],[管理番号]:[氏名]],2,TRUE),"")</f>
        <v>モリサカ マヒロ</v>
      </c>
      <c r="C150" s="21" t="str">
        <f>IF(NOT(まとめ表_バック金額[[#This Row],[管理番号]]=""),VLOOKUP(まとめ表_バック金額[[#This Row],[管理番号]],名前リスト[[#All],[管理番号]:[氏名]],3,TRUE),"")</f>
        <v>モリサカ マヒロ</v>
      </c>
      <c r="D150" s="79" t="str">
        <f t="shared" si="2"/>
        <v/>
      </c>
      <c r="E15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1" spans="1:28">
      <c r="A151" s="20">
        <f>名前リスト[[#This Row],[管理番号]]</f>
        <v>150</v>
      </c>
      <c r="B151" s="6" t="str">
        <f>IF(NOT(まとめ表_バック金額[[#This Row],[管理番号]]=""),VLOOKUP(まとめ表_バック金額[[#This Row],[管理番号]],名前リスト[[#All],[管理番号]:[氏名]],2,TRUE),"")</f>
        <v>ニシカワサヤカ</v>
      </c>
      <c r="C151" s="21" t="str">
        <f>IF(NOT(まとめ表_バック金額[[#This Row],[管理番号]]=""),VLOOKUP(まとめ表_バック金額[[#This Row],[管理番号]],名前リスト[[#All],[管理番号]:[氏名]],3,TRUE),"")</f>
        <v>ニシカワサヤカ</v>
      </c>
      <c r="D151" s="79" t="str">
        <f t="shared" si="2"/>
        <v/>
      </c>
      <c r="E15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2" spans="1:28">
      <c r="A152" s="20">
        <f>名前リスト[[#This Row],[管理番号]]</f>
        <v>151</v>
      </c>
      <c r="B152" s="6" t="str">
        <f>IF(NOT(まとめ表_バック金額[[#This Row],[管理番号]]=""),VLOOKUP(まとめ表_バック金額[[#This Row],[管理番号]],名前リスト[[#All],[管理番号]:[氏名]],2,TRUE),"")</f>
        <v>マルヤマ　ヒロユキ</v>
      </c>
      <c r="C152" s="21" t="str">
        <f>IF(NOT(まとめ表_バック金額[[#This Row],[管理番号]]=""),VLOOKUP(まとめ表_バック金額[[#This Row],[管理番号]],名前リスト[[#All],[管理番号]:[氏名]],3,TRUE),"")</f>
        <v>マルヤマ　ヒロユキ</v>
      </c>
      <c r="D152" s="79" t="str">
        <f t="shared" si="2"/>
        <v/>
      </c>
      <c r="E15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3" spans="1:28">
      <c r="A153" s="20">
        <f>名前リスト[[#This Row],[管理番号]]</f>
        <v>152</v>
      </c>
      <c r="B153" s="6" t="str">
        <f>IF(NOT(まとめ表_バック金額[[#This Row],[管理番号]]=""),VLOOKUP(まとめ表_バック金額[[#This Row],[管理番号]],名前リスト[[#All],[管理番号]:[氏名]],2,TRUE),"")</f>
        <v>カキイチ　トモキ</v>
      </c>
      <c r="C153" s="21" t="str">
        <f>IF(NOT(まとめ表_バック金額[[#This Row],[管理番号]]=""),VLOOKUP(まとめ表_バック金額[[#This Row],[管理番号]],名前リスト[[#All],[管理番号]:[氏名]],3,TRUE),"")</f>
        <v>カキイチ　トモキ</v>
      </c>
      <c r="D153" s="79" t="str">
        <f t="shared" si="2"/>
        <v/>
      </c>
      <c r="E15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4" spans="1:28">
      <c r="A154" s="20">
        <f>名前リスト[[#This Row],[管理番号]]</f>
        <v>153</v>
      </c>
      <c r="B154" s="6" t="str">
        <f>IF(NOT(まとめ表_バック金額[[#This Row],[管理番号]]=""),VLOOKUP(まとめ表_バック金額[[#This Row],[管理番号]],名前リスト[[#All],[管理番号]:[氏名]],2,TRUE),"")</f>
        <v>ウエシバ　タツヤ</v>
      </c>
      <c r="C154" s="21" t="str">
        <f>IF(NOT(まとめ表_バック金額[[#This Row],[管理番号]]=""),VLOOKUP(まとめ表_バック金額[[#This Row],[管理番号]],名前リスト[[#All],[管理番号]:[氏名]],3,TRUE),"")</f>
        <v>ウエシバ　タツヤ</v>
      </c>
      <c r="D154" s="79" t="str">
        <f t="shared" si="2"/>
        <v/>
      </c>
      <c r="E15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5" spans="1:28">
      <c r="A155" s="20">
        <f>名前リスト[[#This Row],[管理番号]]</f>
        <v>154</v>
      </c>
      <c r="B155" s="6" t="str">
        <f>IF(NOT(まとめ表_バック金額[[#This Row],[管理番号]]=""),VLOOKUP(まとめ表_バック金額[[#This Row],[管理番号]],名前リスト[[#All],[管理番号]:[氏名]],2,TRUE),"")</f>
        <v>オオハラショウゴ</v>
      </c>
      <c r="C155" s="21" t="str">
        <f>IF(NOT(まとめ表_バック金額[[#This Row],[管理番号]]=""),VLOOKUP(まとめ表_バック金額[[#This Row],[管理番号]],名前リスト[[#All],[管理番号]:[氏名]],3,TRUE),"")</f>
        <v>オオハラショウゴ</v>
      </c>
      <c r="D155" s="79" t="str">
        <f t="shared" si="2"/>
        <v/>
      </c>
      <c r="E15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6" spans="1:28">
      <c r="A156" s="20">
        <f>名前リスト[[#This Row],[管理番号]]</f>
        <v>155</v>
      </c>
      <c r="B156" s="6" t="str">
        <f>IF(NOT(まとめ表_バック金額[[#This Row],[管理番号]]=""),VLOOKUP(まとめ表_バック金額[[#This Row],[管理番号]],名前リスト[[#All],[管理番号]:[氏名]],2,TRUE),"")</f>
        <v>マツナガ　カズヤ</v>
      </c>
      <c r="C156" s="21" t="str">
        <f>IF(NOT(まとめ表_バック金額[[#This Row],[管理番号]]=""),VLOOKUP(まとめ表_バック金額[[#This Row],[管理番号]],名前リスト[[#All],[管理番号]:[氏名]],3,TRUE),"")</f>
        <v>マツナガ　カズヤ</v>
      </c>
      <c r="D156" s="79" t="str">
        <f t="shared" si="2"/>
        <v/>
      </c>
      <c r="E15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7" spans="1:28">
      <c r="A157" s="20">
        <f>名前リスト[[#This Row],[管理番号]]</f>
        <v>156</v>
      </c>
      <c r="B157" s="6" t="str">
        <f>IF(NOT(まとめ表_バック金額[[#This Row],[管理番号]]=""),VLOOKUP(まとめ表_バック金額[[#This Row],[管理番号]],名前リスト[[#All],[管理番号]:[氏名]],2,TRUE),"")</f>
        <v>コジマ　カエデ</v>
      </c>
      <c r="C157" s="21" t="str">
        <f>IF(NOT(まとめ表_バック金額[[#This Row],[管理番号]]=""),VLOOKUP(まとめ表_バック金額[[#This Row],[管理番号]],名前リスト[[#All],[管理番号]:[氏名]],3,TRUE),"")</f>
        <v>コジマ　カエデ</v>
      </c>
      <c r="D157" s="79" t="str">
        <f t="shared" si="2"/>
        <v/>
      </c>
      <c r="E15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8" spans="1:28">
      <c r="A158" s="20">
        <f>名前リスト[[#This Row],[管理番号]]</f>
        <v>157</v>
      </c>
      <c r="B158" s="6" t="str">
        <f>IF(NOT(まとめ表_バック金額[[#This Row],[管理番号]]=""),VLOOKUP(まとめ表_バック金額[[#This Row],[管理番号]],名前リスト[[#All],[管理番号]:[氏名]],2,TRUE),"")</f>
        <v>アヤハラ　ハヤト</v>
      </c>
      <c r="C158" s="21" t="str">
        <f>IF(NOT(まとめ表_バック金額[[#This Row],[管理番号]]=""),VLOOKUP(まとめ表_バック金額[[#This Row],[管理番号]],名前リスト[[#All],[管理番号]:[氏名]],3,TRUE),"")</f>
        <v>アヤハラ　ハヤト</v>
      </c>
      <c r="D158" s="79" t="str">
        <f t="shared" si="2"/>
        <v/>
      </c>
      <c r="E15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59" spans="1:28">
      <c r="A159" s="20">
        <f>名前リスト[[#This Row],[管理番号]]</f>
        <v>158</v>
      </c>
      <c r="B159" s="6" t="str">
        <f>IF(NOT(まとめ表_バック金額[[#This Row],[管理番号]]=""),VLOOKUP(まとめ表_バック金額[[#This Row],[管理番号]],名前リスト[[#All],[管理番号]:[氏名]],2,TRUE),"")</f>
        <v>ナンバカズキ</v>
      </c>
      <c r="C159" s="21" t="str">
        <f>IF(NOT(まとめ表_バック金額[[#This Row],[管理番号]]=""),VLOOKUP(まとめ表_バック金額[[#This Row],[管理番号]],名前リスト[[#All],[管理番号]:[氏名]],3,TRUE),"")</f>
        <v>ナンバカズキ</v>
      </c>
      <c r="D159" s="79" t="str">
        <f t="shared" si="2"/>
        <v/>
      </c>
      <c r="E15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5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5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5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5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5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5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5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0" spans="1:28">
      <c r="A160" s="20">
        <f>名前リスト[[#This Row],[管理番号]]</f>
        <v>159</v>
      </c>
      <c r="B160" s="6" t="str">
        <f>IF(NOT(まとめ表_バック金額[[#This Row],[管理番号]]=""),VLOOKUP(まとめ表_バック金額[[#This Row],[管理番号]],名前リスト[[#All],[管理番号]:[氏名]],2,TRUE),"")</f>
        <v>ヒラタリュウキ</v>
      </c>
      <c r="C160" s="21" t="str">
        <f>IF(NOT(まとめ表_バック金額[[#This Row],[管理番号]]=""),VLOOKUP(まとめ表_バック金額[[#This Row],[管理番号]],名前リスト[[#All],[管理番号]:[氏名]],3,TRUE),"")</f>
        <v>ヒラタリュウキ</v>
      </c>
      <c r="D160" s="79" t="str">
        <f t="shared" si="2"/>
        <v/>
      </c>
      <c r="E16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1" spans="1:28">
      <c r="A161" s="20">
        <f>名前リスト[[#This Row],[管理番号]]</f>
        <v>160</v>
      </c>
      <c r="B161" s="6" t="str">
        <f>IF(NOT(まとめ表_バック金額[[#This Row],[管理番号]]=""),VLOOKUP(まとめ表_バック金額[[#This Row],[管理番号]],名前リスト[[#All],[管理番号]:[氏名]],2,TRUE),"")</f>
        <v>コガ　ヨシキ</v>
      </c>
      <c r="C161" s="21" t="str">
        <f>IF(NOT(まとめ表_バック金額[[#This Row],[管理番号]]=""),VLOOKUP(まとめ表_バック金額[[#This Row],[管理番号]],名前リスト[[#All],[管理番号]:[氏名]],3,TRUE),"")</f>
        <v>コガ　ヨシキ</v>
      </c>
      <c r="D161" s="79" t="str">
        <f t="shared" si="2"/>
        <v/>
      </c>
      <c r="E16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2" spans="1:28">
      <c r="A162" s="20">
        <f>名前リスト[[#This Row],[管理番号]]</f>
        <v>161</v>
      </c>
      <c r="B162" s="6" t="str">
        <f>IF(NOT(まとめ表_バック金額[[#This Row],[管理番号]]=""),VLOOKUP(まとめ表_バック金額[[#This Row],[管理番号]],名前リスト[[#All],[管理番号]:[氏名]],2,TRUE),"")</f>
        <v>ナンカイカズキ</v>
      </c>
      <c r="C162" s="21" t="str">
        <f>IF(NOT(まとめ表_バック金額[[#This Row],[管理番号]]=""),VLOOKUP(まとめ表_バック金額[[#This Row],[管理番号]],名前リスト[[#All],[管理番号]:[氏名]],3,TRUE),"")</f>
        <v>ナンカイカズキ</v>
      </c>
      <c r="D162" s="79" t="str">
        <f t="shared" si="2"/>
        <v/>
      </c>
      <c r="E16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3" spans="1:28">
      <c r="A163" s="20">
        <f>名前リスト[[#This Row],[管理番号]]</f>
        <v>162</v>
      </c>
      <c r="B163" s="6" t="str">
        <f>IF(NOT(まとめ表_バック金額[[#This Row],[管理番号]]=""),VLOOKUP(まとめ表_バック金額[[#This Row],[管理番号]],名前リスト[[#All],[管理番号]:[氏名]],2,TRUE),"")</f>
        <v>サカモト シンペイ</v>
      </c>
      <c r="C163" s="21" t="str">
        <f>IF(NOT(まとめ表_バック金額[[#This Row],[管理番号]]=""),VLOOKUP(まとめ表_バック金額[[#This Row],[管理番号]],名前リスト[[#All],[管理番号]:[氏名]],3,TRUE),"")</f>
        <v>サカモト シンペイ</v>
      </c>
      <c r="D163" s="79" t="str">
        <f t="shared" si="2"/>
        <v/>
      </c>
      <c r="E16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4" spans="1:28">
      <c r="A164" s="20">
        <f>名前リスト[[#This Row],[管理番号]]</f>
        <v>163</v>
      </c>
      <c r="B164" s="6" t="str">
        <f>IF(NOT(まとめ表_バック金額[[#This Row],[管理番号]]=""),VLOOKUP(まとめ表_バック金額[[#This Row],[管理番号]],名前リスト[[#All],[管理番号]:[氏名]],2,TRUE),"")</f>
        <v>ダイコクケイシュウ</v>
      </c>
      <c r="C164" s="21" t="str">
        <f>IF(NOT(まとめ表_バック金額[[#This Row],[管理番号]]=""),VLOOKUP(まとめ表_バック金額[[#This Row],[管理番号]],名前リスト[[#All],[管理番号]:[氏名]],3,TRUE),"")</f>
        <v>ダイコクケイシュウ</v>
      </c>
      <c r="D164" s="79" t="str">
        <f t="shared" si="2"/>
        <v/>
      </c>
      <c r="E16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5" spans="1:28">
      <c r="A165" s="20">
        <f>名前リスト[[#This Row],[管理番号]]</f>
        <v>164</v>
      </c>
      <c r="B165" s="6" t="str">
        <f>IF(NOT(まとめ表_バック金額[[#This Row],[管理番号]]=""),VLOOKUP(まとめ表_バック金額[[#This Row],[管理番号]],名前リスト[[#All],[管理番号]:[氏名]],2,TRUE),"")</f>
        <v>ヨシトモ　ハルヤ</v>
      </c>
      <c r="C165" s="21" t="str">
        <f>IF(NOT(まとめ表_バック金額[[#This Row],[管理番号]]=""),VLOOKUP(まとめ表_バック金額[[#This Row],[管理番号]],名前リスト[[#All],[管理番号]:[氏名]],3,TRUE),"")</f>
        <v>ヨシトモ　ハルヤ</v>
      </c>
      <c r="D165" s="79" t="str">
        <f t="shared" si="2"/>
        <v/>
      </c>
      <c r="E16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6" spans="1:28">
      <c r="A166" s="20">
        <f>名前リスト[[#This Row],[管理番号]]</f>
        <v>165</v>
      </c>
      <c r="B166" s="6" t="str">
        <f>IF(NOT(まとめ表_バック金額[[#This Row],[管理番号]]=""),VLOOKUP(まとめ表_バック金額[[#This Row],[管理番号]],名前リスト[[#All],[管理番号]:[氏名]],2,TRUE),"")</f>
        <v>スズキ　ダイスケ</v>
      </c>
      <c r="C166" s="21" t="str">
        <f>IF(NOT(まとめ表_バック金額[[#This Row],[管理番号]]=""),VLOOKUP(まとめ表_バック金額[[#This Row],[管理番号]],名前リスト[[#All],[管理番号]:[氏名]],3,TRUE),"")</f>
        <v>スズキ　ダイスケ</v>
      </c>
      <c r="D166" s="79" t="str">
        <f t="shared" si="2"/>
        <v/>
      </c>
      <c r="E16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7" spans="1:28">
      <c r="A167" s="20">
        <f>名前リスト[[#This Row],[管理番号]]</f>
        <v>166</v>
      </c>
      <c r="B167" s="6" t="str">
        <f>IF(NOT(まとめ表_バック金額[[#This Row],[管理番号]]=""),VLOOKUP(まとめ表_バック金額[[#This Row],[管理番号]],名前リスト[[#All],[管理番号]:[氏名]],2,TRUE),"")</f>
        <v>モリカワ　ヒロユキ</v>
      </c>
      <c r="C167" s="21" t="str">
        <f>IF(NOT(まとめ表_バック金額[[#This Row],[管理番号]]=""),VLOOKUP(まとめ表_バック金額[[#This Row],[管理番号]],名前リスト[[#All],[管理番号]:[氏名]],3,TRUE),"")</f>
        <v>モリカワ　ヒロユキ</v>
      </c>
      <c r="D167" s="79" t="str">
        <f t="shared" si="2"/>
        <v/>
      </c>
      <c r="E16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8" spans="1:28">
      <c r="A168" s="20">
        <f>名前リスト[[#This Row],[管理番号]]</f>
        <v>167</v>
      </c>
      <c r="B168" s="6" t="str">
        <f>IF(NOT(まとめ表_バック金額[[#This Row],[管理番号]]=""),VLOOKUP(まとめ表_バック金額[[#This Row],[管理番号]],名前リスト[[#All],[管理番号]:[氏名]],2,TRUE),"")</f>
        <v>ヤマモトマサヒロ</v>
      </c>
      <c r="C168" s="21" t="str">
        <f>IF(NOT(まとめ表_バック金額[[#This Row],[管理番号]]=""),VLOOKUP(まとめ表_バック金額[[#This Row],[管理番号]],名前リスト[[#All],[管理番号]:[氏名]],3,TRUE),"")</f>
        <v>ヤマモトマサヒロ</v>
      </c>
      <c r="D168" s="79" t="str">
        <f t="shared" si="2"/>
        <v/>
      </c>
      <c r="E16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69" spans="1:28">
      <c r="A169" s="20">
        <f>名前リスト[[#This Row],[管理番号]]</f>
        <v>168</v>
      </c>
      <c r="B169" s="6" t="str">
        <f>IF(NOT(まとめ表_バック金額[[#This Row],[管理番号]]=""),VLOOKUP(まとめ表_バック金額[[#This Row],[管理番号]],名前リスト[[#All],[管理番号]:[氏名]],2,TRUE),"")</f>
        <v>クワタ　ヒデヤ</v>
      </c>
      <c r="C169" s="21" t="str">
        <f>IF(NOT(まとめ表_バック金額[[#This Row],[管理番号]]=""),VLOOKUP(まとめ表_バック金額[[#This Row],[管理番号]],名前リスト[[#All],[管理番号]:[氏名]],3,TRUE),"")</f>
        <v>クワタ　ヒデヤ</v>
      </c>
      <c r="D169" s="79" t="str">
        <f t="shared" si="2"/>
        <v/>
      </c>
      <c r="E16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6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6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6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6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6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6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6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0" spans="1:28">
      <c r="A170" s="20">
        <f>名前リスト[[#This Row],[管理番号]]</f>
        <v>169</v>
      </c>
      <c r="B170" s="6" t="str">
        <f>IF(NOT(まとめ表_バック金額[[#This Row],[管理番号]]=""),VLOOKUP(まとめ表_バック金額[[#This Row],[管理番号]],名前リスト[[#All],[管理番号]:[氏名]],2,TRUE),"")</f>
        <v>ウエハラ　フェリペ</v>
      </c>
      <c r="C170" s="21" t="str">
        <f>IF(NOT(まとめ表_バック金額[[#This Row],[管理番号]]=""),VLOOKUP(まとめ表_バック金額[[#This Row],[管理番号]],名前リスト[[#All],[管理番号]:[氏名]],3,TRUE),"")</f>
        <v>ウエハラ　フェリペ</v>
      </c>
      <c r="D170" s="79" t="str">
        <f t="shared" si="2"/>
        <v/>
      </c>
      <c r="E17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1" spans="1:28">
      <c r="A171" s="20">
        <f>名前リスト[[#This Row],[管理番号]]</f>
        <v>170</v>
      </c>
      <c r="B171" s="6" t="str">
        <f>IF(NOT(まとめ表_バック金額[[#This Row],[管理番号]]=""),VLOOKUP(まとめ表_バック金額[[#This Row],[管理番号]],名前リスト[[#All],[管理番号]:[氏名]],2,TRUE),"")</f>
        <v>フルカワナオヒロ</v>
      </c>
      <c r="C171" s="21" t="str">
        <f>IF(NOT(まとめ表_バック金額[[#This Row],[管理番号]]=""),VLOOKUP(まとめ表_バック金額[[#This Row],[管理番号]],名前リスト[[#All],[管理番号]:[氏名]],3,TRUE),"")</f>
        <v>フルカワナオヒロ</v>
      </c>
      <c r="D171" s="79" t="str">
        <f t="shared" si="2"/>
        <v/>
      </c>
      <c r="E17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2" spans="1:28">
      <c r="A172" s="20">
        <f>名前リスト[[#This Row],[管理番号]]</f>
        <v>171</v>
      </c>
      <c r="B172" s="6" t="str">
        <f>IF(NOT(まとめ表_バック金額[[#This Row],[管理番号]]=""),VLOOKUP(まとめ表_バック金額[[#This Row],[管理番号]],名前リスト[[#All],[管理番号]:[氏名]],2,TRUE),"")</f>
        <v>カワイ　トクヒサ</v>
      </c>
      <c r="C172" s="21" t="str">
        <f>IF(NOT(まとめ表_バック金額[[#This Row],[管理番号]]=""),VLOOKUP(まとめ表_バック金額[[#This Row],[管理番号]],名前リスト[[#All],[管理番号]:[氏名]],3,TRUE),"")</f>
        <v>カワイ　トクヒサ</v>
      </c>
      <c r="D172" s="79" t="str">
        <f t="shared" si="2"/>
        <v/>
      </c>
      <c r="E17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3" spans="1:28">
      <c r="A173" s="20">
        <f>名前リスト[[#This Row],[管理番号]]</f>
        <v>172</v>
      </c>
      <c r="B173" s="6" t="str">
        <f>IF(NOT(まとめ表_バック金額[[#This Row],[管理番号]]=""),VLOOKUP(まとめ表_バック金額[[#This Row],[管理番号]],名前リスト[[#All],[管理番号]:[氏名]],2,TRUE),"")</f>
        <v>カワタニ　ツバサ</v>
      </c>
      <c r="C173" s="21" t="str">
        <f>IF(NOT(まとめ表_バック金額[[#This Row],[管理番号]]=""),VLOOKUP(まとめ表_バック金額[[#This Row],[管理番号]],名前リスト[[#All],[管理番号]:[氏名]],3,TRUE),"")</f>
        <v>カワタニ　ツバサ</v>
      </c>
      <c r="D173" s="79" t="str">
        <f t="shared" si="2"/>
        <v/>
      </c>
      <c r="E17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4" spans="1:28">
      <c r="A174" s="20">
        <f>名前リスト[[#This Row],[管理番号]]</f>
        <v>173</v>
      </c>
      <c r="B174" s="6" t="str">
        <f>IF(NOT(まとめ表_バック金額[[#This Row],[管理番号]]=""),VLOOKUP(まとめ表_バック金額[[#This Row],[管理番号]],名前リスト[[#All],[管理番号]:[氏名]],2,TRUE),"")</f>
        <v>フカタ　シュウタ</v>
      </c>
      <c r="C174" s="21" t="str">
        <f>IF(NOT(まとめ表_バック金額[[#This Row],[管理番号]]=""),VLOOKUP(まとめ表_バック金額[[#This Row],[管理番号]],名前リスト[[#All],[管理番号]:[氏名]],3,TRUE),"")</f>
        <v>フカタ　シュウタ</v>
      </c>
      <c r="D174" s="79" t="str">
        <f t="shared" si="2"/>
        <v/>
      </c>
      <c r="E17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5" spans="1:28">
      <c r="A175" s="20">
        <f>名前リスト[[#This Row],[管理番号]]</f>
        <v>174</v>
      </c>
      <c r="B175" s="6" t="str">
        <f>IF(NOT(まとめ表_バック金額[[#This Row],[管理番号]]=""),VLOOKUP(まとめ表_バック金額[[#This Row],[管理番号]],名前リスト[[#All],[管理番号]:[氏名]],2,TRUE),"")</f>
        <v>カワサキ　ヨシキ</v>
      </c>
      <c r="C175" s="21" t="str">
        <f>IF(NOT(まとめ表_バック金額[[#This Row],[管理番号]]=""),VLOOKUP(まとめ表_バック金額[[#This Row],[管理番号]],名前リスト[[#All],[管理番号]:[氏名]],3,TRUE),"")</f>
        <v>カワサキ　ヨシキ</v>
      </c>
      <c r="D175" s="79" t="str">
        <f t="shared" si="2"/>
        <v/>
      </c>
      <c r="E17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6" spans="1:28">
      <c r="A176" s="20">
        <f>名前リスト[[#This Row],[管理番号]]</f>
        <v>175</v>
      </c>
      <c r="B176" s="6" t="str">
        <f>IF(NOT(まとめ表_バック金額[[#This Row],[管理番号]]=""),VLOOKUP(まとめ表_バック金額[[#This Row],[管理番号]],名前リスト[[#All],[管理番号]:[氏名]],2,TRUE),"")</f>
        <v>オオシマ　ライ</v>
      </c>
      <c r="C176" s="21" t="str">
        <f>IF(NOT(まとめ表_バック金額[[#This Row],[管理番号]]=""),VLOOKUP(まとめ表_バック金額[[#This Row],[管理番号]],名前リスト[[#All],[管理番号]:[氏名]],3,TRUE),"")</f>
        <v>オオシマ　ライ</v>
      </c>
      <c r="D176" s="79" t="str">
        <f t="shared" si="2"/>
        <v/>
      </c>
      <c r="E17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7" spans="1:28">
      <c r="A177" s="20">
        <f>名前リスト[[#This Row],[管理番号]]</f>
        <v>176</v>
      </c>
      <c r="B177" s="6" t="str">
        <f>IF(NOT(まとめ表_バック金額[[#This Row],[管理番号]]=""),VLOOKUP(まとめ表_バック金額[[#This Row],[管理番号]],名前リスト[[#All],[管理番号]:[氏名]],2,TRUE),"")</f>
        <v>キベさん⭐️</v>
      </c>
      <c r="C177" s="21" t="str">
        <f>IF(NOT(まとめ表_バック金額[[#This Row],[管理番号]]=""),VLOOKUP(まとめ表_バック金額[[#This Row],[管理番号]],名前リスト[[#All],[管理番号]:[氏名]],3,TRUE),"")</f>
        <v>キベさん⭐️</v>
      </c>
      <c r="D177" s="79" t="str">
        <f t="shared" si="2"/>
        <v/>
      </c>
      <c r="E17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8" spans="1:28">
      <c r="A178" s="20">
        <f>名前リスト[[#This Row],[管理番号]]</f>
        <v>177</v>
      </c>
      <c r="B178" s="6" t="str">
        <f>IF(NOT(まとめ表_バック金額[[#This Row],[管理番号]]=""),VLOOKUP(まとめ表_バック金額[[#This Row],[管理番号]],名前リスト[[#All],[管理番号]:[氏名]],2,TRUE),"")</f>
        <v>キタガワヒデノリ</v>
      </c>
      <c r="C178" s="21" t="str">
        <f>IF(NOT(まとめ表_バック金額[[#This Row],[管理番号]]=""),VLOOKUP(まとめ表_バック金額[[#This Row],[管理番号]],名前リスト[[#All],[管理番号]:[氏名]],3,TRUE),"")</f>
        <v>キタガワヒデノリ</v>
      </c>
      <c r="D178" s="79" t="str">
        <f t="shared" si="2"/>
        <v/>
      </c>
      <c r="E17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79" spans="1:28">
      <c r="A179" s="20">
        <f>名前リスト[[#This Row],[管理番号]]</f>
        <v>178</v>
      </c>
      <c r="B179" s="6" t="str">
        <f>IF(NOT(まとめ表_バック金額[[#This Row],[管理番号]]=""),VLOOKUP(まとめ表_バック金額[[#This Row],[管理番号]],名前リスト[[#All],[管理番号]:[氏名]],2,TRUE),"")</f>
        <v>イシオカ　ヨツスケ</v>
      </c>
      <c r="C179" s="21" t="str">
        <f>IF(NOT(まとめ表_バック金額[[#This Row],[管理番号]]=""),VLOOKUP(まとめ表_バック金額[[#This Row],[管理番号]],名前リスト[[#All],[管理番号]:[氏名]],3,TRUE),"")</f>
        <v>イシオカ　ヨツスケ</v>
      </c>
      <c r="D179" s="79" t="str">
        <f t="shared" si="2"/>
        <v/>
      </c>
      <c r="E17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7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7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7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7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7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7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7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0" spans="1:28">
      <c r="A180" s="20">
        <f>名前リスト[[#This Row],[管理番号]]</f>
        <v>179</v>
      </c>
      <c r="B180" s="6" t="str">
        <f>IF(NOT(まとめ表_バック金額[[#This Row],[管理番号]]=""),VLOOKUP(まとめ表_バック金額[[#This Row],[管理番号]],名前リスト[[#All],[管理番号]:[氏名]],2,TRUE),"")</f>
        <v>ヤマモト　オウジ</v>
      </c>
      <c r="C180" s="21" t="str">
        <f>IF(NOT(まとめ表_バック金額[[#This Row],[管理番号]]=""),VLOOKUP(まとめ表_バック金額[[#This Row],[管理番号]],名前リスト[[#All],[管理番号]:[氏名]],3,TRUE),"")</f>
        <v>ヤマモト　オウジ</v>
      </c>
      <c r="D180" s="79" t="str">
        <f t="shared" si="2"/>
        <v/>
      </c>
      <c r="E18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1" spans="1:28">
      <c r="A181" s="20">
        <f>名前リスト[[#This Row],[管理番号]]</f>
        <v>180</v>
      </c>
      <c r="B181" s="6" t="str">
        <f>IF(NOT(まとめ表_バック金額[[#This Row],[管理番号]]=""),VLOOKUP(まとめ表_バック金額[[#This Row],[管理番号]],名前リスト[[#All],[管理番号]:[氏名]],2,TRUE),"")</f>
        <v>ニシオカ　コウヘイ</v>
      </c>
      <c r="C181" s="21" t="str">
        <f>IF(NOT(まとめ表_バック金額[[#This Row],[管理番号]]=""),VLOOKUP(まとめ表_バック金額[[#This Row],[管理番号]],名前リスト[[#All],[管理番号]:[氏名]],3,TRUE),"")</f>
        <v>ニシオカ　コウヘイ</v>
      </c>
      <c r="D181" s="79" t="str">
        <f t="shared" si="2"/>
        <v/>
      </c>
      <c r="E18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2" spans="1:28">
      <c r="A182" s="20">
        <f>名前リスト[[#This Row],[管理番号]]</f>
        <v>181</v>
      </c>
      <c r="B182" s="6" t="str">
        <f>IF(NOT(まとめ表_バック金額[[#This Row],[管理番号]]=""),VLOOKUP(まとめ表_バック金額[[#This Row],[管理番号]],名前リスト[[#All],[管理番号]:[氏名]],2,TRUE),"")</f>
        <v>アタラシ　ダイキチ</v>
      </c>
      <c r="C182" s="21" t="str">
        <f>IF(NOT(まとめ表_バック金額[[#This Row],[管理番号]]=""),VLOOKUP(まとめ表_バック金額[[#This Row],[管理番号]],名前リスト[[#All],[管理番号]:[氏名]],3,TRUE),"")</f>
        <v>アタラシ　ダイキチ</v>
      </c>
      <c r="D182" s="79" t="str">
        <f t="shared" si="2"/>
        <v/>
      </c>
      <c r="E18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3" spans="1:28">
      <c r="A183" s="20">
        <f>名前リスト[[#This Row],[管理番号]]</f>
        <v>182</v>
      </c>
      <c r="B183" s="6" t="str">
        <f>IF(NOT(まとめ表_バック金額[[#This Row],[管理番号]]=""),VLOOKUP(まとめ表_バック金額[[#This Row],[管理番号]],名前リスト[[#All],[管理番号]:[氏名]],2,TRUE),"")</f>
        <v>サカイ　カンジ</v>
      </c>
      <c r="C183" s="21" t="str">
        <f>IF(NOT(まとめ表_バック金額[[#This Row],[管理番号]]=""),VLOOKUP(まとめ表_バック金額[[#This Row],[管理番号]],名前リスト[[#All],[管理番号]:[氏名]],3,TRUE),"")</f>
        <v>サカイ　カンジ</v>
      </c>
      <c r="D183" s="79" t="str">
        <f t="shared" si="2"/>
        <v/>
      </c>
      <c r="E18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4" spans="1:28">
      <c r="A184" s="20">
        <f>名前リスト[[#This Row],[管理番号]]</f>
        <v>183</v>
      </c>
      <c r="B184" s="6" t="str">
        <f>IF(NOT(まとめ表_バック金額[[#This Row],[管理番号]]=""),VLOOKUP(まとめ表_バック金額[[#This Row],[管理番号]],名前リスト[[#All],[管理番号]:[氏名]],2,TRUE),"")</f>
        <v>コニシ　ホノカ</v>
      </c>
      <c r="C184" s="21" t="str">
        <f>IF(NOT(まとめ表_バック金額[[#This Row],[管理番号]]=""),VLOOKUP(まとめ表_バック金額[[#This Row],[管理番号]],名前リスト[[#All],[管理番号]:[氏名]],3,TRUE),"")</f>
        <v>コニシ　ホノカ</v>
      </c>
      <c r="D184" s="79" t="str">
        <f t="shared" si="2"/>
        <v/>
      </c>
      <c r="E18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5" spans="1:28">
      <c r="A185" s="20">
        <f>名前リスト[[#This Row],[管理番号]]</f>
        <v>184</v>
      </c>
      <c r="B185" s="6" t="str">
        <f>IF(NOT(まとめ表_バック金額[[#This Row],[管理番号]]=""),VLOOKUP(まとめ表_バック金額[[#This Row],[管理番号]],名前リスト[[#All],[管理番号]:[氏名]],2,TRUE),"")</f>
        <v>イノウエ リナ</v>
      </c>
      <c r="C185" s="21" t="str">
        <f>IF(NOT(まとめ表_バック金額[[#This Row],[管理番号]]=""),VLOOKUP(まとめ表_バック金額[[#This Row],[管理番号]],名前リスト[[#All],[管理番号]:[氏名]],3,TRUE),"")</f>
        <v>イノウエ リナ</v>
      </c>
      <c r="D185" s="79" t="str">
        <f t="shared" si="2"/>
        <v/>
      </c>
      <c r="E18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6" spans="1:28">
      <c r="A186" s="20">
        <f>名前リスト[[#This Row],[管理番号]]</f>
        <v>185</v>
      </c>
      <c r="B186" s="6" t="str">
        <f>IF(NOT(まとめ表_バック金額[[#This Row],[管理番号]]=""),VLOOKUP(まとめ表_バック金額[[#This Row],[管理番号]],名前リスト[[#All],[管理番号]:[氏名]],2,TRUE),"")</f>
        <v>タカハシ　アンジュ</v>
      </c>
      <c r="C186" s="21" t="str">
        <f>IF(NOT(まとめ表_バック金額[[#This Row],[管理番号]]=""),VLOOKUP(まとめ表_バック金額[[#This Row],[管理番号]],名前リスト[[#All],[管理番号]:[氏名]],3,TRUE),"")</f>
        <v>タカハシ　アンジュ</v>
      </c>
      <c r="D186" s="79" t="str">
        <f t="shared" si="2"/>
        <v/>
      </c>
      <c r="E18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6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6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6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6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6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6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6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7" spans="1:28">
      <c r="A187" s="20">
        <f>名前リスト[[#This Row],[管理番号]]</f>
        <v>186</v>
      </c>
      <c r="B187" s="6" t="str">
        <f>IF(NOT(まとめ表_バック金額[[#This Row],[管理番号]]=""),VLOOKUP(まとめ表_バック金額[[#This Row],[管理番号]],名前リスト[[#All],[管理番号]:[氏名]],2,TRUE),"")</f>
        <v>ミヤギ　タツキ</v>
      </c>
      <c r="C187" s="21" t="str">
        <f>IF(NOT(まとめ表_バック金額[[#This Row],[管理番号]]=""),VLOOKUP(まとめ表_バック金額[[#This Row],[管理番号]],名前リスト[[#All],[管理番号]:[氏名]],3,TRUE),"")</f>
        <v>ミヤギ　タツキ</v>
      </c>
      <c r="D187" s="79" t="str">
        <f t="shared" si="2"/>
        <v/>
      </c>
      <c r="E18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8" spans="1:28">
      <c r="A188" s="20">
        <f>名前リスト[[#This Row],[管理番号]]</f>
        <v>187</v>
      </c>
      <c r="B188" s="6" t="str">
        <f>IF(NOT(まとめ表_バック金額[[#This Row],[管理番号]]=""),VLOOKUP(まとめ表_バック金額[[#This Row],[管理番号]],名前リスト[[#All],[管理番号]:[氏名]],2,TRUE),"")</f>
        <v>ホリ　ショウイチロウ</v>
      </c>
      <c r="C188" s="21" t="str">
        <f>IF(NOT(まとめ表_バック金額[[#This Row],[管理番号]]=""),VLOOKUP(まとめ表_バック金額[[#This Row],[管理番号]],名前リスト[[#All],[管理番号]:[氏名]],3,TRUE),"")</f>
        <v>ホリ　ショウイチロウ</v>
      </c>
      <c r="D188" s="79" t="str">
        <f t="shared" si="2"/>
        <v/>
      </c>
      <c r="E18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89" spans="1:28">
      <c r="A189" s="20">
        <f>名前リスト[[#This Row],[管理番号]]</f>
        <v>188</v>
      </c>
      <c r="B189" s="6" t="str">
        <f>IF(NOT(まとめ表_バック金額[[#This Row],[管理番号]]=""),VLOOKUP(まとめ表_バック金額[[#This Row],[管理番号]],名前リスト[[#All],[管理番号]:[氏名]],2,TRUE),"")</f>
        <v>カネダ　カホ</v>
      </c>
      <c r="C189" s="21" t="str">
        <f>IF(NOT(まとめ表_バック金額[[#This Row],[管理番号]]=""),VLOOKUP(まとめ表_バック金額[[#This Row],[管理番号]],名前リスト[[#All],[管理番号]:[氏名]],3,TRUE),"")</f>
        <v>カネダ　カホ</v>
      </c>
      <c r="D189" s="79" t="str">
        <f t="shared" si="2"/>
        <v/>
      </c>
      <c r="E18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8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8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8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8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8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8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8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0" spans="1:28">
      <c r="A190" s="20">
        <f>名前リスト[[#This Row],[管理番号]]</f>
        <v>189</v>
      </c>
      <c r="B190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0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0" s="79" t="str">
        <f t="shared" si="2"/>
        <v/>
      </c>
      <c r="E19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1" spans="1:28">
      <c r="A191" s="20">
        <f>名前リスト[[#This Row],[管理番号]]</f>
        <v>190</v>
      </c>
      <c r="B191" s="6" t="str">
        <f>IF(NOT(まとめ表_バック金額[[#This Row],[管理番号]]=""),VLOOKUP(まとめ表_バック金額[[#This Row],[管理番号]],名前リスト[[#All],[管理番号]:[氏名]],2,TRUE),"")</f>
        <v>ヤスオカ　ダイキ</v>
      </c>
      <c r="C191" s="21" t="str">
        <f>IF(NOT(まとめ表_バック金額[[#This Row],[管理番号]]=""),VLOOKUP(まとめ表_バック金額[[#This Row],[管理番号]],名前リスト[[#All],[管理番号]:[氏名]],3,TRUE),"")</f>
        <v>ヤスオカ　ダイキ</v>
      </c>
      <c r="D191" s="79" t="str">
        <f t="shared" si="2"/>
        <v/>
      </c>
      <c r="E19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2" spans="1:28">
      <c r="A192" s="20">
        <f>名前リスト[[#This Row],[管理番号]]</f>
        <v>191</v>
      </c>
      <c r="B192" s="6" t="str">
        <f>IF(NOT(まとめ表_バック金額[[#This Row],[管理番号]]=""),VLOOKUP(まとめ表_バック金額[[#This Row],[管理番号]],名前リスト[[#All],[管理番号]:[氏名]],2,TRUE),"")</f>
        <v>ヨシダ　トウマ</v>
      </c>
      <c r="C192" s="21" t="str">
        <f>IF(NOT(まとめ表_バック金額[[#This Row],[管理番号]]=""),VLOOKUP(まとめ表_バック金額[[#This Row],[管理番号]],名前リスト[[#All],[管理番号]:[氏名]],3,TRUE),"")</f>
        <v>ヨシダ　トウマ</v>
      </c>
      <c r="D192" s="79" t="str">
        <f t="shared" si="2"/>
        <v/>
      </c>
      <c r="E19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3" spans="1:28">
      <c r="A193" s="20">
        <f>名前リスト[[#This Row],[管理番号]]</f>
        <v>192</v>
      </c>
      <c r="B193" s="6" t="str">
        <f>IF(NOT(まとめ表_バック金額[[#This Row],[管理番号]]=""),VLOOKUP(まとめ表_バック金額[[#This Row],[管理番号]],名前リスト[[#All],[管理番号]:[氏名]],2,TRUE),"")</f>
        <v>タニガキ　リサコ</v>
      </c>
      <c r="C193" s="21" t="str">
        <f>IF(NOT(まとめ表_バック金額[[#This Row],[管理番号]]=""),VLOOKUP(まとめ表_バック金額[[#This Row],[管理番号]],名前リスト[[#All],[管理番号]:[氏名]],3,TRUE),"")</f>
        <v>タニガキ　リサコ</v>
      </c>
      <c r="D193" s="79" t="str">
        <f t="shared" si="2"/>
        <v/>
      </c>
      <c r="E19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4" spans="1:28">
      <c r="A194" s="20">
        <f>名前リスト[[#This Row],[管理番号]]</f>
        <v>193</v>
      </c>
      <c r="B194" s="6" t="str">
        <f>IF(NOT(まとめ表_バック金額[[#This Row],[管理番号]]=""),VLOOKUP(まとめ表_バック金額[[#This Row],[管理番号]],名前リスト[[#All],[管理番号]:[氏名]],2,TRUE),"")</f>
        <v>コウノ　ユウダイ</v>
      </c>
      <c r="C194" s="21" t="str">
        <f>IF(NOT(まとめ表_バック金額[[#This Row],[管理番号]]=""),VLOOKUP(まとめ表_バック金額[[#This Row],[管理番号]],名前リスト[[#All],[管理番号]:[氏名]],3,TRUE),"")</f>
        <v>コウノ　ユウダイ</v>
      </c>
      <c r="D194" s="79" t="str">
        <f t="shared" ref="D194:D257" si="3">IF(SUM(E194:XFD194)=0,"",SUM(E194:XFD194))</f>
        <v/>
      </c>
      <c r="E19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4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4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4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4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4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4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4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5" spans="1:28">
      <c r="A195" s="20">
        <f>名前リスト[[#This Row],[管理番号]]</f>
        <v>194</v>
      </c>
      <c r="B195" s="6" t="str">
        <f>IF(NOT(まとめ表_バック金額[[#This Row],[管理番号]]=""),VLOOKUP(まとめ表_バック金額[[#This Row],[管理番号]],名前リスト[[#All],[管理番号]:[氏名]],2,TRUE),"")</f>
        <v>ウツミ　ユウキ</v>
      </c>
      <c r="C195" s="21" t="str">
        <f>IF(NOT(まとめ表_バック金額[[#This Row],[管理番号]]=""),VLOOKUP(まとめ表_バック金額[[#This Row],[管理番号]],名前リスト[[#All],[管理番号]:[氏名]],3,TRUE),"")</f>
        <v>ウツミ　ユウキ</v>
      </c>
      <c r="D195" s="79" t="str">
        <f t="shared" si="3"/>
        <v/>
      </c>
      <c r="E19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5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5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5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5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5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5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5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6" spans="1:28">
      <c r="A196" s="20">
        <f>名前リスト[[#This Row],[管理番号]]</f>
        <v>195</v>
      </c>
      <c r="B196" s="6" t="str">
        <f>IF(NOT(まとめ表_バック金額[[#This Row],[管理番号]]=""),VLOOKUP(まとめ表_バック金額[[#This Row],[管理番号]],名前リスト[[#All],[管理番号]:[氏名]],2,TRUE),"")</f>
        <v>ヨコタ　ショウ</v>
      </c>
      <c r="C196" s="21" t="str">
        <f>IF(NOT(まとめ表_バック金額[[#This Row],[管理番号]]=""),VLOOKUP(まとめ表_バック金額[[#This Row],[管理番号]],名前リスト[[#All],[管理番号]:[氏名]],3,TRUE),"")</f>
        <v>ヨコタ　ショウ</v>
      </c>
      <c r="D196" s="79" t="str">
        <f t="shared" si="3"/>
        <v/>
      </c>
      <c r="E19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7" spans="1:28">
      <c r="A197" s="20">
        <f>名前リスト[[#This Row],[管理番号]]</f>
        <v>196</v>
      </c>
      <c r="B197" s="6" t="str">
        <f>IF(NOT(まとめ表_バック金額[[#This Row],[管理番号]]=""),VLOOKUP(まとめ表_バック金額[[#This Row],[管理番号]],名前リスト[[#All],[管理番号]:[氏名]],2,TRUE),"")</f>
        <v>モリタ　コウダイ</v>
      </c>
      <c r="C197" s="21" t="str">
        <f>IF(NOT(まとめ表_バック金額[[#This Row],[管理番号]]=""),VLOOKUP(まとめ表_バック金額[[#This Row],[管理番号]],名前リスト[[#All],[管理番号]:[氏名]],3,TRUE),"")</f>
        <v>モリタ　コウダイ</v>
      </c>
      <c r="D197" s="79" t="str">
        <f t="shared" si="3"/>
        <v/>
      </c>
      <c r="E19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7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7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7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7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7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7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7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8" spans="1:28">
      <c r="A198" s="20">
        <f>名前リスト[[#This Row],[管理番号]]</f>
        <v>197</v>
      </c>
      <c r="B198" s="6" t="str">
        <f>IF(NOT(まとめ表_バック金額[[#This Row],[管理番号]]=""),VLOOKUP(まとめ表_バック金額[[#This Row],[管理番号]],名前リスト[[#All],[管理番号]:[氏名]],2,TRUE),"")</f>
        <v>モリヤマアキヒサ</v>
      </c>
      <c r="C198" s="21" t="str">
        <f>IF(NOT(まとめ表_バック金額[[#This Row],[管理番号]]=""),VLOOKUP(まとめ表_バック金額[[#This Row],[管理番号]],名前リスト[[#All],[管理番号]:[氏名]],3,TRUE),"")</f>
        <v>モリヤマアキヒサ</v>
      </c>
      <c r="D198" s="79" t="str">
        <f t="shared" si="3"/>
        <v/>
      </c>
      <c r="E198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8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8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8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8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8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8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8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199" spans="1:28">
      <c r="A199" s="20">
        <f>名前リスト[[#This Row],[管理番号]]</f>
        <v>198</v>
      </c>
      <c r="B199" s="6" t="str">
        <f>IF(NOT(まとめ表_バック金額[[#This Row],[管理番号]]=""),VLOOKUP(まとめ表_バック金額[[#This Row],[管理番号]],名前リスト[[#All],[管理番号]:[氏名]],2,TRUE),"")</f>
        <v>セイケ　クルミ</v>
      </c>
      <c r="C199" s="21" t="str">
        <f>IF(NOT(まとめ表_バック金額[[#This Row],[管理番号]]=""),VLOOKUP(まとめ表_バック金額[[#This Row],[管理番号]],名前リスト[[#All],[管理番号]:[氏名]],3,TRUE),"")</f>
        <v>セイケ　クルミ</v>
      </c>
      <c r="D199" s="79" t="str">
        <f t="shared" si="3"/>
        <v/>
      </c>
      <c r="E199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199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199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199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199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199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199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199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1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1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1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1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1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1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1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1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1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1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1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1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1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1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1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1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0" spans="1:28">
      <c r="A200" s="20">
        <f>名前リスト[[#This Row],[管理番号]]</f>
        <v>199</v>
      </c>
      <c r="B200" s="6" t="str">
        <f>IF(NOT(まとめ表_バック金額[[#This Row],[管理番号]]=""),VLOOKUP(まとめ表_バック金額[[#This Row],[管理番号]],名前リスト[[#All],[管理番号]:[氏名]],2,TRUE),"")</f>
        <v>イシマル　タダユキ</v>
      </c>
      <c r="C200" s="21" t="str">
        <f>IF(NOT(まとめ表_バック金額[[#This Row],[管理番号]]=""),VLOOKUP(まとめ表_バック金額[[#This Row],[管理番号]],名前リスト[[#All],[管理番号]:[氏名]],3,TRUE),"")</f>
        <v>イシマル　タダユキ</v>
      </c>
      <c r="D200" s="79" t="str">
        <f t="shared" si="3"/>
        <v/>
      </c>
      <c r="E200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0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0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0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0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0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0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0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1" spans="1:28">
      <c r="A201" s="20">
        <f>名前リスト[[#This Row],[管理番号]]</f>
        <v>200</v>
      </c>
      <c r="B201" s="26" t="str">
        <f>IF(NOT(まとめ表_バック金額[[#This Row],[管理番号]]=""),VLOOKUP(まとめ表_バック金額[[#This Row],[管理番号]],名前リスト[[#All],[管理番号]:[氏名]],2,TRUE),"")</f>
        <v>コレカネ　ユウ</v>
      </c>
      <c r="C201" s="27" t="str">
        <f>IF(NOT(まとめ表_バック金額[[#This Row],[管理番号]]=""),VLOOKUP(まとめ表_バック金額[[#This Row],[管理番号]],名前リスト[[#All],[管理番号]:[氏名]],3,TRUE),"")</f>
        <v>コレカネ　ユウ</v>
      </c>
      <c r="D201" s="79" t="str">
        <f t="shared" si="3"/>
        <v/>
      </c>
      <c r="E201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1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1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1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1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1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1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1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2" spans="1:28">
      <c r="A202" s="20">
        <f>名前リスト[[#This Row],[管理番号]]</f>
        <v>201</v>
      </c>
      <c r="B202" s="6" t="str">
        <f>IF(NOT(まとめ表_バック金額[[#This Row],[管理番号]]=""),VLOOKUP(まとめ表_バック金額[[#This Row],[管理番号]],名前リスト[[#All],[管理番号]:[氏名]],2,TRUE),"")</f>
        <v>ワタナベ　ユウタ</v>
      </c>
      <c r="C202" s="21" t="str">
        <f>IF(NOT(まとめ表_バック金額[[#This Row],[管理番号]]=""),VLOOKUP(まとめ表_バック金額[[#This Row],[管理番号]],名前リスト[[#All],[管理番号]:[氏名]],3,TRUE),"")</f>
        <v>ワタナベ　ユウタ</v>
      </c>
      <c r="D202" s="79" t="str">
        <f t="shared" si="3"/>
        <v/>
      </c>
      <c r="E202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2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2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2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2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2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2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2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3" spans="1:28">
      <c r="A203" s="20">
        <f>名前リスト[[#This Row],[管理番号]]</f>
        <v>202</v>
      </c>
      <c r="B203" s="6" t="str">
        <f>IF(NOT(まとめ表_バック金額[[#This Row],[管理番号]]=""),VLOOKUP(まとめ表_バック金額[[#This Row],[管理番号]],名前リスト[[#All],[管理番号]:[氏名]],2,TRUE),"")</f>
        <v>イワカ　タクミ</v>
      </c>
      <c r="C203" s="21" t="str">
        <f>IF(NOT(まとめ表_バック金額[[#This Row],[管理番号]]=""),VLOOKUP(まとめ表_バック金額[[#This Row],[管理番号]],名前リスト[[#All],[管理番号]:[氏名]],3,TRUE),"")</f>
        <v>イワカ　タクミ</v>
      </c>
      <c r="D203" s="79" t="str">
        <f t="shared" si="3"/>
        <v/>
      </c>
      <c r="E203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3" s="7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3" s="7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3" s="7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3" s="7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3" s="7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3" s="7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3" s="7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4" spans="1:28">
      <c r="A204" s="20">
        <f>名前リスト[[#This Row],[管理番号]]</f>
        <v>203</v>
      </c>
      <c r="B204" s="26" t="str">
        <f>IF(NOT(まとめ表_バック金額[[#This Row],[管理番号]]=""),VLOOKUP(まとめ表_バック金額[[#This Row],[管理番号]],名前リスト[[#All],[管理番号]:[氏名]],2,TRUE),"")</f>
        <v>クニミ　タカト</v>
      </c>
      <c r="C204" s="27" t="str">
        <f>IF(NOT(まとめ表_バック金額[[#This Row],[管理番号]]=""),VLOOKUP(まとめ表_バック金額[[#This Row],[管理番号]],名前リスト[[#All],[管理番号]:[氏名]],3,TRUE),"")</f>
        <v>クニミ　タカト</v>
      </c>
      <c r="D204" s="79" t="str">
        <f t="shared" si="3"/>
        <v/>
      </c>
      <c r="E204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4" s="82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4" s="82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4" s="82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4" s="82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4" s="82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4" s="82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4" s="82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4" s="59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4" s="59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4" s="59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4" s="59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4" s="59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4" s="59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4" s="59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4" s="59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4" s="59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4" s="59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4" s="59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4" s="59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4" s="59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4" s="59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5" spans="1:28">
      <c r="A205" s="20">
        <f>名前リスト[[#This Row],[管理番号]]</f>
        <v>204</v>
      </c>
      <c r="B205" s="6" t="str">
        <f>IF(NOT(まとめ表_バック金額[[#This Row],[管理番号]]=""),VLOOKUP(まとめ表_バック金額[[#This Row],[管理番号]],名前リスト[[#All],[管理番号]:[氏名]],2,TRUE),"")</f>
        <v>タネダ　ジュリ</v>
      </c>
      <c r="C205" s="21" t="str">
        <f>IF(NOT(まとめ表_バック金額[[#This Row],[管理番号]]=""),VLOOKUP(まとめ表_バック金額[[#This Row],[管理番号]],名前リスト[[#All],[管理番号]:[氏名]],3,TRUE),"")</f>
        <v>タネダ　ジュリ</v>
      </c>
      <c r="D205" s="79" t="str">
        <f t="shared" si="3"/>
        <v/>
      </c>
      <c r="E205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6" spans="1:28">
      <c r="A206" s="20">
        <f>名前リスト[[#This Row],[管理番号]]</f>
        <v>205</v>
      </c>
      <c r="B206" s="6" t="str">
        <f>IF(NOT(まとめ表_バック金額[[#This Row],[管理番号]]=""),VLOOKUP(まとめ表_バック金額[[#This Row],[管理番号]],名前リスト[[#All],[管理番号]:[氏名]],2,TRUE),"")</f>
        <v>ナカジマ　ケイワ</v>
      </c>
      <c r="C206" s="21" t="str">
        <f>IF(NOT(まとめ表_バック金額[[#This Row],[管理番号]]=""),VLOOKUP(まとめ表_バック金額[[#This Row],[管理番号]],名前リスト[[#All],[管理番号]:[氏名]],3,TRUE),"")</f>
        <v>ナカジマ　ケイワ</v>
      </c>
      <c r="D206" s="79" t="str">
        <f t="shared" si="3"/>
        <v/>
      </c>
      <c r="E206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7" spans="1:28">
      <c r="A207" s="20">
        <f>名前リスト[[#This Row],[管理番号]]</f>
        <v>206</v>
      </c>
      <c r="B207" s="6" t="str">
        <f>IF(NOT(まとめ表_バック金額[[#This Row],[管理番号]]=""),VLOOKUP(まとめ表_バック金額[[#This Row],[管理番号]],名前リスト[[#All],[管理番号]:[氏名]],2,TRUE),"")</f>
        <v>ウメダ　ユウキ</v>
      </c>
      <c r="C207" s="21" t="str">
        <f>IF(NOT(まとめ表_バック金額[[#This Row],[管理番号]]=""),VLOOKUP(まとめ表_バック金額[[#This Row],[管理番号]],名前リスト[[#All],[管理番号]:[氏名]],3,TRUE),"")</f>
        <v>ウメダ　ユウキ</v>
      </c>
      <c r="D207" s="79" t="str">
        <f t="shared" si="3"/>
        <v/>
      </c>
      <c r="E207" s="7">
        <f>SUMIFS(梅田キャンプ4000[[#All],[イベンターへ]],梅田キャンプ4000[[#All],[イベンター予約名]],まとめ表_バック金額[[#This Row],[管理番号]])+SUMIFS(梅田キャンプ3500[[#All],[イベンターへ]],梅田キャンプ3500[[#All],[イベンター予約名]],まとめ表_バック金額[[#This Row],[管理番号]])</f>
        <v>0</v>
      </c>
      <c r="F2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8" spans="1:28">
      <c r="A208" s="20">
        <f>名前リスト[[#This Row],[管理番号]]</f>
        <v>207</v>
      </c>
      <c r="B208" s="6" t="str">
        <f>IF(NOT(まとめ表_バック金額[[#This Row],[管理番号]]=""),VLOOKUP(まとめ表_バック金額[[#This Row],[管理番号]],名前リスト[[#All],[管理番号]:[氏名]],2,TRUE),"")</f>
        <v>タダ　ミチヨ</v>
      </c>
      <c r="C208" s="21" t="str">
        <f>IF(NOT(まとめ表_バック金額[[#This Row],[管理番号]]=""),VLOOKUP(まとめ表_バック金額[[#This Row],[管理番号]],名前リスト[[#All],[管理番号]:[氏名]],3,TRUE),"")</f>
        <v>タダ　ミチヨ</v>
      </c>
      <c r="D208" s="79" t="str">
        <f t="shared" si="3"/>
        <v/>
      </c>
      <c r="E208" s="48"/>
      <c r="F2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09" spans="1:28">
      <c r="A209" s="20">
        <f>名前リスト[[#This Row],[管理番号]]</f>
        <v>208</v>
      </c>
      <c r="B209" s="6" t="str">
        <f>IF(NOT(まとめ表_バック金額[[#This Row],[管理番号]]=""),VLOOKUP(まとめ表_バック金額[[#This Row],[管理番号]],名前リスト[[#All],[管理番号]:[氏名]],2,TRUE),"")</f>
        <v>スギマチ　タクミ</v>
      </c>
      <c r="C209" s="21" t="str">
        <f>IF(NOT(まとめ表_バック金額[[#This Row],[管理番号]]=""),VLOOKUP(まとめ表_バック金額[[#This Row],[管理番号]],名前リスト[[#All],[管理番号]:[氏名]],3,TRUE),"")</f>
        <v>スギマチ　タクミ</v>
      </c>
      <c r="D209" s="79" t="str">
        <f t="shared" si="3"/>
        <v/>
      </c>
      <c r="E209" s="48"/>
      <c r="F2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0" spans="1:28">
      <c r="A210" s="20">
        <f>名前リスト[[#This Row],[管理番号]]</f>
        <v>209</v>
      </c>
      <c r="B210" s="6" t="str">
        <f>IF(NOT(まとめ表_バック金額[[#This Row],[管理番号]]=""),VLOOKUP(まとめ表_バック金額[[#This Row],[管理番号]],名前リスト[[#All],[管理番号]:[氏名]],2,TRUE),"")</f>
        <v>タカハラ　ハルカ</v>
      </c>
      <c r="C210" s="21" t="str">
        <f>IF(NOT(まとめ表_バック金額[[#This Row],[管理番号]]=""),VLOOKUP(まとめ表_バック金額[[#This Row],[管理番号]],名前リスト[[#All],[管理番号]:[氏名]],3,TRUE),"")</f>
        <v>タカハラ　ハルカ</v>
      </c>
      <c r="D210" s="79" t="str">
        <f t="shared" si="3"/>
        <v/>
      </c>
      <c r="E210" s="48"/>
      <c r="F2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1" spans="1:28">
      <c r="A211" s="20">
        <f>名前リスト[[#This Row],[管理番号]]</f>
        <v>210</v>
      </c>
      <c r="B211" s="6" t="str">
        <f>IF(NOT(まとめ表_バック金額[[#This Row],[管理番号]]=""),VLOOKUP(まとめ表_バック金額[[#This Row],[管理番号]],名前リスト[[#All],[管理番号]:[氏名]],2,TRUE),"")</f>
        <v>ヒロオカ　ナツミ</v>
      </c>
      <c r="C211" s="21" t="str">
        <f>IF(NOT(まとめ表_バック金額[[#This Row],[管理番号]]=""),VLOOKUP(まとめ表_バック金額[[#This Row],[管理番号]],名前リスト[[#All],[管理番号]:[氏名]],3,TRUE),"")</f>
        <v>ヒロオカ　ナツミ</v>
      </c>
      <c r="D211" s="79" t="str">
        <f t="shared" si="3"/>
        <v/>
      </c>
      <c r="E211" s="48"/>
      <c r="F2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2" spans="1:28">
      <c r="A212" s="20">
        <f>名前リスト[[#This Row],[管理番号]]</f>
        <v>211</v>
      </c>
      <c r="B212" s="6" t="str">
        <f>IF(NOT(まとめ表_バック金額[[#This Row],[管理番号]]=""),VLOOKUP(まとめ表_バック金額[[#This Row],[管理番号]],名前リスト[[#All],[管理番号]:[氏名]],2,TRUE),"")</f>
        <v>カサタニ　レイヤ</v>
      </c>
      <c r="C212" s="21" t="str">
        <f>IF(NOT(まとめ表_バック金額[[#This Row],[管理番号]]=""),VLOOKUP(まとめ表_バック金額[[#This Row],[管理番号]],名前リスト[[#All],[管理番号]:[氏名]],3,TRUE),"")</f>
        <v>カサタニ　レイヤ</v>
      </c>
      <c r="D212" s="79" t="str">
        <f t="shared" si="3"/>
        <v/>
      </c>
      <c r="E212" s="48"/>
      <c r="F2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3" spans="1:28">
      <c r="A213" s="20">
        <f>名前リスト[[#This Row],[管理番号]]</f>
        <v>212</v>
      </c>
      <c r="B213" s="6" t="str">
        <f>IF(NOT(まとめ表_バック金額[[#This Row],[管理番号]]=""),VLOOKUP(まとめ表_バック金額[[#This Row],[管理番号]],名前リスト[[#All],[管理番号]:[氏名]],2,TRUE),"")</f>
        <v>ウラ　レオト</v>
      </c>
      <c r="C213" s="21" t="str">
        <f>IF(NOT(まとめ表_バック金額[[#This Row],[管理番号]]=""),VLOOKUP(まとめ表_バック金額[[#This Row],[管理番号]],名前リスト[[#All],[管理番号]:[氏名]],3,TRUE),"")</f>
        <v>ウラ　レオト</v>
      </c>
      <c r="D213" s="79" t="str">
        <f t="shared" si="3"/>
        <v/>
      </c>
      <c r="E213" s="48"/>
      <c r="F2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4" spans="1:28">
      <c r="A214" s="20">
        <f>名前リスト[[#This Row],[管理番号]]</f>
        <v>213</v>
      </c>
      <c r="B214" s="6" t="str">
        <f>IF(NOT(まとめ表_バック金額[[#This Row],[管理番号]]=""),VLOOKUP(まとめ表_バック金額[[#This Row],[管理番号]],名前リスト[[#All],[管理番号]:[氏名]],2,TRUE),"")</f>
        <v>カメイ　コウキ</v>
      </c>
      <c r="C214" s="21" t="str">
        <f>IF(NOT(まとめ表_バック金額[[#This Row],[管理番号]]=""),VLOOKUP(まとめ表_バック金額[[#This Row],[管理番号]],名前リスト[[#All],[管理番号]:[氏名]],3,TRUE),"")</f>
        <v>カメイ　コウキ</v>
      </c>
      <c r="D214" s="79" t="str">
        <f t="shared" si="3"/>
        <v/>
      </c>
      <c r="E214" s="48"/>
      <c r="F2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5" spans="1:28">
      <c r="A215" s="20">
        <f>名前リスト[[#This Row],[管理番号]]</f>
        <v>214</v>
      </c>
      <c r="B215" s="6" t="str">
        <f>IF(NOT(まとめ表_バック金額[[#This Row],[管理番号]]=""),VLOOKUP(まとめ表_バック金額[[#This Row],[管理番号]],名前リスト[[#All],[管理番号]:[氏名]],2,TRUE),"")</f>
        <v>スズキ　チハル</v>
      </c>
      <c r="C215" s="21" t="str">
        <f>IF(NOT(まとめ表_バック金額[[#This Row],[管理番号]]=""),VLOOKUP(まとめ表_バック金額[[#This Row],[管理番号]],名前リスト[[#All],[管理番号]:[氏名]],3,TRUE),"")</f>
        <v>スズキ　チハル</v>
      </c>
      <c r="D215" s="79" t="str">
        <f t="shared" si="3"/>
        <v/>
      </c>
      <c r="E215" s="48"/>
      <c r="F2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6" spans="1:28">
      <c r="A216" s="20">
        <f>名前リスト[[#This Row],[管理番号]]</f>
        <v>215</v>
      </c>
      <c r="B216" s="6" t="str">
        <f>IF(NOT(まとめ表_バック金額[[#This Row],[管理番号]]=""),VLOOKUP(まとめ表_バック金額[[#This Row],[管理番号]],名前リスト[[#All],[管理番号]:[氏名]],2,TRUE),"")</f>
        <v>カワゴエ　ショウキ</v>
      </c>
      <c r="C216" s="21" t="str">
        <f>IF(NOT(まとめ表_バック金額[[#This Row],[管理番号]]=""),VLOOKUP(まとめ表_バック金額[[#This Row],[管理番号]],名前リスト[[#All],[管理番号]:[氏名]],3,TRUE),"")</f>
        <v>カワゴエ　ショウキ</v>
      </c>
      <c r="D216" s="79" t="str">
        <f t="shared" si="3"/>
        <v/>
      </c>
      <c r="E216" s="48"/>
      <c r="F2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7" spans="1:28">
      <c r="A217" s="20">
        <f>名前リスト[[#This Row],[管理番号]]</f>
        <v>216</v>
      </c>
      <c r="B217" s="6" t="str">
        <f>IF(NOT(まとめ表_バック金額[[#This Row],[管理番号]]=""),VLOOKUP(まとめ表_バック金額[[#This Row],[管理番号]],名前リスト[[#All],[管理番号]:[氏名]],2,TRUE),"")</f>
        <v>ナカガマ ウタナ</v>
      </c>
      <c r="C217" s="21" t="str">
        <f>IF(NOT(まとめ表_バック金額[[#This Row],[管理番号]]=""),VLOOKUP(まとめ表_バック金額[[#This Row],[管理番号]],名前リスト[[#All],[管理番号]:[氏名]],3,TRUE),"")</f>
        <v>ナカガマ ウタナ</v>
      </c>
      <c r="D217" s="79" t="str">
        <f t="shared" si="3"/>
        <v/>
      </c>
      <c r="E217" s="48"/>
      <c r="F2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8" spans="1:28">
      <c r="A218" s="20">
        <f>名前リスト[[#This Row],[管理番号]]</f>
        <v>217</v>
      </c>
      <c r="B218" s="6" t="str">
        <f>IF(NOT(まとめ表_バック金額[[#This Row],[管理番号]]=""),VLOOKUP(まとめ表_バック金額[[#This Row],[管理番号]],名前リスト[[#All],[管理番号]:[氏名]],2,TRUE),"")</f>
        <v>マツモト ナナ</v>
      </c>
      <c r="C218" s="21" t="str">
        <f>IF(NOT(まとめ表_バック金額[[#This Row],[管理番号]]=""),VLOOKUP(まとめ表_バック金額[[#This Row],[管理番号]],名前リスト[[#All],[管理番号]:[氏名]],3,TRUE),"")</f>
        <v>マツモト ナナ</v>
      </c>
      <c r="D218" s="79" t="str">
        <f t="shared" si="3"/>
        <v/>
      </c>
      <c r="E218" s="48"/>
      <c r="F2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19" spans="1:28">
      <c r="A219" s="20">
        <f>名前リスト[[#This Row],[管理番号]]</f>
        <v>218</v>
      </c>
      <c r="B219" s="6" t="str">
        <f>IF(NOT(まとめ表_バック金額[[#This Row],[管理番号]]=""),VLOOKUP(まとめ表_バック金額[[#This Row],[管理番号]],名前リスト[[#All],[管理番号]:[氏名]],2,TRUE),"")</f>
        <v>ヤギュウ　リコ</v>
      </c>
      <c r="C219" s="21" t="str">
        <f>IF(NOT(まとめ表_バック金額[[#This Row],[管理番号]]=""),VLOOKUP(まとめ表_バック金額[[#This Row],[管理番号]],名前リスト[[#All],[管理番号]:[氏名]],3,TRUE),"")</f>
        <v>ヤギュウ　リコ</v>
      </c>
      <c r="D219" s="79" t="str">
        <f t="shared" si="3"/>
        <v/>
      </c>
      <c r="E219" s="48"/>
      <c r="F2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0" spans="1:28">
      <c r="A220" s="20">
        <f>名前リスト[[#This Row],[管理番号]]</f>
        <v>219</v>
      </c>
      <c r="B220" s="6">
        <f>IF(NOT(まとめ表_バック金額[[#This Row],[管理番号]]=""),VLOOKUP(まとめ表_バック金額[[#This Row],[管理番号]],名前リスト[[#All],[管理番号]:[氏名]],2,TRUE),"")</f>
        <v>0</v>
      </c>
      <c r="C220" s="21" t="str">
        <f>IF(NOT(まとめ表_バック金額[[#This Row],[管理番号]]=""),VLOOKUP(まとめ表_バック金額[[#This Row],[管理番号]],名前リスト[[#All],[管理番号]:[氏名]],3,TRUE),"")</f>
        <v>ヤマナカ　アツシ</v>
      </c>
      <c r="D220" s="79" t="str">
        <f t="shared" si="3"/>
        <v/>
      </c>
      <c r="E220" s="48"/>
      <c r="F2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1" spans="1:28">
      <c r="A221" s="20">
        <f>名前リスト[[#This Row],[管理番号]]</f>
        <v>220</v>
      </c>
      <c r="B221" s="6">
        <f>IF(NOT(まとめ表_バック金額[[#This Row],[管理番号]]=""),VLOOKUP(まとめ表_バック金額[[#This Row],[管理番号]],名前リスト[[#All],[管理番号]:[氏名]],2,TRUE),"")</f>
        <v>0</v>
      </c>
      <c r="C221" s="21" t="str">
        <f>IF(NOT(まとめ表_バック金額[[#This Row],[管理番号]]=""),VLOOKUP(まとめ表_バック金額[[#This Row],[管理番号]],名前リスト[[#All],[管理番号]:[氏名]],3,TRUE),"")</f>
        <v>モウリ　ケンゴ</v>
      </c>
      <c r="D221" s="79" t="str">
        <f t="shared" si="3"/>
        <v/>
      </c>
      <c r="E221" s="48"/>
      <c r="F2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2" spans="1:28">
      <c r="A222" s="20">
        <f>名前リスト[[#This Row],[管理番号]]</f>
        <v>221</v>
      </c>
      <c r="B222" s="6">
        <f>IF(NOT(まとめ表_バック金額[[#This Row],[管理番号]]=""),VLOOKUP(まとめ表_バック金額[[#This Row],[管理番号]],名前リスト[[#All],[管理番号]:[氏名]],2,TRUE),"")</f>
        <v>0</v>
      </c>
      <c r="C222" s="21" t="str">
        <f>IF(NOT(まとめ表_バック金額[[#This Row],[管理番号]]=""),VLOOKUP(まとめ表_バック金額[[#This Row],[管理番号]],名前リスト[[#All],[管理番号]:[氏名]],3,TRUE),"")</f>
        <v>ナイトウ　コウヘイ</v>
      </c>
      <c r="D222" s="79" t="str">
        <f t="shared" si="3"/>
        <v/>
      </c>
      <c r="E222" s="48"/>
      <c r="F2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3" spans="1:28">
      <c r="A223" s="20">
        <f>名前リスト[[#This Row],[管理番号]]</f>
        <v>222</v>
      </c>
      <c r="B223" s="6">
        <f>IF(NOT(まとめ表_バック金額[[#This Row],[管理番号]]=""),VLOOKUP(まとめ表_バック金額[[#This Row],[管理番号]],名前リスト[[#All],[管理番号]:[氏名]],2,TRUE),"")</f>
        <v>0</v>
      </c>
      <c r="C223" s="21" t="str">
        <f>IF(NOT(まとめ表_バック金額[[#This Row],[管理番号]]=""),VLOOKUP(まとめ表_バック金額[[#This Row],[管理番号]],名前リスト[[#All],[管理番号]:[氏名]],3,TRUE),"")</f>
        <v>モリタ　マミ</v>
      </c>
      <c r="D223" s="79" t="str">
        <f t="shared" si="3"/>
        <v/>
      </c>
      <c r="E223" s="48"/>
      <c r="F2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4" spans="1:28">
      <c r="A224" s="20">
        <f>名前リスト[[#This Row],[管理番号]]</f>
        <v>223</v>
      </c>
      <c r="B224" s="6">
        <f>IF(NOT(まとめ表_バック金額[[#This Row],[管理番号]]=""),VLOOKUP(まとめ表_バック金額[[#This Row],[管理番号]],名前リスト[[#All],[管理番号]:[氏名]],2,TRUE),"")</f>
        <v>0</v>
      </c>
      <c r="C224" s="21" t="str">
        <f>IF(NOT(まとめ表_バック金額[[#This Row],[管理番号]]=""),VLOOKUP(まとめ表_バック金額[[#This Row],[管理番号]],名前リスト[[#All],[管理番号]:[氏名]],3,TRUE),"")</f>
        <v>オオモリ　リョウヘイ</v>
      </c>
      <c r="D224" s="79" t="str">
        <f t="shared" si="3"/>
        <v/>
      </c>
      <c r="E224" s="48"/>
      <c r="F2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5" spans="1:28">
      <c r="A225" s="20">
        <f>名前リスト[[#This Row],[管理番号]]</f>
        <v>224</v>
      </c>
      <c r="B225" s="6">
        <f>IF(NOT(まとめ表_バック金額[[#This Row],[管理番号]]=""),VLOOKUP(まとめ表_バック金額[[#This Row],[管理番号]],名前リスト[[#All],[管理番号]:[氏名]],2,TRUE),"")</f>
        <v>0</v>
      </c>
      <c r="C225" s="21" t="str">
        <f>IF(NOT(まとめ表_バック金額[[#This Row],[管理番号]]=""),VLOOKUP(まとめ表_バック金額[[#This Row],[管理番号]],名前リスト[[#All],[管理番号]:[氏名]],3,TRUE),"")</f>
        <v>モリナガ　ユウスケ</v>
      </c>
      <c r="D225" s="79" t="str">
        <f t="shared" si="3"/>
        <v/>
      </c>
      <c r="E225" s="48"/>
      <c r="F2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6" spans="1:28">
      <c r="A226" s="20">
        <f>名前リスト[[#This Row],[管理番号]]</f>
        <v>225</v>
      </c>
      <c r="B226" s="6">
        <f>IF(NOT(まとめ表_バック金額[[#This Row],[管理番号]]=""),VLOOKUP(まとめ表_バック金額[[#This Row],[管理番号]],名前リスト[[#All],[管理番号]:[氏名]],2,TRUE),"")</f>
        <v>0</v>
      </c>
      <c r="C226" s="21" t="str">
        <f>IF(NOT(まとめ表_バック金額[[#This Row],[管理番号]]=""),VLOOKUP(まとめ表_バック金額[[#This Row],[管理番号]],名前リスト[[#All],[管理番号]:[氏名]],3,TRUE),"")</f>
        <v>ワタナベ　チサコ</v>
      </c>
      <c r="D226" s="79" t="str">
        <f t="shared" si="3"/>
        <v/>
      </c>
      <c r="E226" s="48"/>
      <c r="F2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7" spans="1:28">
      <c r="A227" s="20">
        <f>名前リスト[[#This Row],[管理番号]]</f>
        <v>226</v>
      </c>
      <c r="B227" s="6">
        <f>IF(NOT(まとめ表_バック金額[[#This Row],[管理番号]]=""),VLOOKUP(まとめ表_バック金額[[#This Row],[管理番号]],名前リスト[[#All],[管理番号]:[氏名]],2,TRUE),"")</f>
        <v>0</v>
      </c>
      <c r="C227" s="21" t="str">
        <f>IF(NOT(まとめ表_バック金額[[#This Row],[管理番号]]=""),VLOOKUP(まとめ表_バック金額[[#This Row],[管理番号]],名前リスト[[#All],[管理番号]:[氏名]],3,TRUE),"")</f>
        <v>カネイ　ユウキ</v>
      </c>
      <c r="D227" s="79" t="str">
        <f t="shared" si="3"/>
        <v/>
      </c>
      <c r="E227" s="48"/>
      <c r="F2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8" spans="1:28">
      <c r="A228" s="20">
        <f>名前リスト[[#This Row],[管理番号]]</f>
        <v>227</v>
      </c>
      <c r="B228" s="6">
        <f>IF(NOT(まとめ表_バック金額[[#This Row],[管理番号]]=""),VLOOKUP(まとめ表_バック金額[[#This Row],[管理番号]],名前リスト[[#All],[管理番号]:[氏名]],2,TRUE),"")</f>
        <v>0</v>
      </c>
      <c r="C228" s="21" t="str">
        <f>IF(NOT(まとめ表_バック金額[[#This Row],[管理番号]]=""),VLOOKUP(まとめ表_バック金額[[#This Row],[管理番号]],名前リスト[[#All],[管理番号]:[氏名]],3,TRUE),"")</f>
        <v>コンドウ　ウララ</v>
      </c>
      <c r="D228" s="79" t="str">
        <f t="shared" si="3"/>
        <v/>
      </c>
      <c r="E228" s="48"/>
      <c r="F2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29" spans="1:28">
      <c r="A229" s="20">
        <f>名前リスト[[#This Row],[管理番号]]</f>
        <v>228</v>
      </c>
      <c r="B229" s="6">
        <f>IF(NOT(まとめ表_バック金額[[#This Row],[管理番号]]=""),VLOOKUP(まとめ表_バック金額[[#This Row],[管理番号]],名前リスト[[#All],[管理番号]:[氏名]],2,TRUE),"")</f>
        <v>0</v>
      </c>
      <c r="C229" s="21" t="str">
        <f>IF(NOT(まとめ表_バック金額[[#This Row],[管理番号]]=""),VLOOKUP(まとめ表_バック金額[[#This Row],[管理番号]],名前リスト[[#All],[管理番号]:[氏名]],3,TRUE),"")</f>
        <v>ヒライ　タカフミ</v>
      </c>
      <c r="D229" s="79" t="str">
        <f t="shared" si="3"/>
        <v/>
      </c>
      <c r="E229" s="48"/>
      <c r="F2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0" spans="1:28">
      <c r="A230" s="20">
        <f>名前リスト[[#This Row],[管理番号]]</f>
        <v>229</v>
      </c>
      <c r="B230" s="6">
        <f>IF(NOT(まとめ表_バック金額[[#This Row],[管理番号]]=""),VLOOKUP(まとめ表_バック金額[[#This Row],[管理番号]],名前リスト[[#All],[管理番号]:[氏名]],2,TRUE),"")</f>
        <v>0</v>
      </c>
      <c r="C230" s="21" t="str">
        <f>IF(NOT(まとめ表_バック金額[[#This Row],[管理番号]]=""),VLOOKUP(まとめ表_バック金額[[#This Row],[管理番号]],名前リスト[[#All],[管理番号]:[氏名]],3,TRUE),"")</f>
        <v>アマコ　ユウキ</v>
      </c>
      <c r="D230" s="79" t="str">
        <f t="shared" si="3"/>
        <v/>
      </c>
      <c r="E230" s="48"/>
      <c r="F2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1" spans="1:28">
      <c r="A231" s="20">
        <f>名前リスト[[#This Row],[管理番号]]</f>
        <v>230</v>
      </c>
      <c r="B231" s="6">
        <f>IF(NOT(まとめ表_バック金額[[#This Row],[管理番号]]=""),VLOOKUP(まとめ表_バック金額[[#This Row],[管理番号]],名前リスト[[#All],[管理番号]:[氏名]],2,TRUE),"")</f>
        <v>0</v>
      </c>
      <c r="C231" s="21" t="str">
        <f>IF(NOT(まとめ表_バック金額[[#This Row],[管理番号]]=""),VLOOKUP(まとめ表_バック金額[[#This Row],[管理番号]],名前リスト[[#All],[管理番号]:[氏名]],3,TRUE),"")</f>
        <v>タナカ　ヨシユキ</v>
      </c>
      <c r="D231" s="79" t="str">
        <f t="shared" si="3"/>
        <v/>
      </c>
      <c r="E231" s="48"/>
      <c r="F2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2" spans="1:28">
      <c r="A232" s="20">
        <f>名前リスト[[#This Row],[管理番号]]</f>
        <v>231</v>
      </c>
      <c r="B232" s="6">
        <f>IF(NOT(まとめ表_バック金額[[#This Row],[管理番号]]=""),VLOOKUP(まとめ表_バック金額[[#This Row],[管理番号]],名前リスト[[#All],[管理番号]:[氏名]],2,TRUE),"")</f>
        <v>0</v>
      </c>
      <c r="C232" s="21" t="str">
        <f>IF(NOT(まとめ表_バック金額[[#This Row],[管理番号]]=""),VLOOKUP(まとめ表_バック金額[[#This Row],[管理番号]],名前リスト[[#All],[管理番号]:[氏名]],3,TRUE),"")</f>
        <v>ミノダ　タクミ</v>
      </c>
      <c r="D232" s="79" t="str">
        <f t="shared" si="3"/>
        <v/>
      </c>
      <c r="E232" s="48"/>
      <c r="F2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3" spans="1:28">
      <c r="A233" s="20">
        <f>名前リスト[[#This Row],[管理番号]]</f>
        <v>232</v>
      </c>
      <c r="B233" s="6">
        <f>IF(NOT(まとめ表_バック金額[[#This Row],[管理番号]]=""),VLOOKUP(まとめ表_バック金額[[#This Row],[管理番号]],名前リスト[[#All],[管理番号]:[氏名]],2,TRUE),"")</f>
        <v>0</v>
      </c>
      <c r="C233" s="21" t="str">
        <f>IF(NOT(まとめ表_バック金額[[#This Row],[管理番号]]=""),VLOOKUP(まとめ表_バック金額[[#This Row],[管理番号]],名前リスト[[#All],[管理番号]:[氏名]],3,TRUE),"")</f>
        <v>ホシゴエマサト</v>
      </c>
      <c r="D233" s="79" t="str">
        <f t="shared" si="3"/>
        <v/>
      </c>
      <c r="E233" s="48"/>
      <c r="F2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4" spans="1:28">
      <c r="A234" s="20">
        <f>名前リスト[[#This Row],[管理番号]]</f>
        <v>233</v>
      </c>
      <c r="B234" s="6">
        <f>IF(NOT(まとめ表_バック金額[[#This Row],[管理番号]]=""),VLOOKUP(まとめ表_バック金額[[#This Row],[管理番号]],名前リスト[[#All],[管理番号]:[氏名]],2,TRUE),"")</f>
        <v>0</v>
      </c>
      <c r="C234" s="21" t="str">
        <f>IF(NOT(まとめ表_バック金額[[#This Row],[管理番号]]=""),VLOOKUP(まとめ表_バック金額[[#This Row],[管理番号]],名前リスト[[#All],[管理番号]:[氏名]],3,TRUE),"")</f>
        <v>イチヤナギ　ノリフミ</v>
      </c>
      <c r="D234" s="79" t="str">
        <f t="shared" si="3"/>
        <v/>
      </c>
      <c r="E234" s="48"/>
      <c r="F2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5" spans="1:28">
      <c r="A235" s="20">
        <f>名前リスト[[#This Row],[管理番号]]</f>
        <v>234</v>
      </c>
      <c r="B235" s="6">
        <f>IF(NOT(まとめ表_バック金額[[#This Row],[管理番号]]=""),VLOOKUP(まとめ表_バック金額[[#This Row],[管理番号]],名前リスト[[#All],[管理番号]:[氏名]],2,TRUE),"")</f>
        <v>0</v>
      </c>
      <c r="C235" s="21" t="str">
        <f>IF(NOT(まとめ表_バック金額[[#This Row],[管理番号]]=""),VLOOKUP(まとめ表_バック金額[[#This Row],[管理番号]],名前リスト[[#All],[管理番号]:[氏名]],3,TRUE),"")</f>
        <v>クボ　コウタ</v>
      </c>
      <c r="D235" s="79" t="str">
        <f t="shared" si="3"/>
        <v/>
      </c>
      <c r="E235" s="48"/>
      <c r="F2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6" spans="1:28">
      <c r="A236" s="20">
        <f>名前リスト[[#This Row],[管理番号]]</f>
        <v>235</v>
      </c>
      <c r="B236" s="6">
        <f>IF(NOT(まとめ表_バック金額[[#This Row],[管理番号]]=""),VLOOKUP(まとめ表_バック金額[[#This Row],[管理番号]],名前リスト[[#All],[管理番号]:[氏名]],2,TRUE),"")</f>
        <v>0</v>
      </c>
      <c r="C236" s="21">
        <f>IF(NOT(まとめ表_バック金額[[#This Row],[管理番号]]=""),VLOOKUP(まとめ表_バック金額[[#This Row],[管理番号]],名前リスト[[#All],[管理番号]:[氏名]],3,TRUE),"")</f>
        <v>0</v>
      </c>
      <c r="D236" s="79" t="str">
        <f t="shared" si="3"/>
        <v/>
      </c>
      <c r="E236" s="48"/>
      <c r="F2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7" spans="1:28">
      <c r="A237" s="20">
        <f>名前リスト[[#This Row],[管理番号]]</f>
        <v>236</v>
      </c>
      <c r="B237" s="6">
        <f>IF(NOT(まとめ表_バック金額[[#This Row],[管理番号]]=""),VLOOKUP(まとめ表_バック金額[[#This Row],[管理番号]],名前リスト[[#All],[管理番号]:[氏名]],2,TRUE),"")</f>
        <v>0</v>
      </c>
      <c r="C237" s="21" t="str">
        <f>IF(NOT(まとめ表_バック金額[[#This Row],[管理番号]]=""),VLOOKUP(まとめ表_バック金額[[#This Row],[管理番号]],名前リスト[[#All],[管理番号]:[氏名]],3,TRUE),"")</f>
        <v>オオツカ　コウヘイ</v>
      </c>
      <c r="D237" s="79" t="str">
        <f t="shared" si="3"/>
        <v/>
      </c>
      <c r="E237" s="48"/>
      <c r="F2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8" spans="1:28">
      <c r="A238" s="20">
        <f>名前リスト[[#This Row],[管理番号]]</f>
        <v>237</v>
      </c>
      <c r="B238" s="6">
        <f>IF(NOT(まとめ表_バック金額[[#This Row],[管理番号]]=""),VLOOKUP(まとめ表_バック金額[[#This Row],[管理番号]],名前リスト[[#All],[管理番号]:[氏名]],2,TRUE),"")</f>
        <v>0</v>
      </c>
      <c r="C238" s="21" t="str">
        <f>IF(NOT(まとめ表_バック金額[[#This Row],[管理番号]]=""),VLOOKUP(まとめ表_バック金額[[#This Row],[管理番号]],名前リスト[[#All],[管理番号]:[氏名]],3,TRUE),"")</f>
        <v>ヤマモト　ユウヤ</v>
      </c>
      <c r="D238" s="79" t="str">
        <f t="shared" si="3"/>
        <v/>
      </c>
      <c r="E238" s="48"/>
      <c r="F2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39" spans="1:28">
      <c r="A239" s="20">
        <f>名前リスト[[#This Row],[管理番号]]</f>
        <v>238</v>
      </c>
      <c r="B239" s="6">
        <f>IF(NOT(まとめ表_バック金額[[#This Row],[管理番号]]=""),VLOOKUP(まとめ表_バック金額[[#This Row],[管理番号]],名前リスト[[#All],[管理番号]:[氏名]],2,TRUE),"")</f>
        <v>0</v>
      </c>
      <c r="C239" s="21" t="str">
        <f>IF(NOT(まとめ表_バック金額[[#This Row],[管理番号]]=""),VLOOKUP(まとめ表_バック金額[[#This Row],[管理番号]],名前リスト[[#All],[管理番号]:[氏名]],3,TRUE),"")</f>
        <v>ヒサシ　タカヒロ</v>
      </c>
      <c r="D239" s="79" t="str">
        <f t="shared" si="3"/>
        <v/>
      </c>
      <c r="E239" s="48"/>
      <c r="F2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0" spans="1:28">
      <c r="A240" s="20">
        <f>名前リスト[[#This Row],[管理番号]]</f>
        <v>239</v>
      </c>
      <c r="B240" s="6">
        <f>IF(NOT(まとめ表_バック金額[[#This Row],[管理番号]]=""),VLOOKUP(まとめ表_バック金額[[#This Row],[管理番号]],名前リスト[[#All],[管理番号]:[氏名]],2,TRUE),"")</f>
        <v>0</v>
      </c>
      <c r="C240" s="21" t="str">
        <f>IF(NOT(まとめ表_バック金額[[#This Row],[管理番号]]=""),VLOOKUP(まとめ表_バック金額[[#This Row],[管理番号]],名前リスト[[#All],[管理番号]:[氏名]],3,TRUE),"")</f>
        <v>ヤマシタ　タカユキ</v>
      </c>
      <c r="D240" s="79" t="str">
        <f t="shared" si="3"/>
        <v/>
      </c>
      <c r="E240" s="48"/>
      <c r="F2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1" spans="1:28">
      <c r="A241" s="20">
        <f>名前リスト[[#This Row],[管理番号]]</f>
        <v>240</v>
      </c>
      <c r="B241" s="6">
        <f>IF(NOT(まとめ表_バック金額[[#This Row],[管理番号]]=""),VLOOKUP(まとめ表_バック金額[[#This Row],[管理番号]],名前リスト[[#All],[管理番号]:[氏名]],2,TRUE),"")</f>
        <v>0</v>
      </c>
      <c r="C241" s="21" t="str">
        <f>IF(NOT(まとめ表_バック金額[[#This Row],[管理番号]]=""),VLOOKUP(まとめ表_バック金額[[#This Row],[管理番号]],名前リスト[[#All],[管理番号]:[氏名]],3,TRUE),"")</f>
        <v>スズキ　アンドレイ</v>
      </c>
      <c r="D241" s="79" t="str">
        <f t="shared" si="3"/>
        <v/>
      </c>
      <c r="E241" s="48"/>
      <c r="F2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2" spans="1:28">
      <c r="A242" s="20">
        <f>名前リスト[[#This Row],[管理番号]]</f>
        <v>241</v>
      </c>
      <c r="B242" s="6">
        <f>IF(NOT(まとめ表_バック金額[[#This Row],[管理番号]]=""),VLOOKUP(まとめ表_バック金額[[#This Row],[管理番号]],名前リスト[[#All],[管理番号]:[氏名]],2,TRUE),"")</f>
        <v>0</v>
      </c>
      <c r="C242" s="21" t="str">
        <f>IF(NOT(まとめ表_バック金額[[#This Row],[管理番号]]=""),VLOOKUP(まとめ表_バック金額[[#This Row],[管理番号]],名前リスト[[#All],[管理番号]:[氏名]],3,TRUE),"")</f>
        <v>オオタ　タカシ</v>
      </c>
      <c r="D242" s="79" t="str">
        <f t="shared" si="3"/>
        <v/>
      </c>
      <c r="E242" s="48"/>
      <c r="F2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3" spans="1:28">
      <c r="A243" s="20">
        <f>名前リスト[[#This Row],[管理番号]]</f>
        <v>242</v>
      </c>
      <c r="B243" s="6">
        <f>IF(NOT(まとめ表_バック金額[[#This Row],[管理番号]]=""),VLOOKUP(まとめ表_バック金額[[#This Row],[管理番号]],名前リスト[[#All],[管理番号]:[氏名]],2,TRUE),"")</f>
        <v>0</v>
      </c>
      <c r="C243" s="21" t="str">
        <f>IF(NOT(まとめ表_バック金額[[#This Row],[管理番号]]=""),VLOOKUP(まとめ表_バック金額[[#This Row],[管理番号]],名前リスト[[#All],[管理番号]:[氏名]],3,TRUE),"")</f>
        <v>ワタナベ　ユキノスケ</v>
      </c>
      <c r="D243" s="79" t="str">
        <f t="shared" si="3"/>
        <v/>
      </c>
      <c r="E243" s="48"/>
      <c r="F2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4" spans="1:28">
      <c r="A244" s="20">
        <f>名前リスト[[#This Row],[管理番号]]</f>
        <v>243</v>
      </c>
      <c r="B244" s="6">
        <f>IF(NOT(まとめ表_バック金額[[#This Row],[管理番号]]=""),VLOOKUP(まとめ表_バック金額[[#This Row],[管理番号]],名前リスト[[#All],[管理番号]:[氏名]],2,TRUE),"")</f>
        <v>0</v>
      </c>
      <c r="C244" s="21" t="str">
        <f>IF(NOT(まとめ表_バック金額[[#This Row],[管理番号]]=""),VLOOKUP(まとめ表_バック金額[[#This Row],[管理番号]],名前リスト[[#All],[管理番号]:[氏名]],3,TRUE),"")</f>
        <v>トクナガ　チヒロ</v>
      </c>
      <c r="D244" s="79" t="str">
        <f t="shared" si="3"/>
        <v/>
      </c>
      <c r="E244" s="48"/>
      <c r="F2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5" spans="1:28">
      <c r="A245" s="20">
        <f>名前リスト[[#This Row],[管理番号]]</f>
        <v>244</v>
      </c>
      <c r="B245" s="6">
        <f>IF(NOT(まとめ表_バック金額[[#This Row],[管理番号]]=""),VLOOKUP(まとめ表_バック金額[[#This Row],[管理番号]],名前リスト[[#All],[管理番号]:[氏名]],2,TRUE),"")</f>
        <v>0</v>
      </c>
      <c r="C245" s="21" t="str">
        <f>IF(NOT(まとめ表_バック金額[[#This Row],[管理番号]]=""),VLOOKUP(まとめ表_バック金額[[#This Row],[管理番号]],名前リスト[[#All],[管理番号]:[氏名]],3,TRUE),"")</f>
        <v>ヤマモト　ヤスアキ</v>
      </c>
      <c r="D245" s="79" t="str">
        <f t="shared" si="3"/>
        <v/>
      </c>
      <c r="E245" s="48"/>
      <c r="F2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6" spans="1:28">
      <c r="A246" s="20">
        <f>名前リスト[[#This Row],[管理番号]]</f>
        <v>255</v>
      </c>
      <c r="B246" s="6">
        <f>IF(NOT(まとめ表_バック金額[[#This Row],[管理番号]]=""),VLOOKUP(まとめ表_バック金額[[#This Row],[管理番号]],名前リスト[[#All],[管理番号]:[氏名]],2,TRUE),"")</f>
        <v>0</v>
      </c>
      <c r="C246" s="21" t="str">
        <f>IF(NOT(まとめ表_バック金額[[#This Row],[管理番号]]=""),VLOOKUP(まとめ表_バック金額[[#This Row],[管理番号]],名前リスト[[#All],[管理番号]:[氏名]],3,TRUE),"")</f>
        <v>マエカワ　ナツキ</v>
      </c>
      <c r="D246" s="79" t="str">
        <f t="shared" si="3"/>
        <v/>
      </c>
      <c r="E246" s="48"/>
      <c r="F2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7" spans="1:28">
      <c r="A247" s="20">
        <f>名前リスト[[#This Row],[管理番号]]</f>
        <v>256</v>
      </c>
      <c r="B247" s="6">
        <f>IF(NOT(まとめ表_バック金額[[#This Row],[管理番号]]=""),VLOOKUP(まとめ表_バック金額[[#This Row],[管理番号]],名前リスト[[#All],[管理番号]:[氏名]],2,TRUE),"")</f>
        <v>0</v>
      </c>
      <c r="C247" s="21" t="str">
        <f>IF(NOT(まとめ表_バック金額[[#This Row],[管理番号]]=""),VLOOKUP(まとめ表_バック金額[[#This Row],[管理番号]],名前リスト[[#All],[管理番号]:[氏名]],3,TRUE),"")</f>
        <v>ヨシムラ　カズヤ　3e</v>
      </c>
      <c r="D247" s="79" t="str">
        <f t="shared" si="3"/>
        <v/>
      </c>
      <c r="E247" s="48"/>
      <c r="F2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8" spans="1:28">
      <c r="A248" s="20">
        <f>名前リスト[[#This Row],[管理番号]]</f>
        <v>257</v>
      </c>
      <c r="B248" s="6">
        <f>IF(NOT(まとめ表_バック金額[[#This Row],[管理番号]]=""),VLOOKUP(まとめ表_バック金額[[#This Row],[管理番号]],名前リスト[[#All],[管理番号]:[氏名]],2,TRUE),"")</f>
        <v>0</v>
      </c>
      <c r="C248" s="21" t="str">
        <f>IF(NOT(まとめ表_バック金額[[#This Row],[管理番号]]=""),VLOOKUP(まとめ表_バック金額[[#This Row],[管理番号]],名前リスト[[#All],[管理番号]:[氏名]],3,TRUE),"")</f>
        <v>サガワ　　チカ</v>
      </c>
      <c r="D248" s="79" t="str">
        <f t="shared" si="3"/>
        <v/>
      </c>
      <c r="E248" s="48"/>
      <c r="F2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49" spans="1:28">
      <c r="A249" s="20">
        <f>名前リスト[[#This Row],[管理番号]]</f>
        <v>258</v>
      </c>
      <c r="B249" s="6">
        <f>IF(NOT(まとめ表_バック金額[[#This Row],[管理番号]]=""),VLOOKUP(まとめ表_バック金額[[#This Row],[管理番号]],名前リスト[[#All],[管理番号]:[氏名]],2,TRUE),"")</f>
        <v>0</v>
      </c>
      <c r="C249" s="21" t="str">
        <f>IF(NOT(まとめ表_バック金額[[#This Row],[管理番号]]=""),VLOOKUP(まとめ表_バック金額[[#This Row],[管理番号]],名前リスト[[#All],[管理番号]:[氏名]],3,TRUE),"")</f>
        <v>アカサカ　サトシ</v>
      </c>
      <c r="D249" s="79" t="str">
        <f t="shared" si="3"/>
        <v/>
      </c>
      <c r="E249" s="48"/>
      <c r="F2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0" spans="1:28">
      <c r="A250" s="20">
        <f>名前リスト[[#This Row],[管理番号]]</f>
        <v>259</v>
      </c>
      <c r="B250" s="6">
        <f>IF(NOT(まとめ表_バック金額[[#This Row],[管理番号]]=""),VLOOKUP(まとめ表_バック金額[[#This Row],[管理番号]],名前リスト[[#All],[管理番号]:[氏名]],2,TRUE),"")</f>
        <v>0</v>
      </c>
      <c r="C250" s="21" t="str">
        <f>IF(NOT(まとめ表_バック金額[[#This Row],[管理番号]]=""),VLOOKUP(まとめ表_バック金額[[#This Row],[管理番号]],名前リスト[[#All],[管理番号]:[氏名]],3,TRUE),"")</f>
        <v>スガムラ　ダイチ</v>
      </c>
      <c r="D250" s="79" t="str">
        <f t="shared" si="3"/>
        <v/>
      </c>
      <c r="E250" s="48"/>
      <c r="F2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1" spans="1:28">
      <c r="A251" s="20">
        <f>名前リスト[[#This Row],[管理番号]]</f>
        <v>260</v>
      </c>
      <c r="B251" s="6">
        <f>IF(NOT(まとめ表_バック金額[[#This Row],[管理番号]]=""),VLOOKUP(まとめ表_バック金額[[#This Row],[管理番号]],名前リスト[[#All],[管理番号]:[氏名]],2,TRUE),"")</f>
        <v>0</v>
      </c>
      <c r="C251" s="21" t="str">
        <f>IF(NOT(まとめ表_バック金額[[#This Row],[管理番号]]=""),VLOOKUP(まとめ表_バック金額[[#This Row],[管理番号]],名前リスト[[#All],[管理番号]:[氏名]],3,TRUE),"")</f>
        <v>アシダ　カズマ</v>
      </c>
      <c r="D251" s="79" t="str">
        <f t="shared" si="3"/>
        <v/>
      </c>
      <c r="E251" s="48"/>
      <c r="F2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2" spans="1:28">
      <c r="A252" s="20">
        <f>名前リスト[[#This Row],[管理番号]]</f>
        <v>261</v>
      </c>
      <c r="B252" s="6">
        <f>IF(NOT(まとめ表_バック金額[[#This Row],[管理番号]]=""),VLOOKUP(まとめ表_バック金額[[#This Row],[管理番号]],名前リスト[[#All],[管理番号]:[氏名]],2,TRUE),"")</f>
        <v>0</v>
      </c>
      <c r="C252" s="21" t="str">
        <f>IF(NOT(まとめ表_バック金額[[#This Row],[管理番号]]=""),VLOOKUP(まとめ表_バック金額[[#This Row],[管理番号]],名前リスト[[#All],[管理番号]:[氏名]],3,TRUE),"")</f>
        <v>タナカ　ユウセイ</v>
      </c>
      <c r="D252" s="79" t="str">
        <f t="shared" si="3"/>
        <v/>
      </c>
      <c r="E252" s="48"/>
      <c r="F25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3" spans="1:28">
      <c r="A253" s="20">
        <f>名前リスト[[#This Row],[管理番号]]</f>
        <v>262</v>
      </c>
      <c r="B253" s="6">
        <f>IF(NOT(まとめ表_バック金額[[#This Row],[管理番号]]=""),VLOOKUP(まとめ表_バック金額[[#This Row],[管理番号]],名前リスト[[#All],[管理番号]:[氏名]],2,TRUE),"")</f>
        <v>0</v>
      </c>
      <c r="C253" s="21" t="str">
        <f>IF(NOT(まとめ表_バック金額[[#This Row],[管理番号]]=""),VLOOKUP(まとめ表_バック金額[[#This Row],[管理番号]],名前リスト[[#All],[管理番号]:[氏名]],3,TRUE),"")</f>
        <v>カゲヤマ　ユウタロウ</v>
      </c>
      <c r="D253" s="79" t="str">
        <f t="shared" si="3"/>
        <v/>
      </c>
      <c r="E253" s="48"/>
      <c r="F25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4" spans="1:28">
      <c r="A254" s="20">
        <f>名前リスト[[#This Row],[管理番号]]</f>
        <v>263</v>
      </c>
      <c r="B254" s="6">
        <f>IF(NOT(まとめ表_バック金額[[#This Row],[管理番号]]=""),VLOOKUP(まとめ表_バック金額[[#This Row],[管理番号]],名前リスト[[#All],[管理番号]:[氏名]],2,TRUE),"")</f>
        <v>0</v>
      </c>
      <c r="C254" s="21" t="str">
        <f>IF(NOT(まとめ表_バック金額[[#This Row],[管理番号]]=""),VLOOKUP(まとめ表_バック金額[[#This Row],[管理番号]],名前リスト[[#All],[管理番号]:[氏名]],3,TRUE),"")</f>
        <v>ノボル　ユウキ</v>
      </c>
      <c r="D254" s="79">
        <f t="shared" si="3"/>
        <v>33000</v>
      </c>
      <c r="E254" s="48"/>
      <c r="F25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9000</v>
      </c>
      <c r="J25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24000</v>
      </c>
      <c r="N25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5" spans="1:28">
      <c r="A255" s="20">
        <f>名前リスト[[#This Row],[管理番号]]</f>
        <v>264</v>
      </c>
      <c r="B255" s="6">
        <f>IF(NOT(まとめ表_バック金額[[#This Row],[管理番号]]=""),VLOOKUP(まとめ表_バック金額[[#This Row],[管理番号]],名前リスト[[#All],[管理番号]:[氏名]],2,TRUE),"")</f>
        <v>0</v>
      </c>
      <c r="C255" s="21" t="str">
        <f>IF(NOT(まとめ表_バック金額[[#This Row],[管理番号]]=""),VLOOKUP(まとめ表_バック金額[[#This Row],[管理番号]],名前リスト[[#All],[管理番号]:[氏名]],3,TRUE),"")</f>
        <v>クボ　　イッセイ</v>
      </c>
      <c r="D255" s="79" t="str">
        <f t="shared" si="3"/>
        <v/>
      </c>
      <c r="E255" s="48"/>
      <c r="F25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6" spans="1:28">
      <c r="A256" s="20">
        <f>名前リスト[[#This Row],[管理番号]]</f>
        <v>265</v>
      </c>
      <c r="B256" s="6">
        <f>IF(NOT(まとめ表_バック金額[[#This Row],[管理番号]]=""),VLOOKUP(まとめ表_バック金額[[#This Row],[管理番号]],名前リスト[[#All],[管理番号]:[氏名]],2,TRUE),"")</f>
        <v>0</v>
      </c>
      <c r="C256" s="21" t="str">
        <f>IF(NOT(まとめ表_バック金額[[#This Row],[管理番号]]=""),VLOOKUP(まとめ表_バック金額[[#This Row],[管理番号]],名前リスト[[#All],[管理番号]:[氏名]],3,TRUE),"")</f>
        <v>サキサカ　ユメホ</v>
      </c>
      <c r="D256" s="79" t="str">
        <f t="shared" si="3"/>
        <v/>
      </c>
      <c r="E256" s="48"/>
      <c r="F25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7" spans="1:28">
      <c r="A257" s="20">
        <f>名前リスト[[#This Row],[管理番号]]</f>
        <v>1000</v>
      </c>
      <c r="B257" s="6">
        <f>IF(NOT(まとめ表_バック金額[[#This Row],[管理番号]]=""),VLOOKUP(まとめ表_バック金額[[#This Row],[管理番号]],名前リスト[[#All],[管理番号]:[氏名]],2,TRUE),"")</f>
        <v>0</v>
      </c>
      <c r="C257" s="21" t="str">
        <f>IF(NOT(まとめ表_バック金額[[#This Row],[管理番号]]=""),VLOOKUP(まとめ表_バック金額[[#This Row],[管理番号]],名前リスト[[#All],[管理番号]:[氏名]],3,TRUE),"")</f>
        <v>モリタ　ヒデキ</v>
      </c>
      <c r="D257" s="79" t="str">
        <f t="shared" si="3"/>
        <v/>
      </c>
      <c r="E257" s="48"/>
      <c r="F25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8" spans="1:28">
      <c r="A258" s="20">
        <f>名前リスト[[#This Row],[管理番号]]</f>
        <v>1001</v>
      </c>
      <c r="B258" s="6">
        <f>IF(NOT(まとめ表_バック金額[[#This Row],[管理番号]]=""),VLOOKUP(まとめ表_バック金額[[#This Row],[管理番号]],名前リスト[[#All],[管理番号]:[氏名]],2,TRUE),"")</f>
        <v>0</v>
      </c>
      <c r="C258" s="21" t="str">
        <f>IF(NOT(まとめ表_バック金額[[#This Row],[管理番号]]=""),VLOOKUP(まとめ表_バック金額[[#This Row],[管理番号]],名前リスト[[#All],[管理番号]:[氏名]],3,TRUE),"")</f>
        <v>ハナイ   ギンガ</v>
      </c>
      <c r="D258" s="79" t="str">
        <f t="shared" ref="D258:D321" si="4">IF(SUM(E258:XFD258)=0,"",SUM(E258:XFD258))</f>
        <v/>
      </c>
      <c r="E258" s="48"/>
      <c r="F25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59" spans="1:28">
      <c r="A259" s="20">
        <f>名前リスト[[#This Row],[管理番号]]</f>
        <v>1002</v>
      </c>
      <c r="B259" s="6">
        <f>IF(NOT(まとめ表_バック金額[[#This Row],[管理番号]]=""),VLOOKUP(まとめ表_バック金額[[#This Row],[管理番号]],名前リスト[[#All],[管理番号]:[氏名]],2,TRUE),"")</f>
        <v>0</v>
      </c>
      <c r="C259" s="21" t="str">
        <f>IF(NOT(まとめ表_バック金額[[#This Row],[管理番号]]=""),VLOOKUP(まとめ表_バック金額[[#This Row],[管理番号]],名前リスト[[#All],[管理番号]:[氏名]],3,TRUE),"")</f>
        <v>スエヒロ　リュウジ</v>
      </c>
      <c r="D259" s="79" t="str">
        <f t="shared" si="4"/>
        <v/>
      </c>
      <c r="E259" s="48"/>
      <c r="F25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5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5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5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5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5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5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5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5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5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5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5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5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5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5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5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5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5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5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5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5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5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5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0" spans="1:28">
      <c r="A260" s="20">
        <f>名前リスト[[#This Row],[管理番号]]</f>
        <v>1003</v>
      </c>
      <c r="B260" s="6">
        <f>IF(NOT(まとめ表_バック金額[[#This Row],[管理番号]]=""),VLOOKUP(まとめ表_バック金額[[#This Row],[管理番号]],名前リスト[[#All],[管理番号]:[氏名]],2,TRUE),"")</f>
        <v>0</v>
      </c>
      <c r="C260" s="21" t="str">
        <f>IF(NOT(まとめ表_バック金額[[#This Row],[管理番号]]=""),VLOOKUP(まとめ表_バック金額[[#This Row],[管理番号]],名前リスト[[#All],[管理番号]:[氏名]],3,TRUE),"")</f>
        <v>サカタ  アユミ</v>
      </c>
      <c r="D260" s="79" t="str">
        <f t="shared" si="4"/>
        <v/>
      </c>
      <c r="E260" s="48"/>
      <c r="F26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1" spans="1:28">
      <c r="A261" s="20">
        <f>名前リスト[[#This Row],[管理番号]]</f>
        <v>1004</v>
      </c>
      <c r="B261" s="6">
        <f>IF(NOT(まとめ表_バック金額[[#This Row],[管理番号]]=""),VLOOKUP(まとめ表_バック金額[[#This Row],[管理番号]],名前リスト[[#All],[管理番号]:[氏名]],2,TRUE),"")</f>
        <v>0</v>
      </c>
      <c r="C261" s="21" t="str">
        <f>IF(NOT(まとめ表_バック金額[[#This Row],[管理番号]]=""),VLOOKUP(まとめ表_バック金額[[#This Row],[管理番号]],名前リスト[[#All],[管理番号]:[氏名]],3,TRUE),"")</f>
        <v>サイキ　タカラ</v>
      </c>
      <c r="D261" s="79" t="str">
        <f t="shared" si="4"/>
        <v/>
      </c>
      <c r="E261" s="48"/>
      <c r="F26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2" spans="1:28">
      <c r="A262" s="20">
        <f>名前リスト[[#This Row],[管理番号]]</f>
        <v>1005</v>
      </c>
      <c r="B262" s="6">
        <f>IF(NOT(まとめ表_バック金額[[#This Row],[管理番号]]=""),VLOOKUP(まとめ表_バック金額[[#This Row],[管理番号]],名前リスト[[#All],[管理番号]:[氏名]],2,TRUE),"")</f>
        <v>0</v>
      </c>
      <c r="C262" s="21" t="str">
        <f>IF(NOT(まとめ表_バック金額[[#This Row],[管理番号]]=""),VLOOKUP(まとめ表_バック金額[[#This Row],[管理番号]],名前リスト[[#All],[管理番号]:[氏名]],3,TRUE),"")</f>
        <v>ナカムラ　リョウタ</v>
      </c>
      <c r="D262" s="79" t="str">
        <f t="shared" si="4"/>
        <v/>
      </c>
      <c r="E262" s="48"/>
      <c r="F26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3" spans="1:28">
      <c r="A263" s="20">
        <f>名前リスト[[#This Row],[管理番号]]</f>
        <v>1006</v>
      </c>
      <c r="B263" s="6">
        <f>IF(NOT(まとめ表_バック金額[[#This Row],[管理番号]]=""),VLOOKUP(まとめ表_バック金額[[#This Row],[管理番号]],名前リスト[[#All],[管理番号]:[氏名]],2,TRUE),"")</f>
        <v>0</v>
      </c>
      <c r="C263" s="21" t="str">
        <f>IF(NOT(まとめ表_バック金額[[#This Row],[管理番号]]=""),VLOOKUP(まとめ表_バック金額[[#This Row],[管理番号]],名前リスト[[#All],[管理番号]:[氏名]],3,TRUE),"")</f>
        <v>タケモト　リオ</v>
      </c>
      <c r="D263" s="79" t="str">
        <f t="shared" si="4"/>
        <v/>
      </c>
      <c r="E263" s="48"/>
      <c r="F26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4" spans="1:28">
      <c r="A264" s="20">
        <f>名前リスト[[#This Row],[管理番号]]</f>
        <v>1007</v>
      </c>
      <c r="B264" s="6">
        <f>IF(NOT(まとめ表_バック金額[[#This Row],[管理番号]]=""),VLOOKUP(まとめ表_バック金額[[#This Row],[管理番号]],名前リスト[[#All],[管理番号]:[氏名]],2,TRUE),"")</f>
        <v>0</v>
      </c>
      <c r="C264" s="21" t="str">
        <f>IF(NOT(まとめ表_バック金額[[#This Row],[管理番号]]=""),VLOOKUP(まとめ表_バック金額[[#This Row],[管理番号]],名前リスト[[#All],[管理番号]:[氏名]],3,TRUE),"")</f>
        <v>ヒライ　ヒサキ</v>
      </c>
      <c r="D264" s="79" t="str">
        <f t="shared" si="4"/>
        <v/>
      </c>
      <c r="E264" s="48"/>
      <c r="F26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5" spans="1:28">
      <c r="A265" s="20">
        <f>名前リスト[[#This Row],[管理番号]]</f>
        <v>1008</v>
      </c>
      <c r="B265" s="6">
        <f>IF(NOT(まとめ表_バック金額[[#This Row],[管理番号]]=""),VLOOKUP(まとめ表_バック金額[[#This Row],[管理番号]],名前リスト[[#All],[管理番号]:[氏名]],2,TRUE),"")</f>
        <v>0</v>
      </c>
      <c r="C265" s="21" t="str">
        <f>IF(NOT(まとめ表_バック金額[[#This Row],[管理番号]]=""),VLOOKUP(まとめ表_バック金額[[#This Row],[管理番号]],名前リスト[[#All],[管理番号]:[氏名]],3,TRUE),"")</f>
        <v>マツダ　カオ</v>
      </c>
      <c r="D265" s="79" t="str">
        <f t="shared" si="4"/>
        <v/>
      </c>
      <c r="E265" s="48"/>
      <c r="F26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6" spans="1:28">
      <c r="A266" s="20">
        <f>名前リスト[[#This Row],[管理番号]]</f>
        <v>1009</v>
      </c>
      <c r="B266" s="6">
        <f>IF(NOT(まとめ表_バック金額[[#This Row],[管理番号]]=""),VLOOKUP(まとめ表_バック金額[[#This Row],[管理番号]],名前リスト[[#All],[管理番号]:[氏名]],2,TRUE),"")</f>
        <v>0</v>
      </c>
      <c r="C266" s="21" t="str">
        <f>IF(NOT(まとめ表_バック金額[[#This Row],[管理番号]]=""),VLOOKUP(まとめ表_バック金額[[#This Row],[管理番号]],名前リスト[[#All],[管理番号]:[氏名]],3,TRUE),"")</f>
        <v>サワダ     サヤカ</v>
      </c>
      <c r="D266" s="79" t="str">
        <f t="shared" si="4"/>
        <v/>
      </c>
      <c r="E266" s="48"/>
      <c r="F26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7" spans="1:28">
      <c r="A267" s="20">
        <f>名前リスト[[#This Row],[管理番号]]</f>
        <v>1010</v>
      </c>
      <c r="B267" s="6">
        <f>IF(NOT(まとめ表_バック金額[[#This Row],[管理番号]]=""),VLOOKUP(まとめ表_バック金額[[#This Row],[管理番号]],名前リスト[[#All],[管理番号]:[氏名]],2,TRUE),"")</f>
        <v>0</v>
      </c>
      <c r="C267" s="21" t="str">
        <f>IF(NOT(まとめ表_バック金額[[#This Row],[管理番号]]=""),VLOOKUP(まとめ表_バック金額[[#This Row],[管理番号]],名前リスト[[#All],[管理番号]:[氏名]],3,TRUE),"")</f>
        <v>キムラ　コウキ</v>
      </c>
      <c r="D267" s="79" t="str">
        <f t="shared" si="4"/>
        <v/>
      </c>
      <c r="E267" s="48"/>
      <c r="F26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8" spans="1:28">
      <c r="A268" s="20">
        <f>名前リスト[[#This Row],[管理番号]]</f>
        <v>1011</v>
      </c>
      <c r="B268" s="6">
        <f>IF(NOT(まとめ表_バック金額[[#This Row],[管理番号]]=""),VLOOKUP(まとめ表_バック金額[[#This Row],[管理番号]],名前リスト[[#All],[管理番号]:[氏名]],2,TRUE),"")</f>
        <v>0</v>
      </c>
      <c r="C268" s="21" t="str">
        <f>IF(NOT(まとめ表_バック金額[[#This Row],[管理番号]]=""),VLOOKUP(まとめ表_バック金額[[#This Row],[管理番号]],名前リスト[[#All],[管理番号]:[氏名]],3,TRUE),"")</f>
        <v>ヤマダ　ナオ</v>
      </c>
      <c r="D268" s="79" t="str">
        <f t="shared" si="4"/>
        <v/>
      </c>
      <c r="E268" s="48"/>
      <c r="F26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69" spans="1:28">
      <c r="A269" s="20">
        <f>名前リスト[[#This Row],[管理番号]]</f>
        <v>1012</v>
      </c>
      <c r="B269" s="6">
        <f>IF(NOT(まとめ表_バック金額[[#This Row],[管理番号]]=""),VLOOKUP(まとめ表_バック金額[[#This Row],[管理番号]],名前リスト[[#All],[管理番号]:[氏名]],2,TRUE),"")</f>
        <v>0</v>
      </c>
      <c r="C269" s="21" t="str">
        <f>IF(NOT(まとめ表_バック金額[[#This Row],[管理番号]]=""),VLOOKUP(まとめ表_バック金額[[#This Row],[管理番号]],名前リスト[[#All],[管理番号]:[氏名]],3,TRUE),"")</f>
        <v>カネモト　ナナ</v>
      </c>
      <c r="D269" s="79" t="str">
        <f t="shared" si="4"/>
        <v/>
      </c>
      <c r="E269" s="48"/>
      <c r="F26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6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6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6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6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6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6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6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6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6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6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6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6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6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6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6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6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6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6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6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6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6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6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0" spans="1:28">
      <c r="A270" s="20">
        <f>名前リスト[[#This Row],[管理番号]]</f>
        <v>1013</v>
      </c>
      <c r="B270" s="6">
        <f>IF(NOT(まとめ表_バック金額[[#This Row],[管理番号]]=""),VLOOKUP(まとめ表_バック金額[[#This Row],[管理番号]],名前リスト[[#All],[管理番号]:[氏名]],2,TRUE),"")</f>
        <v>0</v>
      </c>
      <c r="C270" s="21" t="str">
        <f>IF(NOT(まとめ表_バック金額[[#This Row],[管理番号]]=""),VLOOKUP(まとめ表_バック金額[[#This Row],[管理番号]],名前リスト[[#All],[管理番号]:[氏名]],3,TRUE),"")</f>
        <v>フクモト リキ</v>
      </c>
      <c r="D270" s="79" t="str">
        <f t="shared" si="4"/>
        <v/>
      </c>
      <c r="E270" s="48"/>
      <c r="F27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1" spans="1:28">
      <c r="A271" s="20">
        <f>名前リスト[[#This Row],[管理番号]]</f>
        <v>1014</v>
      </c>
      <c r="B271" s="6">
        <f>IF(NOT(まとめ表_バック金額[[#This Row],[管理番号]]=""),VLOOKUP(まとめ表_バック金額[[#This Row],[管理番号]],名前リスト[[#All],[管理番号]:[氏名]],2,TRUE),"")</f>
        <v>0</v>
      </c>
      <c r="C271" s="21" t="str">
        <f>IF(NOT(まとめ表_バック金額[[#This Row],[管理番号]]=""),VLOOKUP(まとめ表_バック金額[[#This Row],[管理番号]],名前リスト[[#All],[管理番号]:[氏名]],3,TRUE),"")</f>
        <v>エグチ　ダイキ</v>
      </c>
      <c r="D271" s="79" t="str">
        <f t="shared" si="4"/>
        <v/>
      </c>
      <c r="E271" s="48"/>
      <c r="F27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2" spans="1:28">
      <c r="A272" s="20">
        <f>名前リスト[[#This Row],[管理番号]]</f>
        <v>1015</v>
      </c>
      <c r="B272" s="6">
        <f>IF(NOT(まとめ表_バック金額[[#This Row],[管理番号]]=""),VLOOKUP(まとめ表_バック金額[[#This Row],[管理番号]],名前リスト[[#All],[管理番号]:[氏名]],2,TRUE),"")</f>
        <v>0</v>
      </c>
      <c r="C272" s="21" t="str">
        <f>IF(NOT(まとめ表_バック金額[[#This Row],[管理番号]]=""),VLOOKUP(まとめ表_バック金額[[#This Row],[管理番号]],名前リスト[[#All],[管理番号]:[氏名]],3,TRUE),"")</f>
        <v>チュウマン　シュン</v>
      </c>
      <c r="D272" s="79" t="str">
        <f t="shared" si="4"/>
        <v/>
      </c>
      <c r="E272" s="48"/>
      <c r="F27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3" spans="1:28">
      <c r="A273" s="20">
        <f>名前リスト[[#This Row],[管理番号]]</f>
        <v>1016</v>
      </c>
      <c r="B273" s="6">
        <f>IF(NOT(まとめ表_バック金額[[#This Row],[管理番号]]=""),VLOOKUP(まとめ表_バック金額[[#This Row],[管理番号]],名前リスト[[#All],[管理番号]:[氏名]],2,TRUE),"")</f>
        <v>0</v>
      </c>
      <c r="C273" s="21" t="str">
        <f>IF(NOT(まとめ表_バック金額[[#This Row],[管理番号]]=""),VLOOKUP(まとめ表_バック金額[[#This Row],[管理番号]],名前リスト[[#All],[管理番号]:[氏名]],3,TRUE),"")</f>
        <v>ヤマトヤ　ミク</v>
      </c>
      <c r="D273" s="79" t="str">
        <f t="shared" si="4"/>
        <v/>
      </c>
      <c r="E273" s="48"/>
      <c r="F27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4" spans="1:28">
      <c r="A274" s="20">
        <f>名前リスト[[#This Row],[管理番号]]</f>
        <v>1017</v>
      </c>
      <c r="B274" s="6">
        <f>IF(NOT(まとめ表_バック金額[[#This Row],[管理番号]]=""),VLOOKUP(まとめ表_バック金額[[#This Row],[管理番号]],名前リスト[[#All],[管理番号]:[氏名]],2,TRUE),"")</f>
        <v>0</v>
      </c>
      <c r="C274" s="21" t="str">
        <f>IF(NOT(まとめ表_バック金額[[#This Row],[管理番号]]=""),VLOOKUP(まとめ表_バック金額[[#This Row],[管理番号]],名前リスト[[#All],[管理番号]:[氏名]],3,TRUE),"")</f>
        <v>ハシモト　リュウヤ</v>
      </c>
      <c r="D274" s="79" t="str">
        <f t="shared" si="4"/>
        <v/>
      </c>
      <c r="E274" s="48"/>
      <c r="F27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5" spans="1:28">
      <c r="A275" s="20">
        <f>名前リスト[[#This Row],[管理番号]]</f>
        <v>1018</v>
      </c>
      <c r="B275" s="6">
        <f>IF(NOT(まとめ表_バック金額[[#This Row],[管理番号]]=""),VLOOKUP(まとめ表_バック金額[[#This Row],[管理番号]],名前リスト[[#All],[管理番号]:[氏名]],2,TRUE),"")</f>
        <v>0</v>
      </c>
      <c r="C275" s="21" t="str">
        <f>IF(NOT(まとめ表_バック金額[[#This Row],[管理番号]]=""),VLOOKUP(まとめ表_バック金額[[#This Row],[管理番号]],名前リスト[[#All],[管理番号]:[氏名]],3,TRUE),"")</f>
        <v>タハラ　タイセイ</v>
      </c>
      <c r="D275" s="79" t="str">
        <f t="shared" si="4"/>
        <v/>
      </c>
      <c r="E275" s="48"/>
      <c r="F27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6" spans="1:28">
      <c r="A276" s="20">
        <f>名前リスト[[#This Row],[管理番号]]</f>
        <v>1019</v>
      </c>
      <c r="B276" s="6">
        <f>IF(NOT(まとめ表_バック金額[[#This Row],[管理番号]]=""),VLOOKUP(まとめ表_バック金額[[#This Row],[管理番号]],名前リスト[[#All],[管理番号]:[氏名]],2,TRUE),"")</f>
        <v>0</v>
      </c>
      <c r="C276" s="21" t="str">
        <f>IF(NOT(まとめ表_バック金額[[#This Row],[管理番号]]=""),VLOOKUP(まとめ表_バック金額[[#This Row],[管理番号]],名前リスト[[#All],[管理番号]:[氏名]],3,TRUE),"")</f>
        <v>タカクワ　アヤカ</v>
      </c>
      <c r="D276" s="79" t="str">
        <f t="shared" si="4"/>
        <v/>
      </c>
      <c r="E276" s="48"/>
      <c r="F27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7" spans="1:28">
      <c r="A277" s="20">
        <f>名前リスト[[#This Row],[管理番号]]</f>
        <v>1020</v>
      </c>
      <c r="B277" s="6">
        <f>IF(NOT(まとめ表_バック金額[[#This Row],[管理番号]]=""),VLOOKUP(まとめ表_バック金額[[#This Row],[管理番号]],名前リスト[[#All],[管理番号]:[氏名]],2,TRUE),"")</f>
        <v>0</v>
      </c>
      <c r="C277" s="21" t="str">
        <f>IF(NOT(まとめ表_バック金額[[#This Row],[管理番号]]=""),VLOOKUP(まとめ表_バック金額[[#This Row],[管理番号]],名前リスト[[#All],[管理番号]:[氏名]],3,TRUE),"")</f>
        <v>マツエ　ハルナ</v>
      </c>
      <c r="D277" s="79" t="str">
        <f t="shared" si="4"/>
        <v/>
      </c>
      <c r="E277" s="48"/>
      <c r="F27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8" spans="1:28">
      <c r="A278" s="20">
        <f>名前リスト[[#This Row],[管理番号]]</f>
        <v>1021</v>
      </c>
      <c r="B278" s="6">
        <f>IF(NOT(まとめ表_バック金額[[#This Row],[管理番号]]=""),VLOOKUP(まとめ表_バック金額[[#This Row],[管理番号]],名前リスト[[#All],[管理番号]:[氏名]],2,TRUE),"")</f>
        <v>0</v>
      </c>
      <c r="C278" s="21" t="str">
        <f>IF(NOT(まとめ表_バック金額[[#This Row],[管理番号]]=""),VLOOKUP(まとめ表_バック金額[[#This Row],[管理番号]],名前リスト[[#All],[管理番号]:[氏名]],3,TRUE),"")</f>
        <v>イタワキ リオ</v>
      </c>
      <c r="D278" s="79" t="str">
        <f t="shared" si="4"/>
        <v/>
      </c>
      <c r="E278" s="48"/>
      <c r="F27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79" spans="1:28">
      <c r="A279" s="20">
        <f>名前リスト[[#This Row],[管理番号]]</f>
        <v>1022</v>
      </c>
      <c r="B279" s="6">
        <f>IF(NOT(まとめ表_バック金額[[#This Row],[管理番号]]=""),VLOOKUP(まとめ表_バック金額[[#This Row],[管理番号]],名前リスト[[#All],[管理番号]:[氏名]],2,TRUE),"")</f>
        <v>0</v>
      </c>
      <c r="C279" s="21" t="str">
        <f>IF(NOT(まとめ表_バック金額[[#This Row],[管理番号]]=""),VLOOKUP(まとめ表_バック金額[[#This Row],[管理番号]],名前リスト[[#All],[管理番号]:[氏名]],3,TRUE),"")</f>
        <v>サダモリ ユウサク</v>
      </c>
      <c r="D279" s="79" t="str">
        <f t="shared" si="4"/>
        <v/>
      </c>
      <c r="E279" s="48"/>
      <c r="F27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7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7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7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7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7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7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7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7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7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7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7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7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7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7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7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7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7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7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7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7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7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7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0" spans="1:28">
      <c r="A280" s="20">
        <f>名前リスト[[#This Row],[管理番号]]</f>
        <v>1023</v>
      </c>
      <c r="B280" s="6">
        <f>IF(NOT(まとめ表_バック金額[[#This Row],[管理番号]]=""),VLOOKUP(まとめ表_バック金額[[#This Row],[管理番号]],名前リスト[[#All],[管理番号]:[氏名]],2,TRUE),"")</f>
        <v>0</v>
      </c>
      <c r="C280" s="21" t="str">
        <f>IF(NOT(まとめ表_バック金額[[#This Row],[管理番号]]=""),VLOOKUP(まとめ表_バック金額[[#This Row],[管理番号]],名前リスト[[#All],[管理番号]:[氏名]],3,TRUE),"")</f>
        <v>ヤマシタ フウカ</v>
      </c>
      <c r="D280" s="79" t="str">
        <f t="shared" si="4"/>
        <v/>
      </c>
      <c r="E280" s="48"/>
      <c r="F28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1" spans="1:28">
      <c r="A281" s="20">
        <f>名前リスト[[#This Row],[管理番号]]</f>
        <v>1024</v>
      </c>
      <c r="B281" s="6">
        <f>IF(NOT(まとめ表_バック金額[[#This Row],[管理番号]]=""),VLOOKUP(まとめ表_バック金額[[#This Row],[管理番号]],名前リスト[[#All],[管理番号]:[氏名]],2,TRUE),"")</f>
        <v>0</v>
      </c>
      <c r="C281" s="21" t="str">
        <f>IF(NOT(まとめ表_バック金額[[#This Row],[管理番号]]=""),VLOOKUP(まとめ表_バック金額[[#This Row],[管理番号]],名前リスト[[#All],[管理番号]:[氏名]],3,TRUE),"")</f>
        <v>ハヤシ　ユウダイ</v>
      </c>
      <c r="D281" s="79" t="str">
        <f t="shared" si="4"/>
        <v/>
      </c>
      <c r="E281" s="48"/>
      <c r="F28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2" spans="1:28">
      <c r="A282" s="20">
        <f>名前リスト[[#This Row],[管理番号]]</f>
        <v>1025</v>
      </c>
      <c r="B282" s="6">
        <f>IF(NOT(まとめ表_バック金額[[#This Row],[管理番号]]=""),VLOOKUP(まとめ表_バック金額[[#This Row],[管理番号]],名前リスト[[#All],[管理番号]:[氏名]],2,TRUE),"")</f>
        <v>0</v>
      </c>
      <c r="C282" s="21" t="str">
        <f>IF(NOT(まとめ表_バック金額[[#This Row],[管理番号]]=""),VLOOKUP(まとめ表_バック金額[[#This Row],[管理番号]],名前リスト[[#All],[管理番号]:[氏名]],3,TRUE),"")</f>
        <v>ナカイ　リノ</v>
      </c>
      <c r="D282" s="79" t="str">
        <f t="shared" si="4"/>
        <v/>
      </c>
      <c r="E282" s="48"/>
      <c r="F28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3" spans="1:28">
      <c r="A283" s="20">
        <f>名前リスト[[#This Row],[管理番号]]</f>
        <v>1026</v>
      </c>
      <c r="B283" s="6">
        <f>IF(NOT(まとめ表_バック金額[[#This Row],[管理番号]]=""),VLOOKUP(まとめ表_バック金額[[#This Row],[管理番号]],名前リスト[[#All],[管理番号]:[氏名]],2,TRUE),"")</f>
        <v>0</v>
      </c>
      <c r="C283" s="21" t="str">
        <f>IF(NOT(まとめ表_バック金額[[#This Row],[管理番号]]=""),VLOOKUP(まとめ表_バック金額[[#This Row],[管理番号]],名前リスト[[#All],[管理番号]:[氏名]],3,TRUE),"")</f>
        <v>ヨコヤマ　ソウタ</v>
      </c>
      <c r="D283" s="79" t="str">
        <f t="shared" si="4"/>
        <v/>
      </c>
      <c r="E283" s="48"/>
      <c r="F28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4" spans="1:28">
      <c r="A284" s="20">
        <f>名前リスト[[#This Row],[管理番号]]</f>
        <v>1027</v>
      </c>
      <c r="B284" s="6">
        <f>IF(NOT(まとめ表_バック金額[[#This Row],[管理番号]]=""),VLOOKUP(まとめ表_バック金額[[#This Row],[管理番号]],名前リスト[[#All],[管理番号]:[氏名]],2,TRUE),"")</f>
        <v>0</v>
      </c>
      <c r="C284" s="21" t="str">
        <f>IF(NOT(まとめ表_バック金額[[#This Row],[管理番号]]=""),VLOOKUP(まとめ表_バック金額[[#This Row],[管理番号]],名前リスト[[#All],[管理番号]:[氏名]],3,TRUE),"")</f>
        <v>トク　ソウマ</v>
      </c>
      <c r="D284" s="79" t="str">
        <f t="shared" si="4"/>
        <v/>
      </c>
      <c r="E284" s="48"/>
      <c r="F28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5" spans="1:28">
      <c r="A285" s="20">
        <f>名前リスト[[#This Row],[管理番号]]</f>
        <v>1028</v>
      </c>
      <c r="B285" s="6">
        <f>IF(NOT(まとめ表_バック金額[[#This Row],[管理番号]]=""),VLOOKUP(まとめ表_バック金額[[#This Row],[管理番号]],名前リスト[[#All],[管理番号]:[氏名]],2,TRUE),"")</f>
        <v>0</v>
      </c>
      <c r="C285" s="21" t="str">
        <f>IF(NOT(まとめ表_バック金額[[#This Row],[管理番号]]=""),VLOOKUP(まとめ表_バック金額[[#This Row],[管理番号]],名前リスト[[#All],[管理番号]:[氏名]],3,TRUE),"")</f>
        <v>オオトモ コウスケ</v>
      </c>
      <c r="D285" s="79" t="str">
        <f t="shared" si="4"/>
        <v/>
      </c>
      <c r="E285" s="48"/>
      <c r="F28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6" spans="1:28">
      <c r="A286" s="20">
        <f>名前リスト[[#This Row],[管理番号]]</f>
        <v>1029</v>
      </c>
      <c r="B286" s="6">
        <f>IF(NOT(まとめ表_バック金額[[#This Row],[管理番号]]=""),VLOOKUP(まとめ表_バック金額[[#This Row],[管理番号]],名前リスト[[#All],[管理番号]:[氏名]],2,TRUE),"")</f>
        <v>0</v>
      </c>
      <c r="C286" s="21" t="str">
        <f>IF(NOT(まとめ表_バック金額[[#This Row],[管理番号]]=""),VLOOKUP(まとめ表_バック金額[[#This Row],[管理番号]],名前リスト[[#All],[管理番号]:[氏名]],3,TRUE),"")</f>
        <v>サガ　トモカズ</v>
      </c>
      <c r="D286" s="79" t="str">
        <f t="shared" si="4"/>
        <v/>
      </c>
      <c r="E286" s="48"/>
      <c r="F28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7" spans="1:28">
      <c r="A287" s="20">
        <f>名前リスト[[#This Row],[管理番号]]</f>
        <v>1030</v>
      </c>
      <c r="B287" s="6">
        <f>IF(NOT(まとめ表_バック金額[[#This Row],[管理番号]]=""),VLOOKUP(まとめ表_バック金額[[#This Row],[管理番号]],名前リスト[[#All],[管理番号]:[氏名]],2,TRUE),"")</f>
        <v>0</v>
      </c>
      <c r="C287" s="21" t="str">
        <f>IF(NOT(まとめ表_バック金額[[#This Row],[管理番号]]=""),VLOOKUP(まとめ表_バック金額[[#This Row],[管理番号]],名前リスト[[#All],[管理番号]:[氏名]],3,TRUE),"")</f>
        <v>ヒラノ　キョウスケ</v>
      </c>
      <c r="D287" s="79" t="str">
        <f t="shared" si="4"/>
        <v/>
      </c>
      <c r="E287" s="48"/>
      <c r="F28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8" spans="1:28">
      <c r="A288" s="20">
        <f>名前リスト[[#This Row],[管理番号]]</f>
        <v>1031</v>
      </c>
      <c r="B288" s="6">
        <f>IF(NOT(まとめ表_バック金額[[#This Row],[管理番号]]=""),VLOOKUP(まとめ表_バック金額[[#This Row],[管理番号]],名前リスト[[#All],[管理番号]:[氏名]],2,TRUE),"")</f>
        <v>0</v>
      </c>
      <c r="C288" s="21" t="str">
        <f>IF(NOT(まとめ表_バック金額[[#This Row],[管理番号]]=""),VLOOKUP(まとめ表_バック金額[[#This Row],[管理番号]],名前リスト[[#All],[管理番号]:[氏名]],3,TRUE),"")</f>
        <v>シゲトシ　ナオキ</v>
      </c>
      <c r="D288" s="79" t="str">
        <f t="shared" si="4"/>
        <v/>
      </c>
      <c r="E288" s="48"/>
      <c r="F28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89" spans="1:28">
      <c r="A289" s="20">
        <f>名前リスト[[#This Row],[管理番号]]</f>
        <v>1032</v>
      </c>
      <c r="B289" s="6">
        <f>IF(NOT(まとめ表_バック金額[[#This Row],[管理番号]]=""),VLOOKUP(まとめ表_バック金額[[#This Row],[管理番号]],名前リスト[[#All],[管理番号]:[氏名]],2,TRUE),"")</f>
        <v>0</v>
      </c>
      <c r="C289" s="21" t="str">
        <f>IF(NOT(まとめ表_バック金額[[#This Row],[管理番号]]=""),VLOOKUP(まとめ表_バック金額[[#This Row],[管理番号]],名前リスト[[#All],[管理番号]:[氏名]],3,TRUE),"")</f>
        <v>ツジ　テツヤ</v>
      </c>
      <c r="D289" s="79" t="str">
        <f t="shared" si="4"/>
        <v/>
      </c>
      <c r="E289" s="48"/>
      <c r="F28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8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8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8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8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8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8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8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8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8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8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8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8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8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8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8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8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8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8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8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8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8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8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0" spans="1:28">
      <c r="A290" s="20">
        <f>名前リスト[[#This Row],[管理番号]]</f>
        <v>1033</v>
      </c>
      <c r="B290" s="6">
        <f>IF(NOT(まとめ表_バック金額[[#This Row],[管理番号]]=""),VLOOKUP(まとめ表_バック金額[[#This Row],[管理番号]],名前リスト[[#All],[管理番号]:[氏名]],2,TRUE),"")</f>
        <v>0</v>
      </c>
      <c r="C290" s="21" t="str">
        <f>IF(NOT(まとめ表_バック金額[[#This Row],[管理番号]]=""),VLOOKUP(まとめ表_バック金額[[#This Row],[管理番号]],名前リスト[[#All],[管理番号]:[氏名]],3,TRUE),"")</f>
        <v>シマモト　カズキ</v>
      </c>
      <c r="D290" s="79" t="str">
        <f t="shared" si="4"/>
        <v/>
      </c>
      <c r="E290" s="48"/>
      <c r="F29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1" spans="1:28">
      <c r="A291" s="20">
        <f>名前リスト[[#This Row],[管理番号]]</f>
        <v>1034</v>
      </c>
      <c r="B291" s="6">
        <f>IF(NOT(まとめ表_バック金額[[#This Row],[管理番号]]=""),VLOOKUP(まとめ表_バック金額[[#This Row],[管理番号]],名前リスト[[#All],[管理番号]:[氏名]],2,TRUE),"")</f>
        <v>0</v>
      </c>
      <c r="C291" s="21" t="str">
        <f>IF(NOT(まとめ表_バック金額[[#This Row],[管理番号]]=""),VLOOKUP(まとめ表_バック金額[[#This Row],[管理番号]],名前リスト[[#All],[管理番号]:[氏名]],3,TRUE),"")</f>
        <v>オクノ  リル</v>
      </c>
      <c r="D291" s="79" t="str">
        <f t="shared" si="4"/>
        <v/>
      </c>
      <c r="E291" s="48"/>
      <c r="F29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2" spans="1:28">
      <c r="A292" s="20">
        <f>名前リスト[[#This Row],[管理番号]]</f>
        <v>1035</v>
      </c>
      <c r="B292" s="6">
        <f>IF(NOT(まとめ表_バック金額[[#This Row],[管理番号]]=""),VLOOKUP(まとめ表_バック金額[[#This Row],[管理番号]],名前リスト[[#All],[管理番号]:[氏名]],2,TRUE),"")</f>
        <v>0</v>
      </c>
      <c r="C292" s="21" t="str">
        <f>IF(NOT(まとめ表_バック金額[[#This Row],[管理番号]]=""),VLOOKUP(まとめ表_バック金額[[#This Row],[管理番号]],名前リスト[[#All],[管理番号]:[氏名]],3,TRUE),"")</f>
        <v>ヨコヤマ リキヤ</v>
      </c>
      <c r="D292" s="79" t="str">
        <f t="shared" si="4"/>
        <v/>
      </c>
      <c r="E292" s="48"/>
      <c r="F29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3" spans="1:28">
      <c r="A293" s="20">
        <f>名前リスト[[#This Row],[管理番号]]</f>
        <v>1036</v>
      </c>
      <c r="B293" s="6">
        <f>IF(NOT(まとめ表_バック金額[[#This Row],[管理番号]]=""),VLOOKUP(まとめ表_バック金額[[#This Row],[管理番号]],名前リスト[[#All],[管理番号]:[氏名]],2,TRUE),"")</f>
        <v>0</v>
      </c>
      <c r="C293" s="21" t="str">
        <f>IF(NOT(まとめ表_バック金額[[#This Row],[管理番号]]=""),VLOOKUP(まとめ表_バック金額[[#This Row],[管理番号]],名前リスト[[#All],[管理番号]:[氏名]],3,TRUE),"")</f>
        <v>フジタ　リク</v>
      </c>
      <c r="D293" s="79" t="str">
        <f t="shared" si="4"/>
        <v/>
      </c>
      <c r="E293" s="48"/>
      <c r="F29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4" spans="1:28">
      <c r="A294" s="20">
        <f>名前リスト[[#This Row],[管理番号]]</f>
        <v>1037</v>
      </c>
      <c r="B294" s="6">
        <f>IF(NOT(まとめ表_バック金額[[#This Row],[管理番号]]=""),VLOOKUP(まとめ表_バック金額[[#This Row],[管理番号]],名前リスト[[#All],[管理番号]:[氏名]],2,TRUE),"")</f>
        <v>0</v>
      </c>
      <c r="C294" s="21" t="str">
        <f>IF(NOT(まとめ表_バック金額[[#This Row],[管理番号]]=""),VLOOKUP(まとめ表_バック金額[[#This Row],[管理番号]],名前リスト[[#All],[管理番号]:[氏名]],3,TRUE),"")</f>
        <v>コタケ　ケンタ</v>
      </c>
      <c r="D294" s="79" t="str">
        <f t="shared" si="4"/>
        <v/>
      </c>
      <c r="E294" s="48"/>
      <c r="F29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5" spans="1:28">
      <c r="A295" s="20">
        <f>名前リスト[[#This Row],[管理番号]]</f>
        <v>1038</v>
      </c>
      <c r="B295" s="6">
        <f>IF(NOT(まとめ表_バック金額[[#This Row],[管理番号]]=""),VLOOKUP(まとめ表_バック金額[[#This Row],[管理番号]],名前リスト[[#All],[管理番号]:[氏名]],2,TRUE),"")</f>
        <v>0</v>
      </c>
      <c r="C295" s="21" t="str">
        <f>IF(NOT(まとめ表_バック金額[[#This Row],[管理番号]]=""),VLOOKUP(まとめ表_バック金額[[#This Row],[管理番号]],名前リスト[[#All],[管理番号]:[氏名]],3,TRUE),"")</f>
        <v>コニシ　リョウヘイ</v>
      </c>
      <c r="D295" s="79" t="str">
        <f t="shared" si="4"/>
        <v/>
      </c>
      <c r="E295" s="48"/>
      <c r="F29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6" spans="1:28">
      <c r="A296" s="20">
        <f>名前リスト[[#This Row],[管理番号]]</f>
        <v>1039</v>
      </c>
      <c r="B296" s="6">
        <f>IF(NOT(まとめ表_バック金額[[#This Row],[管理番号]]=""),VLOOKUP(まとめ表_バック金額[[#This Row],[管理番号]],名前リスト[[#All],[管理番号]:[氏名]],2,TRUE),"")</f>
        <v>0</v>
      </c>
      <c r="C296" s="21" t="str">
        <f>IF(NOT(まとめ表_バック金額[[#This Row],[管理番号]]=""),VLOOKUP(まとめ表_バック金額[[#This Row],[管理番号]],名前リスト[[#All],[管理番号]:[氏名]],3,TRUE),"")</f>
        <v>クスイ　ユウヤ</v>
      </c>
      <c r="D296" s="79" t="str">
        <f t="shared" si="4"/>
        <v/>
      </c>
      <c r="E296" s="48"/>
      <c r="F29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7" spans="1:28">
      <c r="A297" s="20">
        <f>名前リスト[[#This Row],[管理番号]]</f>
        <v>1040</v>
      </c>
      <c r="B297" s="6">
        <f>IF(NOT(まとめ表_バック金額[[#This Row],[管理番号]]=""),VLOOKUP(まとめ表_バック金額[[#This Row],[管理番号]],名前リスト[[#All],[管理番号]:[氏名]],2,TRUE),"")</f>
        <v>0</v>
      </c>
      <c r="C297" s="21" t="str">
        <f>IF(NOT(まとめ表_バック金額[[#This Row],[管理番号]]=""),VLOOKUP(まとめ表_バック金額[[#This Row],[管理番号]],名前リスト[[#All],[管理番号]:[氏名]],3,TRUE),"")</f>
        <v>タナカ　ソウタ</v>
      </c>
      <c r="D297" s="79" t="str">
        <f t="shared" si="4"/>
        <v/>
      </c>
      <c r="E297" s="48"/>
      <c r="F29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8" spans="1:28">
      <c r="A298" s="20">
        <f>名前リスト[[#This Row],[管理番号]]</f>
        <v>1041</v>
      </c>
      <c r="B298" s="6">
        <f>IF(NOT(まとめ表_バック金額[[#This Row],[管理番号]]=""),VLOOKUP(まとめ表_バック金額[[#This Row],[管理番号]],名前リスト[[#All],[管理番号]:[氏名]],2,TRUE),"")</f>
        <v>0</v>
      </c>
      <c r="C298" s="21" t="str">
        <f>IF(NOT(まとめ表_バック金額[[#This Row],[管理番号]]=""),VLOOKUP(まとめ表_バック金額[[#This Row],[管理番号]],名前リスト[[#All],[管理番号]:[氏名]],3,TRUE),"")</f>
        <v>ヨシオカ　ユウキ</v>
      </c>
      <c r="D298" s="79" t="str">
        <f t="shared" si="4"/>
        <v/>
      </c>
      <c r="E298" s="48"/>
      <c r="F29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299" spans="1:28">
      <c r="A299" s="20">
        <f>名前リスト[[#This Row],[管理番号]]</f>
        <v>1042</v>
      </c>
      <c r="B299" s="6">
        <f>IF(NOT(まとめ表_バック金額[[#This Row],[管理番号]]=""),VLOOKUP(まとめ表_バック金額[[#This Row],[管理番号]],名前リスト[[#All],[管理番号]:[氏名]],2,TRUE),"")</f>
        <v>0</v>
      </c>
      <c r="C299" s="21" t="str">
        <f>IF(NOT(まとめ表_バック金額[[#This Row],[管理番号]]=""),VLOOKUP(まとめ表_バック金額[[#This Row],[管理番号]],名前リスト[[#All],[管理番号]:[氏名]],3,TRUE),"")</f>
        <v>シミズ  リュウイチ</v>
      </c>
      <c r="D299" s="79" t="str">
        <f t="shared" si="4"/>
        <v/>
      </c>
      <c r="E299" s="48"/>
      <c r="F29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29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29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29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29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29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29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29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29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29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29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29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29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29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29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29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29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29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29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29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29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29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29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0" spans="1:28">
      <c r="A300" s="20">
        <f>名前リスト[[#This Row],[管理番号]]</f>
        <v>1043</v>
      </c>
      <c r="B300" s="6">
        <f>IF(NOT(まとめ表_バック金額[[#This Row],[管理番号]]=""),VLOOKUP(まとめ表_バック金額[[#This Row],[管理番号]],名前リスト[[#All],[管理番号]:[氏名]],2,TRUE),"")</f>
        <v>0</v>
      </c>
      <c r="C300" s="21" t="str">
        <f>IF(NOT(まとめ表_バック金額[[#This Row],[管理番号]]=""),VLOOKUP(まとめ表_バック金額[[#This Row],[管理番号]],名前リスト[[#All],[管理番号]:[氏名]],3,TRUE),"")</f>
        <v>カトウ マサト</v>
      </c>
      <c r="D300" s="79" t="str">
        <f t="shared" si="4"/>
        <v/>
      </c>
      <c r="E300" s="48"/>
      <c r="F30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1" spans="1:28">
      <c r="A301" s="20">
        <f>名前リスト[[#This Row],[管理番号]]</f>
        <v>1044</v>
      </c>
      <c r="B301" s="6">
        <f>IF(NOT(まとめ表_バック金額[[#This Row],[管理番号]]=""),VLOOKUP(まとめ表_バック金額[[#This Row],[管理番号]],名前リスト[[#All],[管理番号]:[氏名]],2,TRUE),"")</f>
        <v>0</v>
      </c>
      <c r="C301" s="21" t="str">
        <f>IF(NOT(まとめ表_バック金額[[#This Row],[管理番号]]=""),VLOOKUP(まとめ表_バック金額[[#This Row],[管理番号]],名前リスト[[#All],[管理番号]:[氏名]],3,TRUE),"")</f>
        <v>マツダイラ　ナオヤ</v>
      </c>
      <c r="D301" s="79" t="str">
        <f t="shared" si="4"/>
        <v/>
      </c>
      <c r="E301" s="48"/>
      <c r="F30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2" spans="1:28">
      <c r="A302" s="20">
        <f>名前リスト[[#This Row],[管理番号]]</f>
        <v>1045</v>
      </c>
      <c r="B302" s="6">
        <f>IF(NOT(まとめ表_バック金額[[#This Row],[管理番号]]=""),VLOOKUP(まとめ表_バック金額[[#This Row],[管理番号]],名前リスト[[#All],[管理番号]:[氏名]],2,TRUE),"")</f>
        <v>0</v>
      </c>
      <c r="C302" s="21" t="str">
        <f>IF(NOT(まとめ表_バック金額[[#This Row],[管理番号]]=""),VLOOKUP(まとめ表_バック金額[[#This Row],[管理番号]],名前リスト[[#All],[管理番号]:[氏名]],3,TRUE),"")</f>
        <v>イデノ    ショウタ</v>
      </c>
      <c r="D302" s="79" t="str">
        <f t="shared" si="4"/>
        <v/>
      </c>
      <c r="E302" s="48"/>
      <c r="F30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3" spans="1:28">
      <c r="A303" s="20">
        <f>名前リスト[[#This Row],[管理番号]]</f>
        <v>1046</v>
      </c>
      <c r="B303" s="6">
        <f>IF(NOT(まとめ表_バック金額[[#This Row],[管理番号]]=""),VLOOKUP(まとめ表_バック金額[[#This Row],[管理番号]],名前リスト[[#All],[管理番号]:[氏名]],2,TRUE),"")</f>
        <v>0</v>
      </c>
      <c r="C303" s="21" t="str">
        <f>IF(NOT(まとめ表_バック金額[[#This Row],[管理番号]]=""),VLOOKUP(まとめ表_バック金額[[#This Row],[管理番号]],名前リスト[[#All],[管理番号]:[氏名]],3,TRUE),"")</f>
        <v>カミモト マコ</v>
      </c>
      <c r="D303" s="79" t="str">
        <f t="shared" si="4"/>
        <v/>
      </c>
      <c r="E303" s="48"/>
      <c r="F30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4" spans="1:28">
      <c r="A304" s="20">
        <f>名前リスト[[#This Row],[管理番号]]</f>
        <v>1047</v>
      </c>
      <c r="B304" s="6">
        <f>IF(NOT(まとめ表_バック金額[[#This Row],[管理番号]]=""),VLOOKUP(まとめ表_バック金額[[#This Row],[管理番号]],名前リスト[[#All],[管理番号]:[氏名]],2,TRUE),"")</f>
        <v>0</v>
      </c>
      <c r="C304" s="21" t="str">
        <f>IF(NOT(まとめ表_バック金額[[#This Row],[管理番号]]=""),VLOOKUP(まとめ表_バック金額[[#This Row],[管理番号]],名前リスト[[#All],[管理番号]:[氏名]],3,TRUE),"")</f>
        <v>ヤマサカ　ツヨシ</v>
      </c>
      <c r="D304" s="79" t="str">
        <f t="shared" si="4"/>
        <v/>
      </c>
      <c r="E304" s="48"/>
      <c r="F30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5" spans="1:28">
      <c r="A305" s="20">
        <f>名前リスト[[#This Row],[管理番号]]</f>
        <v>1048</v>
      </c>
      <c r="B305" s="6">
        <f>IF(NOT(まとめ表_バック金額[[#This Row],[管理番号]]=""),VLOOKUP(まとめ表_バック金額[[#This Row],[管理番号]],名前リスト[[#All],[管理番号]:[氏名]],2,TRUE),"")</f>
        <v>0</v>
      </c>
      <c r="C305" s="21" t="str">
        <f>IF(NOT(まとめ表_バック金額[[#This Row],[管理番号]]=""),VLOOKUP(まとめ表_バック金額[[#This Row],[管理番号]],名前リスト[[#All],[管理番号]:[氏名]],3,TRUE),"")</f>
        <v>ミズイ　カンタ</v>
      </c>
      <c r="D305" s="79" t="str">
        <f t="shared" si="4"/>
        <v/>
      </c>
      <c r="E305" s="48"/>
      <c r="F30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6" spans="1:28">
      <c r="A306" s="20">
        <f>名前リスト[[#This Row],[管理番号]]</f>
        <v>1049</v>
      </c>
      <c r="B306" s="6">
        <f>IF(NOT(まとめ表_バック金額[[#This Row],[管理番号]]=""),VLOOKUP(まとめ表_バック金額[[#This Row],[管理番号]],名前リスト[[#All],[管理番号]:[氏名]],2,TRUE),"")</f>
        <v>0</v>
      </c>
      <c r="C306" s="21" t="str">
        <f>IF(NOT(まとめ表_バック金額[[#This Row],[管理番号]]=""),VLOOKUP(まとめ表_バック金額[[#This Row],[管理番号]],名前リスト[[#All],[管理番号]:[氏名]],3,TRUE),"")</f>
        <v>カキウチ ダイスケ</v>
      </c>
      <c r="D306" s="79" t="str">
        <f t="shared" si="4"/>
        <v/>
      </c>
      <c r="E306" s="48"/>
      <c r="F30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7" spans="1:28">
      <c r="A307" s="20">
        <f>名前リスト[[#This Row],[管理番号]]</f>
        <v>1050</v>
      </c>
      <c r="B307" s="6">
        <f>IF(NOT(まとめ表_バック金額[[#This Row],[管理番号]]=""),VLOOKUP(まとめ表_バック金額[[#This Row],[管理番号]],名前リスト[[#All],[管理番号]:[氏名]],2,TRUE),"")</f>
        <v>0</v>
      </c>
      <c r="C307" s="21" t="str">
        <f>IF(NOT(まとめ表_バック金額[[#This Row],[管理番号]]=""),VLOOKUP(まとめ表_バック金額[[#This Row],[管理番号]],名前リスト[[#All],[管理番号]:[氏名]],3,TRUE),"")</f>
        <v>タイラ　ユウマ</v>
      </c>
      <c r="D307" s="79" t="str">
        <f t="shared" si="4"/>
        <v/>
      </c>
      <c r="E307" s="48"/>
      <c r="F30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8" spans="1:28">
      <c r="A308" s="20">
        <f>名前リスト[[#This Row],[管理番号]]</f>
        <v>1051</v>
      </c>
      <c r="B308" s="6">
        <f>IF(NOT(まとめ表_バック金額[[#This Row],[管理番号]]=""),VLOOKUP(まとめ表_バック金額[[#This Row],[管理番号]],名前リスト[[#All],[管理番号]:[氏名]],2,TRUE),"")</f>
        <v>0</v>
      </c>
      <c r="C308" s="21" t="str">
        <f>IF(NOT(まとめ表_バック金額[[#This Row],[管理番号]]=""),VLOOKUP(まとめ表_バック金額[[#This Row],[管理番号]],名前リスト[[#All],[管理番号]:[氏名]],3,TRUE),"")</f>
        <v>マエダ　ケイト</v>
      </c>
      <c r="D308" s="79" t="str">
        <f t="shared" si="4"/>
        <v/>
      </c>
      <c r="E308" s="48"/>
      <c r="F30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09" spans="1:28">
      <c r="A309" s="20">
        <f>名前リスト[[#This Row],[管理番号]]</f>
        <v>1052</v>
      </c>
      <c r="B309" s="6">
        <f>IF(NOT(まとめ表_バック金額[[#This Row],[管理番号]]=""),VLOOKUP(まとめ表_バック金額[[#This Row],[管理番号]],名前リスト[[#All],[管理番号]:[氏名]],2,TRUE),"")</f>
        <v>0</v>
      </c>
      <c r="C309" s="21" t="str">
        <f>IF(NOT(まとめ表_バック金額[[#This Row],[管理番号]]=""),VLOOKUP(まとめ表_バック金額[[#This Row],[管理番号]],名前リスト[[#All],[管理番号]:[氏名]],3,TRUE),"")</f>
        <v>シマ　カズアキ</v>
      </c>
      <c r="D309" s="79" t="str">
        <f t="shared" si="4"/>
        <v/>
      </c>
      <c r="E309" s="48"/>
      <c r="F30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0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0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0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0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0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0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0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0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0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0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0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0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0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0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0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0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0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0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0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0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0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0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0" spans="1:28">
      <c r="A310" s="20">
        <f>名前リスト[[#This Row],[管理番号]]</f>
        <v>1053</v>
      </c>
      <c r="B310" s="6">
        <f>IF(NOT(まとめ表_バック金額[[#This Row],[管理番号]]=""),VLOOKUP(まとめ表_バック金額[[#This Row],[管理番号]],名前リスト[[#All],[管理番号]:[氏名]],2,TRUE),"")</f>
        <v>0</v>
      </c>
      <c r="C310" s="21" t="str">
        <f>IF(NOT(まとめ表_バック金額[[#This Row],[管理番号]]=""),VLOOKUP(まとめ表_バック金額[[#This Row],[管理番号]],名前リスト[[#All],[管理番号]:[氏名]],3,TRUE),"")</f>
        <v>イシハラ　チズゴ</v>
      </c>
      <c r="D310" s="79" t="str">
        <f t="shared" si="4"/>
        <v/>
      </c>
      <c r="E310" s="48"/>
      <c r="F31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1" spans="1:28">
      <c r="A311" s="20">
        <f>名前リスト[[#This Row],[管理番号]]</f>
        <v>1054</v>
      </c>
      <c r="B311" s="6">
        <f>IF(NOT(まとめ表_バック金額[[#This Row],[管理番号]]=""),VLOOKUP(まとめ表_バック金額[[#This Row],[管理番号]],名前リスト[[#All],[管理番号]:[氏名]],2,TRUE),"")</f>
        <v>0</v>
      </c>
      <c r="C311" s="21" t="str">
        <f>IF(NOT(まとめ表_バック金額[[#This Row],[管理番号]]=""),VLOOKUP(まとめ表_バック金額[[#This Row],[管理番号]],名前リスト[[#All],[管理番号]:[氏名]],3,TRUE),"")</f>
        <v>フクトミ　ダイスケ</v>
      </c>
      <c r="D311" s="79" t="str">
        <f t="shared" si="4"/>
        <v/>
      </c>
      <c r="E311" s="48"/>
      <c r="F31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2" spans="1:28">
      <c r="A312" s="20">
        <f>名前リスト[[#This Row],[管理番号]]</f>
        <v>1055</v>
      </c>
      <c r="B312" s="6">
        <f>IF(NOT(まとめ表_バック金額[[#This Row],[管理番号]]=""),VLOOKUP(まとめ表_バック金額[[#This Row],[管理番号]],名前リスト[[#All],[管理番号]:[氏名]],2,TRUE),"")</f>
        <v>0</v>
      </c>
      <c r="C312" s="21" t="str">
        <f>IF(NOT(まとめ表_バック金額[[#This Row],[管理番号]]=""),VLOOKUP(まとめ表_バック金額[[#This Row],[管理番号]],名前リスト[[#All],[管理番号]:[氏名]],3,TRUE),"")</f>
        <v>クワハラ　ジュンマ</v>
      </c>
      <c r="D312" s="79" t="str">
        <f t="shared" si="4"/>
        <v/>
      </c>
      <c r="E312" s="48"/>
      <c r="F31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3" spans="1:28">
      <c r="A313" s="20">
        <f>名前リスト[[#This Row],[管理番号]]</f>
        <v>1056</v>
      </c>
      <c r="B313" s="6">
        <f>IF(NOT(まとめ表_バック金額[[#This Row],[管理番号]]=""),VLOOKUP(まとめ表_バック金額[[#This Row],[管理番号]],名前リスト[[#All],[管理番号]:[氏名]],2,TRUE),"")</f>
        <v>0</v>
      </c>
      <c r="C313" s="21" t="str">
        <f>IF(NOT(まとめ表_バック金額[[#This Row],[管理番号]]=""),VLOOKUP(まとめ表_バック金額[[#This Row],[管理番号]],名前リスト[[#All],[管理番号]:[氏名]],3,TRUE),"")</f>
        <v>オバタ　ユミ</v>
      </c>
      <c r="D313" s="79" t="str">
        <f t="shared" si="4"/>
        <v/>
      </c>
      <c r="E313" s="48"/>
      <c r="F31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4" spans="1:28">
      <c r="A314" s="20">
        <f>名前リスト[[#This Row],[管理番号]]</f>
        <v>1057</v>
      </c>
      <c r="B314" s="6">
        <f>IF(NOT(まとめ表_バック金額[[#This Row],[管理番号]]=""),VLOOKUP(まとめ表_バック金額[[#This Row],[管理番号]],名前リスト[[#All],[管理番号]:[氏名]],2,TRUE),"")</f>
        <v>0</v>
      </c>
      <c r="C314" s="21" t="str">
        <f>IF(NOT(まとめ表_バック金額[[#This Row],[管理番号]]=""),VLOOKUP(まとめ表_バック金額[[#This Row],[管理番号]],名前リスト[[#All],[管理番号]:[氏名]],3,TRUE),"")</f>
        <v>シチジョウ　タクミ</v>
      </c>
      <c r="D314" s="79" t="str">
        <f t="shared" si="4"/>
        <v/>
      </c>
      <c r="E314" s="48"/>
      <c r="F31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5" spans="1:28">
      <c r="A315" s="20">
        <f>名前リスト[[#This Row],[管理番号]]</f>
        <v>1058</v>
      </c>
      <c r="B315" s="6">
        <f>IF(NOT(まとめ表_バック金額[[#This Row],[管理番号]]=""),VLOOKUP(まとめ表_バック金額[[#This Row],[管理番号]],名前リスト[[#All],[管理番号]:[氏名]],2,TRUE),"")</f>
        <v>0</v>
      </c>
      <c r="C315" s="21" t="str">
        <f>IF(NOT(まとめ表_バック金額[[#This Row],[管理番号]]=""),VLOOKUP(まとめ表_バック金額[[#This Row],[管理番号]],名前リスト[[#All],[管理番号]:[氏名]],3,TRUE),"")</f>
        <v>ヤノ　コウキ</v>
      </c>
      <c r="D315" s="79" t="str">
        <f t="shared" si="4"/>
        <v/>
      </c>
      <c r="E315" s="48"/>
      <c r="F31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6" spans="1:28">
      <c r="A316" s="20">
        <f>名前リスト[[#This Row],[管理番号]]</f>
        <v>1059</v>
      </c>
      <c r="B316" s="6">
        <f>IF(NOT(まとめ表_バック金額[[#This Row],[管理番号]]=""),VLOOKUP(まとめ表_バック金額[[#This Row],[管理番号]],名前リスト[[#All],[管理番号]:[氏名]],2,TRUE),"")</f>
        <v>0</v>
      </c>
      <c r="C316" s="21" t="str">
        <f>IF(NOT(まとめ表_バック金額[[#This Row],[管理番号]]=""),VLOOKUP(まとめ表_バック金額[[#This Row],[管理番号]],名前リスト[[#All],[管理番号]:[氏名]],3,TRUE),"")</f>
        <v>ミヨシ　ユウダイ</v>
      </c>
      <c r="D316" s="79" t="str">
        <f t="shared" si="4"/>
        <v/>
      </c>
      <c r="E316" s="48"/>
      <c r="F31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7" spans="1:28">
      <c r="A317" s="20">
        <f>名前リスト[[#This Row],[管理番号]]</f>
        <v>1060</v>
      </c>
      <c r="B317" s="6">
        <f>IF(NOT(まとめ表_バック金額[[#This Row],[管理番号]]=""),VLOOKUP(まとめ表_バック金額[[#This Row],[管理番号]],名前リスト[[#All],[管理番号]:[氏名]],2,TRUE),"")</f>
        <v>0</v>
      </c>
      <c r="C317" s="21" t="str">
        <f>IF(NOT(まとめ表_バック金額[[#This Row],[管理番号]]=""),VLOOKUP(まとめ表_バック金額[[#This Row],[管理番号]],名前リスト[[#All],[管理番号]:[氏名]],3,TRUE),"")</f>
        <v>ヤマモト　ハヤテ</v>
      </c>
      <c r="D317" s="79" t="str">
        <f t="shared" si="4"/>
        <v/>
      </c>
      <c r="E317" s="48"/>
      <c r="F31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8" spans="1:28">
      <c r="A318" s="20">
        <f>名前リスト[[#This Row],[管理番号]]</f>
        <v>1061</v>
      </c>
      <c r="B318" s="6">
        <f>IF(NOT(まとめ表_バック金額[[#This Row],[管理番号]]=""),VLOOKUP(まとめ表_バック金額[[#This Row],[管理番号]],名前リスト[[#All],[管理番号]:[氏名]],2,TRUE),"")</f>
        <v>0</v>
      </c>
      <c r="C318" s="21" t="str">
        <f>IF(NOT(まとめ表_バック金額[[#This Row],[管理番号]]=""),VLOOKUP(まとめ表_バック金額[[#This Row],[管理番号]],名前リスト[[#All],[管理番号]:[氏名]],3,TRUE),"")</f>
        <v>ナカニシ　コウキ</v>
      </c>
      <c r="D318" s="79" t="str">
        <f t="shared" si="4"/>
        <v/>
      </c>
      <c r="E318" s="48"/>
      <c r="F31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19" spans="1:28">
      <c r="A319" s="20">
        <f>名前リスト[[#This Row],[管理番号]]</f>
        <v>1062</v>
      </c>
      <c r="B319" s="6">
        <f>IF(NOT(まとめ表_バック金額[[#This Row],[管理番号]]=""),VLOOKUP(まとめ表_バック金額[[#This Row],[管理番号]],名前リスト[[#All],[管理番号]:[氏名]],2,TRUE),"")</f>
        <v>0</v>
      </c>
      <c r="C319" s="21" t="str">
        <f>IF(NOT(まとめ表_バック金額[[#This Row],[管理番号]]=""),VLOOKUP(まとめ表_バック金額[[#This Row],[管理番号]],名前リスト[[#All],[管理番号]:[氏名]],3,TRUE),"")</f>
        <v>ヨシカワ ケンシン</v>
      </c>
      <c r="D319" s="79" t="str">
        <f t="shared" si="4"/>
        <v/>
      </c>
      <c r="E319" s="48"/>
      <c r="F31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1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1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1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1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1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1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1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1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1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1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1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1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1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1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1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1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1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1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1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1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1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1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0" spans="1:28">
      <c r="A320" s="20">
        <f>名前リスト[[#This Row],[管理番号]]</f>
        <v>1063</v>
      </c>
      <c r="B320" s="6">
        <f>IF(NOT(まとめ表_バック金額[[#This Row],[管理番号]]=""),VLOOKUP(まとめ表_バック金額[[#This Row],[管理番号]],名前リスト[[#All],[管理番号]:[氏名]],2,TRUE),"")</f>
        <v>0</v>
      </c>
      <c r="C320" s="21" t="str">
        <f>IF(NOT(まとめ表_バック金額[[#This Row],[管理番号]]=""),VLOOKUP(まとめ表_バック金額[[#This Row],[管理番号]],名前リスト[[#All],[管理番号]:[氏名]],3,TRUE),"")</f>
        <v>サカウエ　ハルキ</v>
      </c>
      <c r="D320" s="79" t="str">
        <f t="shared" si="4"/>
        <v/>
      </c>
      <c r="E320" s="48"/>
      <c r="F32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1" spans="1:28">
      <c r="A321" s="20">
        <f>名前リスト[[#This Row],[管理番号]]</f>
        <v>1064</v>
      </c>
      <c r="B321" s="6">
        <f>IF(NOT(まとめ表_バック金額[[#This Row],[管理番号]]=""),VLOOKUP(まとめ表_バック金額[[#This Row],[管理番号]],名前リスト[[#All],[管理番号]:[氏名]],2,TRUE),"")</f>
        <v>0</v>
      </c>
      <c r="C321" s="21" t="str">
        <f>IF(NOT(まとめ表_バック金額[[#This Row],[管理番号]]=""),VLOOKUP(まとめ表_バック金額[[#This Row],[管理番号]],名前リスト[[#All],[管理番号]:[氏名]],3,TRUE),"")</f>
        <v>オダ　テッペイ</v>
      </c>
      <c r="D321" s="79" t="str">
        <f t="shared" si="4"/>
        <v/>
      </c>
      <c r="E321" s="48"/>
      <c r="F32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2" spans="1:28">
      <c r="A322" s="20">
        <f>名前リスト[[#This Row],[管理番号]]</f>
        <v>1065</v>
      </c>
      <c r="B322" s="6">
        <f>IF(NOT(まとめ表_バック金額[[#This Row],[管理番号]]=""),VLOOKUP(まとめ表_バック金額[[#This Row],[管理番号]],名前リスト[[#All],[管理番号]:[氏名]],2,TRUE),"")</f>
        <v>0</v>
      </c>
      <c r="C322" s="21" t="str">
        <f>IF(NOT(まとめ表_バック金額[[#This Row],[管理番号]]=""),VLOOKUP(まとめ表_バック金額[[#This Row],[管理番号]],名前リスト[[#All],[管理番号]:[氏名]],3,TRUE),"")</f>
        <v>ヤマグチ　マリ</v>
      </c>
      <c r="D322" s="79" t="str">
        <f t="shared" ref="D322:D351" si="5">IF(SUM(E322:XFD322)=0,"",SUM(E322:XFD322))</f>
        <v/>
      </c>
      <c r="E322" s="48"/>
      <c r="F32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3" spans="1:28">
      <c r="A323" s="20">
        <f>名前リスト[[#This Row],[管理番号]]</f>
        <v>1066</v>
      </c>
      <c r="B323" s="6">
        <f>IF(NOT(まとめ表_バック金額[[#This Row],[管理番号]]=""),VLOOKUP(まとめ表_バック金額[[#This Row],[管理番号]],名前リスト[[#All],[管理番号]:[氏名]],2,TRUE),"")</f>
        <v>0</v>
      </c>
      <c r="C323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3" s="79" t="str">
        <f t="shared" si="5"/>
        <v/>
      </c>
      <c r="E323" s="48"/>
      <c r="F32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4" spans="1:28">
      <c r="A324" s="20">
        <f>名前リスト[[#This Row],[管理番号]]</f>
        <v>1067</v>
      </c>
      <c r="B324" s="6">
        <f>IF(NOT(まとめ表_バック金額[[#This Row],[管理番号]]=""),VLOOKUP(まとめ表_バック金額[[#This Row],[管理番号]],名前リスト[[#All],[管理番号]:[氏名]],2,TRUE),"")</f>
        <v>0</v>
      </c>
      <c r="C324" s="21" t="str">
        <f>IF(NOT(まとめ表_バック金額[[#This Row],[管理番号]]=""),VLOOKUP(まとめ表_バック金額[[#This Row],[管理番号]],名前リスト[[#All],[管理番号]:[氏名]],3,TRUE),"")</f>
        <v>タキガワ　アヤネ</v>
      </c>
      <c r="D324" s="79" t="str">
        <f t="shared" si="5"/>
        <v/>
      </c>
      <c r="E324" s="48"/>
      <c r="F32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5" spans="1:28">
      <c r="A325" s="20">
        <f>名前リスト[[#This Row],[管理番号]]</f>
        <v>1068</v>
      </c>
      <c r="B325" s="6">
        <f>IF(NOT(まとめ表_バック金額[[#This Row],[管理番号]]=""),VLOOKUP(まとめ表_バック金額[[#This Row],[管理番号]],名前リスト[[#All],[管理番号]:[氏名]],2,TRUE),"")</f>
        <v>0</v>
      </c>
      <c r="C325" s="21" t="str">
        <f>IF(NOT(まとめ表_バック金額[[#This Row],[管理番号]]=""),VLOOKUP(まとめ表_バック金額[[#This Row],[管理番号]],名前リスト[[#All],[管理番号]:[氏名]],3,TRUE),"")</f>
        <v>ニシダ　マナ</v>
      </c>
      <c r="D325" s="79" t="str">
        <f t="shared" si="5"/>
        <v/>
      </c>
      <c r="E325" s="48"/>
      <c r="F32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6" spans="1:28">
      <c r="A326" s="20">
        <f>名前リスト[[#This Row],[管理番号]]</f>
        <v>1069</v>
      </c>
      <c r="B326" s="6">
        <f>IF(NOT(まとめ表_バック金額[[#This Row],[管理番号]]=""),VLOOKUP(まとめ表_バック金額[[#This Row],[管理番号]],名前リスト[[#All],[管理番号]:[氏名]],2,TRUE),"")</f>
        <v>0</v>
      </c>
      <c r="C326" s="21" t="str">
        <f>IF(NOT(まとめ表_バック金額[[#This Row],[管理番号]]=""),VLOOKUP(まとめ表_バック金額[[#This Row],[管理番号]],名前リスト[[#All],[管理番号]:[氏名]],3,TRUE),"")</f>
        <v>フジヨシ　カゼヒロ</v>
      </c>
      <c r="D326" s="79" t="str">
        <f t="shared" si="5"/>
        <v/>
      </c>
      <c r="E326" s="48"/>
      <c r="F32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7" spans="1:28">
      <c r="A327" s="20">
        <f>名前リスト[[#This Row],[管理番号]]</f>
        <v>1070</v>
      </c>
      <c r="B327" s="6">
        <f>IF(NOT(まとめ表_バック金額[[#This Row],[管理番号]]=""),VLOOKUP(まとめ表_バック金額[[#This Row],[管理番号]],名前リスト[[#All],[管理番号]:[氏名]],2,TRUE),"")</f>
        <v>0</v>
      </c>
      <c r="C327" s="21" t="str">
        <f>IF(NOT(まとめ表_バック金額[[#This Row],[管理番号]]=""),VLOOKUP(まとめ表_バック金額[[#This Row],[管理番号]],名前リスト[[#All],[管理番号]:[氏名]],3,TRUE),"")</f>
        <v>ホリタ コウガ</v>
      </c>
      <c r="D327" s="79" t="str">
        <f t="shared" si="5"/>
        <v/>
      </c>
      <c r="E327" s="48"/>
      <c r="F32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8" spans="1:28">
      <c r="A328" s="20">
        <f>名前リスト[[#This Row],[管理番号]]</f>
        <v>1071</v>
      </c>
      <c r="B328" s="6">
        <f>IF(NOT(まとめ表_バック金額[[#This Row],[管理番号]]=""),VLOOKUP(まとめ表_バック金額[[#This Row],[管理番号]],名前リスト[[#All],[管理番号]:[氏名]],2,TRUE),"")</f>
        <v>0</v>
      </c>
      <c r="C328" s="21" t="str">
        <f>IF(NOT(まとめ表_バック金額[[#This Row],[管理番号]]=""),VLOOKUP(まとめ表_バック金額[[#This Row],[管理番号]],名前リスト[[#All],[管理番号]:[氏名]],3,TRUE),"")</f>
        <v>ナカタ　モモ</v>
      </c>
      <c r="D328" s="79" t="str">
        <f t="shared" si="5"/>
        <v/>
      </c>
      <c r="E328" s="48"/>
      <c r="F32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29" spans="1:28">
      <c r="A329" s="20">
        <f>名前リスト[[#This Row],[管理番号]]</f>
        <v>1072</v>
      </c>
      <c r="B329" s="6">
        <f>IF(NOT(まとめ表_バック金額[[#This Row],[管理番号]]=""),VLOOKUP(まとめ表_バック金額[[#This Row],[管理番号]],名前リスト[[#All],[管理番号]:[氏名]],2,TRUE),"")</f>
        <v>0</v>
      </c>
      <c r="C329" s="21" t="str">
        <f>IF(NOT(まとめ表_バック金額[[#This Row],[管理番号]]=""),VLOOKUP(まとめ表_バック金額[[#This Row],[管理番号]],名前リスト[[#All],[管理番号]:[氏名]],3,TRUE),"")</f>
        <v>ホシバ　モモカ</v>
      </c>
      <c r="D329" s="79" t="str">
        <f t="shared" si="5"/>
        <v/>
      </c>
      <c r="E329" s="48"/>
      <c r="F32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2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2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2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2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2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2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2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2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2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2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2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2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2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2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2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2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2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2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2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2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2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2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0" spans="1:28">
      <c r="A330" s="20">
        <f>名前リスト[[#This Row],[管理番号]]</f>
        <v>1073</v>
      </c>
      <c r="B330" s="6">
        <f>IF(NOT(まとめ表_バック金額[[#This Row],[管理番号]]=""),VLOOKUP(まとめ表_バック金額[[#This Row],[管理番号]],名前リスト[[#All],[管理番号]:[氏名]],2,TRUE),"")</f>
        <v>0</v>
      </c>
      <c r="C330" s="21" t="str">
        <f>IF(NOT(まとめ表_バック金額[[#This Row],[管理番号]]=""),VLOOKUP(まとめ表_バック金額[[#This Row],[管理番号]],名前リスト[[#All],[管理番号]:[氏名]],3,TRUE),"")</f>
        <v>ツジハラ　タクヤ</v>
      </c>
      <c r="D330" s="79" t="str">
        <f t="shared" si="5"/>
        <v/>
      </c>
      <c r="E330" s="48"/>
      <c r="F33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1" spans="1:28">
      <c r="A331" s="20">
        <f>名前リスト[[#This Row],[管理番号]]</f>
        <v>1074</v>
      </c>
      <c r="B331" s="6">
        <f>IF(NOT(まとめ表_バック金額[[#This Row],[管理番号]]=""),VLOOKUP(まとめ表_バック金額[[#This Row],[管理番号]],名前リスト[[#All],[管理番号]:[氏名]],2,TRUE),"")</f>
        <v>0</v>
      </c>
      <c r="C331" s="21" t="str">
        <f>IF(NOT(まとめ表_バック金額[[#This Row],[管理番号]]=""),VLOOKUP(まとめ表_バック金額[[#This Row],[管理番号]],名前リスト[[#All],[管理番号]:[氏名]],3,TRUE),"")</f>
        <v>ハジメ　トモヤ</v>
      </c>
      <c r="D331" s="79" t="str">
        <f t="shared" si="5"/>
        <v/>
      </c>
      <c r="E331" s="48"/>
      <c r="F33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2" spans="1:28">
      <c r="A332" s="20">
        <f>名前リスト[[#This Row],[管理番号]]</f>
        <v>1075</v>
      </c>
      <c r="B332" s="6">
        <f>IF(NOT(まとめ表_バック金額[[#This Row],[管理番号]]=""),VLOOKUP(まとめ表_バック金額[[#This Row],[管理番号]],名前リスト[[#All],[管理番号]:[氏名]],2,TRUE),"")</f>
        <v>0</v>
      </c>
      <c r="C332" s="21" t="str">
        <f>IF(NOT(まとめ表_バック金額[[#This Row],[管理番号]]=""),VLOOKUP(まとめ表_バック金額[[#This Row],[管理番号]],名前リスト[[#All],[管理番号]:[氏名]],3,TRUE),"")</f>
        <v>ウエダ　ショウブ</v>
      </c>
      <c r="D332" s="79" t="str">
        <f t="shared" si="5"/>
        <v/>
      </c>
      <c r="E332" s="48"/>
      <c r="F33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3" spans="1:28">
      <c r="A333" s="20">
        <f>名前リスト[[#This Row],[管理番号]]</f>
        <v>1076</v>
      </c>
      <c r="B333" s="6">
        <f>IF(NOT(まとめ表_バック金額[[#This Row],[管理番号]]=""),VLOOKUP(まとめ表_バック金額[[#This Row],[管理番号]],名前リスト[[#All],[管理番号]:[氏名]],2,TRUE),"")</f>
        <v>0</v>
      </c>
      <c r="C333" s="21" t="str">
        <f>IF(NOT(まとめ表_バック金額[[#This Row],[管理番号]]=""),VLOOKUP(まとめ表_バック金額[[#This Row],[管理番号]],名前リスト[[#All],[管理番号]:[氏名]],3,TRUE),"")</f>
        <v>サノ ジュンコ</v>
      </c>
      <c r="D333" s="79" t="str">
        <f t="shared" si="5"/>
        <v/>
      </c>
      <c r="E333" s="48"/>
      <c r="F33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4" spans="1:28">
      <c r="A334" s="20">
        <f>名前リスト[[#This Row],[管理番号]]</f>
        <v>1077</v>
      </c>
      <c r="B334" s="6">
        <f>IF(NOT(まとめ表_バック金額[[#This Row],[管理番号]]=""),VLOOKUP(まとめ表_バック金額[[#This Row],[管理番号]],名前リスト[[#All],[管理番号]:[氏名]],2,TRUE),"")</f>
        <v>0</v>
      </c>
      <c r="C334" s="21" t="str">
        <f>IF(NOT(まとめ表_バック金額[[#This Row],[管理番号]]=""),VLOOKUP(まとめ表_バック金額[[#This Row],[管理番号]],名前リスト[[#All],[管理番号]:[氏名]],3,TRUE),"")</f>
        <v>ミチノ　ナツキ</v>
      </c>
      <c r="D334" s="79" t="str">
        <f t="shared" si="5"/>
        <v/>
      </c>
      <c r="E334" s="48"/>
      <c r="F33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5" spans="1:28">
      <c r="A335" s="20">
        <f>名前リスト[[#This Row],[管理番号]]</f>
        <v>1078</v>
      </c>
      <c r="B335" s="6">
        <f>IF(NOT(まとめ表_バック金額[[#This Row],[管理番号]]=""),VLOOKUP(まとめ表_バック金額[[#This Row],[管理番号]],名前リスト[[#All],[管理番号]:[氏名]],2,TRUE),"")</f>
        <v>0</v>
      </c>
      <c r="C335" s="21" t="str">
        <f>IF(NOT(まとめ表_バック金額[[#This Row],[管理番号]]=""),VLOOKUP(まとめ表_バック金額[[#This Row],[管理番号]],名前リスト[[#All],[管理番号]:[氏名]],3,TRUE),"")</f>
        <v>ヤマグチ　マサト</v>
      </c>
      <c r="D335" s="79" t="str">
        <f t="shared" si="5"/>
        <v/>
      </c>
      <c r="E335" s="48"/>
      <c r="F33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6" spans="1:28">
      <c r="A336" s="20">
        <f>名前リスト[[#This Row],[管理番号]]</f>
        <v>1079</v>
      </c>
      <c r="B336" s="6">
        <f>IF(NOT(まとめ表_バック金額[[#This Row],[管理番号]]=""),VLOOKUP(まとめ表_バック金額[[#This Row],[管理番号]],名前リスト[[#All],[管理番号]:[氏名]],2,TRUE),"")</f>
        <v>0</v>
      </c>
      <c r="C336" s="21" t="str">
        <f>IF(NOT(まとめ表_バック金額[[#This Row],[管理番号]]=""),VLOOKUP(まとめ表_バック金額[[#This Row],[管理番号]],名前リスト[[#All],[管理番号]:[氏名]],3,TRUE),"")</f>
        <v>クボ　ヒヨリ</v>
      </c>
      <c r="D336" s="79" t="str">
        <f t="shared" si="5"/>
        <v/>
      </c>
      <c r="E336" s="48"/>
      <c r="F33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7" spans="1:28">
      <c r="A337" s="20">
        <f>名前リスト[[#This Row],[管理番号]]</f>
        <v>1080</v>
      </c>
      <c r="B337" s="6">
        <f>IF(NOT(まとめ表_バック金額[[#This Row],[管理番号]]=""),VLOOKUP(まとめ表_バック金額[[#This Row],[管理番号]],名前リスト[[#All],[管理番号]:[氏名]],2,TRUE),"")</f>
        <v>0</v>
      </c>
      <c r="C337" s="21" t="str">
        <f>IF(NOT(まとめ表_バック金額[[#This Row],[管理番号]]=""),VLOOKUP(まとめ表_バック金額[[#This Row],[管理番号]],名前リスト[[#All],[管理番号]:[氏名]],3,TRUE),"")</f>
        <v>ナガイ　タツキ</v>
      </c>
      <c r="D337" s="79" t="str">
        <f t="shared" si="5"/>
        <v/>
      </c>
      <c r="E337" s="48"/>
      <c r="F33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8" spans="1:28">
      <c r="A338" s="20">
        <f>名前リスト[[#This Row],[管理番号]]</f>
        <v>1081</v>
      </c>
      <c r="B338" s="6">
        <f>IF(NOT(まとめ表_バック金額[[#This Row],[管理番号]]=""),VLOOKUP(まとめ表_バック金額[[#This Row],[管理番号]],名前リスト[[#All],[管理番号]:[氏名]],2,TRUE),"")</f>
        <v>0</v>
      </c>
      <c r="C338" s="21" t="str">
        <f>IF(NOT(まとめ表_バック金額[[#This Row],[管理番号]]=""),VLOOKUP(まとめ表_バック金額[[#This Row],[管理番号]],名前リスト[[#All],[管理番号]:[氏名]],3,TRUE),"")</f>
        <v>タニマ　ショウタ</v>
      </c>
      <c r="D338" s="79" t="str">
        <f t="shared" si="5"/>
        <v/>
      </c>
      <c r="E338" s="48"/>
      <c r="F33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39" spans="1:28">
      <c r="A339" s="20">
        <f>名前リスト[[#This Row],[管理番号]]</f>
        <v>1082</v>
      </c>
      <c r="B339" s="6">
        <f>IF(NOT(まとめ表_バック金額[[#This Row],[管理番号]]=""),VLOOKUP(まとめ表_バック金額[[#This Row],[管理番号]],名前リスト[[#All],[管理番号]:[氏名]],2,TRUE),"")</f>
        <v>0</v>
      </c>
      <c r="C339" s="21" t="str">
        <f>IF(NOT(まとめ表_バック金額[[#This Row],[管理番号]]=""),VLOOKUP(まとめ表_バック金額[[#This Row],[管理番号]],名前リスト[[#All],[管理番号]:[氏名]],3,TRUE),"")</f>
        <v>コバヤシ　ユウタ</v>
      </c>
      <c r="D339" s="79" t="str">
        <f t="shared" si="5"/>
        <v/>
      </c>
      <c r="E339" s="48"/>
      <c r="F33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3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3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3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3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3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3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3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3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3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3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3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3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3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3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3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3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3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3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3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3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3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3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0" spans="1:28">
      <c r="A340" s="20">
        <f>名前リスト[[#This Row],[管理番号]]</f>
        <v>1083</v>
      </c>
      <c r="B340" s="6">
        <f>IF(NOT(まとめ表_バック金額[[#This Row],[管理番号]]=""),VLOOKUP(まとめ表_バック金額[[#This Row],[管理番号]],名前リスト[[#All],[管理番号]:[氏名]],2,TRUE),"")</f>
        <v>0</v>
      </c>
      <c r="C340" s="21" t="str">
        <f>IF(NOT(まとめ表_バック金額[[#This Row],[管理番号]]=""),VLOOKUP(まとめ表_バック金額[[#This Row],[管理番号]],名前リスト[[#All],[管理番号]:[氏名]],3,TRUE),"")</f>
        <v>フルモト　ダイキ</v>
      </c>
      <c r="D340" s="79" t="str">
        <f t="shared" si="5"/>
        <v/>
      </c>
      <c r="E340" s="48"/>
      <c r="F34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1" spans="1:28">
      <c r="A341" s="20">
        <f>名前リスト[[#This Row],[管理番号]]</f>
        <v>1084</v>
      </c>
      <c r="B341" s="6">
        <f>IF(NOT(まとめ表_バック金額[[#This Row],[管理番号]]=""),VLOOKUP(まとめ表_バック金額[[#This Row],[管理番号]],名前リスト[[#All],[管理番号]:[氏名]],2,TRUE),"")</f>
        <v>0</v>
      </c>
      <c r="C341" s="21" t="str">
        <f>IF(NOT(まとめ表_バック金額[[#This Row],[管理番号]]=""),VLOOKUP(まとめ表_バック金額[[#This Row],[管理番号]],名前リスト[[#All],[管理番号]:[氏名]],3,TRUE),"")</f>
        <v>ミチネ　アンナ</v>
      </c>
      <c r="D341" s="79" t="str">
        <f t="shared" si="5"/>
        <v/>
      </c>
      <c r="E341" s="48"/>
      <c r="F34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2" spans="1:28">
      <c r="A342" s="20">
        <f>名前リスト[[#This Row],[管理番号]]</f>
        <v>1085</v>
      </c>
      <c r="B342" s="6">
        <f>IF(NOT(まとめ表_バック金額[[#This Row],[管理番号]]=""),VLOOKUP(まとめ表_バック金額[[#This Row],[管理番号]],名前リスト[[#All],[管理番号]:[氏名]],2,TRUE),"")</f>
        <v>0</v>
      </c>
      <c r="C342" s="21" t="str">
        <f>IF(NOT(まとめ表_バック金額[[#This Row],[管理番号]]=""),VLOOKUP(まとめ表_バック金額[[#This Row],[管理番号]],名前リスト[[#All],[管理番号]:[氏名]],3,TRUE),"")</f>
        <v>イケダ　アキヒロ</v>
      </c>
      <c r="D342" s="79" t="str">
        <f t="shared" si="5"/>
        <v/>
      </c>
      <c r="E342" s="48"/>
      <c r="F342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2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2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2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2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2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2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2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2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2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2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2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2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2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2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2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2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2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2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2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2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2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2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3" spans="1:28">
      <c r="A343" s="20">
        <f>名前リスト[[#This Row],[管理番号]]</f>
        <v>1086</v>
      </c>
      <c r="B343" s="6">
        <f>IF(NOT(まとめ表_バック金額[[#This Row],[管理番号]]=""),VLOOKUP(まとめ表_バック金額[[#This Row],[管理番号]],名前リスト[[#All],[管理番号]:[氏名]],2,TRUE),"")</f>
        <v>0</v>
      </c>
      <c r="C343" s="21" t="str">
        <f>IF(NOT(まとめ表_バック金額[[#This Row],[管理番号]]=""),VLOOKUP(まとめ表_バック金額[[#This Row],[管理番号]],名前リスト[[#All],[管理番号]:[氏名]],3,TRUE),"")</f>
        <v>タケムラ　マヤ</v>
      </c>
      <c r="D343" s="79" t="str">
        <f t="shared" si="5"/>
        <v/>
      </c>
      <c r="E343" s="48"/>
      <c r="F343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3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3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3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3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3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3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3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3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3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3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3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3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3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3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3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3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3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3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3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3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3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3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4" spans="1:28">
      <c r="A344" s="20">
        <f>名前リスト[[#This Row],[管理番号]]</f>
        <v>1087</v>
      </c>
      <c r="B344" s="6">
        <f>IF(NOT(まとめ表_バック金額[[#This Row],[管理番号]]=""),VLOOKUP(まとめ表_バック金額[[#This Row],[管理番号]],名前リスト[[#All],[管理番号]:[氏名]],2,TRUE),"")</f>
        <v>0</v>
      </c>
      <c r="C344" s="21" t="str">
        <f>IF(NOT(まとめ表_バック金額[[#This Row],[管理番号]]=""),VLOOKUP(まとめ表_バック金額[[#This Row],[管理番号]],名前リスト[[#All],[管理番号]:[氏名]],3,TRUE),"")</f>
        <v>ツジ　カスミ</v>
      </c>
      <c r="D344" s="79" t="str">
        <f t="shared" si="5"/>
        <v/>
      </c>
      <c r="E344" s="48"/>
      <c r="F344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4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4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4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4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4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4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4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4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4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4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4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4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4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4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4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4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4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4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4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4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4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4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5" spans="1:28">
      <c r="A345" s="20">
        <f>名前リスト[[#This Row],[管理番号]]</f>
        <v>1088</v>
      </c>
      <c r="B345" s="6">
        <f>IF(NOT(まとめ表_バック金額[[#This Row],[管理番号]]=""),VLOOKUP(まとめ表_バック金額[[#This Row],[管理番号]],名前リスト[[#All],[管理番号]:[氏名]],2,TRUE),"")</f>
        <v>0</v>
      </c>
      <c r="C345" s="21" t="str">
        <f>IF(NOT(まとめ表_バック金額[[#This Row],[管理番号]]=""),VLOOKUP(まとめ表_バック金額[[#This Row],[管理番号]],名前リスト[[#All],[管理番号]:[氏名]],3,TRUE),"")</f>
        <v>ムラオカ　ナナ</v>
      </c>
      <c r="D345" s="79" t="str">
        <f t="shared" si="5"/>
        <v/>
      </c>
      <c r="E345" s="48"/>
      <c r="F345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5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5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5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5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5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5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5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5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5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5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5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5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5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5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5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5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5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5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5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5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5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5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6" spans="1:28">
      <c r="A346" s="20">
        <f>名前リスト[[#This Row],[管理番号]]</f>
        <v>1089</v>
      </c>
      <c r="B346" s="6">
        <f>IF(NOT(まとめ表_バック金額[[#This Row],[管理番号]]=""),VLOOKUP(まとめ表_バック金額[[#This Row],[管理番号]],名前リスト[[#All],[管理番号]:[氏名]],2,TRUE),"")</f>
        <v>0</v>
      </c>
      <c r="C346" s="21" t="str">
        <f>IF(NOT(まとめ表_バック金額[[#This Row],[管理番号]]=""),VLOOKUP(まとめ表_バック金額[[#This Row],[管理番号]],名前リスト[[#All],[管理番号]:[氏名]],3,TRUE),"")</f>
        <v>オノ　リンタロウ</v>
      </c>
      <c r="D346" s="79" t="str">
        <f t="shared" si="5"/>
        <v/>
      </c>
      <c r="E346" s="48"/>
      <c r="F346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6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6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6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6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6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6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6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6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6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6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6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6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6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6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6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6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6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6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6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6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6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6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7" spans="1:28">
      <c r="A347" s="20">
        <f>名前リスト[[#This Row],[管理番号]]</f>
        <v>1090</v>
      </c>
      <c r="B347" s="6">
        <f>IF(NOT(まとめ表_バック金額[[#This Row],[管理番号]]=""),VLOOKUP(まとめ表_バック金額[[#This Row],[管理番号]],名前リスト[[#All],[管理番号]:[氏名]],2,TRUE),"")</f>
        <v>0</v>
      </c>
      <c r="C347" s="21" t="str">
        <f>IF(NOT(まとめ表_バック金額[[#This Row],[管理番号]]=""),VLOOKUP(まとめ表_バック金額[[#This Row],[管理番号]],名前リスト[[#All],[管理番号]:[氏名]],3,TRUE),"")</f>
        <v>ハヤシ サヤカ</v>
      </c>
      <c r="D347" s="79" t="str">
        <f t="shared" si="5"/>
        <v/>
      </c>
      <c r="E347" s="48"/>
      <c r="F347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7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7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7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7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7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7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7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7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7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7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7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7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7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7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7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7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7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7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7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7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7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7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8" spans="1:28">
      <c r="A348" s="20">
        <f>名前リスト[[#This Row],[管理番号]]</f>
        <v>1091</v>
      </c>
      <c r="B348" s="6">
        <f>IF(NOT(まとめ表_バック金額[[#This Row],[管理番号]]=""),VLOOKUP(まとめ表_バック金額[[#This Row],[管理番号]],名前リスト[[#All],[管理番号]:[氏名]],2,TRUE),"")</f>
        <v>0</v>
      </c>
      <c r="C348" s="21">
        <f>IF(NOT(まとめ表_バック金額[[#This Row],[管理番号]]=""),VLOOKUP(まとめ表_バック金額[[#This Row],[管理番号]],名前リスト[[#All],[管理番号]:[氏名]],3,TRUE),"")</f>
        <v>0</v>
      </c>
      <c r="D348" s="79" t="str">
        <f t="shared" si="5"/>
        <v/>
      </c>
      <c r="E348" s="48"/>
      <c r="F348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8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8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8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8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8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8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8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8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8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8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8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8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8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8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8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8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8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8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8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8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8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8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49" spans="1:28">
      <c r="A349" s="20">
        <f>名前リスト[[#This Row],[管理番号]]</f>
        <v>1092</v>
      </c>
      <c r="B349" s="6">
        <f>IF(NOT(まとめ表_バック金額[[#This Row],[管理番号]]=""),VLOOKUP(まとめ表_バック金額[[#This Row],[管理番号]],名前リスト[[#All],[管理番号]:[氏名]],2,TRUE),"")</f>
        <v>0</v>
      </c>
      <c r="C349" s="21">
        <f>IF(NOT(まとめ表_バック金額[[#This Row],[管理番号]]=""),VLOOKUP(まとめ表_バック金額[[#This Row],[管理番号]],名前リスト[[#All],[管理番号]:[氏名]],3,TRUE),"")</f>
        <v>0</v>
      </c>
      <c r="D349" s="79" t="str">
        <f t="shared" si="5"/>
        <v/>
      </c>
      <c r="E349" s="48"/>
      <c r="F349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49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49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49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49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49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49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49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49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49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49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49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49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49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49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49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49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49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49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49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49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49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49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0" spans="1:28">
      <c r="A350" s="20">
        <f>名前リスト[[#This Row],[管理番号]]</f>
        <v>1093</v>
      </c>
      <c r="B350" s="6">
        <f>IF(NOT(まとめ表_バック金額[[#This Row],[管理番号]]=""),VLOOKUP(まとめ表_バック金額[[#This Row],[管理番号]],名前リスト[[#All],[管理番号]:[氏名]],2,TRUE),"")</f>
        <v>0</v>
      </c>
      <c r="C350" s="21">
        <f>IF(NOT(まとめ表_バック金額[[#This Row],[管理番号]]=""),VLOOKUP(まとめ表_バック金額[[#This Row],[管理番号]],名前リスト[[#All],[管理番号]:[氏名]],3,TRUE),"")</f>
        <v>0</v>
      </c>
      <c r="D350" s="79" t="str">
        <f t="shared" si="5"/>
        <v/>
      </c>
      <c r="E350" s="48"/>
      <c r="F350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0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0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0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0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0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0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0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0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0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0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0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0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0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0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0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0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0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0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0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0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0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0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  <row r="351" spans="1:28">
      <c r="A351" s="20">
        <f>名前リスト[[#This Row],[管理番号]]</f>
        <v>1094</v>
      </c>
      <c r="B351" s="6" t="str">
        <f>IF(NOT(まとめ表_バック金額[[#This Row],[管理番号]]=""),VLOOKUP(まとめ表_バック金額[[#This Row],[管理番号]],名前リスト[[#All],[管理番号]:[氏名]],2,TRUE),"")</f>
        <v>たくま</v>
      </c>
      <c r="C351" s="21">
        <f>IF(NOT(まとめ表_バック金額[[#This Row],[管理番号]]=""),VLOOKUP(まとめ表_バック金額[[#This Row],[管理番号]],名前リスト[[#All],[管理番号]:[氏名]],3,TRUE),"")</f>
        <v>0</v>
      </c>
      <c r="D351" s="79" t="str">
        <f t="shared" si="5"/>
        <v/>
      </c>
      <c r="E351" s="48"/>
      <c r="F351" s="48">
        <f>SUMIFS(梅田パンプキン4000[[#All],[イベンターへ]],梅田パンプキン4000[[#All],[イベンター予約名]],まとめ表_バック金額[[#This Row],[管理番号]])+SUMIFS(梅田パンプキン3500[[#All],[イベンターへ]],梅田パンプキン3500[[#All],[イベンター予約名]],まとめ表_バック金額[[#This Row],[管理番号]])</f>
        <v>0</v>
      </c>
      <c r="G351" s="48">
        <f>SUMIFS(堀江あいあい4000[[#All],[イベンターへ]],堀江あいあい4000[[#All],[イベンター予約名]],まとめ表_バック金額[[#This Row],[管理番号]])+SUMIFS(堀江あいあい3500[[#All],[イベンターへ]],堀江あいあい3500[[#All],[イベンター予約名]],まとめ表_バック金額[[#This Row],[管理番号]])</f>
        <v>0</v>
      </c>
      <c r="H351" s="48">
        <f>SUMIFS(堀江ファイブ4000[[#All],[イベンターへ]],堀江ファイブ4000[[#All],[イベンター予約名]],まとめ表_バック金額[[#This Row],[管理番号]])+SUMIFS(堀江ファイブ3500[[#All],[イベンターへ]],堀江ファイブ3500[[#All],[イベンター予約名]],まとめ表_バック金額[[#This Row],[管理番号]])</f>
        <v>0</v>
      </c>
      <c r="I351" s="48">
        <f>SUMIFS(北新地ファイブ4000[[#All],[イベンターへ]],北新地ファイブ4000[[#All],[イベンター予約名]],まとめ表_バック金額[[#This Row],[管理番号]])+SUMIFS(北新地ファイブ3500[[#All],[イベンターへ]],北新地ファイブ3500[[#All],[イベンター予約名]],まとめ表_バック金額[[#This Row],[管理番号]])</f>
        <v>0</v>
      </c>
      <c r="J351" s="48">
        <f>SUMIFS(梅田ここから4000[[#All],[イベンターへ]],梅田ここから4000[[#All],[イベンター予約名]],まとめ表_バック金額[[#This Row],[管理番号]])+SUMIFS(梅田ここから3500[[#All],[イベンターへ]],梅田ここから3500[[#All],[イベンター予約名]],まとめ表_バック金額[[#This Row],[管理番号]])</f>
        <v>0</v>
      </c>
      <c r="K351" s="48">
        <f>SUMIFS(梅田石狩4000[[#All],[イベンターへ]],梅田石狩4000[[#All],[イベンター予約名]],まとめ表_バック金額[[#This Row],[管理番号]])+SUMIFS(梅田石狩3500[[#All],[イベンターへ]],梅田石狩3500[[#All],[イベンター予約名]],まとめ表_バック金額[[#This Row],[管理番号]])</f>
        <v>0</v>
      </c>
      <c r="L351" s="48">
        <f>SUMIFS(梅田あん4000[[#All],[イベンターへ]],梅田あん4000[[#All],[イベンター予約名]],まとめ表_バック金額[[#This Row],[管理番号]])+SUMIFS(梅田あん3500[[#All],[イベンターへ]],梅田あん3500[[#All],[イベンター予約名]],まとめ表_バック金額[[#This Row],[管理番号]])</f>
        <v>0</v>
      </c>
      <c r="M351" s="48">
        <f>SUMIFS(心斎橋サファリ4000[[#All],[イベンターへ]],心斎橋サファリ4000[[#All],[イベンター予約名]],まとめ表_バック金額[[#This Row],[管理番号]])+SUMIFS(心斎橋サファリ3500[[#All],[イベンターへ]],心斎橋サファリ3500[[#All],[イベンター予約名]],まとめ表_バック金額[[#This Row],[管理番号]])</f>
        <v>0</v>
      </c>
      <c r="N351" s="48">
        <f>SUMIFS(心斎橋3ebar4000円[[#All],[イベンターへ]],心斎橋3ebar4000円[[#All],[予約番号]],まとめ表_バック金額[[#This Row],[管理番号]])+SUMIFS(心斎橋3ebar3500円[[#All],[イベンターへ]],心斎橋3ebar3500円[[#All],[予約番号]],まとめ表_バック金額[[#This Row],[管理番号]])</f>
        <v>0</v>
      </c>
      <c r="O351" s="48">
        <f>SUMIFS(心斎橋ラプロメッサ4000円[[#All],[イベンターへ]],心斎橋ラプロメッサ4000円[[#All],[予約番号]],まとめ表_バック金額[[#This Row],[管理番号]])+SUMIFS(心斎橋ラプロメッサ3500円[[#All],[イベンターへ]],心斎橋ラプロメッサ3500円[[#All],[予約番号]],まとめ表_バック金額[[#This Row],[管理番号]])</f>
        <v>0</v>
      </c>
      <c r="P351" s="48">
        <f>SUMIFS(心斎橋MアンドM4000円[[#All],[イベンターへ]],心斎橋MアンドM4000円[[#All],[予約番号]],まとめ表_バック金額[[#This Row],[管理番号]])+SUMIFS(心斎橋MアンドM3500円[[#All],[イベンターへ]],心斎橋MアンドM3500円[[#All],[予約番号]],まとめ表_バック金額[[#This Row],[管理番号]])</f>
        <v>0</v>
      </c>
      <c r="Q351" s="48">
        <f>SUMIFS(心斎橋CSB4000円[[#All],[イベンターへ]],心斎橋CSB4000円[[#All],[予約番号]],まとめ表_バック金額[[#This Row],[管理番号]])+SUMIFS(心斎橋CSB3500円[[#All],[イベンターへ]],心斎橋CSB3500円[[#All],[予約番号]],まとめ表_バック金額[[#This Row],[管理番号]])</f>
        <v>0</v>
      </c>
      <c r="R351" s="48">
        <f>SUMIFS(梅田煙4000[[#All],[イベンターへ]],梅田煙4000[[#All],[イベンター予約名]],まとめ表_バック金額[[#This Row],[管理番号]])+SUMIFS(梅田煙3500[[#All],[イベンターへ]],梅田煙3500[[#All],[イベンター予約名]],まとめ表_バック金額[[#This Row],[管理番号]])</f>
        <v>0</v>
      </c>
      <c r="S351" s="48">
        <f>SUMIFS(難波煙4000円[[#All],[イベンターへ]],難波煙4000円[[#All],[予約番号]],まとめ表_バック金額[[#This Row],[管理番号]])+SUMIFS(難波煙3500円[[#All],[イベンターへ]],難波煙3500円[[#All],[予約番号]],まとめ表_バック金額[[#This Row],[管理番号]])</f>
        <v>0</v>
      </c>
      <c r="T351" s="48">
        <f>SUMIFS(三ノ宮多味庵4000[[#All],[イベンターへ]],三ノ宮多味庵4000[[#All],[イベンター予約名]],まとめ表_バック金額[[#This Row],[管理番号]])+SUMIFS(三ノ宮多味庵3500[[#All],[イベンターへ]],三ノ宮多味庵3500[[#All],[イベンター予約名]],まとめ表_バック金額[[#This Row],[管理番号]])</f>
        <v>0</v>
      </c>
      <c r="U351" s="48">
        <f>SUMIFS(天王寺キャンパス4000円[[#All],[イベンターへ]],天王寺キャンパス4000円[[#All],[イベンター予約名]],まとめ表_バック金額[[#This Row],[管理番号]])+SUMIFS(天王寺キャンパス3500円[[#All],[イベンターへ]],天王寺キャンパス3500円[[#All],[イベンター予約名]],まとめ表_バック金額[[#This Row],[管理番号]])</f>
        <v>0</v>
      </c>
      <c r="V351" s="48">
        <f>SUMIFS(三ノ宮琥珀の泉4000円[[#All],[イベンターへ]],三ノ宮琥珀の泉4000円[[#All],[イベンター予約名]],まとめ表_バック金額[[#This Row],[管理番号]])+SUMIFS(三ノ宮琥珀の泉3500円[[#All],[イベンターへ]],三ノ宮琥珀の泉3500円[[#All],[イベンター予約名]],まとめ表_バック金額[[#This Row],[管理番号]])</f>
        <v>0</v>
      </c>
      <c r="W351" s="48">
        <f>SUMIFS(三ノ宮旬家4000円[[#All],[イベンターへ]],三ノ宮旬家4000円[[#All],[イベンター予約名]],まとめ表_バック金額[[#This Row],[管理番号]])+SUMIFS(三ノ宮旬家3500円[[#All],[イベンターへ]],三ノ宮旬家3500円[[#All],[イベンター予約名]],まとめ表_バック金額[[#This Row],[管理番号]])</f>
        <v>0</v>
      </c>
      <c r="X351" s="48">
        <f>SUMIFS(三ノ宮きさらぎ4000円[[#All],[イベンターへ]],三ノ宮きさらぎ4000円[[#All],[イベンター予約名]],まとめ表_バック金額[[#This Row],[管理番号]])+SUMIFS(三ノ宮きさらぎ3500円[[#All],[イベンターへ]],三ノ宮きさらぎ3500円[[#All],[イベンター予約名]],まとめ表_バック金額[[#This Row],[管理番号]])</f>
        <v>0</v>
      </c>
      <c r="Y351" s="48">
        <f>SUMIFS(三ノ宮肉バルしょうじ4000円[[#All],[イベンターへ]],三ノ宮肉バルしょうじ4000円[[#All],[イベンター予約名]],まとめ表_バック金額[[#This Row],[管理番号]])+SUMIFS(三ノ宮肉バルしょうじ3500円[[#All],[イベンターへ]],三ノ宮肉バルしょうじ3500円[[#All],[イベンター予約名]],まとめ表_バック金額[[#This Row],[管理番号]])</f>
        <v>0</v>
      </c>
      <c r="Z351" s="48">
        <f>SUMIFS(京都パンプキ4000円[[#All],[イベンターへ]],京都パンプキ4000円[[#All],[イベンター予約名]],まとめ表_バック金額[[#This Row],[管理番号]])+SUMIFS(京都パンプキ3500円[[#All],[イベンターへ]],京都パンプキ3500円[[#All],[イベンター予約名]],まとめ表_バック金額[[#This Row],[管理番号]])</f>
        <v>0</v>
      </c>
      <c r="AA351" s="76">
        <f>SUMIFS(京都A554000円[[#All],[イベンターへ]],京都A554000円[[#All],[イベンター予約名]],まとめ表_バック金額[[#This Row],[管理番号]])+SUMIFS(京都A553500円[[#All],[イベンターへ]],京都A553500円[[#All],[イベンター予約名]],まとめ表_バック金額[[#This Row],[管理番号]])</f>
        <v>0</v>
      </c>
      <c r="AB351" s="76">
        <f>SUMIFS(三ノ宮Barさんかく4000[[#All],[イベンターへ]],三ノ宮Barさんかく4000[[#All],[イベンター予約名]],まとめ表_バック金額[[#This Row],[管理番号]])+SUMIFS(三ノ宮Barさんかく3500[[#All],[イベンターへ]],三ノ宮Barさんかく3500[[#All],[イベンター予約名]],まとめ表_バック金額[[#This Row],[管理番号]])</f>
        <v>0</v>
      </c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F0D4B-A3B4-4680-9316-D2024FD3F157}">
  <sheetPr codeName="Sheet34"/>
  <dimension ref="A1:F49"/>
  <sheetViews>
    <sheetView workbookViewId="0">
      <selection activeCell="F21" sqref="F21"/>
    </sheetView>
  </sheetViews>
  <sheetFormatPr defaultRowHeight="19.5"/>
  <sheetData>
    <row r="1" spans="1:6">
      <c r="A1" s="85" t="s">
        <v>380</v>
      </c>
      <c r="B1" s="85" t="s">
        <v>324</v>
      </c>
      <c r="E1" s="85" t="s">
        <v>381</v>
      </c>
      <c r="F1" s="85" t="s">
        <v>324</v>
      </c>
    </row>
    <row r="2" spans="1:6">
      <c r="A2" s="85" t="s">
        <v>237</v>
      </c>
      <c r="B2" s="113"/>
      <c r="C2" s="85"/>
      <c r="E2" s="85" t="s">
        <v>237</v>
      </c>
      <c r="F2" s="113"/>
    </row>
    <row r="3" spans="1:6">
      <c r="A3">
        <v>4</v>
      </c>
      <c r="B3">
        <v>4000</v>
      </c>
      <c r="E3">
        <v>4</v>
      </c>
      <c r="F3">
        <v>4000</v>
      </c>
    </row>
    <row r="4" spans="1:6">
      <c r="A4">
        <v>5</v>
      </c>
      <c r="B4">
        <v>5000</v>
      </c>
      <c r="E4">
        <v>5</v>
      </c>
      <c r="F4">
        <v>5000</v>
      </c>
    </row>
    <row r="5" spans="1:6">
      <c r="A5">
        <v>6</v>
      </c>
      <c r="B5">
        <v>7000</v>
      </c>
      <c r="E5">
        <v>6</v>
      </c>
      <c r="F5">
        <v>6000</v>
      </c>
    </row>
    <row r="6" spans="1:6">
      <c r="A6">
        <v>7</v>
      </c>
      <c r="B6">
        <v>9000</v>
      </c>
      <c r="E6">
        <v>7</v>
      </c>
      <c r="F6">
        <v>8000</v>
      </c>
    </row>
    <row r="7" spans="1:6">
      <c r="A7">
        <v>8</v>
      </c>
      <c r="B7">
        <v>10000</v>
      </c>
      <c r="E7">
        <v>8</v>
      </c>
      <c r="F7">
        <v>9000</v>
      </c>
    </row>
    <row r="8" spans="1:6">
      <c r="A8">
        <v>9</v>
      </c>
      <c r="B8">
        <v>11000</v>
      </c>
      <c r="E8">
        <v>9</v>
      </c>
      <c r="F8">
        <v>10000</v>
      </c>
    </row>
    <row r="9" spans="1:6">
      <c r="A9">
        <v>10</v>
      </c>
      <c r="B9">
        <v>12000</v>
      </c>
      <c r="E9">
        <v>10</v>
      </c>
      <c r="F9">
        <v>11000</v>
      </c>
    </row>
    <row r="10" spans="1:6">
      <c r="A10">
        <v>11</v>
      </c>
      <c r="B10">
        <v>13000</v>
      </c>
      <c r="E10">
        <v>11</v>
      </c>
      <c r="F10">
        <v>12000</v>
      </c>
    </row>
    <row r="11" spans="1:6">
      <c r="A11">
        <v>12</v>
      </c>
      <c r="B11">
        <v>14000</v>
      </c>
      <c r="E11">
        <v>12</v>
      </c>
      <c r="F11">
        <v>13000</v>
      </c>
    </row>
    <row r="12" spans="1:6">
      <c r="A12">
        <v>13</v>
      </c>
      <c r="B12">
        <v>15000</v>
      </c>
      <c r="E12">
        <v>13</v>
      </c>
      <c r="F12">
        <v>14000</v>
      </c>
    </row>
    <row r="13" spans="1:6">
      <c r="A13">
        <v>14</v>
      </c>
      <c r="B13">
        <v>16000</v>
      </c>
      <c r="E13">
        <v>14</v>
      </c>
      <c r="F13">
        <v>15000</v>
      </c>
    </row>
    <row r="14" spans="1:6">
      <c r="A14">
        <v>15</v>
      </c>
      <c r="B14">
        <v>17000</v>
      </c>
      <c r="E14">
        <v>15</v>
      </c>
      <c r="F14">
        <v>16000</v>
      </c>
    </row>
    <row r="15" spans="1:6">
      <c r="A15">
        <v>16</v>
      </c>
      <c r="B15">
        <v>20000</v>
      </c>
      <c r="E15">
        <v>16</v>
      </c>
      <c r="F15">
        <v>18000</v>
      </c>
    </row>
    <row r="16" spans="1:6">
      <c r="A16">
        <v>17</v>
      </c>
      <c r="B16">
        <v>21000</v>
      </c>
      <c r="E16">
        <v>17</v>
      </c>
      <c r="F16">
        <v>19000</v>
      </c>
    </row>
    <row r="17" spans="1:6">
      <c r="A17">
        <v>18</v>
      </c>
      <c r="B17">
        <v>22000</v>
      </c>
      <c r="E17">
        <v>18</v>
      </c>
      <c r="F17">
        <v>20000</v>
      </c>
    </row>
    <row r="18" spans="1:6">
      <c r="A18">
        <v>19</v>
      </c>
      <c r="B18">
        <v>23000</v>
      </c>
      <c r="E18">
        <v>19</v>
      </c>
      <c r="F18">
        <v>21000</v>
      </c>
    </row>
    <row r="19" spans="1:6">
      <c r="A19">
        <v>20</v>
      </c>
      <c r="B19">
        <v>24000</v>
      </c>
      <c r="E19">
        <v>20</v>
      </c>
      <c r="F19">
        <v>22000</v>
      </c>
    </row>
    <row r="20" spans="1:6">
      <c r="A20">
        <v>21</v>
      </c>
      <c r="B20">
        <v>25000</v>
      </c>
      <c r="E20">
        <v>21</v>
      </c>
      <c r="F20">
        <v>23000</v>
      </c>
    </row>
    <row r="21" spans="1:6">
      <c r="A21">
        <v>22</v>
      </c>
      <c r="B21">
        <v>26000</v>
      </c>
      <c r="E21">
        <v>22</v>
      </c>
      <c r="F21">
        <v>24000</v>
      </c>
    </row>
    <row r="22" spans="1:6">
      <c r="A22">
        <v>23</v>
      </c>
      <c r="B22">
        <v>27000</v>
      </c>
      <c r="E22">
        <v>23</v>
      </c>
      <c r="F22">
        <v>25000</v>
      </c>
    </row>
    <row r="23" spans="1:6">
      <c r="A23">
        <v>24</v>
      </c>
      <c r="B23">
        <v>28000</v>
      </c>
      <c r="E23">
        <v>24</v>
      </c>
      <c r="F23">
        <v>26000</v>
      </c>
    </row>
    <row r="24" spans="1:6">
      <c r="A24">
        <v>25</v>
      </c>
      <c r="B24">
        <v>29000</v>
      </c>
      <c r="E24">
        <v>25</v>
      </c>
      <c r="F24">
        <v>27000</v>
      </c>
    </row>
    <row r="25" spans="1:6">
      <c r="A25">
        <v>26</v>
      </c>
      <c r="B25">
        <v>31000</v>
      </c>
      <c r="E25">
        <v>26</v>
      </c>
      <c r="F25">
        <v>28000</v>
      </c>
    </row>
    <row r="26" spans="1:6">
      <c r="A26">
        <v>27</v>
      </c>
      <c r="B26">
        <v>33000</v>
      </c>
      <c r="E26">
        <v>27</v>
      </c>
      <c r="F26">
        <v>30000</v>
      </c>
    </row>
    <row r="27" spans="1:6">
      <c r="A27">
        <v>28</v>
      </c>
      <c r="B27">
        <v>34000</v>
      </c>
      <c r="E27">
        <v>28</v>
      </c>
      <c r="F27">
        <v>31000</v>
      </c>
    </row>
    <row r="28" spans="1:6">
      <c r="A28">
        <v>29</v>
      </c>
      <c r="B28">
        <v>35000</v>
      </c>
      <c r="E28">
        <v>29</v>
      </c>
      <c r="F28">
        <v>32000</v>
      </c>
    </row>
    <row r="29" spans="1:6">
      <c r="A29">
        <v>30</v>
      </c>
      <c r="B29">
        <v>36000</v>
      </c>
      <c r="E29">
        <v>30</v>
      </c>
      <c r="F29">
        <v>33000</v>
      </c>
    </row>
    <row r="30" spans="1:6">
      <c r="A30">
        <v>31</v>
      </c>
      <c r="B30" s="85">
        <v>37000</v>
      </c>
      <c r="E30">
        <v>31</v>
      </c>
      <c r="F30">
        <v>34000</v>
      </c>
    </row>
    <row r="31" spans="1:6">
      <c r="A31">
        <v>32</v>
      </c>
      <c r="B31">
        <v>38000</v>
      </c>
      <c r="E31">
        <v>32</v>
      </c>
      <c r="F31">
        <v>35000</v>
      </c>
    </row>
    <row r="32" spans="1:6">
      <c r="A32">
        <v>33</v>
      </c>
      <c r="B32">
        <v>39000</v>
      </c>
      <c r="E32">
        <v>33</v>
      </c>
      <c r="F32">
        <v>36000</v>
      </c>
    </row>
    <row r="33" spans="1:6">
      <c r="A33">
        <v>34</v>
      </c>
      <c r="B33">
        <v>40000</v>
      </c>
      <c r="E33">
        <v>34</v>
      </c>
      <c r="F33">
        <v>37000</v>
      </c>
    </row>
    <row r="34" spans="1:6">
      <c r="A34">
        <v>35</v>
      </c>
      <c r="B34">
        <v>41000</v>
      </c>
      <c r="E34">
        <v>35</v>
      </c>
      <c r="F34">
        <v>38000</v>
      </c>
    </row>
    <row r="35" spans="1:6">
      <c r="A35">
        <v>36</v>
      </c>
      <c r="B35" s="85">
        <v>44000</v>
      </c>
      <c r="E35">
        <v>36</v>
      </c>
      <c r="F35">
        <v>40000</v>
      </c>
    </row>
    <row r="36" spans="1:6">
      <c r="A36">
        <v>37</v>
      </c>
      <c r="B36">
        <v>45000</v>
      </c>
      <c r="E36">
        <v>37</v>
      </c>
      <c r="F36">
        <v>41000</v>
      </c>
    </row>
    <row r="37" spans="1:6">
      <c r="A37">
        <v>38</v>
      </c>
      <c r="B37">
        <v>46000</v>
      </c>
      <c r="E37">
        <v>38</v>
      </c>
      <c r="F37">
        <v>42000</v>
      </c>
    </row>
    <row r="38" spans="1:6">
      <c r="A38">
        <v>39</v>
      </c>
      <c r="B38">
        <v>47000</v>
      </c>
      <c r="E38">
        <v>39</v>
      </c>
      <c r="F38">
        <v>43000</v>
      </c>
    </row>
    <row r="39" spans="1:6">
      <c r="A39">
        <v>40</v>
      </c>
      <c r="B39">
        <v>48000</v>
      </c>
      <c r="E39">
        <v>40</v>
      </c>
      <c r="F39">
        <v>44000</v>
      </c>
    </row>
    <row r="40" spans="1:6">
      <c r="A40">
        <v>41</v>
      </c>
      <c r="B40">
        <v>49000</v>
      </c>
      <c r="E40">
        <v>41</v>
      </c>
      <c r="F40">
        <v>45000</v>
      </c>
    </row>
    <row r="41" spans="1:6">
      <c r="A41">
        <v>42</v>
      </c>
      <c r="B41">
        <v>50000</v>
      </c>
      <c r="E41">
        <v>42</v>
      </c>
      <c r="F41">
        <v>46000</v>
      </c>
    </row>
    <row r="42" spans="1:6">
      <c r="A42">
        <v>43</v>
      </c>
      <c r="B42">
        <v>51000</v>
      </c>
      <c r="E42">
        <v>43</v>
      </c>
      <c r="F42">
        <v>47000</v>
      </c>
    </row>
    <row r="43" spans="1:6">
      <c r="A43">
        <v>44</v>
      </c>
      <c r="B43">
        <v>52000</v>
      </c>
      <c r="E43">
        <v>44</v>
      </c>
      <c r="F43">
        <v>48000</v>
      </c>
    </row>
    <row r="44" spans="1:6">
      <c r="A44">
        <v>45</v>
      </c>
      <c r="B44">
        <v>53000</v>
      </c>
      <c r="E44">
        <v>45</v>
      </c>
      <c r="F44">
        <v>49000</v>
      </c>
    </row>
    <row r="45" spans="1:6">
      <c r="A45">
        <v>46</v>
      </c>
      <c r="B45">
        <v>54000</v>
      </c>
      <c r="E45">
        <v>46</v>
      </c>
      <c r="F45">
        <v>50000</v>
      </c>
    </row>
    <row r="46" spans="1:6">
      <c r="A46">
        <v>47</v>
      </c>
      <c r="B46">
        <v>55000</v>
      </c>
      <c r="E46">
        <v>47</v>
      </c>
      <c r="F46">
        <v>51000</v>
      </c>
    </row>
    <row r="47" spans="1:6">
      <c r="A47">
        <v>48</v>
      </c>
      <c r="B47">
        <v>56000</v>
      </c>
      <c r="E47">
        <v>48</v>
      </c>
      <c r="F47">
        <v>52000</v>
      </c>
    </row>
    <row r="48" spans="1:6">
      <c r="A48">
        <v>49</v>
      </c>
      <c r="B48">
        <v>57000</v>
      </c>
      <c r="E48">
        <v>49</v>
      </c>
      <c r="F48">
        <v>53000</v>
      </c>
    </row>
    <row r="49" spans="1:6">
      <c r="A49">
        <v>50</v>
      </c>
      <c r="B49">
        <v>58000</v>
      </c>
      <c r="E49">
        <v>50</v>
      </c>
      <c r="F49">
        <v>54000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7F36-07C3-476E-B3FE-E98DDD8C419C}">
  <sheetPr codeName="Sheet30"/>
  <dimension ref="B1:AA79"/>
  <sheetViews>
    <sheetView topLeftCell="F1" zoomScale="67" workbookViewId="0">
      <selection activeCell="L9" sqref="L9"/>
    </sheetView>
  </sheetViews>
  <sheetFormatPr defaultColWidth="11.5546875" defaultRowHeight="19.5"/>
  <cols>
    <col min="1" max="3" width="11.5546875" style="8"/>
    <col min="4" max="6" width="11.5546875" style="9"/>
    <col min="7" max="8" width="11.5546875" style="8"/>
    <col min="9" max="12" width="11.5546875" style="9"/>
    <col min="13" max="16384" width="11.5546875" style="8"/>
  </cols>
  <sheetData>
    <row r="1" spans="2:27">
      <c r="B1" s="8" t="s">
        <v>212</v>
      </c>
      <c r="C1" s="8" t="s">
        <v>213</v>
      </c>
      <c r="D1" s="9">
        <v>2500</v>
      </c>
      <c r="E1" s="9">
        <v>2200</v>
      </c>
      <c r="F1" s="9">
        <v>2000</v>
      </c>
      <c r="H1" s="8" t="s">
        <v>214</v>
      </c>
      <c r="I1" s="9">
        <v>4000</v>
      </c>
      <c r="J1" s="9" t="s">
        <v>215</v>
      </c>
      <c r="K1" s="24" t="s">
        <v>216</v>
      </c>
      <c r="L1" s="9" t="s">
        <v>217</v>
      </c>
      <c r="M1" s="8" t="s">
        <v>218</v>
      </c>
      <c r="N1" s="8">
        <v>3500</v>
      </c>
      <c r="O1" s="9" t="s">
        <v>215</v>
      </c>
      <c r="P1" s="24" t="s">
        <v>216</v>
      </c>
      <c r="Q1" s="9" t="s">
        <v>217</v>
      </c>
      <c r="R1" s="8" t="s">
        <v>219</v>
      </c>
      <c r="S1" s="8">
        <v>4000</v>
      </c>
      <c r="T1" s="9" t="s">
        <v>215</v>
      </c>
      <c r="U1" s="24" t="s">
        <v>216</v>
      </c>
      <c r="V1" s="9" t="s">
        <v>217</v>
      </c>
      <c r="W1" s="8" t="s">
        <v>219</v>
      </c>
      <c r="X1" s="8">
        <v>3500</v>
      </c>
      <c r="Y1" s="9" t="s">
        <v>215</v>
      </c>
      <c r="Z1" s="24" t="s">
        <v>216</v>
      </c>
      <c r="AA1" s="9" t="s">
        <v>217</v>
      </c>
    </row>
    <row r="2" spans="2:27">
      <c r="B2" s="8">
        <v>4000</v>
      </c>
      <c r="C2" s="8">
        <v>4</v>
      </c>
      <c r="D2" s="9">
        <f>$D$1*C2</f>
        <v>10000</v>
      </c>
      <c r="E2" s="9">
        <f>D2-C2*300</f>
        <v>8800</v>
      </c>
      <c r="F2" s="9">
        <f>$F$1*C2</f>
        <v>8000</v>
      </c>
      <c r="H2" s="8">
        <v>6</v>
      </c>
      <c r="I2" s="9">
        <f t="shared" ref="I2:I19" si="0">$I$1*H2</f>
        <v>24000</v>
      </c>
      <c r="J2" s="9">
        <v>15000</v>
      </c>
      <c r="K2" s="9">
        <f>I2-J2</f>
        <v>9000</v>
      </c>
      <c r="L2" s="9">
        <v>7000</v>
      </c>
      <c r="M2" s="8">
        <v>6</v>
      </c>
      <c r="N2" s="9">
        <f>$N$1*H2</f>
        <v>21000</v>
      </c>
      <c r="O2" s="9">
        <v>15000</v>
      </c>
      <c r="P2" s="9">
        <f>N2-O2</f>
        <v>6000</v>
      </c>
      <c r="Q2" s="9">
        <f>L2-500*$M2</f>
        <v>4000</v>
      </c>
      <c r="R2" s="8">
        <v>6</v>
      </c>
      <c r="S2" s="9">
        <f t="shared" ref="S2:S19" si="1">$S$1*$H2</f>
        <v>24000</v>
      </c>
      <c r="T2" s="9">
        <v>15000</v>
      </c>
      <c r="U2" s="9">
        <f>S2-T2-1000</f>
        <v>8000</v>
      </c>
      <c r="V2" s="9">
        <f>L2-1000</f>
        <v>6000</v>
      </c>
      <c r="W2" s="8">
        <v>6</v>
      </c>
      <c r="X2" s="9">
        <f t="shared" ref="X2:X19" si="2">$X$1*$H2</f>
        <v>21000</v>
      </c>
      <c r="Y2" s="9">
        <v>15000</v>
      </c>
      <c r="Z2" s="9">
        <f>X2-Y2-1000</f>
        <v>5000</v>
      </c>
      <c r="AA2" s="25">
        <f>Q2-1000</f>
        <v>3000</v>
      </c>
    </row>
    <row r="3" spans="2:27">
      <c r="B3" s="8">
        <v>3500</v>
      </c>
      <c r="C3" s="8">
        <v>5</v>
      </c>
      <c r="D3" s="9">
        <f>$D$1*C3</f>
        <v>12500</v>
      </c>
      <c r="E3" s="9">
        <f>D3-C3*300</f>
        <v>11000</v>
      </c>
      <c r="F3" s="9">
        <f>$F$1*C3</f>
        <v>10000</v>
      </c>
      <c r="H3" s="8">
        <v>8</v>
      </c>
      <c r="I3" s="9">
        <f t="shared" si="0"/>
        <v>32000</v>
      </c>
      <c r="J3" s="9">
        <v>17500</v>
      </c>
      <c r="K3" s="9">
        <f t="shared" ref="K3:K19" si="3">I3-J3</f>
        <v>14500</v>
      </c>
      <c r="L3" s="9">
        <v>10000</v>
      </c>
      <c r="M3" s="8">
        <v>8</v>
      </c>
      <c r="N3" s="9">
        <f t="shared" ref="N3:N19" si="4">$N$1*H3</f>
        <v>28000</v>
      </c>
      <c r="O3" s="9">
        <v>17500</v>
      </c>
      <c r="P3" s="9">
        <f t="shared" ref="P3:P19" si="5">N3-O3</f>
        <v>10500</v>
      </c>
      <c r="Q3" s="9">
        <f>L3-500*$M3</f>
        <v>6000</v>
      </c>
      <c r="R3" s="8">
        <v>8</v>
      </c>
      <c r="S3" s="9">
        <f t="shared" si="1"/>
        <v>32000</v>
      </c>
      <c r="T3" s="9">
        <v>17500</v>
      </c>
      <c r="U3" s="9">
        <f t="shared" ref="U3:U19" si="6">S3-T3-1000</f>
        <v>13500</v>
      </c>
      <c r="V3" s="9">
        <f>L3-1000</f>
        <v>9000</v>
      </c>
      <c r="W3" s="8">
        <v>8</v>
      </c>
      <c r="X3" s="9">
        <f t="shared" si="2"/>
        <v>28000</v>
      </c>
      <c r="Y3" s="9">
        <v>17500</v>
      </c>
      <c r="Z3" s="9">
        <f t="shared" ref="Z3:Z15" si="7">X3-Y3-1000</f>
        <v>9500</v>
      </c>
      <c r="AA3" s="25">
        <f>Q3-1000</f>
        <v>5000</v>
      </c>
    </row>
    <row r="4" spans="2:27">
      <c r="C4" s="8">
        <v>6</v>
      </c>
      <c r="D4" s="9">
        <f>$D$1*C4</f>
        <v>15000</v>
      </c>
      <c r="E4" s="9">
        <f>D4-C4*300</f>
        <v>13200</v>
      </c>
      <c r="F4" s="9">
        <f>$F$1*C4</f>
        <v>12000</v>
      </c>
      <c r="H4" s="8">
        <v>10</v>
      </c>
      <c r="I4" s="9">
        <f t="shared" si="0"/>
        <v>40000</v>
      </c>
      <c r="J4" s="9">
        <v>22500</v>
      </c>
      <c r="K4" s="9">
        <f t="shared" si="3"/>
        <v>17500</v>
      </c>
      <c r="L4" s="9">
        <v>12000</v>
      </c>
      <c r="M4" s="8">
        <v>10</v>
      </c>
      <c r="N4" s="9">
        <f t="shared" si="4"/>
        <v>35000</v>
      </c>
      <c r="O4" s="9">
        <v>22500</v>
      </c>
      <c r="P4" s="9">
        <f t="shared" si="5"/>
        <v>12500</v>
      </c>
      <c r="Q4" s="9">
        <f t="shared" ref="Q4:Q18" si="8">L4-500*$M4</f>
        <v>7000</v>
      </c>
      <c r="R4" s="8">
        <v>10</v>
      </c>
      <c r="S4" s="9">
        <f t="shared" si="1"/>
        <v>40000</v>
      </c>
      <c r="T4" s="9">
        <v>22500</v>
      </c>
      <c r="U4" s="9">
        <f t="shared" si="6"/>
        <v>16500</v>
      </c>
      <c r="V4" s="9">
        <f>L4-1000</f>
        <v>11000</v>
      </c>
      <c r="W4" s="8">
        <v>10</v>
      </c>
      <c r="X4" s="9">
        <f t="shared" si="2"/>
        <v>35000</v>
      </c>
      <c r="Y4" s="9">
        <v>22500</v>
      </c>
      <c r="Z4" s="9">
        <f t="shared" si="7"/>
        <v>11500</v>
      </c>
      <c r="AA4" s="25">
        <f>Q4-1000</f>
        <v>6000</v>
      </c>
    </row>
    <row r="5" spans="2:27">
      <c r="C5" s="8">
        <v>7</v>
      </c>
      <c r="D5" s="9">
        <f>$D$1*C5</f>
        <v>17500</v>
      </c>
      <c r="E5" s="9">
        <f>D5-C5*300</f>
        <v>15400</v>
      </c>
      <c r="F5" s="9">
        <f>$F$1*C5</f>
        <v>14000</v>
      </c>
      <c r="H5" s="8">
        <v>12</v>
      </c>
      <c r="I5" s="9">
        <f t="shared" si="0"/>
        <v>48000</v>
      </c>
      <c r="J5" s="9">
        <v>27500</v>
      </c>
      <c r="K5" s="9">
        <f t="shared" si="3"/>
        <v>20500</v>
      </c>
      <c r="L5" s="9">
        <v>14000</v>
      </c>
      <c r="M5" s="8">
        <v>12</v>
      </c>
      <c r="N5" s="9">
        <f t="shared" si="4"/>
        <v>42000</v>
      </c>
      <c r="O5" s="9">
        <v>27500</v>
      </c>
      <c r="P5" s="9">
        <f t="shared" si="5"/>
        <v>14500</v>
      </c>
      <c r="Q5" s="9">
        <f t="shared" si="8"/>
        <v>8000</v>
      </c>
      <c r="R5" s="8">
        <v>12</v>
      </c>
      <c r="S5" s="9">
        <f t="shared" si="1"/>
        <v>48000</v>
      </c>
      <c r="T5" s="9">
        <v>27500</v>
      </c>
      <c r="U5" s="9">
        <f t="shared" si="6"/>
        <v>19500</v>
      </c>
      <c r="V5" s="9">
        <f>L5-1000</f>
        <v>13000</v>
      </c>
      <c r="W5" s="8">
        <v>12</v>
      </c>
      <c r="X5" s="9">
        <f t="shared" si="2"/>
        <v>42000</v>
      </c>
      <c r="Y5" s="9">
        <v>27500</v>
      </c>
      <c r="Z5" s="9">
        <f t="shared" si="7"/>
        <v>13500</v>
      </c>
      <c r="AA5" s="25">
        <f>Q5-1000</f>
        <v>7000</v>
      </c>
    </row>
    <row r="6" spans="2:27">
      <c r="C6" s="8">
        <v>8</v>
      </c>
      <c r="D6" s="9">
        <f>$D$1*C6-2500</f>
        <v>17500</v>
      </c>
      <c r="E6" s="9">
        <f>D6-C6*300-300</f>
        <v>14800</v>
      </c>
      <c r="F6" s="9">
        <f>$F$1*C6-500</f>
        <v>15500</v>
      </c>
      <c r="H6" s="8">
        <v>14</v>
      </c>
      <c r="I6" s="9">
        <f t="shared" si="0"/>
        <v>56000</v>
      </c>
      <c r="J6" s="9">
        <v>32500</v>
      </c>
      <c r="K6" s="9">
        <f>I6-J6</f>
        <v>23500</v>
      </c>
      <c r="L6" s="9">
        <v>16000</v>
      </c>
      <c r="M6" s="8">
        <v>14</v>
      </c>
      <c r="N6" s="9">
        <f t="shared" si="4"/>
        <v>49000</v>
      </c>
      <c r="O6" s="9">
        <v>32500</v>
      </c>
      <c r="P6" s="9">
        <f>N6-O6</f>
        <v>16500</v>
      </c>
      <c r="Q6" s="9">
        <f t="shared" si="8"/>
        <v>9000</v>
      </c>
      <c r="R6" s="8">
        <v>14</v>
      </c>
      <c r="S6" s="9">
        <f t="shared" si="1"/>
        <v>56000</v>
      </c>
      <c r="T6" s="9">
        <v>32500</v>
      </c>
      <c r="U6" s="9">
        <f t="shared" si="6"/>
        <v>22500</v>
      </c>
      <c r="V6" s="9">
        <f>L6-1000</f>
        <v>15000</v>
      </c>
      <c r="W6" s="8">
        <v>14</v>
      </c>
      <c r="X6" s="9">
        <f t="shared" si="2"/>
        <v>49000</v>
      </c>
      <c r="Y6" s="9">
        <v>32500</v>
      </c>
      <c r="Z6" s="9">
        <f t="shared" si="7"/>
        <v>15500</v>
      </c>
      <c r="AA6" s="25">
        <f>Q6-1000</f>
        <v>8000</v>
      </c>
    </row>
    <row r="7" spans="2:27">
      <c r="C7" s="8">
        <v>9</v>
      </c>
      <c r="D7" s="9">
        <f t="shared" ref="D7:D13" si="9">$D$1*C7-2500</f>
        <v>20000</v>
      </c>
      <c r="E7" s="9">
        <f t="shared" ref="E7:E13" si="10">D7-C7*300-300</f>
        <v>17000</v>
      </c>
      <c r="F7" s="9">
        <f t="shared" ref="F7:F13" si="11">$F$1*C7-500</f>
        <v>17500</v>
      </c>
      <c r="H7" s="8">
        <v>16</v>
      </c>
      <c r="I7" s="9">
        <f t="shared" si="0"/>
        <v>64000</v>
      </c>
      <c r="J7" s="9">
        <v>35000</v>
      </c>
      <c r="K7" s="9">
        <f t="shared" si="3"/>
        <v>29000</v>
      </c>
      <c r="L7" s="9">
        <v>20000</v>
      </c>
      <c r="M7" s="8">
        <v>16</v>
      </c>
      <c r="N7" s="9">
        <f t="shared" si="4"/>
        <v>56000</v>
      </c>
      <c r="O7" s="9">
        <v>35000</v>
      </c>
      <c r="P7" s="9">
        <f t="shared" si="5"/>
        <v>21000</v>
      </c>
      <c r="Q7" s="9">
        <f t="shared" si="8"/>
        <v>12000</v>
      </c>
      <c r="R7" s="8">
        <v>16</v>
      </c>
      <c r="S7" s="9">
        <f t="shared" si="1"/>
        <v>64000</v>
      </c>
      <c r="T7" s="9">
        <v>35000</v>
      </c>
      <c r="U7" s="9">
        <f t="shared" si="6"/>
        <v>28000</v>
      </c>
      <c r="V7" s="9">
        <f>L7-2000</f>
        <v>18000</v>
      </c>
      <c r="W7" s="8">
        <v>16</v>
      </c>
      <c r="X7" s="9">
        <f t="shared" si="2"/>
        <v>56000</v>
      </c>
      <c r="Y7" s="9">
        <v>35000</v>
      </c>
      <c r="Z7" s="9">
        <f t="shared" si="7"/>
        <v>20000</v>
      </c>
      <c r="AA7" s="25">
        <f>Q7-2000</f>
        <v>10000</v>
      </c>
    </row>
    <row r="8" spans="2:27">
      <c r="C8" s="8">
        <v>10</v>
      </c>
      <c r="D8" s="9">
        <f t="shared" si="9"/>
        <v>22500</v>
      </c>
      <c r="E8" s="9">
        <f t="shared" si="10"/>
        <v>19200</v>
      </c>
      <c r="F8" s="9">
        <f t="shared" si="11"/>
        <v>19500</v>
      </c>
      <c r="H8" s="8">
        <v>18</v>
      </c>
      <c r="I8" s="9">
        <f t="shared" si="0"/>
        <v>72000</v>
      </c>
      <c r="J8" s="9">
        <v>40000</v>
      </c>
      <c r="K8" s="9">
        <f t="shared" si="3"/>
        <v>32000</v>
      </c>
      <c r="L8" s="9">
        <v>22000</v>
      </c>
      <c r="M8" s="8">
        <v>18</v>
      </c>
      <c r="N8" s="9">
        <f t="shared" si="4"/>
        <v>63000</v>
      </c>
      <c r="O8" s="9">
        <v>40000</v>
      </c>
      <c r="P8" s="9">
        <f t="shared" si="5"/>
        <v>23000</v>
      </c>
      <c r="Q8" s="9">
        <f t="shared" si="8"/>
        <v>13000</v>
      </c>
      <c r="R8" s="8">
        <v>18</v>
      </c>
      <c r="S8" s="9">
        <f t="shared" si="1"/>
        <v>72000</v>
      </c>
      <c r="T8" s="9">
        <v>40000</v>
      </c>
      <c r="U8" s="9">
        <f t="shared" si="6"/>
        <v>31000</v>
      </c>
      <c r="V8" s="9">
        <f>L8-2000</f>
        <v>20000</v>
      </c>
      <c r="W8" s="8">
        <v>18</v>
      </c>
      <c r="X8" s="9">
        <f t="shared" si="2"/>
        <v>63000</v>
      </c>
      <c r="Y8" s="9">
        <v>40000</v>
      </c>
      <c r="Z8" s="9">
        <f t="shared" si="7"/>
        <v>22000</v>
      </c>
      <c r="AA8" s="25">
        <f>Q8-2000</f>
        <v>11000</v>
      </c>
    </row>
    <row r="9" spans="2:27">
      <c r="C9" s="8">
        <v>11</v>
      </c>
      <c r="D9" s="9">
        <f t="shared" si="9"/>
        <v>25000</v>
      </c>
      <c r="E9" s="9">
        <f t="shared" si="10"/>
        <v>21400</v>
      </c>
      <c r="F9" s="9">
        <f t="shared" si="11"/>
        <v>21500</v>
      </c>
      <c r="H9" s="8">
        <v>20</v>
      </c>
      <c r="I9" s="9">
        <f t="shared" si="0"/>
        <v>80000</v>
      </c>
      <c r="J9" s="9">
        <v>45000</v>
      </c>
      <c r="K9" s="9">
        <f t="shared" si="3"/>
        <v>35000</v>
      </c>
      <c r="L9" s="9">
        <v>24000</v>
      </c>
      <c r="M9" s="8">
        <v>20</v>
      </c>
      <c r="N9" s="9">
        <f t="shared" si="4"/>
        <v>70000</v>
      </c>
      <c r="O9" s="9">
        <v>45000</v>
      </c>
      <c r="P9" s="9">
        <f t="shared" si="5"/>
        <v>25000</v>
      </c>
      <c r="Q9" s="9">
        <f t="shared" si="8"/>
        <v>14000</v>
      </c>
      <c r="R9" s="8">
        <v>20</v>
      </c>
      <c r="S9" s="9">
        <f t="shared" si="1"/>
        <v>80000</v>
      </c>
      <c r="T9" s="9">
        <v>45000</v>
      </c>
      <c r="U9" s="9">
        <f t="shared" si="6"/>
        <v>34000</v>
      </c>
      <c r="V9" s="9">
        <f>L9-2000</f>
        <v>22000</v>
      </c>
      <c r="W9" s="8">
        <v>20</v>
      </c>
      <c r="X9" s="9">
        <f t="shared" si="2"/>
        <v>70000</v>
      </c>
      <c r="Y9" s="9">
        <v>45000</v>
      </c>
      <c r="Z9" s="9">
        <f t="shared" si="7"/>
        <v>24000</v>
      </c>
      <c r="AA9" s="25">
        <f>Q9-2000</f>
        <v>12000</v>
      </c>
    </row>
    <row r="10" spans="2:27">
      <c r="C10" s="8">
        <v>12</v>
      </c>
      <c r="D10" s="9">
        <f t="shared" si="9"/>
        <v>27500</v>
      </c>
      <c r="E10" s="9">
        <f t="shared" si="10"/>
        <v>23600</v>
      </c>
      <c r="F10" s="9">
        <f t="shared" si="11"/>
        <v>23500</v>
      </c>
      <c r="H10" s="8">
        <v>22</v>
      </c>
      <c r="I10" s="9">
        <f t="shared" si="0"/>
        <v>88000</v>
      </c>
      <c r="J10" s="9">
        <v>50000</v>
      </c>
      <c r="K10" s="9">
        <f t="shared" si="3"/>
        <v>38000</v>
      </c>
      <c r="L10" s="9">
        <v>26000</v>
      </c>
      <c r="M10" s="8">
        <v>22</v>
      </c>
      <c r="N10" s="9">
        <f t="shared" si="4"/>
        <v>77000</v>
      </c>
      <c r="O10" s="9">
        <v>50000</v>
      </c>
      <c r="P10" s="9">
        <f t="shared" si="5"/>
        <v>27000</v>
      </c>
      <c r="Q10" s="9">
        <f t="shared" si="8"/>
        <v>15000</v>
      </c>
      <c r="R10" s="8">
        <v>22</v>
      </c>
      <c r="S10" s="9">
        <f t="shared" si="1"/>
        <v>88000</v>
      </c>
      <c r="T10" s="9">
        <v>50000</v>
      </c>
      <c r="U10" s="9">
        <f t="shared" si="6"/>
        <v>37000</v>
      </c>
      <c r="V10" s="9">
        <f>L10-2000</f>
        <v>24000</v>
      </c>
      <c r="W10" s="8">
        <v>22</v>
      </c>
      <c r="X10" s="9">
        <f t="shared" si="2"/>
        <v>77000</v>
      </c>
      <c r="Y10" s="9">
        <v>50000</v>
      </c>
      <c r="Z10" s="9">
        <f t="shared" si="7"/>
        <v>26000</v>
      </c>
      <c r="AA10" s="25">
        <f>Q10-2000</f>
        <v>13000</v>
      </c>
    </row>
    <row r="11" spans="2:27">
      <c r="C11" s="8">
        <v>13</v>
      </c>
      <c r="D11" s="9">
        <f t="shared" si="9"/>
        <v>30000</v>
      </c>
      <c r="E11" s="9">
        <f t="shared" si="10"/>
        <v>25800</v>
      </c>
      <c r="F11" s="9">
        <f t="shared" si="11"/>
        <v>25500</v>
      </c>
      <c r="H11" s="8">
        <v>24</v>
      </c>
      <c r="I11" s="9">
        <f t="shared" si="0"/>
        <v>96000</v>
      </c>
      <c r="J11" s="9">
        <v>52500</v>
      </c>
      <c r="K11" s="9">
        <f t="shared" si="3"/>
        <v>43500</v>
      </c>
      <c r="L11" s="9">
        <v>28000</v>
      </c>
      <c r="M11" s="8">
        <v>24</v>
      </c>
      <c r="N11" s="9">
        <f t="shared" si="4"/>
        <v>84000</v>
      </c>
      <c r="O11" s="9">
        <v>52500</v>
      </c>
      <c r="P11" s="9">
        <f t="shared" si="5"/>
        <v>31500</v>
      </c>
      <c r="Q11" s="9">
        <f t="shared" si="8"/>
        <v>16000</v>
      </c>
      <c r="R11" s="8">
        <v>24</v>
      </c>
      <c r="S11" s="9">
        <f t="shared" si="1"/>
        <v>96000</v>
      </c>
      <c r="T11" s="9">
        <v>52500</v>
      </c>
      <c r="U11" s="9">
        <f t="shared" si="6"/>
        <v>42500</v>
      </c>
      <c r="V11" s="9">
        <f>L11-3000</f>
        <v>25000</v>
      </c>
      <c r="W11" s="8">
        <v>24</v>
      </c>
      <c r="X11" s="9">
        <f t="shared" si="2"/>
        <v>84000</v>
      </c>
      <c r="Y11" s="9">
        <v>52500</v>
      </c>
      <c r="Z11" s="9">
        <f t="shared" si="7"/>
        <v>30500</v>
      </c>
      <c r="AA11" s="25">
        <f>Q11-3000</f>
        <v>13000</v>
      </c>
    </row>
    <row r="12" spans="2:27">
      <c r="C12" s="8">
        <v>14</v>
      </c>
      <c r="D12" s="9">
        <f t="shared" si="9"/>
        <v>32500</v>
      </c>
      <c r="E12" s="9">
        <f t="shared" si="10"/>
        <v>28000</v>
      </c>
      <c r="F12" s="9">
        <f t="shared" si="11"/>
        <v>27500</v>
      </c>
      <c r="H12" s="8">
        <v>26</v>
      </c>
      <c r="I12" s="9">
        <f t="shared" si="0"/>
        <v>104000</v>
      </c>
      <c r="J12" s="9">
        <v>57500</v>
      </c>
      <c r="K12" s="9">
        <f t="shared" si="3"/>
        <v>46500</v>
      </c>
      <c r="L12" s="9">
        <v>30000</v>
      </c>
      <c r="M12" s="8">
        <v>26</v>
      </c>
      <c r="N12" s="9">
        <f t="shared" si="4"/>
        <v>91000</v>
      </c>
      <c r="O12" s="9">
        <v>57500</v>
      </c>
      <c r="P12" s="9">
        <f t="shared" si="5"/>
        <v>33500</v>
      </c>
      <c r="Q12" s="9">
        <f t="shared" si="8"/>
        <v>17000</v>
      </c>
      <c r="R12" s="8">
        <v>26</v>
      </c>
      <c r="S12" s="9">
        <f t="shared" si="1"/>
        <v>104000</v>
      </c>
      <c r="T12" s="9">
        <v>57500</v>
      </c>
      <c r="U12" s="9">
        <f t="shared" si="6"/>
        <v>45500</v>
      </c>
      <c r="V12" s="9">
        <f>L12-3000</f>
        <v>27000</v>
      </c>
      <c r="W12" s="8">
        <v>26</v>
      </c>
      <c r="X12" s="9">
        <f t="shared" si="2"/>
        <v>91000</v>
      </c>
      <c r="Y12" s="9">
        <v>57500</v>
      </c>
      <c r="Z12" s="9">
        <f t="shared" si="7"/>
        <v>32500</v>
      </c>
      <c r="AA12" s="25">
        <f>Q12-3000</f>
        <v>14000</v>
      </c>
    </row>
    <row r="13" spans="2:27">
      <c r="C13" s="8">
        <v>15</v>
      </c>
      <c r="D13" s="9">
        <f t="shared" si="9"/>
        <v>35000</v>
      </c>
      <c r="E13" s="9">
        <f t="shared" si="10"/>
        <v>30200</v>
      </c>
      <c r="F13" s="9">
        <f t="shared" si="11"/>
        <v>29500</v>
      </c>
      <c r="H13" s="8">
        <v>28</v>
      </c>
      <c r="I13" s="9">
        <f t="shared" si="0"/>
        <v>112000</v>
      </c>
      <c r="J13" s="9">
        <v>62500</v>
      </c>
      <c r="K13" s="9">
        <f t="shared" si="3"/>
        <v>49500</v>
      </c>
      <c r="L13" s="9">
        <v>32000</v>
      </c>
      <c r="M13" s="8">
        <v>28</v>
      </c>
      <c r="N13" s="9">
        <f t="shared" si="4"/>
        <v>98000</v>
      </c>
      <c r="O13" s="9">
        <v>62500</v>
      </c>
      <c r="P13" s="9">
        <f t="shared" si="5"/>
        <v>35500</v>
      </c>
      <c r="Q13" s="9">
        <f t="shared" si="8"/>
        <v>18000</v>
      </c>
      <c r="R13" s="8">
        <v>28</v>
      </c>
      <c r="S13" s="9">
        <f t="shared" si="1"/>
        <v>112000</v>
      </c>
      <c r="T13" s="9">
        <v>62500</v>
      </c>
      <c r="U13" s="9">
        <f t="shared" si="6"/>
        <v>48500</v>
      </c>
      <c r="V13" s="9">
        <f>L13-3000</f>
        <v>29000</v>
      </c>
      <c r="W13" s="8">
        <v>28</v>
      </c>
      <c r="X13" s="9">
        <f t="shared" si="2"/>
        <v>98000</v>
      </c>
      <c r="Y13" s="9">
        <v>62500</v>
      </c>
      <c r="Z13" s="9">
        <f t="shared" si="7"/>
        <v>34500</v>
      </c>
      <c r="AA13" s="25">
        <f>Q13-3000</f>
        <v>15000</v>
      </c>
    </row>
    <row r="14" spans="2:27">
      <c r="C14" s="8">
        <v>16</v>
      </c>
      <c r="D14" s="9">
        <f>$D$1*C14-5000</f>
        <v>35000</v>
      </c>
      <c r="E14" s="9">
        <f>D14-C14*300-600</f>
        <v>29600</v>
      </c>
      <c r="F14" s="9">
        <f>$F$1*C14-1000</f>
        <v>31000</v>
      </c>
      <c r="H14" s="8">
        <v>30</v>
      </c>
      <c r="I14" s="9">
        <f t="shared" si="0"/>
        <v>120000</v>
      </c>
      <c r="J14" s="9">
        <v>67500</v>
      </c>
      <c r="K14" s="9">
        <f t="shared" si="3"/>
        <v>52500</v>
      </c>
      <c r="L14" s="9">
        <v>36000</v>
      </c>
      <c r="M14" s="8">
        <v>30</v>
      </c>
      <c r="N14" s="9">
        <f t="shared" si="4"/>
        <v>105000</v>
      </c>
      <c r="O14" s="9">
        <v>67500</v>
      </c>
      <c r="P14" s="9">
        <f t="shared" si="5"/>
        <v>37500</v>
      </c>
      <c r="Q14" s="9">
        <f t="shared" si="8"/>
        <v>21000</v>
      </c>
      <c r="R14" s="8">
        <v>30</v>
      </c>
      <c r="S14" s="9">
        <f t="shared" si="1"/>
        <v>120000</v>
      </c>
      <c r="T14" s="9">
        <v>67500</v>
      </c>
      <c r="U14" s="9">
        <f t="shared" si="6"/>
        <v>51500</v>
      </c>
      <c r="V14" s="9">
        <f>L14-3000</f>
        <v>33000</v>
      </c>
      <c r="W14" s="8">
        <v>30</v>
      </c>
      <c r="X14" s="9">
        <f t="shared" si="2"/>
        <v>105000</v>
      </c>
      <c r="Y14" s="9">
        <v>67500</v>
      </c>
      <c r="Z14" s="9">
        <f t="shared" si="7"/>
        <v>36500</v>
      </c>
      <c r="AA14" s="25">
        <f>Q14-3000</f>
        <v>18000</v>
      </c>
    </row>
    <row r="15" spans="2:27">
      <c r="C15" s="8">
        <v>17</v>
      </c>
      <c r="D15" s="9">
        <f t="shared" ref="D15:D21" si="12">$D$1*C15-5000</f>
        <v>37500</v>
      </c>
      <c r="E15" s="9">
        <f t="shared" ref="E15:E21" si="13">D15-C15*300-600</f>
        <v>31800</v>
      </c>
      <c r="F15" s="9">
        <f t="shared" ref="F15:F21" si="14">$F$1*C15-1000</f>
        <v>33000</v>
      </c>
      <c r="H15" s="8">
        <v>32</v>
      </c>
      <c r="I15" s="9">
        <f t="shared" si="0"/>
        <v>128000</v>
      </c>
      <c r="J15" s="9">
        <v>70000</v>
      </c>
      <c r="K15" s="9">
        <f t="shared" si="3"/>
        <v>58000</v>
      </c>
      <c r="L15" s="9">
        <v>40000</v>
      </c>
      <c r="M15" s="8">
        <v>32</v>
      </c>
      <c r="N15" s="9">
        <f t="shared" si="4"/>
        <v>112000</v>
      </c>
      <c r="O15" s="9">
        <v>70000</v>
      </c>
      <c r="P15" s="9">
        <f t="shared" si="5"/>
        <v>42000</v>
      </c>
      <c r="Q15" s="9">
        <f t="shared" si="8"/>
        <v>24000</v>
      </c>
      <c r="R15" s="8">
        <v>32</v>
      </c>
      <c r="S15" s="9">
        <f t="shared" si="1"/>
        <v>128000</v>
      </c>
      <c r="T15" s="9">
        <v>70000</v>
      </c>
      <c r="U15" s="9">
        <f t="shared" si="6"/>
        <v>57000</v>
      </c>
      <c r="V15" s="9">
        <f>L15-4000</f>
        <v>36000</v>
      </c>
      <c r="W15" s="8">
        <v>32</v>
      </c>
      <c r="X15" s="9">
        <f t="shared" si="2"/>
        <v>112000</v>
      </c>
      <c r="Y15" s="9">
        <v>70000</v>
      </c>
      <c r="Z15" s="9">
        <f t="shared" si="7"/>
        <v>41000</v>
      </c>
      <c r="AA15" s="25">
        <f>Q15-4000</f>
        <v>20000</v>
      </c>
    </row>
    <row r="16" spans="2:27">
      <c r="C16" s="8">
        <v>18</v>
      </c>
      <c r="D16" s="9">
        <f t="shared" si="12"/>
        <v>40000</v>
      </c>
      <c r="E16" s="9">
        <f t="shared" si="13"/>
        <v>34000</v>
      </c>
      <c r="F16" s="9">
        <f t="shared" si="14"/>
        <v>35000</v>
      </c>
      <c r="H16" s="8">
        <v>34</v>
      </c>
      <c r="I16" s="9">
        <f t="shared" si="0"/>
        <v>136000</v>
      </c>
      <c r="J16" s="9">
        <v>75000</v>
      </c>
      <c r="K16" s="9">
        <f t="shared" si="3"/>
        <v>61000</v>
      </c>
      <c r="L16" s="9">
        <v>42000</v>
      </c>
      <c r="M16" s="8">
        <v>34</v>
      </c>
      <c r="N16" s="9">
        <f t="shared" si="4"/>
        <v>119000</v>
      </c>
      <c r="O16" s="9">
        <v>75000</v>
      </c>
      <c r="P16" s="9">
        <f t="shared" si="5"/>
        <v>44000</v>
      </c>
      <c r="Q16" s="9">
        <f t="shared" si="8"/>
        <v>25000</v>
      </c>
      <c r="R16" s="8">
        <v>34</v>
      </c>
      <c r="S16" s="9">
        <f t="shared" si="1"/>
        <v>136000</v>
      </c>
      <c r="T16" s="9">
        <v>75000</v>
      </c>
      <c r="U16" s="9">
        <f>S16-T16-1000</f>
        <v>60000</v>
      </c>
      <c r="V16" s="9">
        <f>L16-4000</f>
        <v>38000</v>
      </c>
      <c r="W16" s="8">
        <v>34</v>
      </c>
      <c r="X16" s="9">
        <f t="shared" si="2"/>
        <v>119000</v>
      </c>
      <c r="Y16" s="9">
        <v>75000</v>
      </c>
      <c r="Z16" s="9">
        <f>X16-Y16-1000</f>
        <v>43000</v>
      </c>
      <c r="AA16" s="25">
        <f>Q16-4000</f>
        <v>21000</v>
      </c>
    </row>
    <row r="17" spans="3:27">
      <c r="C17" s="8">
        <v>19</v>
      </c>
      <c r="D17" s="9">
        <f t="shared" si="12"/>
        <v>42500</v>
      </c>
      <c r="E17" s="9">
        <f t="shared" si="13"/>
        <v>36200</v>
      </c>
      <c r="F17" s="9">
        <f t="shared" si="14"/>
        <v>37000</v>
      </c>
      <c r="H17" s="8">
        <v>36</v>
      </c>
      <c r="I17" s="9">
        <f t="shared" si="0"/>
        <v>144000</v>
      </c>
      <c r="J17" s="9">
        <v>80000</v>
      </c>
      <c r="K17" s="9">
        <f t="shared" si="3"/>
        <v>64000</v>
      </c>
      <c r="L17" s="9">
        <v>44000</v>
      </c>
      <c r="M17" s="8">
        <v>36</v>
      </c>
      <c r="N17" s="9">
        <f t="shared" si="4"/>
        <v>126000</v>
      </c>
      <c r="O17" s="9">
        <v>80000</v>
      </c>
      <c r="P17" s="9">
        <f t="shared" si="5"/>
        <v>46000</v>
      </c>
      <c r="Q17" s="9">
        <f t="shared" si="8"/>
        <v>26000</v>
      </c>
      <c r="R17" s="8">
        <v>36</v>
      </c>
      <c r="S17" s="9">
        <f t="shared" si="1"/>
        <v>144000</v>
      </c>
      <c r="T17" s="9">
        <v>80000</v>
      </c>
      <c r="U17" s="9">
        <f t="shared" si="6"/>
        <v>63000</v>
      </c>
      <c r="V17" s="9">
        <f>L17-4000</f>
        <v>40000</v>
      </c>
      <c r="W17" s="8">
        <v>36</v>
      </c>
      <c r="X17" s="9">
        <f t="shared" si="2"/>
        <v>126000</v>
      </c>
      <c r="Y17" s="9">
        <v>80000</v>
      </c>
      <c r="Z17" s="9">
        <f>X17-Y17-1000</f>
        <v>45000</v>
      </c>
      <c r="AA17" s="25">
        <f>Q17-4000</f>
        <v>22000</v>
      </c>
    </row>
    <row r="18" spans="3:27">
      <c r="C18" s="8">
        <v>20</v>
      </c>
      <c r="D18" s="9">
        <f t="shared" si="12"/>
        <v>45000</v>
      </c>
      <c r="E18" s="9">
        <f t="shared" si="13"/>
        <v>38400</v>
      </c>
      <c r="F18" s="9">
        <f t="shared" si="14"/>
        <v>39000</v>
      </c>
      <c r="H18" s="8">
        <v>38</v>
      </c>
      <c r="I18" s="9">
        <f t="shared" si="0"/>
        <v>152000</v>
      </c>
      <c r="J18" s="9">
        <v>85000</v>
      </c>
      <c r="K18" s="9">
        <f t="shared" si="3"/>
        <v>67000</v>
      </c>
      <c r="L18" s="9">
        <v>46000</v>
      </c>
      <c r="M18" s="8">
        <v>38</v>
      </c>
      <c r="N18" s="9">
        <f t="shared" si="4"/>
        <v>133000</v>
      </c>
      <c r="O18" s="9">
        <v>85000</v>
      </c>
      <c r="P18" s="9">
        <f t="shared" si="5"/>
        <v>48000</v>
      </c>
      <c r="Q18" s="9">
        <f t="shared" si="8"/>
        <v>27000</v>
      </c>
      <c r="R18" s="8">
        <v>38</v>
      </c>
      <c r="S18" s="9">
        <f t="shared" si="1"/>
        <v>152000</v>
      </c>
      <c r="T18" s="9">
        <v>85000</v>
      </c>
      <c r="U18" s="9">
        <f t="shared" si="6"/>
        <v>66000</v>
      </c>
      <c r="V18" s="9">
        <f>L18-4000</f>
        <v>42000</v>
      </c>
      <c r="W18" s="8">
        <v>38</v>
      </c>
      <c r="X18" s="9">
        <f t="shared" si="2"/>
        <v>133000</v>
      </c>
      <c r="Y18" s="9">
        <v>85000</v>
      </c>
      <c r="Z18" s="9">
        <f>X18-Y18-1000</f>
        <v>47000</v>
      </c>
      <c r="AA18" s="25">
        <f>Q18-4000</f>
        <v>23000</v>
      </c>
    </row>
    <row r="19" spans="3:27">
      <c r="C19" s="8">
        <v>21</v>
      </c>
      <c r="D19" s="9">
        <f t="shared" si="12"/>
        <v>47500</v>
      </c>
      <c r="E19" s="9">
        <f t="shared" si="13"/>
        <v>40600</v>
      </c>
      <c r="F19" s="9">
        <f t="shared" si="14"/>
        <v>41000</v>
      </c>
      <c r="H19" s="8">
        <v>40</v>
      </c>
      <c r="I19" s="9">
        <f t="shared" si="0"/>
        <v>160000</v>
      </c>
      <c r="J19" s="9">
        <v>87500</v>
      </c>
      <c r="K19" s="9">
        <f t="shared" si="3"/>
        <v>72500</v>
      </c>
      <c r="L19" s="9">
        <v>48000</v>
      </c>
      <c r="M19" s="8">
        <v>40</v>
      </c>
      <c r="N19" s="9">
        <f t="shared" si="4"/>
        <v>140000</v>
      </c>
      <c r="O19" s="9">
        <v>87500</v>
      </c>
      <c r="P19" s="9">
        <f t="shared" si="5"/>
        <v>52500</v>
      </c>
      <c r="Q19" s="9">
        <f>L19-500*$M19</f>
        <v>28000</v>
      </c>
      <c r="R19" s="8">
        <v>40</v>
      </c>
      <c r="S19" s="9">
        <f t="shared" si="1"/>
        <v>160000</v>
      </c>
      <c r="T19" s="9">
        <v>87500</v>
      </c>
      <c r="U19" s="9">
        <f t="shared" si="6"/>
        <v>71500</v>
      </c>
      <c r="V19" s="9">
        <f>L19-5000</f>
        <v>43000</v>
      </c>
      <c r="W19" s="8">
        <v>40</v>
      </c>
      <c r="X19" s="9">
        <f t="shared" si="2"/>
        <v>140000</v>
      </c>
      <c r="Y19" s="9">
        <v>87500</v>
      </c>
      <c r="Z19" s="9">
        <f>X19-Y19-1000</f>
        <v>51500</v>
      </c>
      <c r="AA19" s="25">
        <f>Q19-5000</f>
        <v>23000</v>
      </c>
    </row>
    <row r="20" spans="3:27">
      <c r="C20" s="8">
        <v>22</v>
      </c>
      <c r="D20" s="9">
        <f t="shared" si="12"/>
        <v>50000</v>
      </c>
      <c r="E20" s="9">
        <f t="shared" si="13"/>
        <v>42800</v>
      </c>
      <c r="F20" s="9">
        <f t="shared" si="14"/>
        <v>43000</v>
      </c>
    </row>
    <row r="21" spans="3:27">
      <c r="C21" s="8">
        <v>23</v>
      </c>
      <c r="D21" s="9">
        <f t="shared" si="12"/>
        <v>52500</v>
      </c>
      <c r="E21" s="9">
        <f t="shared" si="13"/>
        <v>45000</v>
      </c>
      <c r="F21" s="9">
        <f t="shared" si="14"/>
        <v>45000</v>
      </c>
      <c r="H21" s="8" t="s">
        <v>220</v>
      </c>
      <c r="I21" s="9">
        <v>4000</v>
      </c>
      <c r="J21" s="9" t="s">
        <v>221</v>
      </c>
      <c r="M21" s="8" t="s">
        <v>220</v>
      </c>
      <c r="N21" s="9">
        <v>3500</v>
      </c>
      <c r="O21" s="9" t="s">
        <v>221</v>
      </c>
      <c r="P21" s="9"/>
      <c r="Q21" s="9"/>
      <c r="R21" s="8" t="s">
        <v>222</v>
      </c>
      <c r="S21" s="9">
        <v>4000</v>
      </c>
      <c r="T21" s="9" t="s">
        <v>221</v>
      </c>
      <c r="U21" s="9"/>
      <c r="V21" s="9"/>
      <c r="W21" s="8" t="s">
        <v>222</v>
      </c>
      <c r="X21" s="9">
        <v>3500</v>
      </c>
      <c r="Y21" s="9" t="s">
        <v>221</v>
      </c>
      <c r="Z21" s="9"/>
    </row>
    <row r="22" spans="3:27">
      <c r="C22" s="8">
        <v>24</v>
      </c>
      <c r="D22" s="9">
        <f>$D$1*C22-7500</f>
        <v>52500</v>
      </c>
      <c r="E22" s="9">
        <f>D22-C22*300-900</f>
        <v>44400</v>
      </c>
      <c r="F22" s="9">
        <f>$F$1*C22-1500</f>
        <v>46500</v>
      </c>
      <c r="H22" s="8">
        <v>6</v>
      </c>
      <c r="I22" s="9">
        <f t="shared" ref="I22:I39" si="15">$I$1*H22</f>
        <v>24000</v>
      </c>
      <c r="J22" s="9">
        <f>2300*H22</f>
        <v>13800</v>
      </c>
      <c r="K22" s="9">
        <f>I22-J22</f>
        <v>10200</v>
      </c>
      <c r="M22" s="8">
        <v>6</v>
      </c>
      <c r="N22" s="9">
        <f>$N$1*M22</f>
        <v>21000</v>
      </c>
      <c r="O22" s="9">
        <f>2300*M22</f>
        <v>13800</v>
      </c>
      <c r="P22" s="9">
        <f>N22-O22</f>
        <v>7200</v>
      </c>
      <c r="Q22" s="9"/>
      <c r="R22" s="8">
        <v>6</v>
      </c>
      <c r="S22" s="9">
        <f t="shared" ref="S22:S39" si="16">$I$1*R22</f>
        <v>24000</v>
      </c>
      <c r="T22" s="9">
        <f>2300*R22</f>
        <v>13800</v>
      </c>
      <c r="U22" s="9">
        <f>S22-T22-1000</f>
        <v>9200</v>
      </c>
      <c r="V22" s="9"/>
      <c r="W22" s="8">
        <v>6</v>
      </c>
      <c r="X22" s="9">
        <f>$N$1*W22</f>
        <v>21000</v>
      </c>
      <c r="Y22" s="9">
        <f>2300*W22</f>
        <v>13800</v>
      </c>
      <c r="Z22" s="9">
        <f>X22-Y22-1000</f>
        <v>6200</v>
      </c>
    </row>
    <row r="23" spans="3:27">
      <c r="C23" s="8">
        <v>25</v>
      </c>
      <c r="D23" s="9">
        <f t="shared" ref="D23:D29" si="17">$D$1*C23-7500</f>
        <v>55000</v>
      </c>
      <c r="E23" s="9">
        <f t="shared" ref="E23:E29" si="18">D23-C23*300-900</f>
        <v>46600</v>
      </c>
      <c r="F23" s="9">
        <f t="shared" ref="F23:F29" si="19">$F$1*C23-1500</f>
        <v>48500</v>
      </c>
      <c r="H23" s="8">
        <v>8</v>
      </c>
      <c r="I23" s="9">
        <f t="shared" si="15"/>
        <v>32000</v>
      </c>
      <c r="J23" s="9">
        <f>2300*H23-2300</f>
        <v>16100</v>
      </c>
      <c r="K23" s="9">
        <f>I23-J23</f>
        <v>15900</v>
      </c>
      <c r="M23" s="8">
        <v>8</v>
      </c>
      <c r="N23" s="9">
        <f t="shared" ref="N23:N39" si="20">$N$1*M23</f>
        <v>28000</v>
      </c>
      <c r="O23" s="9">
        <f>2300*M23-2300</f>
        <v>16100</v>
      </c>
      <c r="P23" s="9">
        <f>N23-O23</f>
        <v>11900</v>
      </c>
      <c r="Q23" s="9"/>
      <c r="R23" s="8">
        <v>8</v>
      </c>
      <c r="S23" s="9">
        <f t="shared" si="16"/>
        <v>32000</v>
      </c>
      <c r="T23" s="9">
        <f>2300*R23-2300</f>
        <v>16100</v>
      </c>
      <c r="U23" s="9">
        <f t="shared" ref="U23:U39" si="21">S23-T23-1000</f>
        <v>14900</v>
      </c>
      <c r="V23" s="9"/>
      <c r="W23" s="8">
        <v>8</v>
      </c>
      <c r="X23" s="9">
        <f t="shared" ref="X23:X39" si="22">$N$1*W23</f>
        <v>28000</v>
      </c>
      <c r="Y23" s="9">
        <f>2300*W23-2300</f>
        <v>16100</v>
      </c>
      <c r="Z23" s="9">
        <f t="shared" ref="Z23:Z39" si="23">X23-Y23-1000</f>
        <v>10900</v>
      </c>
    </row>
    <row r="24" spans="3:27">
      <c r="C24" s="8">
        <v>26</v>
      </c>
      <c r="D24" s="9">
        <f t="shared" si="17"/>
        <v>57500</v>
      </c>
      <c r="E24" s="9">
        <f t="shared" si="18"/>
        <v>48800</v>
      </c>
      <c r="F24" s="9">
        <f t="shared" si="19"/>
        <v>50500</v>
      </c>
      <c r="H24" s="8">
        <v>10</v>
      </c>
      <c r="I24" s="9">
        <f t="shared" si="15"/>
        <v>40000</v>
      </c>
      <c r="J24" s="9">
        <f>2300*H24-2300</f>
        <v>20700</v>
      </c>
      <c r="K24" s="9">
        <f>I24-J24</f>
        <v>19300</v>
      </c>
      <c r="M24" s="8">
        <v>10</v>
      </c>
      <c r="N24" s="9">
        <f t="shared" si="20"/>
        <v>35000</v>
      </c>
      <c r="O24" s="9">
        <f>2300*M24-2300</f>
        <v>20700</v>
      </c>
      <c r="P24" s="9">
        <f>N24-O24</f>
        <v>14300</v>
      </c>
      <c r="Q24" s="9"/>
      <c r="R24" s="8">
        <v>10</v>
      </c>
      <c r="S24" s="9">
        <f t="shared" si="16"/>
        <v>40000</v>
      </c>
      <c r="T24" s="9">
        <f>2300*R24-2300</f>
        <v>20700</v>
      </c>
      <c r="U24" s="9">
        <f t="shared" si="21"/>
        <v>18300</v>
      </c>
      <c r="V24" s="9"/>
      <c r="W24" s="8">
        <v>10</v>
      </c>
      <c r="X24" s="9">
        <f t="shared" si="22"/>
        <v>35000</v>
      </c>
      <c r="Y24" s="9">
        <f>2300*W24-2300</f>
        <v>20700</v>
      </c>
      <c r="Z24" s="9">
        <f t="shared" si="23"/>
        <v>13300</v>
      </c>
    </row>
    <row r="25" spans="3:27">
      <c r="C25" s="8">
        <v>27</v>
      </c>
      <c r="D25" s="9">
        <f t="shared" si="17"/>
        <v>60000</v>
      </c>
      <c r="E25" s="9">
        <f t="shared" si="18"/>
        <v>51000</v>
      </c>
      <c r="F25" s="9">
        <f t="shared" si="19"/>
        <v>52500</v>
      </c>
      <c r="H25" s="8">
        <v>12</v>
      </c>
      <c r="I25" s="9">
        <f t="shared" si="15"/>
        <v>48000</v>
      </c>
      <c r="J25" s="9">
        <f>2300*H25-2300</f>
        <v>25300</v>
      </c>
      <c r="K25" s="9">
        <f>I25-J25</f>
        <v>22700</v>
      </c>
      <c r="M25" s="8">
        <v>12</v>
      </c>
      <c r="N25" s="9">
        <f t="shared" si="20"/>
        <v>42000</v>
      </c>
      <c r="O25" s="9">
        <f>2300*M25-2300</f>
        <v>25300</v>
      </c>
      <c r="P25" s="9">
        <f>N25-O25</f>
        <v>16700</v>
      </c>
      <c r="Q25" s="9"/>
      <c r="R25" s="8">
        <v>12</v>
      </c>
      <c r="S25" s="9">
        <f t="shared" si="16"/>
        <v>48000</v>
      </c>
      <c r="T25" s="9">
        <f>2300*R25-2300</f>
        <v>25300</v>
      </c>
      <c r="U25" s="9">
        <f t="shared" si="21"/>
        <v>21700</v>
      </c>
      <c r="V25" s="9"/>
      <c r="W25" s="8">
        <v>12</v>
      </c>
      <c r="X25" s="9">
        <f t="shared" si="22"/>
        <v>42000</v>
      </c>
      <c r="Y25" s="9">
        <f>2300*W25-2300</f>
        <v>25300</v>
      </c>
      <c r="Z25" s="9">
        <f t="shared" si="23"/>
        <v>15700</v>
      </c>
    </row>
    <row r="26" spans="3:27">
      <c r="C26" s="8">
        <v>28</v>
      </c>
      <c r="D26" s="9">
        <f t="shared" si="17"/>
        <v>62500</v>
      </c>
      <c r="E26" s="9">
        <f t="shared" si="18"/>
        <v>53200</v>
      </c>
      <c r="F26" s="9">
        <f t="shared" si="19"/>
        <v>54500</v>
      </c>
      <c r="H26" s="8">
        <v>14</v>
      </c>
      <c r="I26" s="9">
        <f t="shared" si="15"/>
        <v>56000</v>
      </c>
      <c r="J26" s="9">
        <f>2300*H26-2300</f>
        <v>29900</v>
      </c>
      <c r="K26" s="9">
        <f>I26-J26</f>
        <v>26100</v>
      </c>
      <c r="M26" s="8">
        <v>14</v>
      </c>
      <c r="N26" s="9">
        <f t="shared" si="20"/>
        <v>49000</v>
      </c>
      <c r="O26" s="9">
        <f>2300*M26-2300</f>
        <v>29900</v>
      </c>
      <c r="P26" s="9">
        <f>N26-O26</f>
        <v>19100</v>
      </c>
      <c r="Q26" s="9"/>
      <c r="R26" s="8">
        <v>14</v>
      </c>
      <c r="S26" s="9">
        <f t="shared" si="16"/>
        <v>56000</v>
      </c>
      <c r="T26" s="9">
        <f>2300*R26-2300</f>
        <v>29900</v>
      </c>
      <c r="U26" s="9">
        <f t="shared" si="21"/>
        <v>25100</v>
      </c>
      <c r="V26" s="9"/>
      <c r="W26" s="8">
        <v>14</v>
      </c>
      <c r="X26" s="9">
        <f t="shared" si="22"/>
        <v>49000</v>
      </c>
      <c r="Y26" s="9">
        <f>2300*W26-2300</f>
        <v>29900</v>
      </c>
      <c r="Z26" s="9">
        <f t="shared" si="23"/>
        <v>18100</v>
      </c>
    </row>
    <row r="27" spans="3:27">
      <c r="C27" s="8">
        <v>29</v>
      </c>
      <c r="D27" s="9">
        <f t="shared" si="17"/>
        <v>65000</v>
      </c>
      <c r="E27" s="9">
        <f t="shared" si="18"/>
        <v>55400</v>
      </c>
      <c r="F27" s="9">
        <f t="shared" si="19"/>
        <v>56500</v>
      </c>
      <c r="H27" s="8">
        <v>16</v>
      </c>
      <c r="I27" s="9">
        <f t="shared" si="15"/>
        <v>64000</v>
      </c>
      <c r="J27" s="9">
        <f>2300*H27-4600</f>
        <v>32200</v>
      </c>
      <c r="K27" s="9">
        <f t="shared" ref="K27:K39" si="24">I27-J27</f>
        <v>31800</v>
      </c>
      <c r="M27" s="8">
        <v>16</v>
      </c>
      <c r="N27" s="9">
        <f t="shared" si="20"/>
        <v>56000</v>
      </c>
      <c r="O27" s="9">
        <f>2300*M27-4600</f>
        <v>32200</v>
      </c>
      <c r="P27" s="9">
        <f t="shared" ref="P27:P39" si="25">N27-O27</f>
        <v>23800</v>
      </c>
      <c r="Q27" s="9"/>
      <c r="R27" s="8">
        <v>16</v>
      </c>
      <c r="S27" s="9">
        <f t="shared" si="16"/>
        <v>64000</v>
      </c>
      <c r="T27" s="9">
        <f>2300*R27-4600</f>
        <v>32200</v>
      </c>
      <c r="U27" s="9">
        <f t="shared" si="21"/>
        <v>30800</v>
      </c>
      <c r="V27" s="9"/>
      <c r="W27" s="8">
        <v>16</v>
      </c>
      <c r="X27" s="9">
        <f t="shared" si="22"/>
        <v>56000</v>
      </c>
      <c r="Y27" s="9">
        <f>2300*W27-4600</f>
        <v>32200</v>
      </c>
      <c r="Z27" s="9">
        <f t="shared" si="23"/>
        <v>22800</v>
      </c>
    </row>
    <row r="28" spans="3:27">
      <c r="C28" s="8">
        <v>30</v>
      </c>
      <c r="D28" s="9">
        <f t="shared" si="17"/>
        <v>67500</v>
      </c>
      <c r="E28" s="9">
        <f t="shared" si="18"/>
        <v>57600</v>
      </c>
      <c r="F28" s="9">
        <f t="shared" si="19"/>
        <v>58500</v>
      </c>
      <c r="H28" s="8">
        <v>18</v>
      </c>
      <c r="I28" s="9">
        <f t="shared" si="15"/>
        <v>72000</v>
      </c>
      <c r="J28" s="9">
        <f>2300*H28-4600</f>
        <v>36800</v>
      </c>
      <c r="K28" s="9">
        <f t="shared" si="24"/>
        <v>35200</v>
      </c>
      <c r="M28" s="8">
        <v>18</v>
      </c>
      <c r="N28" s="9">
        <f t="shared" si="20"/>
        <v>63000</v>
      </c>
      <c r="O28" s="9">
        <f>2300*M28-4600</f>
        <v>36800</v>
      </c>
      <c r="P28" s="9">
        <f t="shared" si="25"/>
        <v>26200</v>
      </c>
      <c r="Q28" s="9"/>
      <c r="R28" s="8">
        <v>18</v>
      </c>
      <c r="S28" s="9">
        <f t="shared" si="16"/>
        <v>72000</v>
      </c>
      <c r="T28" s="9">
        <f>2300*R28-4600</f>
        <v>36800</v>
      </c>
      <c r="U28" s="9">
        <f t="shared" si="21"/>
        <v>34200</v>
      </c>
      <c r="V28" s="9"/>
      <c r="W28" s="8">
        <v>18</v>
      </c>
      <c r="X28" s="9">
        <f t="shared" si="22"/>
        <v>63000</v>
      </c>
      <c r="Y28" s="9">
        <f>2300*W28-4600</f>
        <v>36800</v>
      </c>
      <c r="Z28" s="9">
        <f t="shared" si="23"/>
        <v>25200</v>
      </c>
    </row>
    <row r="29" spans="3:27">
      <c r="C29" s="8">
        <v>31</v>
      </c>
      <c r="D29" s="9">
        <f t="shared" si="17"/>
        <v>70000</v>
      </c>
      <c r="E29" s="9">
        <f t="shared" si="18"/>
        <v>59800</v>
      </c>
      <c r="F29" s="9">
        <f t="shared" si="19"/>
        <v>60500</v>
      </c>
      <c r="H29" s="8">
        <v>20</v>
      </c>
      <c r="I29" s="9">
        <f t="shared" si="15"/>
        <v>80000</v>
      </c>
      <c r="J29" s="9">
        <f>2300*H29-4600</f>
        <v>41400</v>
      </c>
      <c r="K29" s="9">
        <f t="shared" si="24"/>
        <v>38600</v>
      </c>
      <c r="M29" s="8">
        <v>20</v>
      </c>
      <c r="N29" s="9">
        <f t="shared" si="20"/>
        <v>70000</v>
      </c>
      <c r="O29" s="9">
        <f>2300*M29-4600</f>
        <v>41400</v>
      </c>
      <c r="P29" s="9">
        <f t="shared" si="25"/>
        <v>28600</v>
      </c>
      <c r="Q29" s="9"/>
      <c r="R29" s="8">
        <v>20</v>
      </c>
      <c r="S29" s="9">
        <f t="shared" si="16"/>
        <v>80000</v>
      </c>
      <c r="T29" s="9">
        <f>2300*R29-4600</f>
        <v>41400</v>
      </c>
      <c r="U29" s="9">
        <f t="shared" si="21"/>
        <v>37600</v>
      </c>
      <c r="V29" s="9"/>
      <c r="W29" s="8">
        <v>20</v>
      </c>
      <c r="X29" s="9">
        <f t="shared" si="22"/>
        <v>70000</v>
      </c>
      <c r="Y29" s="9">
        <f>2300*W29-4600</f>
        <v>41400</v>
      </c>
      <c r="Z29" s="9">
        <f t="shared" si="23"/>
        <v>27600</v>
      </c>
    </row>
    <row r="30" spans="3:27">
      <c r="C30" s="8">
        <v>32</v>
      </c>
      <c r="D30" s="9">
        <f>$D$1*C30-10000</f>
        <v>70000</v>
      </c>
      <c r="E30" s="9">
        <f>D30-C30*300-1200</f>
        <v>59200</v>
      </c>
      <c r="F30" s="9">
        <f>$F$1*C30-2000</f>
        <v>62000</v>
      </c>
      <c r="H30" s="8">
        <v>22</v>
      </c>
      <c r="I30" s="9">
        <f t="shared" si="15"/>
        <v>88000</v>
      </c>
      <c r="J30" s="9">
        <f>2300*H30-4600</f>
        <v>46000</v>
      </c>
      <c r="K30" s="9">
        <f t="shared" si="24"/>
        <v>42000</v>
      </c>
      <c r="M30" s="8">
        <v>22</v>
      </c>
      <c r="N30" s="9">
        <f t="shared" si="20"/>
        <v>77000</v>
      </c>
      <c r="O30" s="9">
        <f>2300*M30-4600</f>
        <v>46000</v>
      </c>
      <c r="P30" s="9">
        <f t="shared" si="25"/>
        <v>31000</v>
      </c>
      <c r="Q30" s="9"/>
      <c r="R30" s="8">
        <v>22</v>
      </c>
      <c r="S30" s="9">
        <f t="shared" si="16"/>
        <v>88000</v>
      </c>
      <c r="T30" s="9">
        <f>2300*R30-4600</f>
        <v>46000</v>
      </c>
      <c r="U30" s="9">
        <f t="shared" si="21"/>
        <v>41000</v>
      </c>
      <c r="V30" s="9"/>
      <c r="W30" s="8">
        <v>22</v>
      </c>
      <c r="X30" s="9">
        <f t="shared" si="22"/>
        <v>77000</v>
      </c>
      <c r="Y30" s="9">
        <f>2300*W30-4600</f>
        <v>46000</v>
      </c>
      <c r="Z30" s="9">
        <f t="shared" si="23"/>
        <v>30000</v>
      </c>
    </row>
    <row r="31" spans="3:27">
      <c r="C31" s="8">
        <v>33</v>
      </c>
      <c r="D31" s="9">
        <f t="shared" ref="D31:D37" si="26">$D$1*C31-10000</f>
        <v>72500</v>
      </c>
      <c r="E31" s="9">
        <f t="shared" ref="E31:E37" si="27">D31-C31*300-1200</f>
        <v>61400</v>
      </c>
      <c r="F31" s="9">
        <f t="shared" ref="F31:F37" si="28">$F$1*C31-2000</f>
        <v>64000</v>
      </c>
      <c r="H31" s="8">
        <v>24</v>
      </c>
      <c r="I31" s="9">
        <f t="shared" si="15"/>
        <v>96000</v>
      </c>
      <c r="J31" s="9">
        <f>2300*H31-6900</f>
        <v>48300</v>
      </c>
      <c r="K31" s="9">
        <f t="shared" si="24"/>
        <v>47700</v>
      </c>
      <c r="M31" s="8">
        <v>24</v>
      </c>
      <c r="N31" s="9">
        <f t="shared" si="20"/>
        <v>84000</v>
      </c>
      <c r="O31" s="9">
        <f>2300*M31-6900</f>
        <v>48300</v>
      </c>
      <c r="P31" s="9">
        <f t="shared" si="25"/>
        <v>35700</v>
      </c>
      <c r="Q31" s="9"/>
      <c r="R31" s="8">
        <v>24</v>
      </c>
      <c r="S31" s="9">
        <f t="shared" si="16"/>
        <v>96000</v>
      </c>
      <c r="T31" s="9">
        <f>2300*R31-6900</f>
        <v>48300</v>
      </c>
      <c r="U31" s="9">
        <f t="shared" si="21"/>
        <v>46700</v>
      </c>
      <c r="V31" s="9"/>
      <c r="W31" s="8">
        <v>24</v>
      </c>
      <c r="X31" s="9">
        <f t="shared" si="22"/>
        <v>84000</v>
      </c>
      <c r="Y31" s="9">
        <f>2300*W31-6900</f>
        <v>48300</v>
      </c>
      <c r="Z31" s="9">
        <f t="shared" si="23"/>
        <v>34700</v>
      </c>
    </row>
    <row r="32" spans="3:27">
      <c r="C32" s="8">
        <v>34</v>
      </c>
      <c r="D32" s="9">
        <f t="shared" si="26"/>
        <v>75000</v>
      </c>
      <c r="E32" s="9">
        <f t="shared" si="27"/>
        <v>63600</v>
      </c>
      <c r="F32" s="9">
        <f t="shared" si="28"/>
        <v>66000</v>
      </c>
      <c r="H32" s="8">
        <v>26</v>
      </c>
      <c r="I32" s="9">
        <f t="shared" si="15"/>
        <v>104000</v>
      </c>
      <c r="J32" s="9">
        <f>2300*H32-6900</f>
        <v>52900</v>
      </c>
      <c r="K32" s="9">
        <f t="shared" si="24"/>
        <v>51100</v>
      </c>
      <c r="M32" s="8">
        <v>26</v>
      </c>
      <c r="N32" s="9">
        <f t="shared" si="20"/>
        <v>91000</v>
      </c>
      <c r="O32" s="9">
        <f>2300*M32-6900</f>
        <v>52900</v>
      </c>
      <c r="P32" s="9">
        <f t="shared" si="25"/>
        <v>38100</v>
      </c>
      <c r="Q32" s="9"/>
      <c r="R32" s="8">
        <v>26</v>
      </c>
      <c r="S32" s="9">
        <f t="shared" si="16"/>
        <v>104000</v>
      </c>
      <c r="T32" s="9">
        <f>2300*R32-6900</f>
        <v>52900</v>
      </c>
      <c r="U32" s="9">
        <f t="shared" si="21"/>
        <v>50100</v>
      </c>
      <c r="V32" s="9"/>
      <c r="W32" s="8">
        <v>26</v>
      </c>
      <c r="X32" s="9">
        <f t="shared" si="22"/>
        <v>91000</v>
      </c>
      <c r="Y32" s="9">
        <f>2300*W32-6900</f>
        <v>52900</v>
      </c>
      <c r="Z32" s="9">
        <f t="shared" si="23"/>
        <v>37100</v>
      </c>
    </row>
    <row r="33" spans="3:26">
      <c r="C33" s="8">
        <v>35</v>
      </c>
      <c r="D33" s="9">
        <f t="shared" si="26"/>
        <v>77500</v>
      </c>
      <c r="E33" s="9">
        <f t="shared" si="27"/>
        <v>65800</v>
      </c>
      <c r="F33" s="9">
        <f t="shared" si="28"/>
        <v>68000</v>
      </c>
      <c r="H33" s="8">
        <v>28</v>
      </c>
      <c r="I33" s="9">
        <f t="shared" si="15"/>
        <v>112000</v>
      </c>
      <c r="J33" s="9">
        <f>2300*H33-6900</f>
        <v>57500</v>
      </c>
      <c r="K33" s="9">
        <f t="shared" si="24"/>
        <v>54500</v>
      </c>
      <c r="M33" s="8">
        <v>28</v>
      </c>
      <c r="N33" s="9">
        <f t="shared" si="20"/>
        <v>98000</v>
      </c>
      <c r="O33" s="9">
        <f>2300*M33-6900</f>
        <v>57500</v>
      </c>
      <c r="P33" s="9">
        <f t="shared" si="25"/>
        <v>40500</v>
      </c>
      <c r="Q33" s="9"/>
      <c r="R33" s="8">
        <v>28</v>
      </c>
      <c r="S33" s="9">
        <f t="shared" si="16"/>
        <v>112000</v>
      </c>
      <c r="T33" s="9">
        <f>2300*R33-6900</f>
        <v>57500</v>
      </c>
      <c r="U33" s="9">
        <f t="shared" si="21"/>
        <v>53500</v>
      </c>
      <c r="V33" s="9"/>
      <c r="W33" s="8">
        <v>28</v>
      </c>
      <c r="X33" s="9">
        <f t="shared" si="22"/>
        <v>98000</v>
      </c>
      <c r="Y33" s="9">
        <f>2300*W33-6900</f>
        <v>57500</v>
      </c>
      <c r="Z33" s="9">
        <f t="shared" si="23"/>
        <v>39500</v>
      </c>
    </row>
    <row r="34" spans="3:26">
      <c r="C34" s="8">
        <v>36</v>
      </c>
      <c r="D34" s="9">
        <f t="shared" si="26"/>
        <v>80000</v>
      </c>
      <c r="E34" s="9">
        <f t="shared" si="27"/>
        <v>68000</v>
      </c>
      <c r="F34" s="9">
        <f t="shared" si="28"/>
        <v>70000</v>
      </c>
      <c r="H34" s="8">
        <v>30</v>
      </c>
      <c r="I34" s="9">
        <f t="shared" si="15"/>
        <v>120000</v>
      </c>
      <c r="J34" s="9">
        <f>2300*H34-6900</f>
        <v>62100</v>
      </c>
      <c r="K34" s="9">
        <f t="shared" si="24"/>
        <v>57900</v>
      </c>
      <c r="M34" s="8">
        <v>30</v>
      </c>
      <c r="N34" s="9">
        <f t="shared" si="20"/>
        <v>105000</v>
      </c>
      <c r="O34" s="9">
        <f>2300*M34-6900</f>
        <v>62100</v>
      </c>
      <c r="P34" s="9">
        <f t="shared" si="25"/>
        <v>42900</v>
      </c>
      <c r="Q34" s="9"/>
      <c r="R34" s="8">
        <v>30</v>
      </c>
      <c r="S34" s="9">
        <f t="shared" si="16"/>
        <v>120000</v>
      </c>
      <c r="T34" s="9">
        <f>2300*R34-6900</f>
        <v>62100</v>
      </c>
      <c r="U34" s="9">
        <f t="shared" si="21"/>
        <v>56900</v>
      </c>
      <c r="V34" s="9"/>
      <c r="W34" s="8">
        <v>30</v>
      </c>
      <c r="X34" s="9">
        <f t="shared" si="22"/>
        <v>105000</v>
      </c>
      <c r="Y34" s="9">
        <f>2300*W34-6900</f>
        <v>62100</v>
      </c>
      <c r="Z34" s="9">
        <f t="shared" si="23"/>
        <v>41900</v>
      </c>
    </row>
    <row r="35" spans="3:26">
      <c r="C35" s="8">
        <v>37</v>
      </c>
      <c r="D35" s="9">
        <f t="shared" si="26"/>
        <v>82500</v>
      </c>
      <c r="E35" s="9">
        <f t="shared" si="27"/>
        <v>70200</v>
      </c>
      <c r="F35" s="9">
        <f t="shared" si="28"/>
        <v>72000</v>
      </c>
      <c r="H35" s="8">
        <v>32</v>
      </c>
      <c r="I35" s="9">
        <f t="shared" si="15"/>
        <v>128000</v>
      </c>
      <c r="J35" s="9">
        <f>2300*H35-9200</f>
        <v>64400</v>
      </c>
      <c r="K35" s="9">
        <f t="shared" si="24"/>
        <v>63600</v>
      </c>
      <c r="M35" s="8">
        <v>32</v>
      </c>
      <c r="N35" s="9">
        <f t="shared" si="20"/>
        <v>112000</v>
      </c>
      <c r="O35" s="9">
        <f>2300*M35-9200</f>
        <v>64400</v>
      </c>
      <c r="P35" s="9">
        <f t="shared" si="25"/>
        <v>47600</v>
      </c>
      <c r="Q35" s="9"/>
      <c r="R35" s="8">
        <v>32</v>
      </c>
      <c r="S35" s="9">
        <f t="shared" si="16"/>
        <v>128000</v>
      </c>
      <c r="T35" s="9">
        <f>2300*R35-9200</f>
        <v>64400</v>
      </c>
      <c r="U35" s="9">
        <f t="shared" si="21"/>
        <v>62600</v>
      </c>
      <c r="V35" s="9"/>
      <c r="W35" s="8">
        <v>32</v>
      </c>
      <c r="X35" s="9">
        <f t="shared" si="22"/>
        <v>112000</v>
      </c>
      <c r="Y35" s="9">
        <f>2300*W35-9200</f>
        <v>64400</v>
      </c>
      <c r="Z35" s="9">
        <f t="shared" si="23"/>
        <v>46600</v>
      </c>
    </row>
    <row r="36" spans="3:26">
      <c r="C36" s="8">
        <v>38</v>
      </c>
      <c r="D36" s="9">
        <f t="shared" si="26"/>
        <v>85000</v>
      </c>
      <c r="E36" s="9">
        <f t="shared" si="27"/>
        <v>72400</v>
      </c>
      <c r="F36" s="9">
        <f t="shared" si="28"/>
        <v>74000</v>
      </c>
      <c r="H36" s="8">
        <v>34</v>
      </c>
      <c r="I36" s="9">
        <f t="shared" si="15"/>
        <v>136000</v>
      </c>
      <c r="J36" s="9">
        <f>2300*H36-9200</f>
        <v>69000</v>
      </c>
      <c r="K36" s="9">
        <f t="shared" si="24"/>
        <v>67000</v>
      </c>
      <c r="M36" s="8">
        <v>34</v>
      </c>
      <c r="N36" s="9">
        <f t="shared" si="20"/>
        <v>119000</v>
      </c>
      <c r="O36" s="9">
        <f>2300*M36-9200</f>
        <v>69000</v>
      </c>
      <c r="P36" s="9">
        <f t="shared" si="25"/>
        <v>50000</v>
      </c>
      <c r="Q36" s="9"/>
      <c r="R36" s="8">
        <v>34</v>
      </c>
      <c r="S36" s="9">
        <f t="shared" si="16"/>
        <v>136000</v>
      </c>
      <c r="T36" s="9">
        <f>2300*R36-9200</f>
        <v>69000</v>
      </c>
      <c r="U36" s="9">
        <f t="shared" si="21"/>
        <v>66000</v>
      </c>
      <c r="V36" s="9"/>
      <c r="W36" s="8">
        <v>34</v>
      </c>
      <c r="X36" s="9">
        <f t="shared" si="22"/>
        <v>119000</v>
      </c>
      <c r="Y36" s="9">
        <f>2300*W36-9200</f>
        <v>69000</v>
      </c>
      <c r="Z36" s="9">
        <f t="shared" si="23"/>
        <v>49000</v>
      </c>
    </row>
    <row r="37" spans="3:26">
      <c r="C37" s="8">
        <v>39</v>
      </c>
      <c r="D37" s="9">
        <f t="shared" si="26"/>
        <v>87500</v>
      </c>
      <c r="E37" s="9">
        <f t="shared" si="27"/>
        <v>74600</v>
      </c>
      <c r="F37" s="9">
        <f t="shared" si="28"/>
        <v>76000</v>
      </c>
      <c r="H37" s="8">
        <v>36</v>
      </c>
      <c r="I37" s="9">
        <f t="shared" si="15"/>
        <v>144000</v>
      </c>
      <c r="J37" s="9">
        <f>2300*H37-9200</f>
        <v>73600</v>
      </c>
      <c r="K37" s="9">
        <f t="shared" si="24"/>
        <v>70400</v>
      </c>
      <c r="M37" s="8">
        <v>36</v>
      </c>
      <c r="N37" s="9">
        <f t="shared" si="20"/>
        <v>126000</v>
      </c>
      <c r="O37" s="9">
        <f>2300*M37-9200</f>
        <v>73600</v>
      </c>
      <c r="P37" s="9">
        <f t="shared" si="25"/>
        <v>52400</v>
      </c>
      <c r="Q37" s="9"/>
      <c r="R37" s="8">
        <v>36</v>
      </c>
      <c r="S37" s="9">
        <f t="shared" si="16"/>
        <v>144000</v>
      </c>
      <c r="T37" s="9">
        <f>2300*R37-9200</f>
        <v>73600</v>
      </c>
      <c r="U37" s="9">
        <f t="shared" si="21"/>
        <v>69400</v>
      </c>
      <c r="V37" s="9"/>
      <c r="W37" s="8">
        <v>36</v>
      </c>
      <c r="X37" s="9">
        <f t="shared" si="22"/>
        <v>126000</v>
      </c>
      <c r="Y37" s="9">
        <f>2300*W37-9200</f>
        <v>73600</v>
      </c>
      <c r="Z37" s="9">
        <f t="shared" si="23"/>
        <v>51400</v>
      </c>
    </row>
    <row r="38" spans="3:26">
      <c r="C38" s="8">
        <v>40</v>
      </c>
      <c r="D38" s="9">
        <f>$D$1*C38-12500</f>
        <v>87500</v>
      </c>
      <c r="E38" s="9">
        <f>D38-C38*300-1500</f>
        <v>74000</v>
      </c>
      <c r="F38" s="9">
        <f>$F$1*C38-2500</f>
        <v>77500</v>
      </c>
      <c r="H38" s="8">
        <v>38</v>
      </c>
      <c r="I38" s="9">
        <f t="shared" si="15"/>
        <v>152000</v>
      </c>
      <c r="J38" s="9">
        <f>2300*H38-9200</f>
        <v>78200</v>
      </c>
      <c r="K38" s="9">
        <f t="shared" si="24"/>
        <v>73800</v>
      </c>
      <c r="M38" s="8">
        <v>38</v>
      </c>
      <c r="N38" s="9">
        <f t="shared" si="20"/>
        <v>133000</v>
      </c>
      <c r="O38" s="9">
        <f>2300*M38-9200</f>
        <v>78200</v>
      </c>
      <c r="P38" s="9">
        <f t="shared" si="25"/>
        <v>54800</v>
      </c>
      <c r="Q38" s="9"/>
      <c r="R38" s="8">
        <v>38</v>
      </c>
      <c r="S38" s="9">
        <f t="shared" si="16"/>
        <v>152000</v>
      </c>
      <c r="T38" s="9">
        <f>2300*R38-9200</f>
        <v>78200</v>
      </c>
      <c r="U38" s="9">
        <f t="shared" si="21"/>
        <v>72800</v>
      </c>
      <c r="V38" s="9"/>
      <c r="W38" s="8">
        <v>38</v>
      </c>
      <c r="X38" s="9">
        <f t="shared" si="22"/>
        <v>133000</v>
      </c>
      <c r="Y38" s="9">
        <f>2300*W38-9200</f>
        <v>78200</v>
      </c>
      <c r="Z38" s="9">
        <f t="shared" si="23"/>
        <v>53800</v>
      </c>
    </row>
    <row r="39" spans="3:26">
      <c r="H39" s="8">
        <v>40</v>
      </c>
      <c r="I39" s="9">
        <f t="shared" si="15"/>
        <v>160000</v>
      </c>
      <c r="J39" s="9">
        <f>2300*H39-11500</f>
        <v>80500</v>
      </c>
      <c r="K39" s="9">
        <f t="shared" si="24"/>
        <v>79500</v>
      </c>
      <c r="M39" s="8">
        <v>40</v>
      </c>
      <c r="N39" s="9">
        <f t="shared" si="20"/>
        <v>140000</v>
      </c>
      <c r="O39" s="9">
        <f>2300*M39-11500</f>
        <v>80500</v>
      </c>
      <c r="P39" s="9">
        <f t="shared" si="25"/>
        <v>59500</v>
      </c>
      <c r="Q39" s="9"/>
      <c r="R39" s="8">
        <v>40</v>
      </c>
      <c r="S39" s="9">
        <f t="shared" si="16"/>
        <v>160000</v>
      </c>
      <c r="T39" s="9">
        <f>2300*R39-11500</f>
        <v>80500</v>
      </c>
      <c r="U39" s="9">
        <f t="shared" si="21"/>
        <v>78500</v>
      </c>
      <c r="V39" s="9"/>
      <c r="W39" s="8">
        <v>40</v>
      </c>
      <c r="X39" s="9">
        <f t="shared" si="22"/>
        <v>140000</v>
      </c>
      <c r="Y39" s="9">
        <f>2300*W39-11500</f>
        <v>80500</v>
      </c>
      <c r="Z39" s="9">
        <f t="shared" si="23"/>
        <v>58500</v>
      </c>
    </row>
    <row r="41" spans="3:26">
      <c r="H41" s="8" t="s">
        <v>223</v>
      </c>
      <c r="I41" s="9">
        <v>4000</v>
      </c>
      <c r="J41" s="9" t="s">
        <v>221</v>
      </c>
      <c r="M41" s="8" t="s">
        <v>223</v>
      </c>
      <c r="N41" s="9">
        <v>3500</v>
      </c>
      <c r="O41" s="9" t="s">
        <v>221</v>
      </c>
      <c r="P41" s="9"/>
      <c r="Q41" s="9"/>
      <c r="R41" s="8" t="s">
        <v>224</v>
      </c>
      <c r="S41" s="9">
        <v>4000</v>
      </c>
      <c r="T41" s="9" t="s">
        <v>221</v>
      </c>
      <c r="U41" s="9"/>
      <c r="V41" s="9"/>
      <c r="W41" s="8" t="s">
        <v>224</v>
      </c>
      <c r="X41" s="9">
        <v>3500</v>
      </c>
      <c r="Y41" s="9" t="s">
        <v>221</v>
      </c>
      <c r="Z41" s="9"/>
    </row>
    <row r="42" spans="3:26">
      <c r="H42" s="8">
        <v>6</v>
      </c>
      <c r="I42" s="9">
        <f t="shared" ref="I42:I59" si="29">$I$1*H42</f>
        <v>24000</v>
      </c>
      <c r="J42" s="9">
        <f>2200*H42</f>
        <v>13200</v>
      </c>
      <c r="K42" s="9">
        <f>I42-J42</f>
        <v>10800</v>
      </c>
      <c r="M42" s="8">
        <v>6</v>
      </c>
      <c r="N42" s="9">
        <f>$N$1*M42</f>
        <v>21000</v>
      </c>
      <c r="O42" s="9">
        <f>2200*M42</f>
        <v>13200</v>
      </c>
      <c r="P42" s="9">
        <f>N42-O42</f>
        <v>7800</v>
      </c>
      <c r="Q42" s="9"/>
      <c r="R42" s="8">
        <v>6</v>
      </c>
      <c r="S42" s="9">
        <f t="shared" ref="S42:S59" si="30">$I$1*R42</f>
        <v>24000</v>
      </c>
      <c r="T42" s="9">
        <f>2200*R42</f>
        <v>13200</v>
      </c>
      <c r="U42" s="9">
        <f>S42-T42-1000</f>
        <v>9800</v>
      </c>
      <c r="V42" s="9"/>
      <c r="W42" s="8">
        <v>6</v>
      </c>
      <c r="X42" s="9">
        <f>$N$1*W42</f>
        <v>21000</v>
      </c>
      <c r="Y42" s="9">
        <f>2200*W42</f>
        <v>13200</v>
      </c>
      <c r="Z42" s="9">
        <f>X42-Y42-1000</f>
        <v>6800</v>
      </c>
    </row>
    <row r="43" spans="3:26">
      <c r="H43" s="8">
        <v>8</v>
      </c>
      <c r="I43" s="9">
        <f t="shared" si="29"/>
        <v>32000</v>
      </c>
      <c r="J43" s="9">
        <f>2200*H43-2200</f>
        <v>15400</v>
      </c>
      <c r="K43" s="9">
        <f>I43-J43</f>
        <v>16600</v>
      </c>
      <c r="M43" s="8">
        <v>8</v>
      </c>
      <c r="N43" s="9">
        <f t="shared" ref="N43:N59" si="31">$N$1*M43</f>
        <v>28000</v>
      </c>
      <c r="O43" s="9">
        <f>2200*M43-2200</f>
        <v>15400</v>
      </c>
      <c r="P43" s="9">
        <f>N43-O43</f>
        <v>12600</v>
      </c>
      <c r="Q43" s="9"/>
      <c r="R43" s="8">
        <v>8</v>
      </c>
      <c r="S43" s="9">
        <f t="shared" si="30"/>
        <v>32000</v>
      </c>
      <c r="T43" s="9">
        <f>2200*R43-2200</f>
        <v>15400</v>
      </c>
      <c r="U43" s="9">
        <f t="shared" ref="U43:U58" si="32">S43-T43-1000</f>
        <v>15600</v>
      </c>
      <c r="V43" s="9"/>
      <c r="W43" s="8">
        <v>8</v>
      </c>
      <c r="X43" s="9">
        <f t="shared" ref="X43:X59" si="33">$N$1*W43</f>
        <v>28000</v>
      </c>
      <c r="Y43" s="9">
        <f>2200*W43-2200</f>
        <v>15400</v>
      </c>
      <c r="Z43" s="9">
        <f t="shared" ref="Z43:Z59" si="34">X43-Y43-1000</f>
        <v>11600</v>
      </c>
    </row>
    <row r="44" spans="3:26">
      <c r="H44" s="8">
        <v>10</v>
      </c>
      <c r="I44" s="9">
        <f t="shared" si="29"/>
        <v>40000</v>
      </c>
      <c r="J44" s="9">
        <f>2200*H44-2200</f>
        <v>19800</v>
      </c>
      <c r="K44" s="9">
        <f>I44-J44</f>
        <v>20200</v>
      </c>
      <c r="M44" s="8">
        <v>10</v>
      </c>
      <c r="N44" s="9">
        <f t="shared" si="31"/>
        <v>35000</v>
      </c>
      <c r="O44" s="9">
        <f>2200*M44-2200</f>
        <v>19800</v>
      </c>
      <c r="P44" s="9">
        <f>N44-O44</f>
        <v>15200</v>
      </c>
      <c r="Q44" s="9"/>
      <c r="R44" s="8">
        <v>10</v>
      </c>
      <c r="S44" s="9">
        <f t="shared" si="30"/>
        <v>40000</v>
      </c>
      <c r="T44" s="9">
        <f>2200*R44-2200</f>
        <v>19800</v>
      </c>
      <c r="U44" s="9">
        <f t="shared" si="32"/>
        <v>19200</v>
      </c>
      <c r="V44" s="9"/>
      <c r="W44" s="8">
        <v>10</v>
      </c>
      <c r="X44" s="9">
        <f t="shared" si="33"/>
        <v>35000</v>
      </c>
      <c r="Y44" s="9">
        <f>2200*W44-2200</f>
        <v>19800</v>
      </c>
      <c r="Z44" s="9">
        <f t="shared" si="34"/>
        <v>14200</v>
      </c>
    </row>
    <row r="45" spans="3:26">
      <c r="H45" s="8">
        <v>12</v>
      </c>
      <c r="I45" s="9">
        <f t="shared" si="29"/>
        <v>48000</v>
      </c>
      <c r="J45" s="9">
        <f>2200*H45-2200</f>
        <v>24200</v>
      </c>
      <c r="K45" s="9">
        <f>I45-J45</f>
        <v>23800</v>
      </c>
      <c r="M45" s="8">
        <v>12</v>
      </c>
      <c r="N45" s="9">
        <f t="shared" si="31"/>
        <v>42000</v>
      </c>
      <c r="O45" s="9">
        <f>2200*M45-2200</f>
        <v>24200</v>
      </c>
      <c r="P45" s="9">
        <f>N45-O45</f>
        <v>17800</v>
      </c>
      <c r="Q45" s="9"/>
      <c r="R45" s="8">
        <v>12</v>
      </c>
      <c r="S45" s="9">
        <f t="shared" si="30"/>
        <v>48000</v>
      </c>
      <c r="T45" s="9">
        <f>2200*R45-2200</f>
        <v>24200</v>
      </c>
      <c r="U45" s="9">
        <f t="shared" si="32"/>
        <v>22800</v>
      </c>
      <c r="V45" s="9"/>
      <c r="W45" s="8">
        <v>12</v>
      </c>
      <c r="X45" s="9">
        <f t="shared" si="33"/>
        <v>42000</v>
      </c>
      <c r="Y45" s="9">
        <f>2200*W45-2200</f>
        <v>24200</v>
      </c>
      <c r="Z45" s="9">
        <f t="shared" si="34"/>
        <v>16800</v>
      </c>
    </row>
    <row r="46" spans="3:26">
      <c r="H46" s="8">
        <v>14</v>
      </c>
      <c r="I46" s="9">
        <f t="shared" si="29"/>
        <v>56000</v>
      </c>
      <c r="J46" s="9">
        <f>2200*H46-2200</f>
        <v>28600</v>
      </c>
      <c r="K46" s="9">
        <f>I46-J46</f>
        <v>27400</v>
      </c>
      <c r="M46" s="8">
        <v>14</v>
      </c>
      <c r="N46" s="9">
        <f t="shared" si="31"/>
        <v>49000</v>
      </c>
      <c r="O46" s="9">
        <f>2200*M46-2200</f>
        <v>28600</v>
      </c>
      <c r="P46" s="9">
        <f>N46-O46</f>
        <v>20400</v>
      </c>
      <c r="Q46" s="9"/>
      <c r="R46" s="8">
        <v>14</v>
      </c>
      <c r="S46" s="9">
        <f t="shared" si="30"/>
        <v>56000</v>
      </c>
      <c r="T46" s="9">
        <f>2200*R46-2200</f>
        <v>28600</v>
      </c>
      <c r="U46" s="9">
        <f t="shared" si="32"/>
        <v>26400</v>
      </c>
      <c r="V46" s="9"/>
      <c r="W46" s="8">
        <v>14</v>
      </c>
      <c r="X46" s="9">
        <f t="shared" si="33"/>
        <v>49000</v>
      </c>
      <c r="Y46" s="9">
        <f>2200*W46-2200</f>
        <v>28600</v>
      </c>
      <c r="Z46" s="9">
        <f t="shared" si="34"/>
        <v>19400</v>
      </c>
    </row>
    <row r="47" spans="3:26">
      <c r="H47" s="8">
        <v>16</v>
      </c>
      <c r="I47" s="9">
        <f t="shared" si="29"/>
        <v>64000</v>
      </c>
      <c r="J47" s="9">
        <f>2200*H47-4400</f>
        <v>30800</v>
      </c>
      <c r="K47" s="9">
        <f t="shared" ref="K47:K59" si="35">I47-J47</f>
        <v>33200</v>
      </c>
      <c r="M47" s="8">
        <v>16</v>
      </c>
      <c r="N47" s="9">
        <f t="shared" si="31"/>
        <v>56000</v>
      </c>
      <c r="O47" s="9">
        <f>2200*M47-4400</f>
        <v>30800</v>
      </c>
      <c r="P47" s="9">
        <f t="shared" ref="P47:P59" si="36">N47-O47</f>
        <v>25200</v>
      </c>
      <c r="Q47" s="9"/>
      <c r="R47" s="8">
        <v>16</v>
      </c>
      <c r="S47" s="9">
        <f t="shared" si="30"/>
        <v>64000</v>
      </c>
      <c r="T47" s="9">
        <f>2200*R47-4400</f>
        <v>30800</v>
      </c>
      <c r="U47" s="9">
        <f t="shared" si="32"/>
        <v>32200</v>
      </c>
      <c r="V47" s="9"/>
      <c r="W47" s="8">
        <v>16</v>
      </c>
      <c r="X47" s="9">
        <f t="shared" si="33"/>
        <v>56000</v>
      </c>
      <c r="Y47" s="9">
        <f>2200*W47-4400</f>
        <v>30800</v>
      </c>
      <c r="Z47" s="9">
        <f t="shared" si="34"/>
        <v>24200</v>
      </c>
    </row>
    <row r="48" spans="3:26">
      <c r="H48" s="8">
        <v>18</v>
      </c>
      <c r="I48" s="9">
        <f t="shared" si="29"/>
        <v>72000</v>
      </c>
      <c r="J48" s="9">
        <f>2200*H48-4400</f>
        <v>35200</v>
      </c>
      <c r="K48" s="9">
        <f t="shared" si="35"/>
        <v>36800</v>
      </c>
      <c r="M48" s="8">
        <v>18</v>
      </c>
      <c r="N48" s="9">
        <f t="shared" si="31"/>
        <v>63000</v>
      </c>
      <c r="O48" s="9">
        <f>2200*M48-4400</f>
        <v>35200</v>
      </c>
      <c r="P48" s="9">
        <f t="shared" si="36"/>
        <v>27800</v>
      </c>
      <c r="Q48" s="9"/>
      <c r="R48" s="8">
        <v>18</v>
      </c>
      <c r="S48" s="9">
        <f t="shared" si="30"/>
        <v>72000</v>
      </c>
      <c r="T48" s="9">
        <f>2200*R48-4400</f>
        <v>35200</v>
      </c>
      <c r="U48" s="9">
        <f t="shared" si="32"/>
        <v>35800</v>
      </c>
      <c r="V48" s="9"/>
      <c r="W48" s="8">
        <v>18</v>
      </c>
      <c r="X48" s="9">
        <f t="shared" si="33"/>
        <v>63000</v>
      </c>
      <c r="Y48" s="9">
        <f>2200*W48-4400</f>
        <v>35200</v>
      </c>
      <c r="Z48" s="9">
        <f t="shared" si="34"/>
        <v>26800</v>
      </c>
    </row>
    <row r="49" spans="8:26">
      <c r="H49" s="8">
        <v>20</v>
      </c>
      <c r="I49" s="9">
        <f t="shared" si="29"/>
        <v>80000</v>
      </c>
      <c r="J49" s="9">
        <f>2200*H49-4400</f>
        <v>39600</v>
      </c>
      <c r="K49" s="9">
        <f t="shared" si="35"/>
        <v>40400</v>
      </c>
      <c r="M49" s="8">
        <v>20</v>
      </c>
      <c r="N49" s="9">
        <f t="shared" si="31"/>
        <v>70000</v>
      </c>
      <c r="O49" s="9">
        <f>2200*M49-4400</f>
        <v>39600</v>
      </c>
      <c r="P49" s="9">
        <f t="shared" si="36"/>
        <v>30400</v>
      </c>
      <c r="Q49" s="9"/>
      <c r="R49" s="8">
        <v>20</v>
      </c>
      <c r="S49" s="9">
        <f t="shared" si="30"/>
        <v>80000</v>
      </c>
      <c r="T49" s="9">
        <f>2200*R49-4400</f>
        <v>39600</v>
      </c>
      <c r="U49" s="9">
        <f t="shared" si="32"/>
        <v>39400</v>
      </c>
      <c r="V49" s="9"/>
      <c r="W49" s="8">
        <v>20</v>
      </c>
      <c r="X49" s="9">
        <f t="shared" si="33"/>
        <v>70000</v>
      </c>
      <c r="Y49" s="9">
        <f>2200*W49-4400</f>
        <v>39600</v>
      </c>
      <c r="Z49" s="9">
        <f t="shared" si="34"/>
        <v>29400</v>
      </c>
    </row>
    <row r="50" spans="8:26">
      <c r="H50" s="8">
        <v>22</v>
      </c>
      <c r="I50" s="9">
        <f t="shared" si="29"/>
        <v>88000</v>
      </c>
      <c r="J50" s="9">
        <f>2200*H50-4400</f>
        <v>44000</v>
      </c>
      <c r="K50" s="9">
        <f t="shared" si="35"/>
        <v>44000</v>
      </c>
      <c r="M50" s="8">
        <v>22</v>
      </c>
      <c r="N50" s="9">
        <f t="shared" si="31"/>
        <v>77000</v>
      </c>
      <c r="O50" s="9">
        <f>2200*M50-4400</f>
        <v>44000</v>
      </c>
      <c r="P50" s="9">
        <f t="shared" si="36"/>
        <v>33000</v>
      </c>
      <c r="Q50" s="9"/>
      <c r="R50" s="8">
        <v>22</v>
      </c>
      <c r="S50" s="9">
        <f t="shared" si="30"/>
        <v>88000</v>
      </c>
      <c r="T50" s="9">
        <f>2200*R50-4400</f>
        <v>44000</v>
      </c>
      <c r="U50" s="9">
        <f t="shared" si="32"/>
        <v>43000</v>
      </c>
      <c r="V50" s="9"/>
      <c r="W50" s="8">
        <v>22</v>
      </c>
      <c r="X50" s="9">
        <f t="shared" si="33"/>
        <v>77000</v>
      </c>
      <c r="Y50" s="9">
        <f>2200*W50-4400</f>
        <v>44000</v>
      </c>
      <c r="Z50" s="9">
        <f t="shared" si="34"/>
        <v>32000</v>
      </c>
    </row>
    <row r="51" spans="8:26">
      <c r="H51" s="8">
        <v>24</v>
      </c>
      <c r="I51" s="9">
        <f t="shared" si="29"/>
        <v>96000</v>
      </c>
      <c r="J51" s="9">
        <f>2200*H51-6600</f>
        <v>46200</v>
      </c>
      <c r="K51" s="9">
        <f t="shared" si="35"/>
        <v>49800</v>
      </c>
      <c r="M51" s="8">
        <v>24</v>
      </c>
      <c r="N51" s="9">
        <f t="shared" si="31"/>
        <v>84000</v>
      </c>
      <c r="O51" s="9">
        <f>2200*M51-6600</f>
        <v>46200</v>
      </c>
      <c r="P51" s="9">
        <f t="shared" si="36"/>
        <v>37800</v>
      </c>
      <c r="Q51" s="9"/>
      <c r="R51" s="8">
        <v>24</v>
      </c>
      <c r="S51" s="9">
        <f t="shared" si="30"/>
        <v>96000</v>
      </c>
      <c r="T51" s="9">
        <f>2200*R51-6600</f>
        <v>46200</v>
      </c>
      <c r="U51" s="9">
        <f t="shared" si="32"/>
        <v>48800</v>
      </c>
      <c r="V51" s="9"/>
      <c r="W51" s="8">
        <v>24</v>
      </c>
      <c r="X51" s="9">
        <f t="shared" si="33"/>
        <v>84000</v>
      </c>
      <c r="Y51" s="9">
        <f>2200*W51-6600</f>
        <v>46200</v>
      </c>
      <c r="Z51" s="9">
        <f t="shared" si="34"/>
        <v>36800</v>
      </c>
    </row>
    <row r="52" spans="8:26">
      <c r="H52" s="8">
        <v>26</v>
      </c>
      <c r="I52" s="9">
        <f t="shared" si="29"/>
        <v>104000</v>
      </c>
      <c r="J52" s="9">
        <f>2200*H52-6600</f>
        <v>50600</v>
      </c>
      <c r="K52" s="9">
        <f t="shared" si="35"/>
        <v>53400</v>
      </c>
      <c r="M52" s="8">
        <v>26</v>
      </c>
      <c r="N52" s="9">
        <f t="shared" si="31"/>
        <v>91000</v>
      </c>
      <c r="O52" s="9">
        <f>2200*M52-6600</f>
        <v>50600</v>
      </c>
      <c r="P52" s="9">
        <f t="shared" si="36"/>
        <v>40400</v>
      </c>
      <c r="Q52" s="9"/>
      <c r="R52" s="8">
        <v>26</v>
      </c>
      <c r="S52" s="9">
        <f t="shared" si="30"/>
        <v>104000</v>
      </c>
      <c r="T52" s="9">
        <f>2200*R52-6600</f>
        <v>50600</v>
      </c>
      <c r="U52" s="9">
        <f t="shared" si="32"/>
        <v>52400</v>
      </c>
      <c r="V52" s="9"/>
      <c r="W52" s="8">
        <v>26</v>
      </c>
      <c r="X52" s="9">
        <f t="shared" si="33"/>
        <v>91000</v>
      </c>
      <c r="Y52" s="9">
        <f>2200*W52-6600</f>
        <v>50600</v>
      </c>
      <c r="Z52" s="9">
        <f t="shared" si="34"/>
        <v>39400</v>
      </c>
    </row>
    <row r="53" spans="8:26">
      <c r="H53" s="8">
        <v>28</v>
      </c>
      <c r="I53" s="9">
        <f t="shared" si="29"/>
        <v>112000</v>
      </c>
      <c r="J53" s="9">
        <f>2200*H53-6600</f>
        <v>55000</v>
      </c>
      <c r="K53" s="9">
        <f t="shared" si="35"/>
        <v>57000</v>
      </c>
      <c r="M53" s="8">
        <v>28</v>
      </c>
      <c r="N53" s="9">
        <f t="shared" si="31"/>
        <v>98000</v>
      </c>
      <c r="O53" s="9">
        <f>2200*M53-6600</f>
        <v>55000</v>
      </c>
      <c r="P53" s="9">
        <f t="shared" si="36"/>
        <v>43000</v>
      </c>
      <c r="Q53" s="9"/>
      <c r="R53" s="8">
        <v>28</v>
      </c>
      <c r="S53" s="9">
        <f t="shared" si="30"/>
        <v>112000</v>
      </c>
      <c r="T53" s="9">
        <f>2200*R53-6600</f>
        <v>55000</v>
      </c>
      <c r="U53" s="9">
        <f t="shared" si="32"/>
        <v>56000</v>
      </c>
      <c r="V53" s="9"/>
      <c r="W53" s="8">
        <v>28</v>
      </c>
      <c r="X53" s="9">
        <f t="shared" si="33"/>
        <v>98000</v>
      </c>
      <c r="Y53" s="9">
        <f>2200*W53-6600</f>
        <v>55000</v>
      </c>
      <c r="Z53" s="9">
        <f t="shared" si="34"/>
        <v>42000</v>
      </c>
    </row>
    <row r="54" spans="8:26">
      <c r="H54" s="8">
        <v>30</v>
      </c>
      <c r="I54" s="9">
        <f t="shared" si="29"/>
        <v>120000</v>
      </c>
      <c r="J54" s="9">
        <f>2200*H54-6600</f>
        <v>59400</v>
      </c>
      <c r="K54" s="9">
        <f t="shared" si="35"/>
        <v>60600</v>
      </c>
      <c r="M54" s="8">
        <v>30</v>
      </c>
      <c r="N54" s="9">
        <f t="shared" si="31"/>
        <v>105000</v>
      </c>
      <c r="O54" s="9">
        <f>2200*M54-6600</f>
        <v>59400</v>
      </c>
      <c r="P54" s="9">
        <f t="shared" si="36"/>
        <v>45600</v>
      </c>
      <c r="Q54" s="9"/>
      <c r="R54" s="8">
        <v>30</v>
      </c>
      <c r="S54" s="9">
        <f t="shared" si="30"/>
        <v>120000</v>
      </c>
      <c r="T54" s="9">
        <f>2200*R54-6600</f>
        <v>59400</v>
      </c>
      <c r="U54" s="9">
        <f t="shared" si="32"/>
        <v>59600</v>
      </c>
      <c r="V54" s="9"/>
      <c r="W54" s="8">
        <v>30</v>
      </c>
      <c r="X54" s="9">
        <f t="shared" si="33"/>
        <v>105000</v>
      </c>
      <c r="Y54" s="9">
        <f>2200*W54-6600</f>
        <v>59400</v>
      </c>
      <c r="Z54" s="9">
        <f t="shared" si="34"/>
        <v>44600</v>
      </c>
    </row>
    <row r="55" spans="8:26">
      <c r="H55" s="8">
        <v>32</v>
      </c>
      <c r="I55" s="9">
        <f t="shared" si="29"/>
        <v>128000</v>
      </c>
      <c r="J55" s="9">
        <f>2200*H55-8800</f>
        <v>61600</v>
      </c>
      <c r="K55" s="9">
        <f t="shared" si="35"/>
        <v>66400</v>
      </c>
      <c r="M55" s="8">
        <v>32</v>
      </c>
      <c r="N55" s="9">
        <f t="shared" si="31"/>
        <v>112000</v>
      </c>
      <c r="O55" s="9">
        <f>2200*M55-8800</f>
        <v>61600</v>
      </c>
      <c r="P55" s="9">
        <f t="shared" si="36"/>
        <v>50400</v>
      </c>
      <c r="Q55" s="9"/>
      <c r="R55" s="8">
        <v>32</v>
      </c>
      <c r="S55" s="9">
        <f t="shared" si="30"/>
        <v>128000</v>
      </c>
      <c r="T55" s="9">
        <f>2200*R55-8800</f>
        <v>61600</v>
      </c>
      <c r="U55" s="9">
        <f t="shared" si="32"/>
        <v>65400</v>
      </c>
      <c r="V55" s="9"/>
      <c r="W55" s="8">
        <v>32</v>
      </c>
      <c r="X55" s="9">
        <f t="shared" si="33"/>
        <v>112000</v>
      </c>
      <c r="Y55" s="9">
        <f>2200*W55-8800</f>
        <v>61600</v>
      </c>
      <c r="Z55" s="9">
        <f t="shared" si="34"/>
        <v>49400</v>
      </c>
    </row>
    <row r="56" spans="8:26">
      <c r="H56" s="8">
        <v>34</v>
      </c>
      <c r="I56" s="9">
        <f t="shared" si="29"/>
        <v>136000</v>
      </c>
      <c r="J56" s="9">
        <f>2200*H56-8800</f>
        <v>66000</v>
      </c>
      <c r="K56" s="9">
        <f t="shared" si="35"/>
        <v>70000</v>
      </c>
      <c r="M56" s="8">
        <v>34</v>
      </c>
      <c r="N56" s="9">
        <f t="shared" si="31"/>
        <v>119000</v>
      </c>
      <c r="O56" s="9">
        <f>2200*M56-8800</f>
        <v>66000</v>
      </c>
      <c r="P56" s="9">
        <f t="shared" si="36"/>
        <v>53000</v>
      </c>
      <c r="Q56" s="9"/>
      <c r="R56" s="8">
        <v>34</v>
      </c>
      <c r="S56" s="9">
        <f t="shared" si="30"/>
        <v>136000</v>
      </c>
      <c r="T56" s="9">
        <f>2200*R56-8800</f>
        <v>66000</v>
      </c>
      <c r="U56" s="9">
        <f t="shared" si="32"/>
        <v>69000</v>
      </c>
      <c r="V56" s="9"/>
      <c r="W56" s="8">
        <v>34</v>
      </c>
      <c r="X56" s="9">
        <f t="shared" si="33"/>
        <v>119000</v>
      </c>
      <c r="Y56" s="9">
        <f>2200*W56-8800</f>
        <v>66000</v>
      </c>
      <c r="Z56" s="9">
        <f t="shared" si="34"/>
        <v>52000</v>
      </c>
    </row>
    <row r="57" spans="8:26">
      <c r="H57" s="8">
        <v>36</v>
      </c>
      <c r="I57" s="9">
        <f t="shared" si="29"/>
        <v>144000</v>
      </c>
      <c r="J57" s="9">
        <f>2200*H57-8800</f>
        <v>70400</v>
      </c>
      <c r="K57" s="9">
        <f t="shared" si="35"/>
        <v>73600</v>
      </c>
      <c r="M57" s="8">
        <v>36</v>
      </c>
      <c r="N57" s="9">
        <f t="shared" si="31"/>
        <v>126000</v>
      </c>
      <c r="O57" s="9">
        <f>2200*M57-8800</f>
        <v>70400</v>
      </c>
      <c r="P57" s="9">
        <f t="shared" si="36"/>
        <v>55600</v>
      </c>
      <c r="Q57" s="9"/>
      <c r="R57" s="8">
        <v>36</v>
      </c>
      <c r="S57" s="9">
        <f t="shared" si="30"/>
        <v>144000</v>
      </c>
      <c r="T57" s="9">
        <f>2200*R57-8800</f>
        <v>70400</v>
      </c>
      <c r="U57" s="9">
        <f t="shared" si="32"/>
        <v>72600</v>
      </c>
      <c r="V57" s="9"/>
      <c r="W57" s="8">
        <v>36</v>
      </c>
      <c r="X57" s="9">
        <f t="shared" si="33"/>
        <v>126000</v>
      </c>
      <c r="Y57" s="9">
        <f>2200*W57-8800</f>
        <v>70400</v>
      </c>
      <c r="Z57" s="9">
        <f t="shared" si="34"/>
        <v>54600</v>
      </c>
    </row>
    <row r="58" spans="8:26">
      <c r="H58" s="8">
        <v>38</v>
      </c>
      <c r="I58" s="9">
        <f t="shared" si="29"/>
        <v>152000</v>
      </c>
      <c r="J58" s="9">
        <f>2200*H58-8800</f>
        <v>74800</v>
      </c>
      <c r="K58" s="9">
        <f t="shared" si="35"/>
        <v>77200</v>
      </c>
      <c r="M58" s="8">
        <v>38</v>
      </c>
      <c r="N58" s="9">
        <f t="shared" si="31"/>
        <v>133000</v>
      </c>
      <c r="O58" s="9">
        <f>2200*M58-8800</f>
        <v>74800</v>
      </c>
      <c r="P58" s="9">
        <f t="shared" si="36"/>
        <v>58200</v>
      </c>
      <c r="Q58" s="9"/>
      <c r="R58" s="8">
        <v>38</v>
      </c>
      <c r="S58" s="9">
        <f t="shared" si="30"/>
        <v>152000</v>
      </c>
      <c r="T58" s="9">
        <f>2200*R58-8800</f>
        <v>74800</v>
      </c>
      <c r="U58" s="9">
        <f t="shared" si="32"/>
        <v>76200</v>
      </c>
      <c r="V58" s="9"/>
      <c r="W58" s="8">
        <v>38</v>
      </c>
      <c r="X58" s="9">
        <f t="shared" si="33"/>
        <v>133000</v>
      </c>
      <c r="Y58" s="9">
        <f>2200*W58-8800</f>
        <v>74800</v>
      </c>
      <c r="Z58" s="9">
        <f t="shared" si="34"/>
        <v>57200</v>
      </c>
    </row>
    <row r="59" spans="8:26">
      <c r="H59" s="8">
        <v>40</v>
      </c>
      <c r="I59" s="9">
        <f t="shared" si="29"/>
        <v>160000</v>
      </c>
      <c r="J59" s="9">
        <f>2200*H59-11000</f>
        <v>77000</v>
      </c>
      <c r="K59" s="9">
        <f t="shared" si="35"/>
        <v>83000</v>
      </c>
      <c r="M59" s="8">
        <v>40</v>
      </c>
      <c r="N59" s="9">
        <f t="shared" si="31"/>
        <v>140000</v>
      </c>
      <c r="O59" s="9">
        <f>2200*M59-11000</f>
        <v>77000</v>
      </c>
      <c r="P59" s="9">
        <f t="shared" si="36"/>
        <v>63000</v>
      </c>
      <c r="Q59" s="9"/>
      <c r="R59" s="8">
        <v>40</v>
      </c>
      <c r="S59" s="9">
        <f t="shared" si="30"/>
        <v>160000</v>
      </c>
      <c r="T59" s="9">
        <f>2200*R59-11000</f>
        <v>77000</v>
      </c>
      <c r="U59" s="9">
        <f>S59-T59-1000</f>
        <v>82000</v>
      </c>
      <c r="V59" s="9"/>
      <c r="W59" s="8">
        <v>40</v>
      </c>
      <c r="X59" s="9">
        <f t="shared" si="33"/>
        <v>140000</v>
      </c>
      <c r="Y59" s="9">
        <f>2200*W59-11000</f>
        <v>77000</v>
      </c>
      <c r="Z59" s="9">
        <f t="shared" si="34"/>
        <v>62000</v>
      </c>
    </row>
    <row r="61" spans="8:26">
      <c r="H61" s="8" t="s">
        <v>225</v>
      </c>
      <c r="I61" s="9">
        <v>4000</v>
      </c>
      <c r="J61" s="9" t="s">
        <v>221</v>
      </c>
      <c r="M61" s="8" t="s">
        <v>225</v>
      </c>
      <c r="N61" s="9">
        <v>3500</v>
      </c>
      <c r="O61" s="9" t="s">
        <v>221</v>
      </c>
      <c r="P61" s="9"/>
      <c r="Q61" s="9"/>
      <c r="R61" s="8" t="s">
        <v>226</v>
      </c>
      <c r="S61" s="9">
        <v>4000</v>
      </c>
      <c r="T61" s="9" t="s">
        <v>221</v>
      </c>
      <c r="U61" s="9"/>
      <c r="V61" s="9"/>
      <c r="W61" s="8" t="s">
        <v>226</v>
      </c>
      <c r="X61" s="9">
        <v>3500</v>
      </c>
      <c r="Y61" s="9" t="s">
        <v>221</v>
      </c>
      <c r="Z61" s="9"/>
    </row>
    <row r="62" spans="8:26">
      <c r="H62" s="8">
        <v>6</v>
      </c>
      <c r="I62" s="9">
        <f t="shared" ref="I62:I79" si="37">$I$1*H62</f>
        <v>24000</v>
      </c>
      <c r="J62" s="9">
        <f>2000*H62</f>
        <v>12000</v>
      </c>
      <c r="K62" s="9">
        <f>I62-J62</f>
        <v>12000</v>
      </c>
      <c r="M62" s="8">
        <v>6</v>
      </c>
      <c r="N62" s="9">
        <f>$N$1*M62</f>
        <v>21000</v>
      </c>
      <c r="O62" s="9">
        <f>2000*M62</f>
        <v>12000</v>
      </c>
      <c r="P62" s="9">
        <f>N62-O62</f>
        <v>9000</v>
      </c>
      <c r="Q62" s="9"/>
      <c r="R62" s="8">
        <v>6</v>
      </c>
      <c r="S62" s="9">
        <f t="shared" ref="S62:S79" si="38">$I$1*R62</f>
        <v>24000</v>
      </c>
      <c r="T62" s="9">
        <f>2000*R62</f>
        <v>12000</v>
      </c>
      <c r="U62" s="9">
        <f>S62-T62-1000</f>
        <v>11000</v>
      </c>
      <c r="V62" s="9"/>
      <c r="W62" s="8">
        <v>6</v>
      </c>
      <c r="X62" s="9">
        <f>$N$1*W62</f>
        <v>21000</v>
      </c>
      <c r="Y62" s="9">
        <f>2000*W62</f>
        <v>12000</v>
      </c>
      <c r="Z62" s="9">
        <f>X62-Y62-1000</f>
        <v>8000</v>
      </c>
    </row>
    <row r="63" spans="8:26">
      <c r="H63" s="8">
        <v>8</v>
      </c>
      <c r="I63" s="9">
        <f t="shared" si="37"/>
        <v>32000</v>
      </c>
      <c r="J63" s="9">
        <f>2000*H63-2000</f>
        <v>14000</v>
      </c>
      <c r="K63" s="9">
        <f>I63-J63</f>
        <v>18000</v>
      </c>
      <c r="M63" s="8">
        <v>8</v>
      </c>
      <c r="N63" s="9">
        <f t="shared" ref="N63:N79" si="39">$N$1*M63</f>
        <v>28000</v>
      </c>
      <c r="O63" s="9">
        <f>2000*M63-2000</f>
        <v>14000</v>
      </c>
      <c r="P63" s="9">
        <f>N63-O63</f>
        <v>14000</v>
      </c>
      <c r="Q63" s="9"/>
      <c r="R63" s="8">
        <v>8</v>
      </c>
      <c r="S63" s="9">
        <f t="shared" si="38"/>
        <v>32000</v>
      </c>
      <c r="T63" s="9">
        <f>2000*R63-2000</f>
        <v>14000</v>
      </c>
      <c r="U63" s="9">
        <f t="shared" ref="U63:U78" si="40">S63-T63-1000</f>
        <v>17000</v>
      </c>
      <c r="V63" s="9"/>
      <c r="W63" s="8">
        <v>8</v>
      </c>
      <c r="X63" s="9">
        <f t="shared" ref="X63:X79" si="41">$N$1*W63</f>
        <v>28000</v>
      </c>
      <c r="Y63" s="9">
        <f>2000*W63-2000</f>
        <v>14000</v>
      </c>
      <c r="Z63" s="9">
        <f t="shared" ref="Z63:Z79" si="42">X63-Y63-1000</f>
        <v>13000</v>
      </c>
    </row>
    <row r="64" spans="8:26">
      <c r="H64" s="8">
        <v>10</v>
      </c>
      <c r="I64" s="9">
        <f t="shared" si="37"/>
        <v>40000</v>
      </c>
      <c r="J64" s="9">
        <f>2000*H64-2000</f>
        <v>18000</v>
      </c>
      <c r="K64" s="9">
        <f>I64-J64</f>
        <v>22000</v>
      </c>
      <c r="M64" s="8">
        <v>10</v>
      </c>
      <c r="N64" s="9">
        <f t="shared" si="39"/>
        <v>35000</v>
      </c>
      <c r="O64" s="9">
        <f>2000*M64-2000</f>
        <v>18000</v>
      </c>
      <c r="P64" s="9">
        <f>N64-O64</f>
        <v>17000</v>
      </c>
      <c r="Q64" s="9"/>
      <c r="R64" s="8">
        <v>10</v>
      </c>
      <c r="S64" s="9">
        <f t="shared" si="38"/>
        <v>40000</v>
      </c>
      <c r="T64" s="9">
        <f>2000*R64-2000</f>
        <v>18000</v>
      </c>
      <c r="U64" s="9">
        <f t="shared" si="40"/>
        <v>21000</v>
      </c>
      <c r="V64" s="9"/>
      <c r="W64" s="8">
        <v>10</v>
      </c>
      <c r="X64" s="9">
        <f t="shared" si="41"/>
        <v>35000</v>
      </c>
      <c r="Y64" s="9">
        <f>2000*W64-2000</f>
        <v>18000</v>
      </c>
      <c r="Z64" s="9">
        <f t="shared" si="42"/>
        <v>16000</v>
      </c>
    </row>
    <row r="65" spans="8:26">
      <c r="H65" s="8">
        <v>12</v>
      </c>
      <c r="I65" s="9">
        <f t="shared" si="37"/>
        <v>48000</v>
      </c>
      <c r="J65" s="9">
        <f>2000*H65-2000</f>
        <v>22000</v>
      </c>
      <c r="K65" s="9">
        <f>I65-J65</f>
        <v>26000</v>
      </c>
      <c r="M65" s="8">
        <v>12</v>
      </c>
      <c r="N65" s="9">
        <f t="shared" si="39"/>
        <v>42000</v>
      </c>
      <c r="O65" s="9">
        <f>2000*M65-2000</f>
        <v>22000</v>
      </c>
      <c r="P65" s="9">
        <f>N65-O65</f>
        <v>20000</v>
      </c>
      <c r="Q65" s="9"/>
      <c r="R65" s="8">
        <v>12</v>
      </c>
      <c r="S65" s="9">
        <f t="shared" si="38"/>
        <v>48000</v>
      </c>
      <c r="T65" s="9">
        <f>2000*R65-2000</f>
        <v>22000</v>
      </c>
      <c r="U65" s="9">
        <f t="shared" si="40"/>
        <v>25000</v>
      </c>
      <c r="V65" s="9"/>
      <c r="W65" s="8">
        <v>12</v>
      </c>
      <c r="X65" s="9">
        <f t="shared" si="41"/>
        <v>42000</v>
      </c>
      <c r="Y65" s="9">
        <f>2000*W65-2000</f>
        <v>22000</v>
      </c>
      <c r="Z65" s="9">
        <f t="shared" si="42"/>
        <v>19000</v>
      </c>
    </row>
    <row r="66" spans="8:26">
      <c r="H66" s="8">
        <v>14</v>
      </c>
      <c r="I66" s="9">
        <f t="shared" si="37"/>
        <v>56000</v>
      </c>
      <c r="J66" s="9">
        <f>2000*H66-2000</f>
        <v>26000</v>
      </c>
      <c r="K66" s="9">
        <f>I66-J66</f>
        <v>30000</v>
      </c>
      <c r="M66" s="8">
        <v>14</v>
      </c>
      <c r="N66" s="9">
        <f t="shared" si="39"/>
        <v>49000</v>
      </c>
      <c r="O66" s="9">
        <f>2000*M66-2000</f>
        <v>26000</v>
      </c>
      <c r="P66" s="9">
        <f>N66-O66</f>
        <v>23000</v>
      </c>
      <c r="Q66" s="9"/>
      <c r="R66" s="8">
        <v>14</v>
      </c>
      <c r="S66" s="9">
        <f t="shared" si="38"/>
        <v>56000</v>
      </c>
      <c r="T66" s="9">
        <f>2000*R66-2000</f>
        <v>26000</v>
      </c>
      <c r="U66" s="9">
        <f t="shared" si="40"/>
        <v>29000</v>
      </c>
      <c r="V66" s="9"/>
      <c r="W66" s="8">
        <v>14</v>
      </c>
      <c r="X66" s="9">
        <f t="shared" si="41"/>
        <v>49000</v>
      </c>
      <c r="Y66" s="9">
        <f>2000*W66-2000</f>
        <v>26000</v>
      </c>
      <c r="Z66" s="9">
        <f t="shared" si="42"/>
        <v>22000</v>
      </c>
    </row>
    <row r="67" spans="8:26">
      <c r="H67" s="8">
        <v>16</v>
      </c>
      <c r="I67" s="9">
        <f t="shared" si="37"/>
        <v>64000</v>
      </c>
      <c r="J67" s="9">
        <f>2000*H67-4000</f>
        <v>28000</v>
      </c>
      <c r="K67" s="9">
        <f t="shared" ref="K67:K79" si="43">I67-J67</f>
        <v>36000</v>
      </c>
      <c r="M67" s="8">
        <v>16</v>
      </c>
      <c r="N67" s="9">
        <f t="shared" si="39"/>
        <v>56000</v>
      </c>
      <c r="O67" s="9">
        <f>2000*M67-4000</f>
        <v>28000</v>
      </c>
      <c r="P67" s="9">
        <f t="shared" ref="P67:P79" si="44">N67-O67</f>
        <v>28000</v>
      </c>
      <c r="Q67" s="9"/>
      <c r="R67" s="8">
        <v>16</v>
      </c>
      <c r="S67" s="9">
        <f t="shared" si="38"/>
        <v>64000</v>
      </c>
      <c r="T67" s="9">
        <f>2000*R67-4000</f>
        <v>28000</v>
      </c>
      <c r="U67" s="9">
        <f t="shared" si="40"/>
        <v>35000</v>
      </c>
      <c r="V67" s="9"/>
      <c r="W67" s="8">
        <v>16</v>
      </c>
      <c r="X67" s="9">
        <f t="shared" si="41"/>
        <v>56000</v>
      </c>
      <c r="Y67" s="9">
        <f>2000*W67-4000</f>
        <v>28000</v>
      </c>
      <c r="Z67" s="9">
        <f t="shared" si="42"/>
        <v>27000</v>
      </c>
    </row>
    <row r="68" spans="8:26">
      <c r="H68" s="8">
        <v>18</v>
      </c>
      <c r="I68" s="9">
        <f t="shared" si="37"/>
        <v>72000</v>
      </c>
      <c r="J68" s="9">
        <f>2000*H68-4000</f>
        <v>32000</v>
      </c>
      <c r="K68" s="9">
        <f t="shared" si="43"/>
        <v>40000</v>
      </c>
      <c r="M68" s="8">
        <v>18</v>
      </c>
      <c r="N68" s="9">
        <f t="shared" si="39"/>
        <v>63000</v>
      </c>
      <c r="O68" s="9">
        <f>2000*M68-4000</f>
        <v>32000</v>
      </c>
      <c r="P68" s="9">
        <f t="shared" si="44"/>
        <v>31000</v>
      </c>
      <c r="Q68" s="9"/>
      <c r="R68" s="8">
        <v>18</v>
      </c>
      <c r="S68" s="9">
        <f t="shared" si="38"/>
        <v>72000</v>
      </c>
      <c r="T68" s="9">
        <f>2000*R68-4000</f>
        <v>32000</v>
      </c>
      <c r="U68" s="9">
        <f t="shared" si="40"/>
        <v>39000</v>
      </c>
      <c r="V68" s="9"/>
      <c r="W68" s="8">
        <v>18</v>
      </c>
      <c r="X68" s="9">
        <f t="shared" si="41"/>
        <v>63000</v>
      </c>
      <c r="Y68" s="9">
        <f>2000*W68-4000</f>
        <v>32000</v>
      </c>
      <c r="Z68" s="9">
        <f t="shared" si="42"/>
        <v>30000</v>
      </c>
    </row>
    <row r="69" spans="8:26">
      <c r="H69" s="8">
        <v>20</v>
      </c>
      <c r="I69" s="9">
        <f t="shared" si="37"/>
        <v>80000</v>
      </c>
      <c r="J69" s="9">
        <f>2000*H69-4000</f>
        <v>36000</v>
      </c>
      <c r="K69" s="9">
        <f t="shared" si="43"/>
        <v>44000</v>
      </c>
      <c r="M69" s="8">
        <v>20</v>
      </c>
      <c r="N69" s="9">
        <f t="shared" si="39"/>
        <v>70000</v>
      </c>
      <c r="O69" s="9">
        <f>2000*M69-4000</f>
        <v>36000</v>
      </c>
      <c r="P69" s="9">
        <f t="shared" si="44"/>
        <v>34000</v>
      </c>
      <c r="Q69" s="9"/>
      <c r="R69" s="8">
        <v>20</v>
      </c>
      <c r="S69" s="9">
        <f t="shared" si="38"/>
        <v>80000</v>
      </c>
      <c r="T69" s="9">
        <f>2000*R69-4000</f>
        <v>36000</v>
      </c>
      <c r="U69" s="9">
        <f t="shared" si="40"/>
        <v>43000</v>
      </c>
      <c r="V69" s="9"/>
      <c r="W69" s="8">
        <v>20</v>
      </c>
      <c r="X69" s="9">
        <f t="shared" si="41"/>
        <v>70000</v>
      </c>
      <c r="Y69" s="9">
        <f>2000*W69-4000</f>
        <v>36000</v>
      </c>
      <c r="Z69" s="9">
        <f t="shared" si="42"/>
        <v>33000</v>
      </c>
    </row>
    <row r="70" spans="8:26">
      <c r="H70" s="8">
        <v>22</v>
      </c>
      <c r="I70" s="9">
        <f t="shared" si="37"/>
        <v>88000</v>
      </c>
      <c r="J70" s="9">
        <f>2000*H70-4000</f>
        <v>40000</v>
      </c>
      <c r="K70" s="9">
        <f t="shared" si="43"/>
        <v>48000</v>
      </c>
      <c r="M70" s="8">
        <v>22</v>
      </c>
      <c r="N70" s="9">
        <f t="shared" si="39"/>
        <v>77000</v>
      </c>
      <c r="O70" s="9">
        <f>2000*M70-4000</f>
        <v>40000</v>
      </c>
      <c r="P70" s="9">
        <f t="shared" si="44"/>
        <v>37000</v>
      </c>
      <c r="Q70" s="9"/>
      <c r="R70" s="8">
        <v>22</v>
      </c>
      <c r="S70" s="9">
        <f t="shared" si="38"/>
        <v>88000</v>
      </c>
      <c r="T70" s="9">
        <f>2000*R70-4000</f>
        <v>40000</v>
      </c>
      <c r="U70" s="9">
        <f t="shared" si="40"/>
        <v>47000</v>
      </c>
      <c r="V70" s="9"/>
      <c r="W70" s="8">
        <v>22</v>
      </c>
      <c r="X70" s="9">
        <f t="shared" si="41"/>
        <v>77000</v>
      </c>
      <c r="Y70" s="9">
        <f>2000*W70-4000</f>
        <v>40000</v>
      </c>
      <c r="Z70" s="9">
        <f t="shared" si="42"/>
        <v>36000</v>
      </c>
    </row>
    <row r="71" spans="8:26">
      <c r="H71" s="8">
        <v>24</v>
      </c>
      <c r="I71" s="9">
        <f t="shared" si="37"/>
        <v>96000</v>
      </c>
      <c r="J71" s="9">
        <f>2000*H71-6000</f>
        <v>42000</v>
      </c>
      <c r="K71" s="9">
        <f t="shared" si="43"/>
        <v>54000</v>
      </c>
      <c r="M71" s="8">
        <v>24</v>
      </c>
      <c r="N71" s="9">
        <f t="shared" si="39"/>
        <v>84000</v>
      </c>
      <c r="O71" s="9">
        <f>2000*M71-6000</f>
        <v>42000</v>
      </c>
      <c r="P71" s="9">
        <f t="shared" si="44"/>
        <v>42000</v>
      </c>
      <c r="Q71" s="9"/>
      <c r="R71" s="8">
        <v>24</v>
      </c>
      <c r="S71" s="9">
        <f t="shared" si="38"/>
        <v>96000</v>
      </c>
      <c r="T71" s="9">
        <f>2000*R71-6000</f>
        <v>42000</v>
      </c>
      <c r="U71" s="9">
        <f t="shared" si="40"/>
        <v>53000</v>
      </c>
      <c r="V71" s="9"/>
      <c r="W71" s="8">
        <v>24</v>
      </c>
      <c r="X71" s="9">
        <f t="shared" si="41"/>
        <v>84000</v>
      </c>
      <c r="Y71" s="9">
        <f>2000*W71-6000</f>
        <v>42000</v>
      </c>
      <c r="Z71" s="9">
        <f t="shared" si="42"/>
        <v>41000</v>
      </c>
    </row>
    <row r="72" spans="8:26">
      <c r="H72" s="8">
        <v>26</v>
      </c>
      <c r="I72" s="9">
        <f t="shared" si="37"/>
        <v>104000</v>
      </c>
      <c r="J72" s="9">
        <f>2000*H72-6000</f>
        <v>46000</v>
      </c>
      <c r="K72" s="9">
        <f t="shared" si="43"/>
        <v>58000</v>
      </c>
      <c r="M72" s="8">
        <v>26</v>
      </c>
      <c r="N72" s="9">
        <f t="shared" si="39"/>
        <v>91000</v>
      </c>
      <c r="O72" s="9">
        <f>2000*M72-6000</f>
        <v>46000</v>
      </c>
      <c r="P72" s="9">
        <f t="shared" si="44"/>
        <v>45000</v>
      </c>
      <c r="Q72" s="9"/>
      <c r="R72" s="8">
        <v>26</v>
      </c>
      <c r="S72" s="9">
        <f t="shared" si="38"/>
        <v>104000</v>
      </c>
      <c r="T72" s="9">
        <f>2000*R72-6000</f>
        <v>46000</v>
      </c>
      <c r="U72" s="9">
        <f t="shared" si="40"/>
        <v>57000</v>
      </c>
      <c r="V72" s="9"/>
      <c r="W72" s="8">
        <v>26</v>
      </c>
      <c r="X72" s="9">
        <f t="shared" si="41"/>
        <v>91000</v>
      </c>
      <c r="Y72" s="9">
        <f>2000*W72-6000</f>
        <v>46000</v>
      </c>
      <c r="Z72" s="9">
        <f t="shared" si="42"/>
        <v>44000</v>
      </c>
    </row>
    <row r="73" spans="8:26">
      <c r="H73" s="8">
        <v>28</v>
      </c>
      <c r="I73" s="9">
        <f t="shared" si="37"/>
        <v>112000</v>
      </c>
      <c r="J73" s="9">
        <f>2000*H73-6000</f>
        <v>50000</v>
      </c>
      <c r="K73" s="9">
        <f t="shared" si="43"/>
        <v>62000</v>
      </c>
      <c r="M73" s="8">
        <v>28</v>
      </c>
      <c r="N73" s="9">
        <f t="shared" si="39"/>
        <v>98000</v>
      </c>
      <c r="O73" s="9">
        <f>2000*M73-6000</f>
        <v>50000</v>
      </c>
      <c r="P73" s="9">
        <f t="shared" si="44"/>
        <v>48000</v>
      </c>
      <c r="Q73" s="9"/>
      <c r="R73" s="8">
        <v>28</v>
      </c>
      <c r="S73" s="9">
        <f t="shared" si="38"/>
        <v>112000</v>
      </c>
      <c r="T73" s="9">
        <f>2000*R73-6000</f>
        <v>50000</v>
      </c>
      <c r="U73" s="9">
        <f t="shared" si="40"/>
        <v>61000</v>
      </c>
      <c r="V73" s="9"/>
      <c r="W73" s="8">
        <v>28</v>
      </c>
      <c r="X73" s="9">
        <f t="shared" si="41"/>
        <v>98000</v>
      </c>
      <c r="Y73" s="9">
        <f>2000*W73-6000</f>
        <v>50000</v>
      </c>
      <c r="Z73" s="9">
        <f t="shared" si="42"/>
        <v>47000</v>
      </c>
    </row>
    <row r="74" spans="8:26">
      <c r="H74" s="8">
        <v>30</v>
      </c>
      <c r="I74" s="9">
        <f t="shared" si="37"/>
        <v>120000</v>
      </c>
      <c r="J74" s="9">
        <f>2000*H74-6000</f>
        <v>54000</v>
      </c>
      <c r="K74" s="9">
        <f t="shared" si="43"/>
        <v>66000</v>
      </c>
      <c r="M74" s="8">
        <v>30</v>
      </c>
      <c r="N74" s="9">
        <f t="shared" si="39"/>
        <v>105000</v>
      </c>
      <c r="O74" s="9">
        <f>2000*M74-6000</f>
        <v>54000</v>
      </c>
      <c r="P74" s="9">
        <f t="shared" si="44"/>
        <v>51000</v>
      </c>
      <c r="Q74" s="9"/>
      <c r="R74" s="8">
        <v>30</v>
      </c>
      <c r="S74" s="9">
        <f t="shared" si="38"/>
        <v>120000</v>
      </c>
      <c r="T74" s="9">
        <f>2000*R74-6000</f>
        <v>54000</v>
      </c>
      <c r="U74" s="9">
        <f t="shared" si="40"/>
        <v>65000</v>
      </c>
      <c r="V74" s="9"/>
      <c r="W74" s="8">
        <v>30</v>
      </c>
      <c r="X74" s="9">
        <f t="shared" si="41"/>
        <v>105000</v>
      </c>
      <c r="Y74" s="9">
        <f>2000*W74-6000</f>
        <v>54000</v>
      </c>
      <c r="Z74" s="9">
        <f t="shared" si="42"/>
        <v>50000</v>
      </c>
    </row>
    <row r="75" spans="8:26">
      <c r="H75" s="8">
        <v>32</v>
      </c>
      <c r="I75" s="9">
        <f t="shared" si="37"/>
        <v>128000</v>
      </c>
      <c r="J75" s="9">
        <f>2000*H75-8000</f>
        <v>56000</v>
      </c>
      <c r="K75" s="9">
        <f t="shared" si="43"/>
        <v>72000</v>
      </c>
      <c r="M75" s="8">
        <v>32</v>
      </c>
      <c r="N75" s="9">
        <f t="shared" si="39"/>
        <v>112000</v>
      </c>
      <c r="O75" s="9">
        <f>2000*M75-8000</f>
        <v>56000</v>
      </c>
      <c r="P75" s="9">
        <f t="shared" si="44"/>
        <v>56000</v>
      </c>
      <c r="Q75" s="9"/>
      <c r="R75" s="8">
        <v>32</v>
      </c>
      <c r="S75" s="9">
        <f t="shared" si="38"/>
        <v>128000</v>
      </c>
      <c r="T75" s="9">
        <f>2000*R75-8000</f>
        <v>56000</v>
      </c>
      <c r="U75" s="9">
        <f t="shared" si="40"/>
        <v>71000</v>
      </c>
      <c r="V75" s="9"/>
      <c r="W75" s="8">
        <v>32</v>
      </c>
      <c r="X75" s="9">
        <f t="shared" si="41"/>
        <v>112000</v>
      </c>
      <c r="Y75" s="9">
        <f>2000*W75-8000</f>
        <v>56000</v>
      </c>
      <c r="Z75" s="9">
        <f t="shared" si="42"/>
        <v>55000</v>
      </c>
    </row>
    <row r="76" spans="8:26">
      <c r="H76" s="8">
        <v>34</v>
      </c>
      <c r="I76" s="9">
        <f t="shared" si="37"/>
        <v>136000</v>
      </c>
      <c r="J76" s="9">
        <f>2000*H76-8000</f>
        <v>60000</v>
      </c>
      <c r="K76" s="9">
        <f t="shared" si="43"/>
        <v>76000</v>
      </c>
      <c r="M76" s="8">
        <v>34</v>
      </c>
      <c r="N76" s="9">
        <f t="shared" si="39"/>
        <v>119000</v>
      </c>
      <c r="O76" s="9">
        <f>2000*M76-8000</f>
        <v>60000</v>
      </c>
      <c r="P76" s="9">
        <f t="shared" si="44"/>
        <v>59000</v>
      </c>
      <c r="Q76" s="9"/>
      <c r="R76" s="8">
        <v>34</v>
      </c>
      <c r="S76" s="9">
        <f t="shared" si="38"/>
        <v>136000</v>
      </c>
      <c r="T76" s="9">
        <f>2000*R76-8000</f>
        <v>60000</v>
      </c>
      <c r="U76" s="9">
        <f t="shared" si="40"/>
        <v>75000</v>
      </c>
      <c r="V76" s="9"/>
      <c r="W76" s="8">
        <v>34</v>
      </c>
      <c r="X76" s="9">
        <f t="shared" si="41"/>
        <v>119000</v>
      </c>
      <c r="Y76" s="9">
        <f>2000*W76-8000</f>
        <v>60000</v>
      </c>
      <c r="Z76" s="9">
        <f t="shared" si="42"/>
        <v>58000</v>
      </c>
    </row>
    <row r="77" spans="8:26">
      <c r="H77" s="8">
        <v>36</v>
      </c>
      <c r="I77" s="9">
        <f t="shared" si="37"/>
        <v>144000</v>
      </c>
      <c r="J77" s="9">
        <f>2000*H77-8000</f>
        <v>64000</v>
      </c>
      <c r="K77" s="9">
        <f t="shared" si="43"/>
        <v>80000</v>
      </c>
      <c r="M77" s="8">
        <v>36</v>
      </c>
      <c r="N77" s="9">
        <f t="shared" si="39"/>
        <v>126000</v>
      </c>
      <c r="O77" s="9">
        <f>2000*M77-8000</f>
        <v>64000</v>
      </c>
      <c r="P77" s="9">
        <f t="shared" si="44"/>
        <v>62000</v>
      </c>
      <c r="Q77" s="9"/>
      <c r="R77" s="8">
        <v>36</v>
      </c>
      <c r="S77" s="9">
        <f t="shared" si="38"/>
        <v>144000</v>
      </c>
      <c r="T77" s="9">
        <f>2000*R77-8000</f>
        <v>64000</v>
      </c>
      <c r="U77" s="9">
        <f t="shared" si="40"/>
        <v>79000</v>
      </c>
      <c r="V77" s="9"/>
      <c r="W77" s="8">
        <v>36</v>
      </c>
      <c r="X77" s="9">
        <f t="shared" si="41"/>
        <v>126000</v>
      </c>
      <c r="Y77" s="9">
        <f>2000*W77-8000</f>
        <v>64000</v>
      </c>
      <c r="Z77" s="9">
        <f t="shared" si="42"/>
        <v>61000</v>
      </c>
    </row>
    <row r="78" spans="8:26">
      <c r="H78" s="8">
        <v>38</v>
      </c>
      <c r="I78" s="9">
        <f t="shared" si="37"/>
        <v>152000</v>
      </c>
      <c r="J78" s="9">
        <f>2000*H78-8000</f>
        <v>68000</v>
      </c>
      <c r="K78" s="9">
        <f t="shared" si="43"/>
        <v>84000</v>
      </c>
      <c r="M78" s="8">
        <v>38</v>
      </c>
      <c r="N78" s="9">
        <f t="shared" si="39"/>
        <v>133000</v>
      </c>
      <c r="O78" s="9">
        <f>2000*M78-8000</f>
        <v>68000</v>
      </c>
      <c r="P78" s="9">
        <f t="shared" si="44"/>
        <v>65000</v>
      </c>
      <c r="Q78" s="9"/>
      <c r="R78" s="8">
        <v>38</v>
      </c>
      <c r="S78" s="9">
        <f t="shared" si="38"/>
        <v>152000</v>
      </c>
      <c r="T78" s="9">
        <f>2000*R78-8000</f>
        <v>68000</v>
      </c>
      <c r="U78" s="9">
        <f t="shared" si="40"/>
        <v>83000</v>
      </c>
      <c r="V78" s="9"/>
      <c r="W78" s="8">
        <v>38</v>
      </c>
      <c r="X78" s="9">
        <f t="shared" si="41"/>
        <v>133000</v>
      </c>
      <c r="Y78" s="9">
        <f>2000*W78-8000</f>
        <v>68000</v>
      </c>
      <c r="Z78" s="9">
        <f t="shared" si="42"/>
        <v>64000</v>
      </c>
    </row>
    <row r="79" spans="8:26">
      <c r="H79" s="8">
        <v>40</v>
      </c>
      <c r="I79" s="9">
        <f t="shared" si="37"/>
        <v>160000</v>
      </c>
      <c r="J79" s="9">
        <f>2000*H79-10000</f>
        <v>70000</v>
      </c>
      <c r="K79" s="9">
        <f t="shared" si="43"/>
        <v>90000</v>
      </c>
      <c r="M79" s="8">
        <v>40</v>
      </c>
      <c r="N79" s="9">
        <f t="shared" si="39"/>
        <v>140000</v>
      </c>
      <c r="O79" s="9">
        <f>2000*M79-10000</f>
        <v>70000</v>
      </c>
      <c r="P79" s="9">
        <f t="shared" si="44"/>
        <v>70000</v>
      </c>
      <c r="Q79" s="9"/>
      <c r="R79" s="8">
        <v>40</v>
      </c>
      <c r="S79" s="9">
        <f t="shared" si="38"/>
        <v>160000</v>
      </c>
      <c r="T79" s="9">
        <f>2000*R79-10000</f>
        <v>70000</v>
      </c>
      <c r="U79" s="9">
        <f>S79-T79-1000</f>
        <v>89000</v>
      </c>
      <c r="V79" s="9"/>
      <c r="W79" s="8">
        <v>40</v>
      </c>
      <c r="X79" s="9">
        <f t="shared" si="41"/>
        <v>140000</v>
      </c>
      <c r="Y79" s="9">
        <f>2000*W79-10000</f>
        <v>70000</v>
      </c>
      <c r="Z79" s="9">
        <f t="shared" si="42"/>
        <v>69000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7481C-C319-4AD7-B4AD-F09E90B80F83}">
  <sheetPr codeName="Sheet2"/>
  <dimension ref="A1:X36"/>
  <sheetViews>
    <sheetView zoomScale="70" zoomScaleNormal="70" workbookViewId="0">
      <pane ySplit="4" topLeftCell="A5" activePane="bottomLeft" state="frozen"/>
      <selection pane="bottomLeft" activeCell="H22" sqref="H22"/>
    </sheetView>
  </sheetViews>
  <sheetFormatPr defaultColWidth="11.5546875" defaultRowHeight="19.5"/>
  <cols>
    <col min="1" max="1" width="20.6640625" style="8" bestFit="1" customWidth="1"/>
    <col min="2" max="2" width="7.6640625" style="8" customWidth="1"/>
    <col min="3" max="3" width="6.33203125" style="8" customWidth="1"/>
    <col min="4" max="4" width="16.6640625" style="8" customWidth="1"/>
    <col min="5" max="5" width="6.33203125" style="8" customWidth="1"/>
    <col min="6" max="6" width="12.21875" style="8" bestFit="1" customWidth="1"/>
    <col min="7" max="7" width="10.88671875" style="9" bestFit="1" customWidth="1"/>
    <col min="8" max="8" width="15.6640625" style="9" bestFit="1" customWidth="1"/>
    <col min="9" max="9" width="10.88671875" style="9" bestFit="1" customWidth="1"/>
    <col min="10" max="10" width="15.6640625" style="9" customWidth="1"/>
    <col min="11" max="11" width="12" style="9" bestFit="1" customWidth="1"/>
    <col min="12" max="12" width="12" style="9" customWidth="1"/>
    <col min="13" max="13" width="11.5546875" style="8"/>
    <col min="14" max="14" width="20.6640625" style="8" bestFit="1" customWidth="1"/>
    <col min="15" max="15" width="7.6640625" style="8" bestFit="1" customWidth="1"/>
    <col min="16" max="16" width="6.33203125" style="8" customWidth="1"/>
    <col min="17" max="17" width="16.6640625" style="8" customWidth="1"/>
    <col min="18" max="18" width="6.33203125" style="8" customWidth="1"/>
    <col min="19" max="19" width="12.21875" style="8" bestFit="1" customWidth="1"/>
    <col min="20" max="20" width="10.88671875" style="9" bestFit="1" customWidth="1"/>
    <col min="21" max="21" width="15.6640625" style="9" bestFit="1" customWidth="1"/>
    <col min="22" max="23" width="15.6640625" style="9" customWidth="1"/>
    <col min="24" max="24" width="12" style="9" bestFit="1" customWidth="1"/>
    <col min="25" max="16384" width="11.5546875" style="8"/>
  </cols>
  <sheetData>
    <row r="1" spans="1:24">
      <c r="A1" s="46" t="s">
        <v>371</v>
      </c>
      <c r="B1" s="8">
        <v>2000</v>
      </c>
      <c r="E1" s="46" t="s">
        <v>239</v>
      </c>
      <c r="F1" s="46"/>
      <c r="N1" s="46"/>
      <c r="O1" s="46"/>
    </row>
    <row r="2" spans="1:24">
      <c r="A2" s="46" t="s">
        <v>372</v>
      </c>
      <c r="B2" s="8">
        <v>1000</v>
      </c>
      <c r="J2" s="93" t="s">
        <v>368</v>
      </c>
      <c r="N2" s="46" t="s">
        <v>496</v>
      </c>
      <c r="O2" s="46">
        <v>500</v>
      </c>
    </row>
    <row r="3" spans="1:24">
      <c r="A3" s="46" t="s">
        <v>374</v>
      </c>
      <c r="B3" s="8">
        <v>4000</v>
      </c>
      <c r="N3" s="46" t="s">
        <v>374</v>
      </c>
      <c r="O3" s="8">
        <v>3500</v>
      </c>
      <c r="Q3" s="46" t="s">
        <v>495</v>
      </c>
    </row>
    <row r="4" spans="1:24">
      <c r="A4" s="20" t="s">
        <v>205</v>
      </c>
      <c r="B4" s="75" t="s">
        <v>379</v>
      </c>
      <c r="C4" s="10" t="s">
        <v>206</v>
      </c>
      <c r="D4" s="11" t="s">
        <v>207</v>
      </c>
      <c r="E4" s="12" t="s">
        <v>208</v>
      </c>
      <c r="F4" s="78" t="s">
        <v>375</v>
      </c>
      <c r="G4" s="62" t="s">
        <v>373</v>
      </c>
      <c r="H4" s="51" t="s">
        <v>209</v>
      </c>
      <c r="I4" s="96" t="s">
        <v>369</v>
      </c>
      <c r="J4" s="96" t="s">
        <v>370</v>
      </c>
      <c r="K4" s="52" t="s">
        <v>210</v>
      </c>
      <c r="L4" s="94"/>
      <c r="N4" s="104" t="s">
        <v>205</v>
      </c>
      <c r="O4" s="75" t="s">
        <v>379</v>
      </c>
      <c r="P4" s="10" t="s">
        <v>206</v>
      </c>
      <c r="Q4" s="11" t="s">
        <v>207</v>
      </c>
      <c r="R4" s="12" t="s">
        <v>208</v>
      </c>
      <c r="S4" s="78" t="s">
        <v>375</v>
      </c>
      <c r="T4" s="62" t="s">
        <v>373</v>
      </c>
      <c r="U4" s="51" t="s">
        <v>209</v>
      </c>
      <c r="V4" s="96" t="s">
        <v>369</v>
      </c>
      <c r="W4" s="96" t="s">
        <v>370</v>
      </c>
      <c r="X4" s="52" t="s">
        <v>210</v>
      </c>
    </row>
    <row r="5" spans="1:24">
      <c r="A5" s="99">
        <f>IF(DAY(DATE(名前リスト!$N$1,名前リスト!$O$1,ROW()-4))=ROW()-4,DATE(名前リスト!$N$1,名前リスト!$O$1,ROW()-4),"")</f>
        <v>44835</v>
      </c>
      <c r="B5" s="105" t="str">
        <f>TEXT(DATE(名前リスト!$N$1,名前リスト!$O$1,ROW()-4),"aaa")</f>
        <v>土</v>
      </c>
      <c r="C5" s="13"/>
      <c r="D5" s="14"/>
      <c r="E5" s="15"/>
      <c r="F5" s="15"/>
      <c r="G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5" s="16" t="str">
        <f>IFERROR(($B$3*梅田キャンプ4000[[#This Row],[人数]])-梅田キャンプ4000[[#This Row],[単価合計]]-(梅田キャンプ4000[[#This Row],[キャンセル人数]]*$B$2),"")</f>
        <v/>
      </c>
      <c r="I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5" s="70"/>
      <c r="K5" s="16" t="str">
        <f>IF(梅田キャンプ4000[[#This Row],[人数]]="","",VLOOKUP(梅田キャンプ4000[[#This Row],[人数]],バック金額①[#All],2,TRUE)-(梅田キャンプ4000[[#This Row],[キャンセル人数]]*$B$2))</f>
        <v/>
      </c>
      <c r="L5" s="95"/>
      <c r="N5" s="99">
        <f>IF(DAY(DATE(名前リスト!$N$1,名前リスト!$O$1,ROW()-4))=ROW()-4,DATE(名前リスト!$N$1,名前リスト!$O$1,ROW()-4),"")</f>
        <v>44835</v>
      </c>
      <c r="O5" s="105" t="str">
        <f>TEXT(DATE(名前リスト!$N$1,名前リスト!$O$1,ROW()-4),"aaa")</f>
        <v>土</v>
      </c>
      <c r="P5" s="13"/>
      <c r="Q5" s="14"/>
      <c r="R5" s="15"/>
      <c r="S5" s="15"/>
      <c r="T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5" s="16" t="str">
        <f>IFERROR(($O$3*梅田キャンプ3500[[#This Row],[人数]])-梅田キャンプ3500[[#This Row],[単価合計]]-(梅田キャンプ3500[[#This Row],[キャンセル人数]]*$B$2),"")</f>
        <v/>
      </c>
      <c r="V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5" s="70"/>
      <c r="X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6" spans="1:24">
      <c r="A6" s="100">
        <f>IFERROR(IF(DATE(YEAR($A$5),MONTH($A$5),DAY($A$5))=DATE(YEAR(A5),MONTH(A5),DAY(A5+1)),"",DATE(YEAR(A5),MONTH(A5),DAY(A5+1))),"")</f>
        <v>44836</v>
      </c>
      <c r="B6" s="105" t="str">
        <f>TEXT(DATE(名前リスト!$N$1,名前リスト!$O$1,ROW()-4),"aaa")</f>
        <v>日</v>
      </c>
      <c r="C6" s="13"/>
      <c r="D6" s="14"/>
      <c r="E6" s="15"/>
      <c r="F6" s="15"/>
      <c r="G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6" s="16" t="str">
        <f>IFERROR(($B$3*梅田キャンプ4000[[#This Row],[人数]])-梅田キャンプ4000[[#This Row],[単価合計]]-(梅田キャンプ4000[[#This Row],[キャンセル人数]]*$B$2),"")</f>
        <v/>
      </c>
      <c r="I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6" s="70"/>
      <c r="K6" s="16" t="str">
        <f>IF(梅田キャンプ4000[[#This Row],[人数]]="","",VLOOKUP(梅田キャンプ4000[[#This Row],[人数]],バック金額①[#All],2,TRUE)-(梅田キャンプ4000[[#This Row],[キャンセル人数]]*$B$2))</f>
        <v/>
      </c>
      <c r="L6" s="95"/>
      <c r="N6" s="100">
        <f>IFERROR(IF(DATE(YEAR($A$5),MONTH($A$5),DAY($A$5))=DATE(YEAR(N5),MONTH(N5),DAY(N5+1)),"",DATE(YEAR(N5),MONTH(N5),DAY(N5+1))),"")</f>
        <v>44836</v>
      </c>
      <c r="O6" s="105" t="str">
        <f>TEXT(DATE(名前リスト!$N$1,名前リスト!$O$1,ROW()-4),"aaa")</f>
        <v>日</v>
      </c>
      <c r="P6" s="13"/>
      <c r="Q6" s="14"/>
      <c r="R6" s="15"/>
      <c r="S6" s="15"/>
      <c r="T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6" s="16" t="str">
        <f>IFERROR(($O$3*梅田キャンプ3500[[#This Row],[人数]])-梅田キャンプ3500[[#This Row],[単価合計]]-(梅田キャンプ3500[[#This Row],[キャンセル人数]]*$B$2),"")</f>
        <v/>
      </c>
      <c r="V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6" s="70"/>
      <c r="X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7" spans="1:24">
      <c r="A7" s="100">
        <f t="shared" ref="A7:A35" si="0">IFERROR(IF(DATE(YEAR($A$5),MONTH($A$5),DAY($A$5))=DATE(YEAR(A6),MONTH(A6),DAY(A6+1)),"",DATE(YEAR(A6),MONTH(A6),DAY(A6+1))),"")</f>
        <v>44837</v>
      </c>
      <c r="B7" s="105" t="str">
        <f>TEXT(DATE(名前リスト!$N$1,名前リスト!$O$1,ROW()-4),"aaa")</f>
        <v>月</v>
      </c>
      <c r="C7" s="13"/>
      <c r="D7" s="14"/>
      <c r="E7" s="15"/>
      <c r="F7" s="15"/>
      <c r="G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7" s="16" t="str">
        <f>IFERROR(($B$3*梅田キャンプ4000[[#This Row],[人数]])-梅田キャンプ4000[[#This Row],[単価合計]]-(梅田キャンプ4000[[#This Row],[キャンセル人数]]*$B$2),"")</f>
        <v/>
      </c>
      <c r="I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7" s="70"/>
      <c r="K7" s="16" t="str">
        <f>IF(梅田キャンプ4000[[#This Row],[人数]]="","",VLOOKUP(梅田キャンプ4000[[#This Row],[人数]],バック金額①[#All],2,TRUE)-(梅田キャンプ4000[[#This Row],[キャンセル人数]]*$B$2))</f>
        <v/>
      </c>
      <c r="L7" s="95"/>
      <c r="N7" s="100">
        <f t="shared" ref="N7:N35" si="1">IFERROR(IF(DATE(YEAR($A$5),MONTH($A$5),DAY($A$5))=DATE(YEAR(N6),MONTH(N6),DAY(N6+1)),"",DATE(YEAR(N6),MONTH(N6),DAY(N6+1))),"")</f>
        <v>44837</v>
      </c>
      <c r="O7" s="105" t="str">
        <f>TEXT(DATE(名前リスト!$N$1,名前リスト!$O$1,ROW()-4),"aaa")</f>
        <v>月</v>
      </c>
      <c r="P7" s="13"/>
      <c r="Q7" s="14"/>
      <c r="R7" s="15"/>
      <c r="S7" s="15"/>
      <c r="T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7" s="16" t="str">
        <f>IFERROR(($O$3*梅田キャンプ3500[[#This Row],[人数]])-梅田キャンプ3500[[#This Row],[単価合計]]-(梅田キャンプ3500[[#This Row],[キャンセル人数]]*$B$2),"")</f>
        <v/>
      </c>
      <c r="V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7" s="70"/>
      <c r="X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8" spans="1:24">
      <c r="A8" s="100">
        <f t="shared" si="0"/>
        <v>44838</v>
      </c>
      <c r="B8" s="105" t="str">
        <f>TEXT(DATE(名前リスト!$N$1,名前リスト!$O$1,ROW()-4),"aaa")</f>
        <v>火</v>
      </c>
      <c r="C8" s="13"/>
      <c r="D8" s="14"/>
      <c r="E8" s="15"/>
      <c r="F8" s="15"/>
      <c r="G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8" s="16" t="str">
        <f>IFERROR(($B$3*梅田キャンプ4000[[#This Row],[人数]])-梅田キャンプ4000[[#This Row],[単価合計]]-(梅田キャンプ4000[[#This Row],[キャンセル人数]]*$B$2),"")</f>
        <v/>
      </c>
      <c r="I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8" s="70"/>
      <c r="K8" s="16" t="str">
        <f>IF(梅田キャンプ4000[[#This Row],[人数]]="","",VLOOKUP(梅田キャンプ4000[[#This Row],[人数]],バック金額①[#All],2,TRUE)-(梅田キャンプ4000[[#This Row],[キャンセル人数]]*$B$2))</f>
        <v/>
      </c>
      <c r="L8" s="95"/>
      <c r="N8" s="100">
        <f t="shared" si="1"/>
        <v>44838</v>
      </c>
      <c r="O8" s="105" t="str">
        <f>TEXT(DATE(名前リスト!$N$1,名前リスト!$O$1,ROW()-4),"aaa")</f>
        <v>火</v>
      </c>
      <c r="P8" s="13"/>
      <c r="Q8" s="14"/>
      <c r="R8" s="15"/>
      <c r="S8" s="15"/>
      <c r="T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8" s="16" t="str">
        <f>IFERROR(($O$3*梅田キャンプ3500[[#This Row],[人数]])-梅田キャンプ3500[[#This Row],[単価合計]]-(梅田キャンプ3500[[#This Row],[キャンセル人数]]*$B$2),"")</f>
        <v/>
      </c>
      <c r="V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8" s="70"/>
      <c r="X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9" spans="1:24">
      <c r="A9" s="100">
        <f t="shared" si="0"/>
        <v>44839</v>
      </c>
      <c r="B9" s="105" t="str">
        <f>TEXT(DATE(名前リスト!$N$1,名前リスト!$O$1,ROW()-4),"aaa")</f>
        <v>水</v>
      </c>
      <c r="C9" s="13"/>
      <c r="D9" s="14"/>
      <c r="E9" s="50"/>
      <c r="F9" s="15"/>
      <c r="G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9" s="16" t="str">
        <f>IFERROR(($B$3*梅田キャンプ4000[[#This Row],[人数]])-梅田キャンプ4000[[#This Row],[単価合計]]-(梅田キャンプ4000[[#This Row],[キャンセル人数]]*$B$2),"")</f>
        <v/>
      </c>
      <c r="I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9" s="70"/>
      <c r="K9" s="16" t="str">
        <f>IF(梅田キャンプ4000[[#This Row],[人数]]="","",VLOOKUP(梅田キャンプ4000[[#This Row],[人数]],バック金額①[#All],2,TRUE)-(梅田キャンプ4000[[#This Row],[キャンセル人数]]*$B$2))</f>
        <v/>
      </c>
      <c r="L9" s="95"/>
      <c r="N9" s="100">
        <f t="shared" si="1"/>
        <v>44839</v>
      </c>
      <c r="O9" s="105" t="str">
        <f>TEXT(DATE(名前リスト!$N$1,名前リスト!$O$1,ROW()-4),"aaa")</f>
        <v>水</v>
      </c>
      <c r="P9" s="13"/>
      <c r="Q9" s="14"/>
      <c r="R9" s="15"/>
      <c r="S9" s="15"/>
      <c r="T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9" s="16" t="str">
        <f>IFERROR(($O$3*梅田キャンプ3500[[#This Row],[人数]])-梅田キャンプ3500[[#This Row],[単価合計]]-(梅田キャンプ3500[[#This Row],[キャンセル人数]]*$B$2),"")</f>
        <v/>
      </c>
      <c r="V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9" s="70"/>
      <c r="X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0" spans="1:24">
      <c r="A10" s="100">
        <f t="shared" si="0"/>
        <v>44840</v>
      </c>
      <c r="B10" s="105" t="str">
        <f>TEXT(DATE(名前リスト!$N$1,名前リスト!$O$1,ROW()-4),"aaa")</f>
        <v>木</v>
      </c>
      <c r="C10" s="13"/>
      <c r="D10" s="14"/>
      <c r="E10" s="15"/>
      <c r="F10" s="15"/>
      <c r="G1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0" s="16" t="str">
        <f>IFERROR(($B$3*梅田キャンプ4000[[#This Row],[人数]])-梅田キャンプ4000[[#This Row],[単価合計]]-(梅田キャンプ4000[[#This Row],[キャンセル人数]]*$B$2),"")</f>
        <v/>
      </c>
      <c r="I1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0" s="70"/>
      <c r="K10" s="16" t="str">
        <f>IF(梅田キャンプ4000[[#This Row],[人数]]="","",VLOOKUP(梅田キャンプ4000[[#This Row],[人数]],バック金額①[#All],2,TRUE)-(梅田キャンプ4000[[#This Row],[キャンセル人数]]*$B$2))</f>
        <v/>
      </c>
      <c r="L10" s="95"/>
      <c r="N10" s="100">
        <f t="shared" si="1"/>
        <v>44840</v>
      </c>
      <c r="O10" s="105" t="str">
        <f>TEXT(DATE(名前リスト!$N$1,名前リスト!$O$1,ROW()-4),"aaa")</f>
        <v>木</v>
      </c>
      <c r="P10" s="13"/>
      <c r="Q10" s="14"/>
      <c r="R10" s="15"/>
      <c r="S10" s="15"/>
      <c r="T1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0" s="16" t="str">
        <f>IFERROR(($O$3*梅田キャンプ3500[[#This Row],[人数]])-梅田キャンプ3500[[#This Row],[単価合計]]-(梅田キャンプ3500[[#This Row],[キャンセル人数]]*$B$2),"")</f>
        <v/>
      </c>
      <c r="V1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0" s="70"/>
      <c r="X1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1" spans="1:24">
      <c r="A11" s="100">
        <f t="shared" si="0"/>
        <v>44841</v>
      </c>
      <c r="B11" s="105" t="str">
        <f>TEXT(DATE(名前リスト!$N$1,名前リスト!$O$1,ROW()-4),"aaa")</f>
        <v>金</v>
      </c>
      <c r="C11" s="13"/>
      <c r="D11" s="14"/>
      <c r="E11" s="15"/>
      <c r="F11" s="15"/>
      <c r="G1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1" s="16" t="str">
        <f>IFERROR(($B$3*梅田キャンプ4000[[#This Row],[人数]])-梅田キャンプ4000[[#This Row],[単価合計]]-(梅田キャンプ4000[[#This Row],[キャンセル人数]]*$B$2),"")</f>
        <v/>
      </c>
      <c r="I1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1" s="70"/>
      <c r="K11" s="16" t="str">
        <f>IF(梅田キャンプ4000[[#This Row],[人数]]="","",VLOOKUP(梅田キャンプ4000[[#This Row],[人数]],バック金額①[#All],2,TRUE)-(梅田キャンプ4000[[#This Row],[キャンセル人数]]*$B$2))</f>
        <v/>
      </c>
      <c r="L11" s="95"/>
      <c r="N11" s="100">
        <f t="shared" si="1"/>
        <v>44841</v>
      </c>
      <c r="O11" s="105" t="str">
        <f>TEXT(DATE(名前リスト!$N$1,名前リスト!$O$1,ROW()-4),"aaa")</f>
        <v>金</v>
      </c>
      <c r="P11" s="13"/>
      <c r="Q11" s="14"/>
      <c r="R11" s="15"/>
      <c r="S11" s="15"/>
      <c r="T1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1" s="16" t="str">
        <f>IFERROR(($O$3*梅田キャンプ3500[[#This Row],[人数]])-梅田キャンプ3500[[#This Row],[単価合計]]-(梅田キャンプ3500[[#This Row],[キャンセル人数]]*$B$2),"")</f>
        <v/>
      </c>
      <c r="V1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1" s="70"/>
      <c r="X1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2" spans="1:24">
      <c r="A12" s="100">
        <f t="shared" si="0"/>
        <v>44842</v>
      </c>
      <c r="B12" s="105" t="str">
        <f>TEXT(DATE(名前リスト!$N$1,名前リスト!$O$1,ROW()-4),"aaa")</f>
        <v>土</v>
      </c>
      <c r="C12" s="13"/>
      <c r="D12" s="14"/>
      <c r="E12" s="15"/>
      <c r="F12" s="15"/>
      <c r="G1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2" s="16" t="str">
        <f>IFERROR(($B$3*梅田キャンプ4000[[#This Row],[人数]])-梅田キャンプ4000[[#This Row],[単価合計]]-(梅田キャンプ4000[[#This Row],[キャンセル人数]]*$B$2),"")</f>
        <v/>
      </c>
      <c r="I1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2" s="70"/>
      <c r="K12" s="16" t="str">
        <f>IF(梅田キャンプ4000[[#This Row],[人数]]="","",VLOOKUP(梅田キャンプ4000[[#This Row],[人数]],バック金額①[#All],2,TRUE)-(梅田キャンプ4000[[#This Row],[キャンセル人数]]*$B$2))</f>
        <v/>
      </c>
      <c r="L12" s="95"/>
      <c r="N12" s="100">
        <f t="shared" si="1"/>
        <v>44842</v>
      </c>
      <c r="O12" s="105" t="str">
        <f>TEXT(DATE(名前リスト!$N$1,名前リスト!$O$1,ROW()-4),"aaa")</f>
        <v>土</v>
      </c>
      <c r="P12" s="13"/>
      <c r="Q12" s="14"/>
      <c r="R12" s="15"/>
      <c r="S12" s="15"/>
      <c r="T1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2" s="16" t="str">
        <f>IFERROR(($O$3*梅田キャンプ3500[[#This Row],[人数]])-梅田キャンプ3500[[#This Row],[単価合計]]-(梅田キャンプ3500[[#This Row],[キャンセル人数]]*$B$2),"")</f>
        <v/>
      </c>
      <c r="V1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2" s="70"/>
      <c r="X1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3" spans="1:24">
      <c r="A13" s="100">
        <f t="shared" si="0"/>
        <v>44843</v>
      </c>
      <c r="B13" s="105" t="str">
        <f>TEXT(DATE(名前リスト!$N$1,名前リスト!$O$1,ROW()-4),"aaa")</f>
        <v>日</v>
      </c>
      <c r="C13" s="13"/>
      <c r="D13" s="14"/>
      <c r="E13" s="15"/>
      <c r="F13" s="15"/>
      <c r="G1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3" s="16" t="str">
        <f>IFERROR(($B$3*梅田キャンプ4000[[#This Row],[人数]])-梅田キャンプ4000[[#This Row],[単価合計]]-(梅田キャンプ4000[[#This Row],[キャンセル人数]]*$B$2),"")</f>
        <v/>
      </c>
      <c r="I1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3" s="70"/>
      <c r="K13" s="16" t="str">
        <f>IF(梅田キャンプ4000[[#This Row],[人数]]="","",VLOOKUP(梅田キャンプ4000[[#This Row],[人数]],バック金額①[#All],2,TRUE)-(梅田キャンプ4000[[#This Row],[キャンセル人数]]*$B$2))</f>
        <v/>
      </c>
      <c r="L13" s="95"/>
      <c r="N13" s="100">
        <f t="shared" si="1"/>
        <v>44843</v>
      </c>
      <c r="O13" s="105" t="str">
        <f>TEXT(DATE(名前リスト!$N$1,名前リスト!$O$1,ROW()-4),"aaa")</f>
        <v>日</v>
      </c>
      <c r="P13" s="13"/>
      <c r="Q13" s="14"/>
      <c r="R13" s="15"/>
      <c r="S13" s="15"/>
      <c r="T1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3" s="16" t="str">
        <f>IFERROR(($O$3*梅田キャンプ3500[[#This Row],[人数]])-梅田キャンプ3500[[#This Row],[単価合計]]-(梅田キャンプ3500[[#This Row],[キャンセル人数]]*$B$2),"")</f>
        <v/>
      </c>
      <c r="V1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3" s="70"/>
      <c r="X1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4" spans="1:24">
      <c r="A14" s="100">
        <f t="shared" si="0"/>
        <v>44844</v>
      </c>
      <c r="B14" s="105" t="str">
        <f>TEXT(DATE(名前リスト!$N$1,名前リスト!$O$1,ROW()-4),"aaa")</f>
        <v>月</v>
      </c>
      <c r="C14" s="13"/>
      <c r="D14" s="14"/>
      <c r="E14" s="15"/>
      <c r="F14" s="15"/>
      <c r="G1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4" s="16" t="str">
        <f>IFERROR(($B$3*梅田キャンプ4000[[#This Row],[人数]])-梅田キャンプ4000[[#This Row],[単価合計]]-(梅田キャンプ4000[[#This Row],[キャンセル人数]]*$B$2),"")</f>
        <v/>
      </c>
      <c r="I1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4" s="70"/>
      <c r="K14" s="16" t="str">
        <f>IF(梅田キャンプ4000[[#This Row],[人数]]="","",VLOOKUP(梅田キャンプ4000[[#This Row],[人数]],バック金額①[#All],2,TRUE)-(梅田キャンプ4000[[#This Row],[キャンセル人数]]*$B$2))</f>
        <v/>
      </c>
      <c r="L14" s="95"/>
      <c r="N14" s="100">
        <f t="shared" si="1"/>
        <v>44844</v>
      </c>
      <c r="O14" s="105" t="str">
        <f>TEXT(DATE(名前リスト!$N$1,名前リスト!$O$1,ROW()-4),"aaa")</f>
        <v>月</v>
      </c>
      <c r="P14" s="13"/>
      <c r="Q14" s="14"/>
      <c r="R14" s="15"/>
      <c r="S14" s="15"/>
      <c r="T1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4" s="16" t="str">
        <f>IFERROR(($O$3*梅田キャンプ3500[[#This Row],[人数]])-梅田キャンプ3500[[#This Row],[単価合計]]-(梅田キャンプ3500[[#This Row],[キャンセル人数]]*$B$2),"")</f>
        <v/>
      </c>
      <c r="V1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4" s="70"/>
      <c r="X1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5" spans="1:24">
      <c r="A15" s="100">
        <f t="shared" si="0"/>
        <v>44845</v>
      </c>
      <c r="B15" s="105" t="str">
        <f>TEXT(DATE(名前リスト!$N$1,名前リスト!$O$1,ROW()-4),"aaa")</f>
        <v>火</v>
      </c>
      <c r="C15" s="13"/>
      <c r="D15" s="14"/>
      <c r="E15" s="15"/>
      <c r="F15" s="15"/>
      <c r="G1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5" s="16" t="str">
        <f>IFERROR(($B$3*梅田キャンプ4000[[#This Row],[人数]])-梅田キャンプ4000[[#This Row],[単価合計]]-(梅田キャンプ4000[[#This Row],[キャンセル人数]]*$B$2),"")</f>
        <v/>
      </c>
      <c r="I1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5" s="70"/>
      <c r="K15" s="16" t="str">
        <f>IF(梅田キャンプ4000[[#This Row],[人数]]="","",VLOOKUP(梅田キャンプ4000[[#This Row],[人数]],バック金額①[#All],2,TRUE)-(梅田キャンプ4000[[#This Row],[キャンセル人数]]*$B$2))</f>
        <v/>
      </c>
      <c r="L15" s="95"/>
      <c r="N15" s="100">
        <f t="shared" si="1"/>
        <v>44845</v>
      </c>
      <c r="O15" s="105" t="str">
        <f>TEXT(DATE(名前リスト!$N$1,名前リスト!$O$1,ROW()-4),"aaa")</f>
        <v>火</v>
      </c>
      <c r="P15" s="13"/>
      <c r="Q15" s="14"/>
      <c r="R15" s="15"/>
      <c r="S15" s="15"/>
      <c r="T1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5" s="16" t="str">
        <f>IFERROR(($O$3*梅田キャンプ3500[[#This Row],[人数]])-梅田キャンプ3500[[#This Row],[単価合計]]-(梅田キャンプ3500[[#This Row],[キャンセル人数]]*$B$2),"")</f>
        <v/>
      </c>
      <c r="V1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5" s="70"/>
      <c r="X1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6" spans="1:24">
      <c r="A16" s="100">
        <f>IFERROR(IF(DATE(YEAR($A$5),MONTH($A$5),DAY($A$5))=DATE(YEAR(A15),MONTH(A15),DAY(A15+1)),"",DATE(YEAR(A15),MONTH(A15),DAY(A15+1))),"")</f>
        <v>44846</v>
      </c>
      <c r="B16" s="105" t="str">
        <f>TEXT(DATE(名前リスト!$N$1,名前リスト!$O$1,ROW()-4),"aaa")</f>
        <v>水</v>
      </c>
      <c r="C16" s="13"/>
      <c r="D16" s="14"/>
      <c r="E16" s="15"/>
      <c r="F16" s="15"/>
      <c r="G1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6" s="16" t="str">
        <f>IFERROR(($B$3*梅田キャンプ4000[[#This Row],[人数]])-梅田キャンプ4000[[#This Row],[単価合計]]-(梅田キャンプ4000[[#This Row],[キャンセル人数]]*$B$2),"")</f>
        <v/>
      </c>
      <c r="I1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6" s="70"/>
      <c r="K16" s="16" t="str">
        <f>IF(梅田キャンプ4000[[#This Row],[人数]]="","",VLOOKUP(梅田キャンプ4000[[#This Row],[人数]],バック金額①[#All],2,TRUE)-(梅田キャンプ4000[[#This Row],[キャンセル人数]]*$B$2))</f>
        <v/>
      </c>
      <c r="L16" s="95"/>
      <c r="N16" s="100">
        <f t="shared" si="1"/>
        <v>44846</v>
      </c>
      <c r="O16" s="105" t="str">
        <f>TEXT(DATE(名前リスト!$N$1,名前リスト!$O$1,ROW()-4),"aaa")</f>
        <v>水</v>
      </c>
      <c r="P16" s="13"/>
      <c r="Q16" s="14"/>
      <c r="R16" s="15"/>
      <c r="S16" s="15"/>
      <c r="T1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6" s="16" t="str">
        <f>IFERROR(($O$3*梅田キャンプ3500[[#This Row],[人数]])-梅田キャンプ3500[[#This Row],[単価合計]]-(梅田キャンプ3500[[#This Row],[キャンセル人数]]*$B$2),"")</f>
        <v/>
      </c>
      <c r="V1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6" s="70"/>
      <c r="X1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7" spans="1:24">
      <c r="A17" s="100">
        <f t="shared" si="0"/>
        <v>44847</v>
      </c>
      <c r="B17" s="105" t="str">
        <f>TEXT(DATE(名前リスト!$N$1,名前リスト!$O$1,ROW()-4),"aaa")</f>
        <v>木</v>
      </c>
      <c r="C17" s="13"/>
      <c r="D17" s="14"/>
      <c r="E17" s="15"/>
      <c r="F17" s="15"/>
      <c r="G1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7" s="16" t="str">
        <f>IFERROR(($B$3*梅田キャンプ4000[[#This Row],[人数]])-梅田キャンプ4000[[#This Row],[単価合計]]-(梅田キャンプ4000[[#This Row],[キャンセル人数]]*$B$2),"")</f>
        <v/>
      </c>
      <c r="I1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7" s="70"/>
      <c r="K17" s="16" t="str">
        <f>IF(梅田キャンプ4000[[#This Row],[人数]]="","",VLOOKUP(梅田キャンプ4000[[#This Row],[人数]],バック金額①[#All],2,TRUE)-(梅田キャンプ4000[[#This Row],[キャンセル人数]]*$B$2))</f>
        <v/>
      </c>
      <c r="L17" s="95"/>
      <c r="N17" s="100">
        <f t="shared" si="1"/>
        <v>44847</v>
      </c>
      <c r="O17" s="105" t="str">
        <f>TEXT(DATE(名前リスト!$N$1,名前リスト!$O$1,ROW()-4),"aaa")</f>
        <v>木</v>
      </c>
      <c r="P17" s="13"/>
      <c r="Q17" s="14"/>
      <c r="R17" s="15"/>
      <c r="S17" s="15"/>
      <c r="T1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7" s="16" t="str">
        <f>IFERROR(($O$3*梅田キャンプ3500[[#This Row],[人数]])-梅田キャンプ3500[[#This Row],[単価合計]]-(梅田キャンプ3500[[#This Row],[キャンセル人数]]*$B$2),"")</f>
        <v/>
      </c>
      <c r="V1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7" s="70"/>
      <c r="X1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8" spans="1:24">
      <c r="A18" s="100">
        <f t="shared" si="0"/>
        <v>44848</v>
      </c>
      <c r="B18" s="105" t="str">
        <f>TEXT(DATE(名前リスト!$N$1,名前リスト!$O$1,ROW()-4),"aaa")</f>
        <v>金</v>
      </c>
      <c r="C18" s="13"/>
      <c r="D18" s="14"/>
      <c r="E18" s="15"/>
      <c r="F18" s="15"/>
      <c r="G1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8" s="16" t="str">
        <f>IFERROR(($B$3*梅田キャンプ4000[[#This Row],[人数]])-梅田キャンプ4000[[#This Row],[単価合計]]-(梅田キャンプ4000[[#This Row],[キャンセル人数]]*$B$2),"")</f>
        <v/>
      </c>
      <c r="I1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8" s="70"/>
      <c r="K18" s="16" t="str">
        <f>IF(梅田キャンプ4000[[#This Row],[人数]]="","",VLOOKUP(梅田キャンプ4000[[#This Row],[人数]],バック金額①[#All],2,TRUE)-(梅田キャンプ4000[[#This Row],[キャンセル人数]]*$B$2))</f>
        <v/>
      </c>
      <c r="L18" s="95"/>
      <c r="N18" s="100">
        <f t="shared" si="1"/>
        <v>44848</v>
      </c>
      <c r="O18" s="105" t="str">
        <f>TEXT(DATE(名前リスト!$N$1,名前リスト!$O$1,ROW()-4),"aaa")</f>
        <v>金</v>
      </c>
      <c r="P18" s="13"/>
      <c r="Q18" s="14"/>
      <c r="R18" s="15"/>
      <c r="S18" s="15"/>
      <c r="T1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8" s="16" t="str">
        <f>IFERROR(($O$3*梅田キャンプ3500[[#This Row],[人数]])-梅田キャンプ3500[[#This Row],[単価合計]]-(梅田キャンプ3500[[#This Row],[キャンセル人数]]*$B$2),"")</f>
        <v/>
      </c>
      <c r="V1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8" s="70"/>
      <c r="X1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19" spans="1:24">
      <c r="A19" s="100">
        <f t="shared" si="0"/>
        <v>44849</v>
      </c>
      <c r="B19" s="105" t="str">
        <f>TEXT(DATE(名前リスト!$N$1,名前リスト!$O$1,ROW()-4),"aaa")</f>
        <v>土</v>
      </c>
      <c r="C19" s="13"/>
      <c r="D19" s="14"/>
      <c r="E19" s="15"/>
      <c r="F19" s="15"/>
      <c r="G1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19" s="16" t="str">
        <f>IFERROR(($B$3*梅田キャンプ4000[[#This Row],[人数]])-梅田キャンプ4000[[#This Row],[単価合計]]-(梅田キャンプ4000[[#This Row],[キャンセル人数]]*$B$2),"")</f>
        <v/>
      </c>
      <c r="I1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19" s="70"/>
      <c r="K19" s="16" t="str">
        <f>IF(梅田キャンプ4000[[#This Row],[人数]]="","",VLOOKUP(梅田キャンプ4000[[#This Row],[人数]],バック金額①[#All],2,TRUE)-(梅田キャンプ4000[[#This Row],[キャンセル人数]]*$B$2))</f>
        <v/>
      </c>
      <c r="L19" s="95"/>
      <c r="N19" s="100">
        <f t="shared" si="1"/>
        <v>44849</v>
      </c>
      <c r="O19" s="105" t="str">
        <f>TEXT(DATE(名前リスト!$N$1,名前リスト!$O$1,ROW()-4),"aaa")</f>
        <v>土</v>
      </c>
      <c r="P19" s="13"/>
      <c r="Q19" s="14"/>
      <c r="R19" s="15"/>
      <c r="S19" s="15"/>
      <c r="T1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19" s="16" t="str">
        <f>IFERROR(($O$3*梅田キャンプ3500[[#This Row],[人数]])-梅田キャンプ3500[[#This Row],[単価合計]]-(梅田キャンプ3500[[#This Row],[キャンセル人数]]*$B$2),"")</f>
        <v/>
      </c>
      <c r="V1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19" s="70"/>
      <c r="X1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0" spans="1:24">
      <c r="A20" s="100">
        <f t="shared" si="0"/>
        <v>44850</v>
      </c>
      <c r="B20" s="105" t="str">
        <f>TEXT(DATE(名前リスト!$N$1,名前リスト!$O$1,ROW()-4),"aaa")</f>
        <v>日</v>
      </c>
      <c r="C20" s="13"/>
      <c r="D20" s="14"/>
      <c r="E20" s="15"/>
      <c r="F20" s="15"/>
      <c r="G2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0" s="16" t="str">
        <f>IFERROR(($B$3*梅田キャンプ4000[[#This Row],[人数]])-梅田キャンプ4000[[#This Row],[単価合計]]-(梅田キャンプ4000[[#This Row],[キャンセル人数]]*$B$2),"")</f>
        <v/>
      </c>
      <c r="I2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0" s="70"/>
      <c r="K20" s="16" t="str">
        <f>IF(梅田キャンプ4000[[#This Row],[人数]]="","",VLOOKUP(梅田キャンプ4000[[#This Row],[人数]],バック金額①[#All],2,TRUE)-(梅田キャンプ4000[[#This Row],[キャンセル人数]]*$B$2))</f>
        <v/>
      </c>
      <c r="L20" s="95"/>
      <c r="N20" s="100">
        <f t="shared" si="1"/>
        <v>44850</v>
      </c>
      <c r="O20" s="105" t="str">
        <f>TEXT(DATE(名前リスト!$N$1,名前リスト!$O$1,ROW()-4),"aaa")</f>
        <v>日</v>
      </c>
      <c r="P20" s="13"/>
      <c r="Q20" s="14"/>
      <c r="R20" s="15"/>
      <c r="S20" s="15"/>
      <c r="T2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0" s="16" t="str">
        <f>IFERROR(($O$3*梅田キャンプ3500[[#This Row],[人数]])-梅田キャンプ3500[[#This Row],[単価合計]]-(梅田キャンプ3500[[#This Row],[キャンセル人数]]*$B$2),"")</f>
        <v/>
      </c>
      <c r="V2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0" s="70"/>
      <c r="X2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1" spans="1:24">
      <c r="A21" s="100">
        <f t="shared" si="0"/>
        <v>44851</v>
      </c>
      <c r="B21" s="105" t="str">
        <f>TEXT(DATE(名前リスト!$N$1,名前リスト!$O$1,ROW()-4),"aaa")</f>
        <v>月</v>
      </c>
      <c r="C21" s="13"/>
      <c r="D21" s="14"/>
      <c r="E21" s="15"/>
      <c r="F21" s="15"/>
      <c r="G2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1" s="16" t="str">
        <f>IFERROR(($B$3*梅田キャンプ4000[[#This Row],[人数]])-梅田キャンプ4000[[#This Row],[単価合計]]-(梅田キャンプ4000[[#This Row],[キャンセル人数]]*$B$2),"")</f>
        <v/>
      </c>
      <c r="I2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1" s="70"/>
      <c r="K21" s="16" t="str">
        <f>IF(梅田キャンプ4000[[#This Row],[人数]]="","",VLOOKUP(梅田キャンプ4000[[#This Row],[人数]],バック金額①[#All],2,TRUE)-(梅田キャンプ4000[[#This Row],[キャンセル人数]]*$B$2))</f>
        <v/>
      </c>
      <c r="L21" s="95"/>
      <c r="N21" s="100">
        <f t="shared" si="1"/>
        <v>44851</v>
      </c>
      <c r="O21" s="105" t="str">
        <f>TEXT(DATE(名前リスト!$N$1,名前リスト!$O$1,ROW()-4),"aaa")</f>
        <v>月</v>
      </c>
      <c r="P21" s="13"/>
      <c r="Q21" s="14"/>
      <c r="R21" s="15"/>
      <c r="S21" s="15"/>
      <c r="T2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1" s="16" t="str">
        <f>IFERROR(($O$3*梅田キャンプ3500[[#This Row],[人数]])-梅田キャンプ3500[[#This Row],[単価合計]]-(梅田キャンプ3500[[#This Row],[キャンセル人数]]*$B$2),"")</f>
        <v/>
      </c>
      <c r="V2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1" s="70"/>
      <c r="X2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2" spans="1:24">
      <c r="A22" s="100">
        <f t="shared" si="0"/>
        <v>44852</v>
      </c>
      <c r="B22" s="105" t="str">
        <f>TEXT(DATE(名前リスト!$N$1,名前リスト!$O$1,ROW()-4),"aaa")</f>
        <v>火</v>
      </c>
      <c r="C22" s="13"/>
      <c r="D22" s="14"/>
      <c r="E22" s="15"/>
      <c r="F22" s="15"/>
      <c r="G2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2" s="16" t="str">
        <f>IFERROR(($B$3*梅田キャンプ4000[[#This Row],[人数]])-梅田キャンプ4000[[#This Row],[単価合計]]-(梅田キャンプ4000[[#This Row],[キャンセル人数]]*$B$2),"")</f>
        <v/>
      </c>
      <c r="I2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2" s="70"/>
      <c r="K22" s="16" t="str">
        <f>IF(梅田キャンプ4000[[#This Row],[人数]]="","",VLOOKUP(梅田キャンプ4000[[#This Row],[人数]],バック金額①[#All],2,TRUE)-(梅田キャンプ4000[[#This Row],[キャンセル人数]]*$B$2))</f>
        <v/>
      </c>
      <c r="L22" s="95"/>
      <c r="N22" s="100">
        <f t="shared" si="1"/>
        <v>44852</v>
      </c>
      <c r="O22" s="105" t="str">
        <f>TEXT(DATE(名前リスト!$N$1,名前リスト!$O$1,ROW()-4),"aaa")</f>
        <v>火</v>
      </c>
      <c r="P22" s="13"/>
      <c r="Q22" s="14"/>
      <c r="R22" s="15"/>
      <c r="S22" s="15"/>
      <c r="T2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2" s="16" t="str">
        <f>IFERROR(($O$3*梅田キャンプ3500[[#This Row],[人数]])-梅田キャンプ3500[[#This Row],[単価合計]]-(梅田キャンプ3500[[#This Row],[キャンセル人数]]*$B$2),"")</f>
        <v/>
      </c>
      <c r="V2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2" s="70"/>
      <c r="X2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3" spans="1:24">
      <c r="A23" s="100">
        <f t="shared" si="0"/>
        <v>44853</v>
      </c>
      <c r="B23" s="105" t="str">
        <f>TEXT(DATE(名前リスト!$N$1,名前リスト!$O$1,ROW()-4),"aaa")</f>
        <v>水</v>
      </c>
      <c r="C23" s="13"/>
      <c r="D23" s="14"/>
      <c r="E23" s="15"/>
      <c r="F23" s="15"/>
      <c r="G2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3" s="16" t="str">
        <f>IFERROR(($B$3*梅田キャンプ4000[[#This Row],[人数]])-梅田キャンプ4000[[#This Row],[単価合計]]-(梅田キャンプ4000[[#This Row],[キャンセル人数]]*$B$2),"")</f>
        <v/>
      </c>
      <c r="I2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3" s="70"/>
      <c r="K23" s="16" t="str">
        <f>IF(梅田キャンプ4000[[#This Row],[人数]]="","",VLOOKUP(梅田キャンプ4000[[#This Row],[人数]],バック金額①[#All],2,TRUE)-(梅田キャンプ4000[[#This Row],[キャンセル人数]]*$B$2))</f>
        <v/>
      </c>
      <c r="L23" s="95"/>
      <c r="N23" s="100">
        <f t="shared" si="1"/>
        <v>44853</v>
      </c>
      <c r="O23" s="105" t="str">
        <f>TEXT(DATE(名前リスト!$N$1,名前リスト!$O$1,ROW()-4),"aaa")</f>
        <v>水</v>
      </c>
      <c r="P23" s="13"/>
      <c r="Q23" s="14"/>
      <c r="R23" s="15"/>
      <c r="S23" s="15"/>
      <c r="T2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3" s="16" t="str">
        <f>IFERROR(($O$3*梅田キャンプ3500[[#This Row],[人数]])-梅田キャンプ3500[[#This Row],[単価合計]]-(梅田キャンプ3500[[#This Row],[キャンセル人数]]*$B$2),"")</f>
        <v/>
      </c>
      <c r="V2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3" s="70"/>
      <c r="X2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4" spans="1:24">
      <c r="A24" s="100">
        <f t="shared" si="0"/>
        <v>44854</v>
      </c>
      <c r="B24" s="105" t="str">
        <f>TEXT(DATE(名前リスト!$N$1,名前リスト!$O$1,ROW()-4),"aaa")</f>
        <v>木</v>
      </c>
      <c r="C24" s="13"/>
      <c r="D24" s="14"/>
      <c r="E24" s="15"/>
      <c r="F24" s="15"/>
      <c r="G2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4" s="16" t="str">
        <f>IFERROR(($B$3*梅田キャンプ4000[[#This Row],[人数]])-梅田キャンプ4000[[#This Row],[単価合計]]-(梅田キャンプ4000[[#This Row],[キャンセル人数]]*$B$2),"")</f>
        <v/>
      </c>
      <c r="I2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4" s="70"/>
      <c r="K24" s="16" t="str">
        <f>IF(梅田キャンプ4000[[#This Row],[人数]]="","",VLOOKUP(梅田キャンプ4000[[#This Row],[人数]],バック金額①[#All],2,TRUE)-(梅田キャンプ4000[[#This Row],[キャンセル人数]]*$B$2))</f>
        <v/>
      </c>
      <c r="L24" s="95"/>
      <c r="N24" s="100">
        <f t="shared" si="1"/>
        <v>44854</v>
      </c>
      <c r="O24" s="105" t="str">
        <f>TEXT(DATE(名前リスト!$N$1,名前リスト!$O$1,ROW()-4),"aaa")</f>
        <v>木</v>
      </c>
      <c r="P24" s="13"/>
      <c r="Q24" s="14"/>
      <c r="R24" s="15"/>
      <c r="S24" s="15"/>
      <c r="T2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4" s="16" t="str">
        <f>IFERROR(($O$3*梅田キャンプ3500[[#This Row],[人数]])-梅田キャンプ3500[[#This Row],[単価合計]]-(梅田キャンプ3500[[#This Row],[キャンセル人数]]*$B$2),"")</f>
        <v/>
      </c>
      <c r="V2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4" s="70"/>
      <c r="X2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5" spans="1:24">
      <c r="A25" s="100">
        <f t="shared" si="0"/>
        <v>44855</v>
      </c>
      <c r="B25" s="105" t="str">
        <f>TEXT(DATE(名前リスト!$N$1,名前リスト!$O$1,ROW()-4),"aaa")</f>
        <v>金</v>
      </c>
      <c r="C25" s="13"/>
      <c r="D25" s="14"/>
      <c r="E25" s="15"/>
      <c r="F25" s="15"/>
      <c r="G2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5" s="16" t="str">
        <f>IFERROR(($B$3*梅田キャンプ4000[[#This Row],[人数]])-梅田キャンプ4000[[#This Row],[単価合計]]-(梅田キャンプ4000[[#This Row],[キャンセル人数]]*$B$2),"")</f>
        <v/>
      </c>
      <c r="I2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5" s="70"/>
      <c r="K25" s="16" t="str">
        <f>IF(梅田キャンプ4000[[#This Row],[人数]]="","",VLOOKUP(梅田キャンプ4000[[#This Row],[人数]],バック金額①[#All],2,TRUE)-(梅田キャンプ4000[[#This Row],[キャンセル人数]]*$B$2))</f>
        <v/>
      </c>
      <c r="L25" s="95"/>
      <c r="N25" s="100">
        <f t="shared" si="1"/>
        <v>44855</v>
      </c>
      <c r="O25" s="105" t="str">
        <f>TEXT(DATE(名前リスト!$N$1,名前リスト!$O$1,ROW()-4),"aaa")</f>
        <v>金</v>
      </c>
      <c r="P25" s="13"/>
      <c r="Q25" s="14"/>
      <c r="R25" s="15"/>
      <c r="S25" s="15"/>
      <c r="T2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5" s="16" t="str">
        <f>IFERROR(($O$3*梅田キャンプ3500[[#This Row],[人数]])-梅田キャンプ3500[[#This Row],[単価合計]]-(梅田キャンプ3500[[#This Row],[キャンセル人数]]*$B$2),"")</f>
        <v/>
      </c>
      <c r="V2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5" s="70"/>
      <c r="X2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6" spans="1:24">
      <c r="A26" s="100">
        <f t="shared" si="0"/>
        <v>44856</v>
      </c>
      <c r="B26" s="105" t="str">
        <f>TEXT(DATE(名前リスト!$N$1,名前リスト!$O$1,ROW()-4),"aaa")</f>
        <v>土</v>
      </c>
      <c r="C26" s="13"/>
      <c r="D26" s="53"/>
      <c r="E26" s="15"/>
      <c r="F26" s="15"/>
      <c r="G26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6" s="16" t="str">
        <f>IFERROR(($B$3*梅田キャンプ4000[[#This Row],[人数]])-梅田キャンプ4000[[#This Row],[単価合計]]-(梅田キャンプ4000[[#This Row],[キャンセル人数]]*$B$2),"")</f>
        <v/>
      </c>
      <c r="I26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6" s="70"/>
      <c r="K26" s="16" t="str">
        <f>IF(梅田キャンプ4000[[#This Row],[人数]]="","",VLOOKUP(梅田キャンプ4000[[#This Row],[人数]],バック金額①[#All],2,TRUE)-(梅田キャンプ4000[[#This Row],[キャンセル人数]]*$B$2))</f>
        <v/>
      </c>
      <c r="L26" s="95"/>
      <c r="N26" s="100">
        <f t="shared" si="1"/>
        <v>44856</v>
      </c>
      <c r="O26" s="105" t="str">
        <f>TEXT(DATE(名前リスト!$N$1,名前リスト!$O$1,ROW()-4),"aaa")</f>
        <v>土</v>
      </c>
      <c r="P26" s="13"/>
      <c r="Q26" s="14"/>
      <c r="R26" s="15"/>
      <c r="S26" s="15"/>
      <c r="T26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6" s="16" t="str">
        <f>IFERROR(($O$3*梅田キャンプ3500[[#This Row],[人数]])-梅田キャンプ3500[[#This Row],[単価合計]]-(梅田キャンプ3500[[#This Row],[キャンセル人数]]*$B$2),"")</f>
        <v/>
      </c>
      <c r="V26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6" s="70"/>
      <c r="X26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7" spans="1:24">
      <c r="A27" s="100">
        <f t="shared" si="0"/>
        <v>44857</v>
      </c>
      <c r="B27" s="105" t="str">
        <f>TEXT(DATE(名前リスト!$N$1,名前リスト!$O$1,ROW()-4),"aaa")</f>
        <v>日</v>
      </c>
      <c r="C27" s="13"/>
      <c r="D27" s="14"/>
      <c r="E27" s="15"/>
      <c r="F27" s="15"/>
      <c r="G27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7" s="16" t="str">
        <f>IFERROR(($B$3*梅田キャンプ4000[[#This Row],[人数]])-梅田キャンプ4000[[#This Row],[単価合計]]-(梅田キャンプ4000[[#This Row],[キャンセル人数]]*$B$2),"")</f>
        <v/>
      </c>
      <c r="I27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7" s="70"/>
      <c r="K27" s="16" t="str">
        <f>IF(梅田キャンプ4000[[#This Row],[人数]]="","",VLOOKUP(梅田キャンプ4000[[#This Row],[人数]],バック金額①[#All],2,TRUE)-(梅田キャンプ4000[[#This Row],[キャンセル人数]]*$B$2))</f>
        <v/>
      </c>
      <c r="L27" s="95"/>
      <c r="N27" s="100">
        <f t="shared" si="1"/>
        <v>44857</v>
      </c>
      <c r="O27" s="105" t="str">
        <f>TEXT(DATE(名前リスト!$N$1,名前リスト!$O$1,ROW()-4),"aaa")</f>
        <v>日</v>
      </c>
      <c r="P27" s="13"/>
      <c r="Q27" s="14"/>
      <c r="R27" s="15"/>
      <c r="S27" s="15"/>
      <c r="T27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7" s="16" t="str">
        <f>IFERROR(($O$3*梅田キャンプ3500[[#This Row],[人数]])-梅田キャンプ3500[[#This Row],[単価合計]]-(梅田キャンプ3500[[#This Row],[キャンセル人数]]*$B$2),"")</f>
        <v/>
      </c>
      <c r="V27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7" s="70"/>
      <c r="X27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8" spans="1:24">
      <c r="A28" s="100">
        <f t="shared" si="0"/>
        <v>44858</v>
      </c>
      <c r="B28" s="105" t="str">
        <f>TEXT(DATE(名前リスト!$N$1,名前リスト!$O$1,ROW()-4),"aaa")</f>
        <v>月</v>
      </c>
      <c r="C28" s="13"/>
      <c r="D28" s="14"/>
      <c r="E28" s="15"/>
      <c r="F28" s="15"/>
      <c r="G28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8" s="16" t="str">
        <f>IFERROR(($B$3*梅田キャンプ4000[[#This Row],[人数]])-梅田キャンプ4000[[#This Row],[単価合計]]-(梅田キャンプ4000[[#This Row],[キャンセル人数]]*$B$2),"")</f>
        <v/>
      </c>
      <c r="I28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8" s="70"/>
      <c r="K28" s="16" t="str">
        <f>IF(梅田キャンプ4000[[#This Row],[人数]]="","",VLOOKUP(梅田キャンプ4000[[#This Row],[人数]],バック金額①[#All],2,TRUE)-(梅田キャンプ4000[[#This Row],[キャンセル人数]]*$B$2))</f>
        <v/>
      </c>
      <c r="L28" s="95"/>
      <c r="N28" s="100">
        <f t="shared" si="1"/>
        <v>44858</v>
      </c>
      <c r="O28" s="105" t="str">
        <f>TEXT(DATE(名前リスト!$N$1,名前リスト!$O$1,ROW()-4),"aaa")</f>
        <v>月</v>
      </c>
      <c r="P28" s="13"/>
      <c r="Q28" s="14"/>
      <c r="R28" s="15"/>
      <c r="S28" s="15"/>
      <c r="T28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8" s="16" t="str">
        <f>IFERROR(($O$3*梅田キャンプ3500[[#This Row],[人数]])-梅田キャンプ3500[[#This Row],[単価合計]]-(梅田キャンプ3500[[#This Row],[キャンセル人数]]*$B$2),"")</f>
        <v/>
      </c>
      <c r="V28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8" s="70"/>
      <c r="X28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29" spans="1:24">
      <c r="A29" s="100">
        <f t="shared" si="0"/>
        <v>44859</v>
      </c>
      <c r="B29" s="105" t="str">
        <f>TEXT(DATE(名前リスト!$N$1,名前リスト!$O$1,ROW()-4),"aaa")</f>
        <v>火</v>
      </c>
      <c r="C29" s="13"/>
      <c r="D29" s="14"/>
      <c r="E29" s="15"/>
      <c r="F29" s="15"/>
      <c r="G29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29" s="16" t="str">
        <f>IFERROR(($B$3*梅田キャンプ4000[[#This Row],[人数]])-梅田キャンプ4000[[#This Row],[単価合計]]-(梅田キャンプ4000[[#This Row],[キャンセル人数]]*$B$2),"")</f>
        <v/>
      </c>
      <c r="I29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29" s="70"/>
      <c r="K29" s="16" t="str">
        <f>IF(梅田キャンプ4000[[#This Row],[人数]]="","",VLOOKUP(梅田キャンプ4000[[#This Row],[人数]],バック金額①[#All],2,TRUE)-(梅田キャンプ4000[[#This Row],[キャンセル人数]]*$B$2))</f>
        <v/>
      </c>
      <c r="L29" s="95"/>
      <c r="N29" s="100">
        <f t="shared" si="1"/>
        <v>44859</v>
      </c>
      <c r="O29" s="105" t="str">
        <f>TEXT(DATE(名前リスト!$N$1,名前リスト!$O$1,ROW()-4),"aaa")</f>
        <v>火</v>
      </c>
      <c r="P29" s="13"/>
      <c r="Q29" s="14"/>
      <c r="R29" s="15"/>
      <c r="S29" s="15"/>
      <c r="T29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29" s="16" t="str">
        <f>IFERROR(($O$3*梅田キャンプ3500[[#This Row],[人数]])-梅田キャンプ3500[[#This Row],[単価合計]]-(梅田キャンプ3500[[#This Row],[キャンセル人数]]*$B$2),"")</f>
        <v/>
      </c>
      <c r="V29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29" s="70"/>
      <c r="X29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0" spans="1:24">
      <c r="A30" s="100">
        <f t="shared" si="0"/>
        <v>44860</v>
      </c>
      <c r="B30" s="105" t="str">
        <f>TEXT(DATE(名前リスト!$N$1,名前リスト!$O$1,ROW()-4),"aaa")</f>
        <v>水</v>
      </c>
      <c r="C30" s="13"/>
      <c r="D30" s="14"/>
      <c r="E30" s="15"/>
      <c r="F30" s="15"/>
      <c r="G30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0" s="16" t="str">
        <f>IFERROR(($B$3*梅田キャンプ4000[[#This Row],[人数]])-梅田キャンプ4000[[#This Row],[単価合計]]-(梅田キャンプ4000[[#This Row],[キャンセル人数]]*$B$2),"")</f>
        <v/>
      </c>
      <c r="I30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0" s="70"/>
      <c r="K30" s="16" t="str">
        <f>IF(梅田キャンプ4000[[#This Row],[人数]]="","",VLOOKUP(梅田キャンプ4000[[#This Row],[人数]],バック金額①[#All],2,TRUE)-(梅田キャンプ4000[[#This Row],[キャンセル人数]]*$B$2))</f>
        <v/>
      </c>
      <c r="L30" s="95"/>
      <c r="N30" s="100">
        <f t="shared" si="1"/>
        <v>44860</v>
      </c>
      <c r="O30" s="105" t="str">
        <f>TEXT(DATE(名前リスト!$N$1,名前リスト!$O$1,ROW()-4),"aaa")</f>
        <v>水</v>
      </c>
      <c r="P30" s="13"/>
      <c r="Q30" s="14"/>
      <c r="R30" s="15"/>
      <c r="S30" s="15"/>
      <c r="T30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0" s="16" t="str">
        <f>IFERROR(($O$3*梅田キャンプ3500[[#This Row],[人数]])-梅田キャンプ3500[[#This Row],[単価合計]]-(梅田キャンプ3500[[#This Row],[キャンセル人数]]*$B$2),"")</f>
        <v/>
      </c>
      <c r="V30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0" s="70"/>
      <c r="X30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1" spans="1:24">
      <c r="A31" s="100">
        <f t="shared" si="0"/>
        <v>44861</v>
      </c>
      <c r="B31" s="105" t="str">
        <f>TEXT(DATE(名前リスト!$N$1,名前リスト!$O$1,ROW()-4),"aaa")</f>
        <v>木</v>
      </c>
      <c r="C31" s="13"/>
      <c r="D31" s="14"/>
      <c r="E31" s="15"/>
      <c r="F31" s="15"/>
      <c r="G31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1" s="16" t="str">
        <f>IFERROR(($B$3*梅田キャンプ4000[[#This Row],[人数]])-梅田キャンプ4000[[#This Row],[単価合計]]-(梅田キャンプ4000[[#This Row],[キャンセル人数]]*$B$2),"")</f>
        <v/>
      </c>
      <c r="I31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1" s="70"/>
      <c r="K31" s="16" t="str">
        <f>IF(梅田キャンプ4000[[#This Row],[人数]]="","",VLOOKUP(梅田キャンプ4000[[#This Row],[人数]],バック金額①[#All],2,TRUE)-(梅田キャンプ4000[[#This Row],[キャンセル人数]]*$B$2))</f>
        <v/>
      </c>
      <c r="L31" s="95"/>
      <c r="N31" s="100">
        <f t="shared" si="1"/>
        <v>44861</v>
      </c>
      <c r="O31" s="105" t="str">
        <f>TEXT(DATE(名前リスト!$N$1,名前リスト!$O$1,ROW()-4),"aaa")</f>
        <v>木</v>
      </c>
      <c r="P31" s="13"/>
      <c r="Q31" s="14"/>
      <c r="R31" s="15"/>
      <c r="S31" s="15"/>
      <c r="T31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1" s="16" t="str">
        <f>IFERROR(($O$3*梅田キャンプ3500[[#This Row],[人数]])-梅田キャンプ3500[[#This Row],[単価合計]]-(梅田キャンプ3500[[#This Row],[キャンセル人数]]*$B$2),"")</f>
        <v/>
      </c>
      <c r="V31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1" s="70"/>
      <c r="X31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2" spans="1:24">
      <c r="A32" s="100">
        <f t="shared" si="0"/>
        <v>44862</v>
      </c>
      <c r="B32" s="105" t="str">
        <f>TEXT(DATE(名前リスト!$N$1,名前リスト!$O$1,ROW()-4),"aaa")</f>
        <v>金</v>
      </c>
      <c r="C32" s="13"/>
      <c r="D32" s="14"/>
      <c r="E32" s="15"/>
      <c r="F32" s="15"/>
      <c r="G32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2" s="16" t="str">
        <f>IFERROR(($B$3*梅田キャンプ4000[[#This Row],[人数]])-梅田キャンプ4000[[#This Row],[単価合計]]-(梅田キャンプ4000[[#This Row],[キャンセル人数]]*$B$2),"")</f>
        <v/>
      </c>
      <c r="I32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2" s="70"/>
      <c r="K32" s="16" t="str">
        <f>IF(梅田キャンプ4000[[#This Row],[人数]]="","",VLOOKUP(梅田キャンプ4000[[#This Row],[人数]],バック金額①[#All],2,TRUE)-(梅田キャンプ4000[[#This Row],[キャンセル人数]]*$B$2))</f>
        <v/>
      </c>
      <c r="L32" s="95"/>
      <c r="N32" s="100">
        <f t="shared" si="1"/>
        <v>44862</v>
      </c>
      <c r="O32" s="105" t="str">
        <f>TEXT(DATE(名前リスト!$N$1,名前リスト!$O$1,ROW()-4),"aaa")</f>
        <v>金</v>
      </c>
      <c r="P32" s="13"/>
      <c r="Q32" s="14"/>
      <c r="R32" s="15"/>
      <c r="S32" s="15"/>
      <c r="T32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2" s="16" t="str">
        <f>IFERROR(($O$3*梅田キャンプ3500[[#This Row],[人数]])-梅田キャンプ3500[[#This Row],[単価合計]]-(梅田キャンプ3500[[#This Row],[キャンセル人数]]*$B$2),"")</f>
        <v/>
      </c>
      <c r="V32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2" s="70"/>
      <c r="X32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3" spans="1:24">
      <c r="A33" s="100">
        <f t="shared" si="0"/>
        <v>44863</v>
      </c>
      <c r="B33" s="105" t="str">
        <f>TEXT(DATE(名前リスト!$N$1,名前リスト!$O$1,ROW()-4),"aaa")</f>
        <v>土</v>
      </c>
      <c r="C33" s="13"/>
      <c r="D33" s="14"/>
      <c r="E33" s="15"/>
      <c r="F33" s="15"/>
      <c r="G33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3" s="16" t="str">
        <f>IFERROR(($B$3*梅田キャンプ4000[[#This Row],[人数]])-梅田キャンプ4000[[#This Row],[単価合計]]-(梅田キャンプ4000[[#This Row],[キャンセル人数]]*$B$2),"")</f>
        <v/>
      </c>
      <c r="I33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3" s="70"/>
      <c r="K33" s="16" t="str">
        <f>IF(梅田キャンプ4000[[#This Row],[人数]]="","",VLOOKUP(梅田キャンプ4000[[#This Row],[人数]],バック金額①[#All],2,TRUE)-(梅田キャンプ4000[[#This Row],[キャンセル人数]]*$B$2))</f>
        <v/>
      </c>
      <c r="L33" s="95"/>
      <c r="N33" s="100">
        <f t="shared" si="1"/>
        <v>44863</v>
      </c>
      <c r="O33" s="105" t="str">
        <f>TEXT(DATE(名前リスト!$N$1,名前リスト!$O$1,ROW()-4),"aaa")</f>
        <v>土</v>
      </c>
      <c r="P33" s="13"/>
      <c r="Q33" s="14"/>
      <c r="R33" s="15"/>
      <c r="S33" s="15"/>
      <c r="T33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3" s="16" t="str">
        <f>IFERROR(($O$3*梅田キャンプ3500[[#This Row],[人数]])-梅田キャンプ3500[[#This Row],[単価合計]]-(梅田キャンプ3500[[#This Row],[キャンセル人数]]*$B$2),"")</f>
        <v/>
      </c>
      <c r="V33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3" s="70"/>
      <c r="X33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4" spans="1:24">
      <c r="A34" s="100">
        <f t="shared" si="0"/>
        <v>44864</v>
      </c>
      <c r="B34" s="105" t="str">
        <f>TEXT(DATE(名前リスト!$N$1,名前リスト!$O$1,ROW()-4),"aaa")</f>
        <v>日</v>
      </c>
      <c r="C34" s="13"/>
      <c r="D34" s="14"/>
      <c r="E34" s="15"/>
      <c r="F34" s="15"/>
      <c r="G34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4" s="16" t="str">
        <f>IFERROR(($B$3*梅田キャンプ4000[[#This Row],[人数]])-梅田キャンプ4000[[#This Row],[単価合計]]-(梅田キャンプ4000[[#This Row],[キャンセル人数]]*$B$2),"")</f>
        <v/>
      </c>
      <c r="I34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4" s="70"/>
      <c r="K34" s="16" t="str">
        <f>IF(梅田キャンプ4000[[#This Row],[人数]]="","",VLOOKUP(梅田キャンプ4000[[#This Row],[人数]],バック金額①[#All],2,TRUE)-(梅田キャンプ4000[[#This Row],[キャンセル人数]]*$B$2))</f>
        <v/>
      </c>
      <c r="L34" s="95"/>
      <c r="N34" s="100">
        <f t="shared" si="1"/>
        <v>44864</v>
      </c>
      <c r="O34" s="105" t="str">
        <f>TEXT(DATE(名前リスト!$N$1,名前リスト!$O$1,ROW()-4),"aaa")</f>
        <v>日</v>
      </c>
      <c r="P34" s="13"/>
      <c r="Q34" s="14"/>
      <c r="R34" s="15"/>
      <c r="S34" s="15"/>
      <c r="T34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4" s="16" t="str">
        <f>IFERROR(($O$3*梅田キャンプ3500[[#This Row],[人数]])-梅田キャンプ3500[[#This Row],[単価合計]]-(梅田キャンプ3500[[#This Row],[キャンセル人数]]*$B$2),"")</f>
        <v/>
      </c>
      <c r="V34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4" s="70"/>
      <c r="X34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5" spans="1:24">
      <c r="A35" s="101">
        <f t="shared" si="0"/>
        <v>44865</v>
      </c>
      <c r="B35" s="105" t="str">
        <f>TEXT(DATE(名前リスト!$N$1,名前リスト!$O$1,ROW()-4),"aaa")</f>
        <v>月</v>
      </c>
      <c r="C35" s="17"/>
      <c r="D35" s="18"/>
      <c r="E35" s="19"/>
      <c r="F35" s="19"/>
      <c r="G35" s="16" t="str">
        <f>IF(梅田キャンプ4000[[#This Row],[人数]]="","",IF(梅田キャンプ4000[[#This Row],[人数]]&lt;=7,$B$1*梅田キャンプ4000[[#This Row],[人数]],$B$1*梅田キャンプ4000[[#This Row],[人数]]-梅田キャンプ4000[[#This Row],[幹事無料]]))</f>
        <v/>
      </c>
      <c r="H35" s="16" t="str">
        <f>IFERROR(($B$3*梅田キャンプ4000[[#This Row],[人数]])-梅田キャンプ4000[[#This Row],[単価合計]]-(梅田キャンプ4000[[#This Row],[キャンセル人数]]*$B$2),"")</f>
        <v/>
      </c>
      <c r="I35" s="16" t="str">
        <f>IF(梅田キャンプ4000[[#This Row],[人数]]=0,"",IF(AND((NOT(梅田キャンプ4000[[#This Row],[曜日]]="金")),(NOT(梅田キャンプ4000[[#This Row],[曜日]]="土"))),IF(梅田キャンプ4000[[#This Row],[人数]]&lt;=7,"",IF(梅田キャンプ4000[[#This Row],[人数]]&lt;=15,$B$1,IF(梅田キャンプ4000[[#This Row],[人数]]&lt;=23,$B$1*2,IF(梅田キャンプ4000[[#This Row],[人数]]&lt;=31,$B$1*3,IF(梅田キャンプ4000[[#This Row],[人数]]&lt;=39,$B$1*4,""))))),0))</f>
        <v/>
      </c>
      <c r="J35" s="70"/>
      <c r="K35" s="16" t="str">
        <f>IF(梅田キャンプ4000[[#This Row],[人数]]="","",VLOOKUP(梅田キャンプ4000[[#This Row],[人数]],バック金額①[#All],2,TRUE)-(梅田キャンプ4000[[#This Row],[キャンセル人数]]*$B$2))</f>
        <v/>
      </c>
      <c r="L35" s="95"/>
      <c r="N35" s="101">
        <f t="shared" si="1"/>
        <v>44865</v>
      </c>
      <c r="O35" s="105" t="str">
        <f>TEXT(DATE(名前リスト!$N$1,名前リスト!$O$1,ROW()-4),"aaa")</f>
        <v>月</v>
      </c>
      <c r="P35" s="17"/>
      <c r="Q35" s="18"/>
      <c r="R35" s="19"/>
      <c r="S35" s="19"/>
      <c r="T35" s="16" t="str">
        <f>IF(梅田キャンプ3500[[#This Row],[人数]]="","",IF(梅田キャンプ3500[[#This Row],[人数]]&lt;=7,$B$1*梅田キャンプ3500[[#This Row],[人数]],$B$1*梅田キャンプ3500[[#This Row],[人数]]-梅田キャンプ3500[[#This Row],[幹事無料]]))</f>
        <v/>
      </c>
      <c r="U35" s="16" t="str">
        <f>IFERROR(($O$3*梅田キャンプ3500[[#This Row],[人数]])-梅田キャンプ3500[[#This Row],[単価合計]]-(梅田キャンプ3500[[#This Row],[キャンセル人数]]*$B$2),"")</f>
        <v/>
      </c>
      <c r="V35" s="16" t="str">
        <f>IF(梅田キャンプ3500[[#This Row],[人数]]=0,"",IF(AND((NOT(梅田キャンプ3500[[#This Row],[曜日]]="金")),(NOT(梅田キャンプ3500[[#This Row],[曜日]]="土"))),IF(梅田キャンプ3500[[#This Row],[人数]]&lt;=7,"",IF(梅田キャンプ3500[[#This Row],[人数]]&lt;=15,$B$1,IF(梅田キャンプ3500[[#This Row],[人数]]&lt;=23,$B$1*2,IF(梅田キャンプ3500[[#This Row],[人数]]&lt;=31,$B$1*3,IF(梅田キャンプ3500[[#This Row],[人数]]&lt;=39,$B$1*4,""))))),0))</f>
        <v/>
      </c>
      <c r="W35" s="70"/>
      <c r="X35" s="16" t="str">
        <f>IF(梅田キャンプ3500[[#This Row],[人数]]="","",VLOOKUP(梅田キャンプ3500[[#This Row],[人数]],バック金額①[#All],2,TRUE)-(梅田キャンプ3500[[#This Row],[キャンセル人数]]*$B$2)-($O$2*梅田キャンプ3500[[#This Row],[人数]]))</f>
        <v/>
      </c>
    </row>
    <row r="36" spans="1:24">
      <c r="A36" s="6" t="s">
        <v>211</v>
      </c>
      <c r="B36" s="102"/>
      <c r="C36" s="16">
        <f>SUM(梅田キャンプ4000[件数])</f>
        <v>0</v>
      </c>
      <c r="D36" s="6"/>
      <c r="E36" s="16">
        <f>SUM(梅田キャンプ4000[人数])</f>
        <v>0</v>
      </c>
      <c r="F36" s="16"/>
      <c r="G36" s="16">
        <f>SUM(梅田キャンプ4000[単価合計])</f>
        <v>0</v>
      </c>
      <c r="H36" s="16">
        <f>SUM(梅田キャンプ4000[ゆうき取りに行く])</f>
        <v>0</v>
      </c>
      <c r="I36" s="16"/>
      <c r="J36" s="16"/>
      <c r="K36" s="16">
        <f>SUM(梅田キャンプ4000[イベンターへ])</f>
        <v>0</v>
      </c>
      <c r="L36" s="95"/>
      <c r="N36" s="69" t="s">
        <v>323</v>
      </c>
      <c r="O36" s="103"/>
      <c r="P36" s="16">
        <f>SUM(梅田キャンプ3500[件数])</f>
        <v>0</v>
      </c>
      <c r="Q36" s="6"/>
      <c r="R36" s="16">
        <f>SUM(梅田キャンプ3500[人数])</f>
        <v>0</v>
      </c>
      <c r="S36" s="16"/>
      <c r="T36" s="16">
        <f>SUM(梅田キャンプ3500[単価合計])</f>
        <v>0</v>
      </c>
      <c r="U36" s="16">
        <f>SUM(梅田キャンプ3500[ゆうき取りに行く])</f>
        <v>0</v>
      </c>
      <c r="V36" s="16"/>
      <c r="W36" s="16"/>
      <c r="X36" s="16">
        <f>SUM(梅田キャンプ3500[イベンターへ])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33E1D-DED8-4D91-9993-79EC500EC546}">
  <sheetPr codeName="Sheet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3" style="8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8867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I1" s="46" t="s">
        <v>240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374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62" t="s">
        <v>377</v>
      </c>
      <c r="I4" s="62" t="s">
        <v>378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78" t="s">
        <v>375</v>
      </c>
      <c r="Q4" s="62" t="s">
        <v>373</v>
      </c>
      <c r="R4" s="51" t="s">
        <v>209</v>
      </c>
      <c r="S4" s="62" t="s">
        <v>377</v>
      </c>
      <c r="T4" s="62" t="s">
        <v>378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5" s="16" t="str">
        <f>IFERROR(($B$3*梅田パンプキン4000[[#This Row],[人数]])-梅田パンプキン4000[[#This Row],[単価合計]]-(梅田パンプキン4000[[#This Row],[キャンセル人数]]*$B$2),"")</f>
        <v/>
      </c>
      <c r="H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5" s="70"/>
      <c r="J5" s="16" t="str">
        <f>IF(梅田パンプキン4000[[#This Row],[人数]]="","",VLOOKUP(梅田パンプキン4000[[#This Row],[人数]],バック金額①[#All],2,TRUE))</f>
        <v/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5" s="16" t="str">
        <f>IFERROR(($M$3*梅田パンプキン3500[[#This Row],[人数]])-梅田パンプキン3500[[#This Row],[単価合計]]-(梅田パンプキン3500[[#This Row],[キャンセル人数]]*$B$2),"")</f>
        <v/>
      </c>
      <c r="S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5" s="70"/>
      <c r="U5" s="16" t="str">
        <f>IF(梅田パンプキン3500[[#This Row],[人数]]="","",VLOOKUP(梅田パンプキン3500[[#This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6" s="16" t="str">
        <f>IFERROR(($B$3*梅田パンプキン4000[[#This Row],[人数]])-梅田パンプキン4000[[#This Row],[単価合計]]-(梅田パンプキン4000[[#This Row],[キャンセル人数]]*$B$2),"")</f>
        <v/>
      </c>
      <c r="H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6" s="70"/>
      <c r="J6" s="16" t="str">
        <f>IF(梅田パンプキン4000[[#This Row],[人数]]="","",VLOOKUP(梅田パンプキン4000[[#This Row],[人数]],バック金額①[#All],2,TRUE))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6" s="16" t="str">
        <f>IFERROR(($M$3*梅田パンプキン3500[[#This Row],[人数]])-梅田パンプキン3500[[#This Row],[単価合計]]-(梅田パンプキン3500[[#This Row],[キャンセル人数]]*$B$2),"")</f>
        <v/>
      </c>
      <c r="S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6" s="70"/>
      <c r="U6" s="16" t="str">
        <f>IF(梅田パンプキン3500[[#This Row],[人数]]="","",VLOOKUP(梅田パンプキン3500[[#This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7" s="16" t="str">
        <f>IFERROR(($B$3*梅田パンプキン4000[[#This Row],[人数]])-梅田パンプキン4000[[#This Row],[単価合計]]-(梅田パンプキン4000[[#This Row],[キャンセル人数]]*$B$2),"")</f>
        <v/>
      </c>
      <c r="H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7" s="70"/>
      <c r="J7" s="16" t="str">
        <f>IF(梅田パンプキン4000[[#This Row],[人数]]="","",VLOOKUP(梅田パンプキン4000[[#This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7" s="16" t="str">
        <f>IFERROR(($M$3*梅田パンプキン3500[[#This Row],[人数]])-梅田パンプキン3500[[#This Row],[単価合計]]-(梅田パンプキン3500[[#This Row],[キャンセル人数]]*$B$2),"")</f>
        <v/>
      </c>
      <c r="S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7" s="70"/>
      <c r="U7" s="16" t="str">
        <f>IF(梅田パンプキン3500[[#This Row],[人数]]="","",VLOOKUP(梅田パンプキン3500[[#This Row],[人数]],バック金額①[#All],2,TRUE))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8" s="16" t="str">
        <f>IFERROR(($B$3*梅田パンプキン4000[[#This Row],[人数]])-梅田パンプキン4000[[#This Row],[単価合計]]-(梅田パンプキン4000[[#This Row],[キャンセル人数]]*$B$2),"")</f>
        <v/>
      </c>
      <c r="H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8" s="70"/>
      <c r="J8" s="16" t="str">
        <f>IF(梅田パンプキン4000[[#This Row],[人数]]="","",VLOOKUP(梅田パンプキン4000[[#This Row],[人数]],バック金額①[#All],2,TRUE))</f>
        <v/>
      </c>
      <c r="L8" s="63">
        <f t="shared" si="1"/>
        <v>44838</v>
      </c>
      <c r="M8" s="13"/>
      <c r="N8" s="14"/>
      <c r="O8" s="15"/>
      <c r="P8" s="15"/>
      <c r="Q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8" s="16" t="str">
        <f>IFERROR(($M$3*梅田パンプキン3500[[#This Row],[人数]])-梅田パンプキン3500[[#This Row],[単価合計]]-(梅田パンプキン3500[[#This Row],[キャンセル人数]]*$B$2),"")</f>
        <v/>
      </c>
      <c r="S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8" s="70"/>
      <c r="U8" s="16" t="str">
        <f>IF(梅田パンプキン3500[[#This Row],[人数]]="","",VLOOKUP(梅田パンプキン3500[[#This Row],[人数]],バック金額①[#All],2,TRUE))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9" s="16" t="str">
        <f>IFERROR(($B$3*梅田パンプキン4000[[#This Row],[人数]])-梅田パンプキン4000[[#This Row],[単価合計]]-(梅田パンプキン4000[[#This Row],[キャンセル人数]]*$B$2),"")</f>
        <v/>
      </c>
      <c r="H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9" s="70"/>
      <c r="J9" s="16" t="str">
        <f>IF(梅田パンプキン4000[[#This Row],[人数]]="","",VLOOKUP(梅田パンプキン4000[[#This Row],[人数]],バック金額①[#All],2,TRUE))</f>
        <v/>
      </c>
      <c r="L9" s="63">
        <f t="shared" si="1"/>
        <v>44839</v>
      </c>
      <c r="M9" s="13"/>
      <c r="N9" s="14"/>
      <c r="O9" s="15"/>
      <c r="P9" s="15"/>
      <c r="Q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9" s="16" t="str">
        <f>IFERROR(($M$3*梅田パンプキン3500[[#This Row],[人数]])-梅田パンプキン3500[[#This Row],[単価合計]]-(梅田パンプキン3500[[#This Row],[キャンセル人数]]*$B$2),"")</f>
        <v/>
      </c>
      <c r="S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9" s="70"/>
      <c r="U9" s="16" t="str">
        <f>IF(梅田パンプキン3500[[#This Row],[人数]]="","",VLOOKUP(梅田パンプキン3500[[#This Row],[人数]],バック金額①[#All],2,TRUE))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0" s="16" t="str">
        <f>IFERROR(($B$3*梅田パンプキン4000[[#This Row],[人数]])-梅田パンプキン4000[[#This Row],[単価合計]]-(梅田パンプキン4000[[#This Row],[キャンセル人数]]*$B$2),"")</f>
        <v/>
      </c>
      <c r="H1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0" s="70"/>
      <c r="J10" s="16" t="str">
        <f>IF(梅田パンプキン4000[[#This Row],[人数]]="","",VLOOKUP(梅田パンプキン4000[[#This Row],[人数]],バック金額①[#All],2,TRUE))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0" s="16" t="str">
        <f>IFERROR(($M$3*梅田パンプキン3500[[#This Row],[人数]])-梅田パンプキン3500[[#This Row],[単価合計]]-(梅田パンプキン3500[[#This Row],[キャンセル人数]]*$B$2),"")</f>
        <v/>
      </c>
      <c r="S1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0" s="70"/>
      <c r="U10" s="16" t="str">
        <f>IF(梅田パンプキン3500[[#This Row],[人数]]="","",VLOOKUP(梅田パンプキン3500[[#This Row],[人数]],バック金額①[#All],2,TRUE))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1" s="16" t="str">
        <f>IFERROR(($B$3*梅田パンプキン4000[[#This Row],[人数]])-梅田パンプキン4000[[#This Row],[単価合計]]-(梅田パンプキン4000[[#This Row],[キャンセル人数]]*$B$2),"")</f>
        <v/>
      </c>
      <c r="H1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1" s="70"/>
      <c r="J11" s="16" t="str">
        <f>IF(梅田パンプキン4000[[#This Row],[人数]]="","",VLOOKUP(梅田パンプキン4000[[#This Row],[人数]],バック金額①[#All],2,TRUE))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1" s="16" t="str">
        <f>IFERROR(($M$3*梅田パンプキン3500[[#This Row],[人数]])-梅田パンプキン3500[[#This Row],[単価合計]]-(梅田パンプキン3500[[#This Row],[キャンセル人数]]*$B$2),"")</f>
        <v/>
      </c>
      <c r="S1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1" s="70"/>
      <c r="U11" s="16" t="str">
        <f>IF(梅田パンプキン3500[[#This Row],[人数]]="","",VLOOKUP(梅田パンプキン3500[[#This Row],[人数]],バック金額①[#All],2,TRUE))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2" s="16" t="str">
        <f>IFERROR(($B$3*梅田パンプキン4000[[#This Row],[人数]])-梅田パンプキン4000[[#This Row],[単価合計]]-(梅田パンプキン4000[[#This Row],[キャンセル人数]]*$B$2),"")</f>
        <v/>
      </c>
      <c r="H1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2" s="70"/>
      <c r="J12" s="16" t="str">
        <f>IF(梅田パンプキン4000[[#This Row],[人数]]="","",VLOOKUP(梅田パンプキン4000[[#This Row],[人数]],バック金額①[#All],2,TRUE))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2" s="16" t="str">
        <f>IFERROR(($M$3*梅田パンプキン3500[[#This Row],[人数]])-梅田パンプキン3500[[#This Row],[単価合計]]-(梅田パンプキン3500[[#This Row],[キャンセル人数]]*$B$2),"")</f>
        <v/>
      </c>
      <c r="S1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2" s="70"/>
      <c r="U12" s="16" t="str">
        <f>IF(梅田パンプキン3500[[#This Row],[人数]]="","",VLOOKUP(梅田パンプキン3500[[#This Row],[人数]],バック金額①[#All],2,TRUE))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3" s="16" t="str">
        <f>IFERROR(($B$3*梅田パンプキン4000[[#This Row],[人数]])-梅田パンプキン4000[[#This Row],[単価合計]]-(梅田パンプキン4000[[#This Row],[キャンセル人数]]*$B$2),"")</f>
        <v/>
      </c>
      <c r="H1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3" s="70"/>
      <c r="J13" s="16" t="str">
        <f>IF(梅田パンプキン4000[[#This Row],[人数]]="","",VLOOKUP(梅田パンプキン4000[[#This Row],[人数]],バック金額①[#All],2,TRUE))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3" s="16" t="str">
        <f>IFERROR(($M$3*梅田パンプキン3500[[#This Row],[人数]])-梅田パンプキン3500[[#This Row],[単価合計]]-(梅田パンプキン3500[[#This Row],[キャンセル人数]]*$B$2),"")</f>
        <v/>
      </c>
      <c r="S1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3" s="70"/>
      <c r="U13" s="16" t="str">
        <f>IF(梅田パンプキン3500[[#This Row],[人数]]="","",VLOOKUP(梅田パンプキン3500[[#This Row],[人数]],バック金額①[#All],2,TRUE))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4" s="16" t="str">
        <f>IFERROR(($B$3*梅田パンプキン4000[[#This Row],[人数]])-梅田パンプキン4000[[#This Row],[単価合計]]-(梅田パンプキン4000[[#This Row],[キャンセル人数]]*$B$2),"")</f>
        <v/>
      </c>
      <c r="H1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4" s="70"/>
      <c r="J14" s="16" t="str">
        <f>IF(梅田パンプキン4000[[#This Row],[人数]]="","",VLOOKUP(梅田パンプキン4000[[#This Row],[人数]],バック金額①[#All],2,TRUE))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4" s="16" t="str">
        <f>IFERROR(($M$3*梅田パンプキン3500[[#This Row],[人数]])-梅田パンプキン3500[[#This Row],[単価合計]]-(梅田パンプキン3500[[#This Row],[キャンセル人数]]*$B$2),"")</f>
        <v/>
      </c>
      <c r="S1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4" s="70"/>
      <c r="U14" s="16" t="str">
        <f>IF(梅田パンプキン3500[[#This Row],[人数]]="","",VLOOKUP(梅田パンプキン3500[[#This Row],[人数]],バック金額①[#All],2,TRUE))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5" s="16" t="str">
        <f>IFERROR(($B$3*梅田パンプキン4000[[#This Row],[人数]])-梅田パンプキン4000[[#This Row],[単価合計]]-(梅田パンプキン4000[[#This Row],[キャンセル人数]]*$B$2),"")</f>
        <v/>
      </c>
      <c r="H1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5" s="70"/>
      <c r="J15" s="16" t="str">
        <f>IF(梅田パンプキン4000[[#This Row],[人数]]="","",VLOOKUP(梅田パンプキン4000[[#This Row],[人数]],バック金額①[#All],2,TRUE))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5" s="16" t="str">
        <f>IFERROR(($M$3*梅田パンプキン3500[[#This Row],[人数]])-梅田パンプキン3500[[#This Row],[単価合計]]-(梅田パンプキン3500[[#This Row],[キャンセル人数]]*$B$2),"")</f>
        <v/>
      </c>
      <c r="S1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5" s="70"/>
      <c r="U15" s="16" t="str">
        <f>IF(梅田パンプキン3500[[#This Row],[人数]]="","",VLOOKUP(梅田パンプキン3500[[#This Row],[人数]],バック金額①[#All],2,TRUE))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6" s="16" t="str">
        <f>IFERROR(($B$3*梅田パンプキン4000[[#This Row],[人数]])-梅田パンプキン4000[[#This Row],[単価合計]]-(梅田パンプキン4000[[#This Row],[キャンセル人数]]*$B$2),"")</f>
        <v/>
      </c>
      <c r="H1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6" s="70"/>
      <c r="J16" s="16" t="str">
        <f>IF(梅田パンプキン4000[[#This Row],[人数]]="","",VLOOKUP(梅田パンプキン4000[[#This Row],[人数]],バック金額①[#All],2,TRUE))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6" s="16" t="str">
        <f>IFERROR(($M$3*梅田パンプキン3500[[#This Row],[人数]])-梅田パンプキン3500[[#This Row],[単価合計]]-(梅田パンプキン3500[[#This Row],[キャンセル人数]]*$B$2),"")</f>
        <v/>
      </c>
      <c r="S1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6" s="70"/>
      <c r="U16" s="16" t="str">
        <f>IF(梅田パンプキン3500[[#This Row],[人数]]="","",VLOOKUP(梅田パンプキン3500[[#This Row],[人数]],バック金額①[#All],2,TRUE))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7" s="16" t="str">
        <f>IFERROR(($B$3*梅田パンプキン4000[[#This Row],[人数]])-梅田パンプキン4000[[#This Row],[単価合計]]-(梅田パンプキン4000[[#This Row],[キャンセル人数]]*$B$2),"")</f>
        <v/>
      </c>
      <c r="H1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7" s="70"/>
      <c r="J17" s="16" t="str">
        <f>IF(梅田パンプキン4000[[#This Row],[人数]]="","",VLOOKUP(梅田パンプキン4000[[#This Row],[人数]],バック金額①[#All],2,TRUE))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7" s="16" t="str">
        <f>IFERROR(($M$3*梅田パンプキン3500[[#This Row],[人数]])-梅田パンプキン3500[[#This Row],[単価合計]]-(梅田パンプキン3500[[#This Row],[キャンセル人数]]*$B$2),"")</f>
        <v/>
      </c>
      <c r="S1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7" s="70"/>
      <c r="U17" s="16" t="str">
        <f>IF(梅田パンプキン3500[[#This Row],[人数]]="","",VLOOKUP(梅田パンプキン3500[[#This Row],[人数]],バック金額①[#All],2,TRUE))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8" s="16" t="str">
        <f>IFERROR(($B$3*梅田パンプキン4000[[#This Row],[人数]])-梅田パンプキン4000[[#This Row],[単価合計]]-(梅田パンプキン4000[[#This Row],[キャンセル人数]]*$B$2),"")</f>
        <v/>
      </c>
      <c r="H1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8" s="70"/>
      <c r="J18" s="16" t="str">
        <f>IF(梅田パンプキン4000[[#This Row],[人数]]="","",VLOOKUP(梅田パンプキン4000[[#This Row],[人数]],バック金額①[#All],2,TRUE))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8" s="16" t="str">
        <f>IFERROR(($M$3*梅田パンプキン3500[[#This Row],[人数]])-梅田パンプキン3500[[#This Row],[単価合計]]-(梅田パンプキン3500[[#This Row],[キャンセル人数]]*$B$2),"")</f>
        <v/>
      </c>
      <c r="S1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8" s="70"/>
      <c r="U18" s="16" t="str">
        <f>IF(梅田パンプキン3500[[#This Row],[人数]]="","",VLOOKUP(梅田パンプキン3500[[#This Row],[人数]],バック金額①[#All],2,TRUE))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19" s="16" t="str">
        <f>IFERROR(($B$3*梅田パンプキン4000[[#This Row],[人数]])-梅田パンプキン4000[[#This Row],[単価合計]]-(梅田パンプキン4000[[#This Row],[キャンセル人数]]*$B$2),"")</f>
        <v/>
      </c>
      <c r="H1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19" s="70"/>
      <c r="J19" s="16" t="str">
        <f>IF(梅田パンプキン4000[[#This Row],[人数]]="","",VLOOKUP(梅田パンプキン4000[[#This Row],[人数]],バック金額①[#All],2,TRUE))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19" s="16" t="str">
        <f>IFERROR(($M$3*梅田パンプキン3500[[#This Row],[人数]])-梅田パンプキン3500[[#This Row],[単価合計]]-(梅田パンプキン3500[[#This Row],[キャンセル人数]]*$B$2),"")</f>
        <v/>
      </c>
      <c r="S1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19" s="70"/>
      <c r="U19" s="16" t="str">
        <f>IF(梅田パンプキン3500[[#This Row],[人数]]="","",VLOOKUP(梅田パンプキン3500[[#This Row],[人数]],バック金額①[#All],2,TRUE))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0" s="16" t="str">
        <f>IFERROR(($B$3*梅田パンプキン4000[[#This Row],[人数]])-梅田パンプキン4000[[#This Row],[単価合計]]-(梅田パンプキン4000[[#This Row],[キャンセル人数]]*$B$2),"")</f>
        <v/>
      </c>
      <c r="H2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0" s="70"/>
      <c r="J20" s="16" t="str">
        <f>IF(梅田パンプキン4000[[#This Row],[人数]]="","",VLOOKUP(梅田パンプキン4000[[#This Row],[人数]],バック金額①[#All],2,TRUE))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0" s="16" t="str">
        <f>IFERROR(($M$3*梅田パンプキン3500[[#This Row],[人数]])-梅田パンプキン3500[[#This Row],[単価合計]]-(梅田パンプキン3500[[#This Row],[キャンセル人数]]*$B$2),"")</f>
        <v/>
      </c>
      <c r="S2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0" s="70"/>
      <c r="U20" s="16" t="str">
        <f>IF(梅田パンプキン3500[[#This Row],[人数]]="","",VLOOKUP(梅田パンプキン3500[[#This Row],[人数]],バック金額①[#All],2,TRUE))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1" s="16" t="str">
        <f>IFERROR(($B$3*梅田パンプキン4000[[#This Row],[人数]])-梅田パンプキン4000[[#This Row],[単価合計]]-(梅田パンプキン4000[[#This Row],[キャンセル人数]]*$B$2),"")</f>
        <v/>
      </c>
      <c r="H2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1" s="70"/>
      <c r="J21" s="16" t="str">
        <f>IF(梅田パンプキン4000[[#This Row],[人数]]="","",VLOOKUP(梅田パンプキン4000[[#This Row],[人数]],バック金額①[#All],2,TRUE))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1" s="16" t="str">
        <f>IFERROR(($M$3*梅田パンプキン3500[[#This Row],[人数]])-梅田パンプキン3500[[#This Row],[単価合計]]-(梅田パンプキン3500[[#This Row],[キャンセル人数]]*$B$2),"")</f>
        <v/>
      </c>
      <c r="S2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1" s="70"/>
      <c r="U21" s="16" t="str">
        <f>IF(梅田パンプキン3500[[#This Row],[人数]]="","",VLOOKUP(梅田パンプキン3500[[#This Row],[人数]],バック金額①[#All],2,TRUE))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2" s="16" t="str">
        <f>IFERROR(($B$3*梅田パンプキン4000[[#This Row],[人数]])-梅田パンプキン4000[[#This Row],[単価合計]]-(梅田パンプキン4000[[#This Row],[キャンセル人数]]*$B$2),"")</f>
        <v/>
      </c>
      <c r="H2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2" s="70"/>
      <c r="J22" s="16" t="str">
        <f>IF(梅田パンプキン4000[[#This Row],[人数]]="","",VLOOKUP(梅田パンプキン4000[[#This Row],[人数]],バック金額①[#All],2,TRUE))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2" s="16" t="str">
        <f>IFERROR(($M$3*梅田パンプキン3500[[#This Row],[人数]])-梅田パンプキン3500[[#This Row],[単価合計]]-(梅田パンプキン3500[[#This Row],[キャンセル人数]]*$B$2),"")</f>
        <v/>
      </c>
      <c r="S2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2" s="70"/>
      <c r="U22" s="16" t="str">
        <f>IF(梅田パンプキン3500[[#This Row],[人数]]="","",VLOOKUP(梅田パンプキン3500[[#This Row],[人数]],バック金額①[#All],2,TRUE))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3" s="16" t="str">
        <f>IFERROR(($B$3*梅田パンプキン4000[[#This Row],[人数]])-梅田パンプキン4000[[#This Row],[単価合計]]-(梅田パンプキン4000[[#This Row],[キャンセル人数]]*$B$2),"")</f>
        <v/>
      </c>
      <c r="H2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3" s="70"/>
      <c r="J23" s="16" t="str">
        <f>IF(梅田パンプキン4000[[#This Row],[人数]]="","",VLOOKUP(梅田パンプキン4000[[#This Row],[人数]],バック金額①[#All],2,TRUE))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3" s="16" t="str">
        <f>IFERROR(($M$3*梅田パンプキン3500[[#This Row],[人数]])-梅田パンプキン3500[[#This Row],[単価合計]]-(梅田パンプキン3500[[#This Row],[キャンセル人数]]*$B$2),"")</f>
        <v/>
      </c>
      <c r="S2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3" s="70"/>
      <c r="U23" s="16" t="str">
        <f>IF(梅田パンプキン3500[[#This Row],[人数]]="","",VLOOKUP(梅田パンプキン3500[[#This Row],[人数]],バック金額①[#All],2,TRUE))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4" s="16" t="str">
        <f>IFERROR(($B$3*梅田パンプキン4000[[#This Row],[人数]])-梅田パンプキン4000[[#This Row],[単価合計]]-(梅田パンプキン4000[[#This Row],[キャンセル人数]]*$B$2),"")</f>
        <v/>
      </c>
      <c r="H2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4" s="70"/>
      <c r="J24" s="16" t="str">
        <f>IF(梅田パンプキン4000[[#This Row],[人数]]="","",VLOOKUP(梅田パンプキン4000[[#This Row],[人数]],バック金額①[#All],2,TRUE))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4" s="16" t="str">
        <f>IFERROR(($M$3*梅田パンプキン3500[[#This Row],[人数]])-梅田パンプキン3500[[#This Row],[単価合計]]-(梅田パンプキン3500[[#This Row],[キャンセル人数]]*$B$2),"")</f>
        <v/>
      </c>
      <c r="S2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4" s="70"/>
      <c r="U24" s="16" t="str">
        <f>IF(梅田パンプキン3500[[#This Row],[人数]]="","",VLOOKUP(梅田パンプキン3500[[#This Row],[人数]],バック金額①[#All],2,TRUE))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5" s="16" t="str">
        <f>IFERROR(($B$3*梅田パンプキン4000[[#This Row],[人数]])-梅田パンプキン4000[[#This Row],[単価合計]]-(梅田パンプキン4000[[#This Row],[キャンセル人数]]*$B$2),"")</f>
        <v/>
      </c>
      <c r="H2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5" s="70"/>
      <c r="J25" s="16" t="str">
        <f>IF(梅田パンプキン4000[[#This Row],[人数]]="","",VLOOKUP(梅田パンプキン4000[[#This Row],[人数]],バック金額①[#All],2,TRUE))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5" s="16" t="str">
        <f>IFERROR(($M$3*梅田パンプキン3500[[#This Row],[人数]])-梅田パンプキン3500[[#This Row],[単価合計]]-(梅田パンプキン3500[[#This Row],[キャンセル人数]]*$B$2),"")</f>
        <v/>
      </c>
      <c r="S2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5" s="70"/>
      <c r="U25" s="16" t="str">
        <f>IF(梅田パンプキン3500[[#This Row],[人数]]="","",VLOOKUP(梅田パンプキン3500[[#This Row],[人数]],バック金額①[#All],2,TRUE))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6" s="16" t="str">
        <f>IFERROR(($B$3*梅田パンプキン4000[[#This Row],[人数]])-梅田パンプキン4000[[#This Row],[単価合計]]-(梅田パンプキン4000[[#This Row],[キャンセル人数]]*$B$2),"")</f>
        <v/>
      </c>
      <c r="H26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6" s="70"/>
      <c r="J26" s="16" t="str">
        <f>IF(梅田パンプキン4000[[#This Row],[人数]]="","",VLOOKUP(梅田パンプキン4000[[#This Row],[人数]],バック金額①[#All],2,TRUE))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6" s="16" t="str">
        <f>IFERROR(($M$3*梅田パンプキン3500[[#This Row],[人数]])-梅田パンプキン3500[[#This Row],[単価合計]]-(梅田パンプキン3500[[#This Row],[キャンセル人数]]*$B$2),"")</f>
        <v/>
      </c>
      <c r="S26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6" s="70"/>
      <c r="U26" s="16" t="str">
        <f>IF(梅田パンプキン3500[[#This Row],[人数]]="","",VLOOKUP(梅田パンプキン3500[[#This Row],[人数]],バック金額①[#All],2,TRUE))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7" s="16" t="str">
        <f>IFERROR(($B$3*梅田パンプキン4000[[#This Row],[人数]])-梅田パンプキン4000[[#This Row],[単価合計]]-(梅田パンプキン4000[[#This Row],[キャンセル人数]]*$B$2),"")</f>
        <v/>
      </c>
      <c r="H27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7" s="70"/>
      <c r="J27" s="16" t="str">
        <f>IF(梅田パンプキン4000[[#This Row],[人数]]="","",VLOOKUP(梅田パンプキン4000[[#This Row],[人数]],バック金額①[#All],2,TRUE))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7" s="16" t="str">
        <f>IFERROR(($M$3*梅田パンプキン3500[[#This Row],[人数]])-梅田パンプキン3500[[#This Row],[単価合計]]-(梅田パンプキン3500[[#This Row],[キャンセル人数]]*$B$2),"")</f>
        <v/>
      </c>
      <c r="S27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7" s="70"/>
      <c r="U27" s="16" t="str">
        <f>IF(梅田パンプキン3500[[#This Row],[人数]]="","",VLOOKUP(梅田パンプキン3500[[#This Row],[人数]],バック金額①[#All],2,TRUE))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8" s="16" t="str">
        <f>IFERROR(($B$3*梅田パンプキン4000[[#This Row],[人数]])-梅田パンプキン4000[[#This Row],[単価合計]]-(梅田パンプキン4000[[#This Row],[キャンセル人数]]*$B$2),"")</f>
        <v/>
      </c>
      <c r="H28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8" s="70"/>
      <c r="J28" s="16" t="str">
        <f>IF(梅田パンプキン4000[[#This Row],[人数]]="","",VLOOKUP(梅田パンプキン4000[[#This Row],[人数]],バック金額①[#All],2,TRUE))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8" s="16" t="str">
        <f>IFERROR(($M$3*梅田パンプキン3500[[#This Row],[人数]])-梅田パンプキン3500[[#This Row],[単価合計]]-(梅田パンプキン3500[[#This Row],[キャンセル人数]]*$B$2),"")</f>
        <v/>
      </c>
      <c r="S28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8" s="70"/>
      <c r="U28" s="16" t="str">
        <f>IF(梅田パンプキン3500[[#This Row],[人数]]="","",VLOOKUP(梅田パンプキン3500[[#This Row],[人数]],バック金額①[#All],2,TRUE))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29" s="16" t="str">
        <f>IFERROR(($B$3*梅田パンプキン4000[[#This Row],[人数]])-梅田パンプキン4000[[#This Row],[単価合計]]-(梅田パンプキン4000[[#This Row],[キャンセル人数]]*$B$2),"")</f>
        <v/>
      </c>
      <c r="H29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29" s="70"/>
      <c r="J29" s="16" t="str">
        <f>IF(梅田パンプキン4000[[#This Row],[人数]]="","",VLOOKUP(梅田パンプキン4000[[#This Row],[人数]],バック金額①[#All],2,TRUE))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29" s="16" t="str">
        <f>IFERROR(($M$3*梅田パンプキン3500[[#This Row],[人数]])-梅田パンプキン3500[[#This Row],[単価合計]]-(梅田パンプキン3500[[#This Row],[キャンセル人数]]*$B$2),"")</f>
        <v/>
      </c>
      <c r="S29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29" s="70"/>
      <c r="U29" s="16" t="str">
        <f>IF(梅田パンプキン3500[[#This Row],[人数]]="","",VLOOKUP(梅田パンプキン3500[[#This Row],[人数]],バック金額①[#All],2,TRUE))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0" s="16" t="str">
        <f>IFERROR(($B$3*梅田パンプキン4000[[#This Row],[人数]])-梅田パンプキン4000[[#This Row],[単価合計]]-(梅田パンプキン4000[[#This Row],[キャンセル人数]]*$B$2),"")</f>
        <v/>
      </c>
      <c r="H30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0" s="70"/>
      <c r="J30" s="16" t="str">
        <f>IF(梅田パンプキン4000[[#This Row],[人数]]="","",VLOOKUP(梅田パンプキン4000[[#This Row],[人数]],バック金額①[#All],2,TRUE))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0" s="16" t="str">
        <f>IFERROR(($M$3*梅田パンプキン3500[[#This Row],[人数]])-梅田パンプキン3500[[#This Row],[単価合計]]-(梅田パンプキン3500[[#This Row],[キャンセル人数]]*$B$2),"")</f>
        <v/>
      </c>
      <c r="S30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0" s="70"/>
      <c r="U30" s="16" t="str">
        <f>IF(梅田パンプキン3500[[#This Row],[人数]]="","",VLOOKUP(梅田パンプキン3500[[#This Row],[人数]],バック金額①[#All],2,TRUE))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1" s="16" t="str">
        <f>IFERROR(($B$3*梅田パンプキン4000[[#This Row],[人数]])-梅田パンプキン4000[[#This Row],[単価合計]]-(梅田パンプキン4000[[#This Row],[キャンセル人数]]*$B$2),"")</f>
        <v/>
      </c>
      <c r="H31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1" s="70"/>
      <c r="J31" s="16" t="str">
        <f>IF(梅田パンプキン4000[[#This Row],[人数]]="","",VLOOKUP(梅田パンプキン4000[[#This Row],[人数]],バック金額①[#All],2,TRUE))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1" s="16" t="str">
        <f>IFERROR(($M$3*梅田パンプキン3500[[#This Row],[人数]])-梅田パンプキン3500[[#This Row],[単価合計]]-(梅田パンプキン3500[[#This Row],[キャンセル人数]]*$B$2),"")</f>
        <v/>
      </c>
      <c r="S31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1" s="70"/>
      <c r="U31" s="16" t="str">
        <f>IF(梅田パンプキン3500[[#This Row],[人数]]="","",VLOOKUP(梅田パンプキン3500[[#This Row],[人数]],バック金額①[#All],2,TRUE))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2" s="16" t="str">
        <f>IFERROR(($B$3*梅田パンプキン4000[[#This Row],[人数]])-梅田パンプキン4000[[#This Row],[単価合計]]-(梅田パンプキン4000[[#This Row],[キャンセル人数]]*$B$2),"")</f>
        <v/>
      </c>
      <c r="H32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2" s="70"/>
      <c r="J32" s="16" t="str">
        <f>IF(梅田パンプキン4000[[#This Row],[人数]]="","",VLOOKUP(梅田パンプキン4000[[#This Row],[人数]],バック金額①[#All],2,TRUE))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2" s="16" t="str">
        <f>IFERROR(($M$3*梅田パンプキン3500[[#This Row],[人数]])-梅田パンプキン3500[[#This Row],[単価合計]]-(梅田パンプキン3500[[#This Row],[キャンセル人数]]*$B$2),"")</f>
        <v/>
      </c>
      <c r="S32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2" s="70"/>
      <c r="U32" s="16" t="str">
        <f>IF(梅田パンプキン3500[[#This Row],[人数]]="","",VLOOKUP(梅田パンプキン3500[[#This Row],[人数]],バック金額①[#All],2,TRUE))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3" s="16" t="str">
        <f>IFERROR(($B$3*梅田パンプキン4000[[#This Row],[人数]])-梅田パンプキン4000[[#This Row],[単価合計]]-(梅田パンプキン4000[[#This Row],[キャンセル人数]]*$B$2),"")</f>
        <v/>
      </c>
      <c r="H33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3" s="70"/>
      <c r="J33" s="16" t="str">
        <f>IF(梅田パンプキン4000[[#This Row],[人数]]="","",VLOOKUP(梅田パンプキン4000[[#This Row],[人数]],バック金額①[#All],2,TRUE))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3" s="16" t="str">
        <f>IFERROR(($M$3*梅田パンプキン3500[[#This Row],[人数]])-梅田パンプキン3500[[#This Row],[単価合計]]-(梅田パンプキン3500[[#This Row],[キャンセル人数]]*$B$2),"")</f>
        <v/>
      </c>
      <c r="S33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3" s="70"/>
      <c r="U33" s="16" t="str">
        <f>IF(梅田パンプキン3500[[#This Row],[人数]]="","",VLOOKUP(梅田パンプキン3500[[#This Row],[人数]],バック金額①[#All],2,TRUE))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4" s="16" t="str">
        <f>IFERROR(($B$3*梅田パンプキン4000[[#This Row],[人数]])-梅田パンプキン4000[[#This Row],[単価合計]]-(梅田パンプキン4000[[#This Row],[キャンセル人数]]*$B$2),"")</f>
        <v/>
      </c>
      <c r="H34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4" s="70"/>
      <c r="J34" s="16" t="str">
        <f>IF(梅田パンプキン4000[[#This Row],[人数]]="","",VLOOKUP(梅田パンプキン4000[[#This Row],[人数]],バック金額①[#All],2,TRUE))</f>
        <v/>
      </c>
      <c r="L34" s="63">
        <f t="shared" si="1"/>
        <v>44864</v>
      </c>
      <c r="M34" s="17"/>
      <c r="N34" s="18"/>
      <c r="O34" s="19"/>
      <c r="P34" s="19"/>
      <c r="Q34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4" s="16" t="str">
        <f>IFERROR(($M$3*梅田パンプキン3500[[#This Row],[人数]])-梅田パンプキン3500[[#This Row],[単価合計]]-(梅田パンプキン3500[[#This Row],[キャンセル人数]]*$B$2),"")</f>
        <v/>
      </c>
      <c r="S34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4" s="70"/>
      <c r="U34" s="16" t="str">
        <f>IF(梅田パンプキン3500[[#This Row],[人数]]="","",VLOOKUP(梅田パンプキン3500[[#This Row],[人数]],バック金額①[#All],2,TRUE))</f>
        <v/>
      </c>
    </row>
    <row r="35" spans="1:21">
      <c r="A35" s="74">
        <f t="shared" si="0"/>
        <v>44865</v>
      </c>
      <c r="B35" s="17"/>
      <c r="C35" s="18"/>
      <c r="D35" s="19"/>
      <c r="E35" s="19"/>
      <c r="F35" s="16" t="str">
        <f>IF(梅田パンプキン4000[[#This Row],[人数]]="","",IF(梅田パンプキン4000[[#This Row],[人数]]&lt;=7,$B$1*梅田パンプキン4000[[#This Row],[人数]],$B$1*梅田パンプキン4000[[#This Row],[人数]]-梅田パンプキン4000[[#This Row],[幹事無料]]))</f>
        <v/>
      </c>
      <c r="G35" s="16" t="str">
        <f>IFERROR(($B$3*梅田パンプキン4000[[#This Row],[人数]])-梅田パンプキン4000[[#This Row],[単価合計]]-(梅田パンプキン4000[[#This Row],[キャンセル人数]]*$B$2),"")</f>
        <v/>
      </c>
      <c r="H35" s="16" t="str">
        <f>IF(梅田パンプキン4000[[#This Row],[人数]]=0,"",IF(梅田パンプキン4000[[#This Row],[人数]]&lt;=7,"",IF(梅田パンプキン4000[[#This Row],[人数]]&lt;=15,$B$1,IF(梅田パンプキン4000[[#This Row],[人数]]&lt;=23,$B$1*2,IF(梅田パンプキン4000[[#This Row],[人数]]&lt;=31,$B$1*3,IF(梅田パンプキン4000[[#This Row],[人数]]&lt;=39,$B$1*4,""))))))</f>
        <v/>
      </c>
      <c r="I35" s="97"/>
      <c r="J35" s="16" t="str">
        <f>IF(梅田パンプキン4000[[#This Row],[人数]]="","",VLOOKUP(梅田パンプキン4000[[#This Row],[人数]],バック金額①[#All],2,TRUE))</f>
        <v/>
      </c>
      <c r="L35" s="74">
        <f t="shared" si="1"/>
        <v>44865</v>
      </c>
      <c r="M35" s="17"/>
      <c r="N35" s="18"/>
      <c r="O35" s="19"/>
      <c r="P35" s="19"/>
      <c r="Q35" s="16" t="str">
        <f>IF(梅田パンプキン3500[[#This Row],[人数]]="","",IF(梅田パンプキン3500[[#This Row],[人数]]&lt;=7,$B$1*梅田パンプキン3500[[#This Row],[人数]],$B$1*梅田パンプキン3500[[#This Row],[人数]]-梅田パンプキン3500[[#This Row],[幹事無料]]))</f>
        <v/>
      </c>
      <c r="R35" s="16" t="str">
        <f>IFERROR(($M$3*梅田パンプキン3500[[#This Row],[人数]])-梅田パンプキン3500[[#This Row],[単価合計]]-(梅田パンプキン3500[[#This Row],[キャンセル人数]]*$B$2),"")</f>
        <v/>
      </c>
      <c r="S35" s="16" t="str">
        <f>IF(梅田パンプキン3500[[#This Row],[人数]]=0,"",IF(梅田パンプキン3500[[#This Row],[人数]]&lt;=7,"",IF(梅田パンプキン3500[[#This Row],[人数]]&lt;=15,$B$1,IF(梅田パンプキン3500[[#This Row],[人数]]&lt;=23,$B$1*2,IF(梅田パンプキン3500[[#This Row],[人数]]&lt;=31,$B$1*3,IF(梅田パンプキン3500[[#This Row],[人数]]&lt;=39,$B$1*4,""))))))</f>
        <v/>
      </c>
      <c r="T35" s="97"/>
      <c r="U35" s="16" t="str">
        <f>IF(梅田パンプキン3500[[#This Row],[人数]]="","",VLOOKUP(梅田パンプキン3500[[#This Row],[人数]],バック金額①[#All],2,TRUE))</f>
        <v/>
      </c>
    </row>
    <row r="36" spans="1:21">
      <c r="A36" s="69" t="s">
        <v>323</v>
      </c>
      <c r="B36" s="16">
        <f>SUM(梅田パンプキン4000[[#All],[件数]])</f>
        <v>0</v>
      </c>
      <c r="C36" s="6"/>
      <c r="D36" s="16">
        <f>SUM(梅田パンプキン4000[[#All],[人数]])</f>
        <v>0</v>
      </c>
      <c r="E36" s="16">
        <f>SUM(梅田パンプキン4000[[#All],[Aパターン]])</f>
        <v>0</v>
      </c>
      <c r="F36" s="16">
        <f>SUM(梅田パンプキン4000[[#All],[単価合計]])</f>
        <v>0</v>
      </c>
      <c r="G36" s="16">
        <f>SUM(梅田パンプキン4000[[#All],[ゆうき取りに行く]])</f>
        <v>0</v>
      </c>
      <c r="H36" s="16"/>
      <c r="I36" s="16"/>
      <c r="J36" s="16">
        <f>SUM(梅田パンプキン4000[[#All],[イベンターへ]])</f>
        <v>0</v>
      </c>
      <c r="L36" s="6" t="s">
        <v>211</v>
      </c>
      <c r="M36" s="16">
        <f>SUM(梅田パンプキン3500[[#All],[件数]])</f>
        <v>0</v>
      </c>
      <c r="N36" s="6"/>
      <c r="O36" s="16">
        <f>SUM(梅田パンプキン3500[[#All],[人数]])</f>
        <v>0</v>
      </c>
      <c r="P36" s="16">
        <f>SUM(梅田パンプキン3500[[#All],[Aパターン]])</f>
        <v>0</v>
      </c>
      <c r="Q36" s="16">
        <f>SUM(梅田パンプキン3500[[#All],[単価合計]])</f>
        <v>0</v>
      </c>
      <c r="R36" s="16">
        <f>SUM(梅田パンプキン3500[[#All],[ゆうき取りに行く]])</f>
        <v>0</v>
      </c>
      <c r="S36" s="16"/>
      <c r="T36" s="16"/>
      <c r="U36" s="16">
        <f>SUM(梅田パンプキン3500[[#All],[イベンターへ]])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555A3-7E4A-4420-ABE4-6FFCCB2C6FC3}">
  <sheetPr codeName="Sheet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5.5546875" style="8" customWidth="1"/>
    <col min="14" max="14" width="15.6640625" style="8" bestFit="1" customWidth="1"/>
    <col min="15" max="15" width="5.554687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  <c r="E1" s="46" t="s">
        <v>241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20" t="s">
        <v>206</v>
      </c>
      <c r="N4" s="6" t="s">
        <v>207</v>
      </c>
      <c r="O4" s="21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5" s="16" t="str">
        <f>IFERROR(($B$3*堀江あいあい4000[[#This Row],[人数]])-堀江あいあい4000[[#This Row],[単価合計]]-(堀江あいあい4000[[#This Row],[キャンセル人数]]*$B$2),"")</f>
        <v/>
      </c>
      <c r="H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5" s="70"/>
      <c r="J5" s="16" t="str">
        <f>IF(堀江あいあい4000[[#This Row],[人数]]="","",VLOOKUP(堀江あいあい4000[[#This Row],[人数]],バック金額①[#All],2,TRUE))</f>
        <v/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5" s="16" t="str">
        <f>IFERROR(($M$3*堀江あいあい3500[[#This Row],[人数]])-堀江あいあい3500[[#This Row],[単価合計]]-(堀江あいあい3500[[#This Row],[キャンセル人数]]*$B$2),"")</f>
        <v/>
      </c>
      <c r="S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5" s="70"/>
      <c r="U5" s="16" t="str">
        <f>IF(堀江あいあい3500[[#This Row],[人数]]="","",VLOOKUP(堀江あいあい3500[[#This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6" s="16" t="str">
        <f>IFERROR(($B$3*堀江あいあい4000[[#This Row],[人数]])-堀江あいあい4000[[#This Row],[単価合計]]-(堀江あいあい4000[[#This Row],[キャンセル人数]]*$B$2),"")</f>
        <v/>
      </c>
      <c r="H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6" s="70"/>
      <c r="J6" s="16" t="str">
        <f>IF(堀江あいあい4000[[#This Row],[人数]]="","",VLOOKUP(堀江あいあい4000[[#This Row],[人数]],バック金額①[#All],2,TRUE))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6" s="16" t="str">
        <f>IFERROR(($M$3*堀江あいあい3500[[#This Row],[人数]])-堀江あいあい3500[[#This Row],[単価合計]]-(堀江あいあい3500[[#This Row],[キャンセル人数]]*$B$2),"")</f>
        <v/>
      </c>
      <c r="S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6" s="70"/>
      <c r="U6" s="16" t="str">
        <f>IF(堀江あいあい3500[[#This Row],[人数]]="","",VLOOKUP(堀江あいあい3500[[#This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7" s="16" t="str">
        <f>IFERROR(($B$3*堀江あいあい4000[[#This Row],[人数]])-堀江あいあい4000[[#This Row],[単価合計]]-(堀江あいあい4000[[#This Row],[キャンセル人数]]*$B$2),"")</f>
        <v/>
      </c>
      <c r="H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7" s="70"/>
      <c r="J7" s="16" t="str">
        <f>IF(堀江あいあい4000[[#This Row],[人数]]="","",VLOOKUP(堀江あいあい4000[[#This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7" s="16" t="str">
        <f>IFERROR(($M$3*堀江あいあい3500[[#This Row],[人数]])-堀江あいあい3500[[#This Row],[単価合計]]-(堀江あいあい3500[[#This Row],[キャンセル人数]]*$B$2),"")</f>
        <v/>
      </c>
      <c r="S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7" s="70"/>
      <c r="U7" s="16" t="str">
        <f>IF(堀江あいあい3500[[#This Row],[人数]]="","",VLOOKUP(堀江あいあい3500[[#This Row],[人数]],バック金額①[#All],2,TRUE))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8" s="16" t="str">
        <f>IFERROR(($B$3*堀江あいあい4000[[#This Row],[人数]])-堀江あいあい4000[[#This Row],[単価合計]]-(堀江あいあい4000[[#This Row],[キャンセル人数]]*$B$2),"")</f>
        <v/>
      </c>
      <c r="H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8" s="70"/>
      <c r="J8" s="16" t="str">
        <f>IF(堀江あいあい4000[[#This Row],[人数]]="","",VLOOKUP(堀江あいあい4000[[#This Row],[人数]],バック金額①[#All],2,TRUE))</f>
        <v/>
      </c>
      <c r="L8" s="63">
        <f t="shared" si="1"/>
        <v>44838</v>
      </c>
      <c r="M8" s="13"/>
      <c r="N8" s="14"/>
      <c r="O8" s="15"/>
      <c r="P8" s="15"/>
      <c r="Q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8" s="16" t="str">
        <f>IFERROR(($M$3*堀江あいあい3500[[#This Row],[人数]])-堀江あいあい3500[[#This Row],[単価合計]]-(堀江あいあい3500[[#This Row],[キャンセル人数]]*$B$2),"")</f>
        <v/>
      </c>
      <c r="S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8" s="70"/>
      <c r="U8" s="16" t="str">
        <f>IF(堀江あいあい3500[[#This Row],[人数]]="","",VLOOKUP(堀江あいあい3500[[#This Row],[人数]],バック金額①[#All],2,TRUE))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9" s="16" t="str">
        <f>IFERROR(($B$3*堀江あいあい4000[[#This Row],[人数]])-堀江あいあい4000[[#This Row],[単価合計]]-(堀江あいあい4000[[#This Row],[キャンセル人数]]*$B$2),"")</f>
        <v/>
      </c>
      <c r="H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9" s="70"/>
      <c r="J9" s="16" t="str">
        <f>IF(堀江あいあい4000[[#This Row],[人数]]="","",VLOOKUP(堀江あいあい4000[[#This Row],[人数]],バック金額①[#All],2,TRUE))</f>
        <v/>
      </c>
      <c r="L9" s="63">
        <f t="shared" si="1"/>
        <v>44839</v>
      </c>
      <c r="M9" s="13"/>
      <c r="N9" s="14"/>
      <c r="O9" s="15"/>
      <c r="P9" s="15"/>
      <c r="Q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9" s="16" t="str">
        <f>IFERROR(($M$3*堀江あいあい3500[[#This Row],[人数]])-堀江あいあい3500[[#This Row],[単価合計]]-(堀江あいあい3500[[#This Row],[キャンセル人数]]*$B$2),"")</f>
        <v/>
      </c>
      <c r="S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9" s="70"/>
      <c r="U9" s="16" t="str">
        <f>IF(堀江あいあい3500[[#This Row],[人数]]="","",VLOOKUP(堀江あいあい3500[[#This Row],[人数]],バック金額①[#All],2,TRUE))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0" s="16" t="str">
        <f>IFERROR(($B$3*堀江あいあい4000[[#This Row],[人数]])-堀江あいあい4000[[#This Row],[単価合計]]-(堀江あいあい4000[[#This Row],[キャンセル人数]]*$B$2),"")</f>
        <v/>
      </c>
      <c r="H1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0" s="70"/>
      <c r="J10" s="16" t="str">
        <f>IF(堀江あいあい4000[[#This Row],[人数]]="","",VLOOKUP(堀江あいあい4000[[#This Row],[人数]],バック金額①[#All],2,TRUE))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0" s="16" t="str">
        <f>IFERROR(($M$3*堀江あいあい3500[[#This Row],[人数]])-堀江あいあい3500[[#This Row],[単価合計]]-(堀江あいあい3500[[#This Row],[キャンセル人数]]*$B$2),"")</f>
        <v/>
      </c>
      <c r="S1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0" s="70"/>
      <c r="U10" s="16" t="str">
        <f>IF(堀江あいあい3500[[#This Row],[人数]]="","",VLOOKUP(堀江あいあい3500[[#This Row],[人数]],バック金額①[#All],2,TRUE))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1" s="16" t="str">
        <f>IFERROR(($B$3*堀江あいあい4000[[#This Row],[人数]])-堀江あいあい4000[[#This Row],[単価合計]]-(堀江あいあい4000[[#This Row],[キャンセル人数]]*$B$2),"")</f>
        <v/>
      </c>
      <c r="H1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1" s="70"/>
      <c r="J11" s="16" t="str">
        <f>IF(堀江あいあい4000[[#This Row],[人数]]="","",VLOOKUP(堀江あいあい4000[[#This Row],[人数]],バック金額①[#All],2,TRUE))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1" s="16" t="str">
        <f>IFERROR(($M$3*堀江あいあい3500[[#This Row],[人数]])-堀江あいあい3500[[#This Row],[単価合計]]-(堀江あいあい3500[[#This Row],[キャンセル人数]]*$B$2),"")</f>
        <v/>
      </c>
      <c r="S1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1" s="70"/>
      <c r="U11" s="16" t="str">
        <f>IF(堀江あいあい3500[[#This Row],[人数]]="","",VLOOKUP(堀江あいあい3500[[#This Row],[人数]],バック金額①[#All],2,TRUE))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2" s="16" t="str">
        <f>IFERROR(($B$3*堀江あいあい4000[[#This Row],[人数]])-堀江あいあい4000[[#This Row],[単価合計]]-(堀江あいあい4000[[#This Row],[キャンセル人数]]*$B$2),"")</f>
        <v/>
      </c>
      <c r="H1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2" s="70"/>
      <c r="J12" s="16" t="str">
        <f>IF(堀江あいあい4000[[#This Row],[人数]]="","",VLOOKUP(堀江あいあい4000[[#This Row],[人数]],バック金額①[#All],2,TRUE))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2" s="16" t="str">
        <f>IFERROR(($M$3*堀江あいあい3500[[#This Row],[人数]])-堀江あいあい3500[[#This Row],[単価合計]]-(堀江あいあい3500[[#This Row],[キャンセル人数]]*$B$2),"")</f>
        <v/>
      </c>
      <c r="S1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2" s="70"/>
      <c r="U12" s="16" t="str">
        <f>IF(堀江あいあい3500[[#This Row],[人数]]="","",VLOOKUP(堀江あいあい3500[[#This Row],[人数]],バック金額①[#All],2,TRUE))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3" s="16" t="str">
        <f>IFERROR(($B$3*堀江あいあい4000[[#This Row],[人数]])-堀江あいあい4000[[#This Row],[単価合計]]-(堀江あいあい4000[[#This Row],[キャンセル人数]]*$B$2),"")</f>
        <v/>
      </c>
      <c r="H1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3" s="70"/>
      <c r="J13" s="16" t="str">
        <f>IF(堀江あいあい4000[[#This Row],[人数]]="","",VLOOKUP(堀江あいあい4000[[#This Row],[人数]],バック金額①[#All],2,TRUE))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3" s="16" t="str">
        <f>IFERROR(($M$3*堀江あいあい3500[[#This Row],[人数]])-堀江あいあい3500[[#This Row],[単価合計]]-(堀江あいあい3500[[#This Row],[キャンセル人数]]*$B$2),"")</f>
        <v/>
      </c>
      <c r="S1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3" s="70"/>
      <c r="U13" s="16" t="str">
        <f>IF(堀江あいあい3500[[#This Row],[人数]]="","",VLOOKUP(堀江あいあい3500[[#This Row],[人数]],バック金額①[#All],2,TRUE))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4" s="16" t="str">
        <f>IFERROR(($B$3*堀江あいあい4000[[#This Row],[人数]])-堀江あいあい4000[[#This Row],[単価合計]]-(堀江あいあい4000[[#This Row],[キャンセル人数]]*$B$2),"")</f>
        <v/>
      </c>
      <c r="H1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4" s="70"/>
      <c r="J14" s="16" t="str">
        <f>IF(堀江あいあい4000[[#This Row],[人数]]="","",VLOOKUP(堀江あいあい4000[[#This Row],[人数]],バック金額①[#All],2,TRUE))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4" s="16" t="str">
        <f>IFERROR(($M$3*堀江あいあい3500[[#This Row],[人数]])-堀江あいあい3500[[#This Row],[単価合計]]-(堀江あいあい3500[[#This Row],[キャンセル人数]]*$B$2),"")</f>
        <v/>
      </c>
      <c r="S1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4" s="70"/>
      <c r="U14" s="16" t="str">
        <f>IF(堀江あいあい3500[[#This Row],[人数]]="","",VLOOKUP(堀江あいあい3500[[#This Row],[人数]],バック金額①[#All],2,TRUE))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5" s="16" t="str">
        <f>IFERROR(($B$3*堀江あいあい4000[[#This Row],[人数]])-堀江あいあい4000[[#This Row],[単価合計]]-(堀江あいあい4000[[#This Row],[キャンセル人数]]*$B$2),"")</f>
        <v/>
      </c>
      <c r="H1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5" s="70"/>
      <c r="J15" s="16" t="str">
        <f>IF(堀江あいあい4000[[#This Row],[人数]]="","",VLOOKUP(堀江あいあい4000[[#This Row],[人数]],バック金額①[#All],2,TRUE))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5" s="16" t="str">
        <f>IFERROR(($M$3*堀江あいあい3500[[#This Row],[人数]])-堀江あいあい3500[[#This Row],[単価合計]]-(堀江あいあい3500[[#This Row],[キャンセル人数]]*$B$2),"")</f>
        <v/>
      </c>
      <c r="S1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5" s="70"/>
      <c r="U15" s="16" t="str">
        <f>IF(堀江あいあい3500[[#This Row],[人数]]="","",VLOOKUP(堀江あいあい3500[[#This Row],[人数]],バック金額①[#All],2,TRUE))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6" s="16" t="str">
        <f>IFERROR(($B$3*堀江あいあい4000[[#This Row],[人数]])-堀江あいあい4000[[#This Row],[単価合計]]-(堀江あいあい4000[[#This Row],[キャンセル人数]]*$B$2),"")</f>
        <v/>
      </c>
      <c r="H1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6" s="70"/>
      <c r="J16" s="16" t="str">
        <f>IF(堀江あいあい4000[[#This Row],[人数]]="","",VLOOKUP(堀江あいあい4000[[#This Row],[人数]],バック金額①[#All],2,TRUE))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6" s="16" t="str">
        <f>IFERROR(($M$3*堀江あいあい3500[[#This Row],[人数]])-堀江あいあい3500[[#This Row],[単価合計]]-(堀江あいあい3500[[#This Row],[キャンセル人数]]*$B$2),"")</f>
        <v/>
      </c>
      <c r="S1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6" s="70"/>
      <c r="U16" s="16" t="str">
        <f>IF(堀江あいあい3500[[#This Row],[人数]]="","",VLOOKUP(堀江あいあい3500[[#This Row],[人数]],バック金額①[#All],2,TRUE))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7" s="16" t="str">
        <f>IFERROR(($B$3*堀江あいあい4000[[#This Row],[人数]])-堀江あいあい4000[[#This Row],[単価合計]]-(堀江あいあい4000[[#This Row],[キャンセル人数]]*$B$2),"")</f>
        <v/>
      </c>
      <c r="H1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7" s="70"/>
      <c r="J17" s="16" t="str">
        <f>IF(堀江あいあい4000[[#This Row],[人数]]="","",VLOOKUP(堀江あいあい4000[[#This Row],[人数]],バック金額①[#All],2,TRUE))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7" s="16" t="str">
        <f>IFERROR(($M$3*堀江あいあい3500[[#This Row],[人数]])-堀江あいあい3500[[#This Row],[単価合計]]-(堀江あいあい3500[[#This Row],[キャンセル人数]]*$B$2),"")</f>
        <v/>
      </c>
      <c r="S1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7" s="70"/>
      <c r="U17" s="16" t="str">
        <f>IF(堀江あいあい3500[[#This Row],[人数]]="","",VLOOKUP(堀江あいあい3500[[#This Row],[人数]],バック金額①[#All],2,TRUE))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8" s="16" t="str">
        <f>IFERROR(($B$3*堀江あいあい4000[[#This Row],[人数]])-堀江あいあい4000[[#This Row],[単価合計]]-(堀江あいあい4000[[#This Row],[キャンセル人数]]*$B$2),"")</f>
        <v/>
      </c>
      <c r="H1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8" s="70"/>
      <c r="J18" s="16" t="str">
        <f>IF(堀江あいあい4000[[#This Row],[人数]]="","",VLOOKUP(堀江あいあい4000[[#This Row],[人数]],バック金額①[#All],2,TRUE))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8" s="16" t="str">
        <f>IFERROR(($M$3*堀江あいあい3500[[#This Row],[人数]])-堀江あいあい3500[[#This Row],[単価合計]]-(堀江あいあい3500[[#This Row],[キャンセル人数]]*$B$2),"")</f>
        <v/>
      </c>
      <c r="S1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8" s="70"/>
      <c r="U18" s="16" t="str">
        <f>IF(堀江あいあい3500[[#This Row],[人数]]="","",VLOOKUP(堀江あいあい3500[[#This Row],[人数]],バック金額①[#All],2,TRUE))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19" s="16" t="str">
        <f>IFERROR(($B$3*堀江あいあい4000[[#This Row],[人数]])-堀江あいあい4000[[#This Row],[単価合計]]-(堀江あいあい4000[[#This Row],[キャンセル人数]]*$B$2),"")</f>
        <v/>
      </c>
      <c r="H1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19" s="70"/>
      <c r="J19" s="16" t="str">
        <f>IF(堀江あいあい4000[[#This Row],[人数]]="","",VLOOKUP(堀江あいあい4000[[#This Row],[人数]],バック金額①[#All],2,TRUE))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19" s="16" t="str">
        <f>IFERROR(($M$3*堀江あいあい3500[[#This Row],[人数]])-堀江あいあい3500[[#This Row],[単価合計]]-(堀江あいあい3500[[#This Row],[キャンセル人数]]*$B$2),"")</f>
        <v/>
      </c>
      <c r="S1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19" s="70"/>
      <c r="U19" s="16" t="str">
        <f>IF(堀江あいあい3500[[#This Row],[人数]]="","",VLOOKUP(堀江あいあい3500[[#This Row],[人数]],バック金額①[#All],2,TRUE))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0" s="16" t="str">
        <f>IFERROR(($B$3*堀江あいあい4000[[#This Row],[人数]])-堀江あいあい4000[[#This Row],[単価合計]]-(堀江あいあい4000[[#This Row],[キャンセル人数]]*$B$2),"")</f>
        <v/>
      </c>
      <c r="H2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0" s="70"/>
      <c r="J20" s="16" t="str">
        <f>IF(堀江あいあい4000[[#This Row],[人数]]="","",VLOOKUP(堀江あいあい4000[[#This Row],[人数]],バック金額①[#All],2,TRUE))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0" s="16" t="str">
        <f>IFERROR(($M$3*堀江あいあい3500[[#This Row],[人数]])-堀江あいあい3500[[#This Row],[単価合計]]-(堀江あいあい3500[[#This Row],[キャンセル人数]]*$B$2),"")</f>
        <v/>
      </c>
      <c r="S2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0" s="70"/>
      <c r="U20" s="16" t="str">
        <f>IF(堀江あいあい3500[[#This Row],[人数]]="","",VLOOKUP(堀江あいあい3500[[#This Row],[人数]],バック金額①[#All],2,TRUE))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1" s="16" t="str">
        <f>IFERROR(($B$3*堀江あいあい4000[[#This Row],[人数]])-堀江あいあい4000[[#This Row],[単価合計]]-(堀江あいあい4000[[#This Row],[キャンセル人数]]*$B$2),"")</f>
        <v/>
      </c>
      <c r="H2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1" s="70"/>
      <c r="J21" s="16" t="str">
        <f>IF(堀江あいあい4000[[#This Row],[人数]]="","",VLOOKUP(堀江あいあい4000[[#This Row],[人数]],バック金額①[#All],2,TRUE))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1" s="16" t="str">
        <f>IFERROR(($M$3*堀江あいあい3500[[#This Row],[人数]])-堀江あいあい3500[[#This Row],[単価合計]]-(堀江あいあい3500[[#This Row],[キャンセル人数]]*$B$2),"")</f>
        <v/>
      </c>
      <c r="S2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1" s="70"/>
      <c r="U21" s="16" t="str">
        <f>IF(堀江あいあい3500[[#This Row],[人数]]="","",VLOOKUP(堀江あいあい3500[[#This Row],[人数]],バック金額①[#All],2,TRUE))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2" s="16" t="str">
        <f>IFERROR(($B$3*堀江あいあい4000[[#This Row],[人数]])-堀江あいあい4000[[#This Row],[単価合計]]-(堀江あいあい4000[[#This Row],[キャンセル人数]]*$B$2),"")</f>
        <v/>
      </c>
      <c r="H2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2" s="70"/>
      <c r="J22" s="16" t="str">
        <f>IF(堀江あいあい4000[[#This Row],[人数]]="","",VLOOKUP(堀江あいあい4000[[#This Row],[人数]],バック金額①[#All],2,TRUE))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2" s="16" t="str">
        <f>IFERROR(($M$3*堀江あいあい3500[[#This Row],[人数]])-堀江あいあい3500[[#This Row],[単価合計]]-(堀江あいあい3500[[#This Row],[キャンセル人数]]*$B$2),"")</f>
        <v/>
      </c>
      <c r="S2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2" s="70"/>
      <c r="U22" s="16" t="str">
        <f>IF(堀江あいあい3500[[#This Row],[人数]]="","",VLOOKUP(堀江あいあい3500[[#This Row],[人数]],バック金額①[#All],2,TRUE))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3" s="16" t="str">
        <f>IFERROR(($B$3*堀江あいあい4000[[#This Row],[人数]])-堀江あいあい4000[[#This Row],[単価合計]]-(堀江あいあい4000[[#This Row],[キャンセル人数]]*$B$2),"")</f>
        <v/>
      </c>
      <c r="H2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3" s="70"/>
      <c r="J23" s="16" t="str">
        <f>IF(堀江あいあい4000[[#This Row],[人数]]="","",VLOOKUP(堀江あいあい4000[[#This Row],[人数]],バック金額①[#All],2,TRUE))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3" s="16" t="str">
        <f>IFERROR(($M$3*堀江あいあい3500[[#This Row],[人数]])-堀江あいあい3500[[#This Row],[単価合計]]-(堀江あいあい3500[[#This Row],[キャンセル人数]]*$B$2),"")</f>
        <v/>
      </c>
      <c r="S2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3" s="70"/>
      <c r="U23" s="16" t="str">
        <f>IF(堀江あいあい3500[[#This Row],[人数]]="","",VLOOKUP(堀江あいあい3500[[#This Row],[人数]],バック金額①[#All],2,TRUE))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4" s="16" t="str">
        <f>IFERROR(($B$3*堀江あいあい4000[[#This Row],[人数]])-堀江あいあい4000[[#This Row],[単価合計]]-(堀江あいあい4000[[#This Row],[キャンセル人数]]*$B$2),"")</f>
        <v/>
      </c>
      <c r="H2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4" s="70"/>
      <c r="J24" s="16" t="str">
        <f>IF(堀江あいあい4000[[#This Row],[人数]]="","",VLOOKUP(堀江あいあい4000[[#This Row],[人数]],バック金額①[#All],2,TRUE))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4" s="16" t="str">
        <f>IFERROR(($M$3*堀江あいあい3500[[#This Row],[人数]])-堀江あいあい3500[[#This Row],[単価合計]]-(堀江あいあい3500[[#This Row],[キャンセル人数]]*$B$2),"")</f>
        <v/>
      </c>
      <c r="S2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4" s="70"/>
      <c r="U24" s="16" t="str">
        <f>IF(堀江あいあい3500[[#This Row],[人数]]="","",VLOOKUP(堀江あいあい3500[[#This Row],[人数]],バック金額①[#All],2,TRUE))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5" s="16" t="str">
        <f>IFERROR(($B$3*堀江あいあい4000[[#This Row],[人数]])-堀江あいあい4000[[#This Row],[単価合計]]-(堀江あいあい4000[[#This Row],[キャンセル人数]]*$B$2),"")</f>
        <v/>
      </c>
      <c r="H2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5" s="70"/>
      <c r="J25" s="16" t="str">
        <f>IF(堀江あいあい4000[[#This Row],[人数]]="","",VLOOKUP(堀江あいあい4000[[#This Row],[人数]],バック金額①[#All],2,TRUE))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5" s="16" t="str">
        <f>IFERROR(($M$3*堀江あいあい3500[[#This Row],[人数]])-堀江あいあい3500[[#This Row],[単価合計]]-(堀江あいあい3500[[#This Row],[キャンセル人数]]*$B$2),"")</f>
        <v/>
      </c>
      <c r="S2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5" s="70"/>
      <c r="U25" s="16" t="str">
        <f>IF(堀江あいあい3500[[#This Row],[人数]]="","",VLOOKUP(堀江あいあい3500[[#This Row],[人数]],バック金額①[#All],2,TRUE))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6" s="16" t="str">
        <f>IFERROR(($B$3*堀江あいあい4000[[#This Row],[人数]])-堀江あいあい4000[[#This Row],[単価合計]]-(堀江あいあい4000[[#This Row],[キャンセル人数]]*$B$2),"")</f>
        <v/>
      </c>
      <c r="H26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6" s="70"/>
      <c r="J26" s="16" t="str">
        <f>IF(堀江あいあい4000[[#This Row],[人数]]="","",VLOOKUP(堀江あいあい4000[[#This Row],[人数]],バック金額①[#All],2,TRUE))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6" s="16" t="str">
        <f>IFERROR(($M$3*堀江あいあい3500[[#This Row],[人数]])-堀江あいあい3500[[#This Row],[単価合計]]-(堀江あいあい3500[[#This Row],[キャンセル人数]]*$B$2),"")</f>
        <v/>
      </c>
      <c r="S26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6" s="70"/>
      <c r="U26" s="16" t="str">
        <f>IF(堀江あいあい3500[[#This Row],[人数]]="","",VLOOKUP(堀江あいあい3500[[#This Row],[人数]],バック金額①[#All],2,TRUE))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7" s="16" t="str">
        <f>IFERROR(($B$3*堀江あいあい4000[[#This Row],[人数]])-堀江あいあい4000[[#This Row],[単価合計]]-(堀江あいあい4000[[#This Row],[キャンセル人数]]*$B$2),"")</f>
        <v/>
      </c>
      <c r="H27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7" s="70"/>
      <c r="J27" s="16" t="str">
        <f>IF(堀江あいあい4000[[#This Row],[人数]]="","",VLOOKUP(堀江あいあい4000[[#This Row],[人数]],バック金額①[#All],2,TRUE))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7" s="16" t="str">
        <f>IFERROR(($M$3*堀江あいあい3500[[#This Row],[人数]])-堀江あいあい3500[[#This Row],[単価合計]]-(堀江あいあい3500[[#This Row],[キャンセル人数]]*$B$2),"")</f>
        <v/>
      </c>
      <c r="S27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7" s="70"/>
      <c r="U27" s="16" t="str">
        <f>IF(堀江あいあい3500[[#This Row],[人数]]="","",VLOOKUP(堀江あいあい3500[[#This Row],[人数]],バック金額①[#All],2,TRUE))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8" s="16" t="str">
        <f>IFERROR(($B$3*堀江あいあい4000[[#This Row],[人数]])-堀江あいあい4000[[#This Row],[単価合計]]-(堀江あいあい4000[[#This Row],[キャンセル人数]]*$B$2),"")</f>
        <v/>
      </c>
      <c r="H28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8" s="70"/>
      <c r="J28" s="16" t="str">
        <f>IF(堀江あいあい4000[[#This Row],[人数]]="","",VLOOKUP(堀江あいあい4000[[#This Row],[人数]],バック金額①[#All],2,TRUE))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8" s="16" t="str">
        <f>IFERROR(($M$3*堀江あいあい3500[[#This Row],[人数]])-堀江あいあい3500[[#This Row],[単価合計]]-(堀江あいあい3500[[#This Row],[キャンセル人数]]*$B$2),"")</f>
        <v/>
      </c>
      <c r="S28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8" s="70"/>
      <c r="U28" s="16" t="str">
        <f>IF(堀江あいあい3500[[#This Row],[人数]]="","",VLOOKUP(堀江あいあい3500[[#This Row],[人数]],バック金額①[#All],2,TRUE))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29" s="16" t="str">
        <f>IFERROR(($B$3*堀江あいあい4000[[#This Row],[人数]])-堀江あいあい4000[[#This Row],[単価合計]]-(堀江あいあい4000[[#This Row],[キャンセル人数]]*$B$2),"")</f>
        <v/>
      </c>
      <c r="H29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29" s="70"/>
      <c r="J29" s="16" t="str">
        <f>IF(堀江あいあい4000[[#This Row],[人数]]="","",VLOOKUP(堀江あいあい4000[[#This Row],[人数]],バック金額①[#All],2,TRUE))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29" s="16" t="str">
        <f>IFERROR(($M$3*堀江あいあい3500[[#This Row],[人数]])-堀江あいあい3500[[#This Row],[単価合計]]-(堀江あいあい3500[[#This Row],[キャンセル人数]]*$B$2),"")</f>
        <v/>
      </c>
      <c r="S29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29" s="70"/>
      <c r="U29" s="16" t="str">
        <f>IF(堀江あいあい3500[[#This Row],[人数]]="","",VLOOKUP(堀江あいあい3500[[#This Row],[人数]],バック金額①[#All],2,TRUE))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0" s="16" t="str">
        <f>IFERROR(($B$3*堀江あいあい4000[[#This Row],[人数]])-堀江あいあい4000[[#This Row],[単価合計]]-(堀江あいあい4000[[#This Row],[キャンセル人数]]*$B$2),"")</f>
        <v/>
      </c>
      <c r="H30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0" s="70"/>
      <c r="J30" s="16" t="str">
        <f>IF(堀江あいあい4000[[#This Row],[人数]]="","",VLOOKUP(堀江あいあい4000[[#This Row],[人数]],バック金額①[#All],2,TRUE))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0" s="16" t="str">
        <f>IFERROR(($M$3*堀江あいあい3500[[#This Row],[人数]])-堀江あいあい3500[[#This Row],[単価合計]]-(堀江あいあい3500[[#This Row],[キャンセル人数]]*$B$2),"")</f>
        <v/>
      </c>
      <c r="S30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0" s="70"/>
      <c r="U30" s="16" t="str">
        <f>IF(堀江あいあい3500[[#This Row],[人数]]="","",VLOOKUP(堀江あいあい3500[[#This Row],[人数]],バック金額①[#All],2,TRUE))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1" s="16" t="str">
        <f>IFERROR(($B$3*堀江あいあい4000[[#This Row],[人数]])-堀江あいあい4000[[#This Row],[単価合計]]-(堀江あいあい4000[[#This Row],[キャンセル人数]]*$B$2),"")</f>
        <v/>
      </c>
      <c r="H31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1" s="70"/>
      <c r="J31" s="16" t="str">
        <f>IF(堀江あいあい4000[[#This Row],[人数]]="","",VLOOKUP(堀江あいあい4000[[#This Row],[人数]],バック金額①[#All],2,TRUE))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1" s="16" t="str">
        <f>IFERROR(($M$3*堀江あいあい3500[[#This Row],[人数]])-堀江あいあい3500[[#This Row],[単価合計]]-(堀江あいあい3500[[#This Row],[キャンセル人数]]*$B$2),"")</f>
        <v/>
      </c>
      <c r="S31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1" s="70"/>
      <c r="U31" s="16" t="str">
        <f>IF(堀江あいあい3500[[#This Row],[人数]]="","",VLOOKUP(堀江あいあい3500[[#This Row],[人数]],バック金額①[#All],2,TRUE))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2" s="16" t="str">
        <f>IFERROR(($B$3*堀江あいあい4000[[#This Row],[人数]])-堀江あいあい4000[[#This Row],[単価合計]]-(堀江あいあい4000[[#This Row],[キャンセル人数]]*$B$2),"")</f>
        <v/>
      </c>
      <c r="H32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2" s="70"/>
      <c r="J32" s="16" t="str">
        <f>IF(堀江あいあい4000[[#This Row],[人数]]="","",VLOOKUP(堀江あいあい4000[[#This Row],[人数]],バック金額①[#All],2,TRUE))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2" s="16" t="str">
        <f>IFERROR(($M$3*堀江あいあい3500[[#This Row],[人数]])-堀江あいあい3500[[#This Row],[単価合計]]-(堀江あいあい3500[[#This Row],[キャンセル人数]]*$B$2),"")</f>
        <v/>
      </c>
      <c r="S32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2" s="70"/>
      <c r="U32" s="16" t="str">
        <f>IF(堀江あいあい3500[[#This Row],[人数]]="","",VLOOKUP(堀江あいあい3500[[#This Row],[人数]],バック金額①[#All],2,TRUE))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3" s="16" t="str">
        <f>IFERROR(($B$3*堀江あいあい4000[[#This Row],[人数]])-堀江あいあい4000[[#This Row],[単価合計]]-(堀江あいあい4000[[#This Row],[キャンセル人数]]*$B$2),"")</f>
        <v/>
      </c>
      <c r="H33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3" s="70"/>
      <c r="J33" s="16" t="str">
        <f>IF(堀江あいあい4000[[#This Row],[人数]]="","",VLOOKUP(堀江あいあい4000[[#This Row],[人数]],バック金額①[#All],2,TRUE))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3" s="16" t="str">
        <f>IFERROR(($M$3*堀江あいあい3500[[#This Row],[人数]])-堀江あいあい3500[[#This Row],[単価合計]]-(堀江あいあい3500[[#This Row],[キャンセル人数]]*$B$2),"")</f>
        <v/>
      </c>
      <c r="S33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3" s="70"/>
      <c r="U33" s="16" t="str">
        <f>IF(堀江あいあい3500[[#This Row],[人数]]="","",VLOOKUP(堀江あいあい3500[[#This Row],[人数]],バック金額①[#All],2,TRUE))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4" s="16" t="str">
        <f>IFERROR(($B$3*堀江あいあい4000[[#This Row],[人数]])-堀江あいあい4000[[#This Row],[単価合計]]-(堀江あいあい4000[[#This Row],[キャンセル人数]]*$B$2),"")</f>
        <v/>
      </c>
      <c r="H34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4" s="70"/>
      <c r="J34" s="16" t="str">
        <f>IF(堀江あいあい4000[[#This Row],[人数]]="","",VLOOKUP(堀江あいあい4000[[#This Row],[人数]],バック金額①[#All],2,TRUE))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4" s="16" t="str">
        <f>IFERROR(($M$3*堀江あいあい3500[[#This Row],[人数]])-堀江あいあい3500[[#This Row],[単価合計]]-(堀江あいあい3500[[#This Row],[キャンセル人数]]*$B$2),"")</f>
        <v/>
      </c>
      <c r="S34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4" s="70"/>
      <c r="U34" s="16" t="str">
        <f>IF(堀江あいあい3500[[#This Row],[人数]]="","",VLOOKUP(堀江あいあい3500[[#This Row],[人数]],バック金額①[#All],2,TRUE))</f>
        <v/>
      </c>
    </row>
    <row r="35" spans="1:21">
      <c r="A35" s="74">
        <f t="shared" si="0"/>
        <v>44865</v>
      </c>
      <c r="B35" s="17"/>
      <c r="C35" s="18"/>
      <c r="D35" s="19"/>
      <c r="E35" s="19"/>
      <c r="F35" s="16" t="str">
        <f>IF(堀江あいあい4000[[#This Row],[人数]]="","",IF(堀江あいあい4000[[#This Row],[人数]]&lt;=7,$B$1*堀江あいあい4000[[#This Row],[人数]],$B$1*堀江あいあい4000[[#This Row],[人数]]-堀江あいあい4000[[#This Row],[幹事無料]]))</f>
        <v/>
      </c>
      <c r="G35" s="16" t="str">
        <f>IFERROR(($B$3*堀江あいあい4000[[#This Row],[人数]])-堀江あいあい4000[[#This Row],[単価合計]]-(堀江あいあい4000[[#This Row],[キャンセル人数]]*$B$2),"")</f>
        <v/>
      </c>
      <c r="H35" s="16" t="str">
        <f>IF(堀江あいあい4000[[#This Row],[人数]]=0,"",IF(堀江あいあい4000[[#This Row],[人数]]&lt;=7,"",IF(堀江あいあい4000[[#This Row],[人数]]&lt;=15,$B$1,IF(堀江あいあい4000[[#This Row],[人数]]&lt;=23,$B$1*2,IF(堀江あいあい4000[[#This Row],[人数]]&lt;=31,$B$1*3,IF(堀江あいあい4000[[#This Row],[人数]]&lt;=39,$B$1*4,""))))))</f>
        <v/>
      </c>
      <c r="I35" s="97"/>
      <c r="J35" s="16" t="str">
        <f>IF(堀江あいあい4000[[#This Row],[人数]]="","",VLOOKUP(堀江あいあい4000[[#This Row],[人数]],バック金額①[#All],2,TRUE))</f>
        <v/>
      </c>
      <c r="L35" s="74">
        <f t="shared" si="1"/>
        <v>44865</v>
      </c>
      <c r="M35" s="17"/>
      <c r="N35" s="18"/>
      <c r="O35" s="19"/>
      <c r="P35" s="19"/>
      <c r="Q35" s="16" t="str">
        <f>IF(堀江あいあい3500[[#This Row],[人数]]="","",IF(堀江あいあい3500[[#This Row],[人数]]&lt;=7,$B$1*堀江あいあい3500[[#This Row],[人数]],$B$1*堀江あいあい3500[[#This Row],[人数]]-堀江あいあい3500[[#This Row],[幹事無料]]))</f>
        <v/>
      </c>
      <c r="R35" s="16" t="str">
        <f>IFERROR(($M$3*堀江あいあい3500[[#This Row],[人数]])-堀江あいあい3500[[#This Row],[単価合計]]-(堀江あいあい3500[[#This Row],[キャンセル人数]]*$B$2),"")</f>
        <v/>
      </c>
      <c r="S35" s="16" t="str">
        <f>IF(堀江あいあい3500[[#This Row],[人数]]=0,"",IF(堀江あいあい3500[[#This Row],[人数]]&lt;=7,"",IF(堀江あいあい3500[[#This Row],[人数]]&lt;=15,$B$1,IF(堀江あいあい3500[[#This Row],[人数]]&lt;=23,$B$1*2,IF(堀江あいあい3500[[#This Row],[人数]]&lt;=31,$B$1*3,IF(堀江あいあい3500[[#This Row],[人数]]&lt;=39,$B$1*4,""))))))</f>
        <v/>
      </c>
      <c r="T35" s="97"/>
      <c r="U35" s="16" t="str">
        <f>IF(堀江あいあい3500[[#This Row],[人数]]="","",VLOOKUP(堀江あいあい3500[[#This Row],[人数]],バック金額①[#All],2,TRUE))</f>
        <v/>
      </c>
    </row>
    <row r="36" spans="1:21">
      <c r="A36" s="6" t="s">
        <v>211</v>
      </c>
      <c r="B36" s="16">
        <f>SUM(堀江あいあい4000[[#All],[件数]])</f>
        <v>0</v>
      </c>
      <c r="C36" s="6"/>
      <c r="D36" s="16">
        <f>SUM(堀江あいあい4000[[#All],[人数]])</f>
        <v>0</v>
      </c>
      <c r="E36" s="16">
        <f>SUM(堀江あいあい4000[[#All],[Aパターン]])</f>
        <v>0</v>
      </c>
      <c r="F36" s="16">
        <f>SUM(堀江あいあい4000[[#All],[単価合計]])</f>
        <v>0</v>
      </c>
      <c r="G36" s="16">
        <f>SUM(堀江あいあい4000[[#All],[ゆうき取りに行く]])</f>
        <v>0</v>
      </c>
      <c r="H36" s="16"/>
      <c r="I36" s="16"/>
      <c r="J36" s="16">
        <f>SUM(堀江あいあい4000[[#All],[イベンターへ]])</f>
        <v>0</v>
      </c>
      <c r="L36" s="6" t="s">
        <v>211</v>
      </c>
      <c r="M36" s="16">
        <f>SUM(堀江あいあい3500[[#All],[件数]])</f>
        <v>0</v>
      </c>
      <c r="N36" s="6"/>
      <c r="O36" s="16">
        <f>SUM(堀江あいあい3500[[#All],[人数]])</f>
        <v>0</v>
      </c>
      <c r="P36" s="16">
        <f>SUM(堀江あいあい3500[[#All],[Aパターン]])</f>
        <v>0</v>
      </c>
      <c r="Q36" s="16">
        <f>SUM(堀江あいあい3500[[#All],[単価合計]])</f>
        <v>0</v>
      </c>
      <c r="R36" s="16">
        <f>SUM(堀江あいあい3500[[#All],[ゆうき取りに行く]])</f>
        <v>0</v>
      </c>
      <c r="S36" s="16"/>
      <c r="T36" s="16"/>
      <c r="U36" s="16">
        <f>SUM(堀江あいあい3500[[#All],[イベンターへ]])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5E27E-F6C4-42E9-AEB9-91C99128E345}">
  <sheetPr codeName="Sheet5"/>
  <dimension ref="A1:U36"/>
  <sheetViews>
    <sheetView zoomScale="70" zoomScaleNormal="70" workbookViewId="0">
      <pane ySplit="4" topLeftCell="A5" activePane="bottomLeft" state="frozen"/>
      <selection pane="bottomLeft" activeCell="B34" sqref="B34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C1" s="46" t="s">
        <v>242</v>
      </c>
      <c r="F1" s="93"/>
      <c r="K1" s="8" t="s">
        <v>558</v>
      </c>
    </row>
    <row r="2" spans="1:21">
      <c r="A2" s="46" t="s">
        <v>372</v>
      </c>
      <c r="B2" s="8">
        <v>1300</v>
      </c>
      <c r="F2" s="93"/>
      <c r="K2" s="46" t="s">
        <v>561</v>
      </c>
    </row>
    <row r="3" spans="1:21">
      <c r="A3" s="46" t="s">
        <v>376</v>
      </c>
      <c r="B3" s="8">
        <v>4000</v>
      </c>
      <c r="F3" s="93"/>
      <c r="K3" s="46" t="s">
        <v>560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K4" s="8" t="s">
        <v>559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5" s="16" t="str">
        <f>IFERROR(($B$3*堀江ファイブ4000[[#This Row],[人数]])-堀江ファイブ4000[[#This Row],[単価合計]]-(堀江ファイブ4000[[#This Row],[キャンセル人数]]*$B$2),"")</f>
        <v/>
      </c>
      <c r="H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5" s="70"/>
      <c r="J5" s="16" t="str">
        <f>IF(堀江ファイブ4000[[#This Row],[人数]]="","",VLOOKUP(堀江ファイブ4000[[#This Row],[人数]],バック金額②[#All],2,TRUE)-(堀江ファイブ4000[[#This Row],[キャンセル人数]]*$B$2))</f>
        <v/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5" s="16" t="str">
        <f>IFERROR(($M$3*堀江ファイブ3500[[#This Row],[人数]])-堀江ファイブ3500[[#This Row],[単価合計]]-(堀江ファイブ3500[[#This Row],[キャンセル人数]]*$B$2),"")</f>
        <v/>
      </c>
      <c r="S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5" s="70"/>
      <c r="U5" s="16" t="str">
        <f>IF(堀江ファイブ3500[[#This Row],[人数]]="","",VLOOKUP(堀江ファイブ3500[[#This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6" s="16" t="str">
        <f>IFERROR(($B$3*堀江ファイブ4000[[#This Row],[人数]])-堀江ファイブ4000[[#This Row],[単価合計]]-(堀江ファイブ4000[[#This Row],[キャンセル人数]]*$B$2),"")</f>
        <v/>
      </c>
      <c r="H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6" s="70"/>
      <c r="J6" s="16" t="str">
        <f>IF(堀江ファイブ4000[[#This Row],[人数]]="","",VLOOKUP(堀江ファイブ4000[[#This Row],[人数]],バック金額②[#All],2,TRUE)-(堀江ファイブ4000[[#This Row],[キャンセル人数]]*$B$2))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6" s="16" t="str">
        <f>IFERROR(($M$3*堀江ファイブ3500[[#This Row],[人数]])-堀江ファイブ3500[[#This Row],[単価合計]]-(堀江ファイブ3500[[#This Row],[キャンセル人数]]*$B$2),"")</f>
        <v/>
      </c>
      <c r="S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6" s="70"/>
      <c r="U6" s="16" t="str">
        <f>IF(堀江ファイブ3500[[#This Row],[人数]]="","",VLOOKUP(堀江ファイブ3500[[#This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7" s="16" t="str">
        <f>IFERROR(($B$3*堀江ファイブ4000[[#This Row],[人数]])-堀江ファイブ4000[[#This Row],[単価合計]]-(堀江ファイブ4000[[#This Row],[キャンセル人数]]*$B$2),"")</f>
        <v/>
      </c>
      <c r="H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7" s="70"/>
      <c r="J7" s="16" t="str">
        <f>IF(堀江ファイブ4000[[#This Row],[人数]]="","",VLOOKUP(堀江ファイブ4000[[#This Row],[人数]],バック金額②[#All],2,TRUE)-(堀江ファイブ4000[[#This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7" s="16" t="str">
        <f>IFERROR(($M$3*堀江ファイブ3500[[#This Row],[人数]])-堀江ファイブ3500[[#This Row],[単価合計]]-(堀江ファイブ3500[[#This Row],[キャンセル人数]]*$B$2),"")</f>
        <v/>
      </c>
      <c r="S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7" s="70"/>
      <c r="U7" s="16" t="str">
        <f>IF(堀江ファイブ3500[[#This Row],[人数]]="","",VLOOKUP(堀江ファイブ3500[[#This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8" s="16" t="str">
        <f>IFERROR(($B$3*堀江ファイブ4000[[#This Row],[人数]])-堀江ファイブ4000[[#This Row],[単価合計]]-(堀江ファイブ4000[[#This Row],[キャンセル人数]]*$B$2),"")</f>
        <v/>
      </c>
      <c r="H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8" s="70"/>
      <c r="J8" s="16" t="str">
        <f>IF(堀江ファイブ4000[[#This Row],[人数]]="","",VLOOKUP(堀江ファイブ4000[[#This Row],[人数]],バック金額②[#All],2,TRUE)-(堀江ファイブ4000[[#This Row],[キャンセル人数]]*$B$2))</f>
        <v/>
      </c>
      <c r="L8" s="63">
        <f t="shared" si="1"/>
        <v>44838</v>
      </c>
      <c r="M8" s="13"/>
      <c r="N8" s="14"/>
      <c r="O8" s="15"/>
      <c r="P8" s="15"/>
      <c r="Q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8" s="16" t="str">
        <f>IFERROR(($M$3*堀江ファイブ3500[[#This Row],[人数]])-堀江ファイブ3500[[#This Row],[単価合計]]-(堀江ファイブ3500[[#This Row],[キャンセル人数]]*$B$2),"")</f>
        <v/>
      </c>
      <c r="S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8" s="70"/>
      <c r="U8" s="16" t="str">
        <f>IF(堀江ファイブ3500[[#This Row],[人数]]="","",VLOOKUP(堀江ファイブ3500[[#This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9" s="16" t="str">
        <f>IFERROR(($B$3*堀江ファイブ4000[[#This Row],[人数]])-堀江ファイブ4000[[#This Row],[単価合計]]-(堀江ファイブ4000[[#This Row],[キャンセル人数]]*$B$2),"")</f>
        <v/>
      </c>
      <c r="H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9" s="70"/>
      <c r="J9" s="16" t="str">
        <f>IF(堀江ファイブ4000[[#This Row],[人数]]="","",VLOOKUP(堀江ファイブ4000[[#This Row],[人数]],バック金額②[#All],2,TRUE)-(堀江ファイブ4000[[#This Row],[キャンセル人数]]*$B$2))</f>
        <v/>
      </c>
      <c r="L9" s="63">
        <f t="shared" si="1"/>
        <v>44839</v>
      </c>
      <c r="M9" s="13"/>
      <c r="N9" s="14"/>
      <c r="O9" s="15"/>
      <c r="P9" s="15"/>
      <c r="Q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9" s="16" t="str">
        <f>IFERROR(($M$3*堀江ファイブ3500[[#This Row],[人数]])-堀江ファイブ3500[[#This Row],[単価合計]]-(堀江ファイブ3500[[#This Row],[キャンセル人数]]*$B$2),"")</f>
        <v/>
      </c>
      <c r="S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9" s="70"/>
      <c r="U9" s="16" t="str">
        <f>IF(堀江ファイブ3500[[#This Row],[人数]]="","",VLOOKUP(堀江ファイブ3500[[#This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0" s="16" t="str">
        <f>IFERROR(($B$3*堀江ファイブ4000[[#This Row],[人数]])-堀江ファイブ4000[[#This Row],[単価合計]]-(堀江ファイブ4000[[#This Row],[キャンセル人数]]*$B$2),"")</f>
        <v/>
      </c>
      <c r="H1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0" s="70"/>
      <c r="J10" s="16" t="str">
        <f>IF(堀江ファイブ4000[[#This Row],[人数]]="","",VLOOKUP(堀江ファイブ4000[[#This Row],[人数]],バック金額②[#All],2,TRUE)-(堀江ファイブ4000[[#This Row],[キャンセル人数]]*$B$2))</f>
        <v/>
      </c>
      <c r="L10" s="63">
        <f t="shared" si="1"/>
        <v>44840</v>
      </c>
      <c r="M10" s="13"/>
      <c r="N10" s="14"/>
      <c r="O10" s="15"/>
      <c r="P10" s="15"/>
      <c r="Q1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0" s="16" t="str">
        <f>IFERROR(($M$3*堀江ファイブ3500[[#This Row],[人数]])-堀江ファイブ3500[[#This Row],[単価合計]]-(堀江ファイブ3500[[#This Row],[キャンセル人数]]*$B$2),"")</f>
        <v/>
      </c>
      <c r="S1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0" s="70"/>
      <c r="U10" s="16" t="str">
        <f>IF(堀江ファイブ3500[[#This Row],[人数]]="","",VLOOKUP(堀江ファイブ3500[[#This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1" s="16" t="str">
        <f>IFERROR(($B$3*堀江ファイブ4000[[#This Row],[人数]])-堀江ファイブ4000[[#This Row],[単価合計]]-(堀江ファイブ4000[[#This Row],[キャンセル人数]]*$B$2),"")</f>
        <v/>
      </c>
      <c r="H1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1" s="70"/>
      <c r="J11" s="16" t="str">
        <f>IF(堀江ファイブ4000[[#This Row],[人数]]="","",VLOOKUP(堀江ファイブ4000[[#This Row],[人数]],バック金額②[#All],2,TRUE)-(堀江ファイブ4000[[#This Row],[キャンセル人数]]*$B$2))</f>
        <v/>
      </c>
      <c r="L11" s="63">
        <f t="shared" si="1"/>
        <v>44841</v>
      </c>
      <c r="M11" s="13"/>
      <c r="N11" s="14"/>
      <c r="O11" s="15"/>
      <c r="P11" s="15"/>
      <c r="Q1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1" s="16" t="str">
        <f>IFERROR(($M$3*堀江ファイブ3500[[#This Row],[人数]])-堀江ファイブ3500[[#This Row],[単価合計]]-(堀江ファイブ3500[[#This Row],[キャンセル人数]]*$B$2),"")</f>
        <v/>
      </c>
      <c r="S1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1" s="70"/>
      <c r="U11" s="16" t="str">
        <f>IF(堀江ファイブ3500[[#This Row],[人数]]="","",VLOOKUP(堀江ファイブ3500[[#This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2" s="16" t="str">
        <f>IFERROR(($B$3*堀江ファイブ4000[[#This Row],[人数]])-堀江ファイブ4000[[#This Row],[単価合計]]-(堀江ファイブ4000[[#This Row],[キャンセル人数]]*$B$2),"")</f>
        <v/>
      </c>
      <c r="H1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2" s="70"/>
      <c r="J12" s="16" t="str">
        <f>IF(堀江ファイブ4000[[#This Row],[人数]]="","",VLOOKUP(堀江ファイブ4000[[#This Row],[人数]],バック金額②[#All],2,TRUE)-(堀江ファイブ4000[[#This Row],[キャンセル人数]]*$B$2))</f>
        <v/>
      </c>
      <c r="L12" s="63">
        <f t="shared" si="1"/>
        <v>44842</v>
      </c>
      <c r="M12" s="13"/>
      <c r="N12" s="14"/>
      <c r="O12" s="15"/>
      <c r="P12" s="15"/>
      <c r="Q1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2" s="16" t="str">
        <f>IFERROR(($M$3*堀江ファイブ3500[[#This Row],[人数]])-堀江ファイブ3500[[#This Row],[単価合計]]-(堀江ファイブ3500[[#This Row],[キャンセル人数]]*$B$2),"")</f>
        <v/>
      </c>
      <c r="S1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2" s="70"/>
      <c r="U12" s="16" t="str">
        <f>IF(堀江ファイブ3500[[#This Row],[人数]]="","",VLOOKUP(堀江ファイブ3500[[#This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3" s="16" t="str">
        <f>IFERROR(($B$3*堀江ファイブ4000[[#This Row],[人数]])-堀江ファイブ4000[[#This Row],[単価合計]]-(堀江ファイブ4000[[#This Row],[キャンセル人数]]*$B$2),"")</f>
        <v/>
      </c>
      <c r="H1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3" s="70"/>
      <c r="J13" s="16" t="str">
        <f>IF(堀江ファイブ4000[[#This Row],[人数]]="","",VLOOKUP(堀江ファイブ4000[[#This Row],[人数]],バック金額②[#All],2,TRUE)-(堀江ファイブ4000[[#This Row],[キャンセル人数]]*$B$2))</f>
        <v/>
      </c>
      <c r="L13" s="63">
        <f t="shared" si="1"/>
        <v>44843</v>
      </c>
      <c r="M13" s="13"/>
      <c r="N13" s="14"/>
      <c r="O13" s="15"/>
      <c r="P13" s="15"/>
      <c r="Q1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3" s="16" t="str">
        <f>IFERROR(($M$3*堀江ファイブ3500[[#This Row],[人数]])-堀江ファイブ3500[[#This Row],[単価合計]]-(堀江ファイブ3500[[#This Row],[キャンセル人数]]*$B$2),"")</f>
        <v/>
      </c>
      <c r="S1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3" s="70"/>
      <c r="U13" s="16" t="str">
        <f>IF(堀江ファイブ3500[[#This Row],[人数]]="","",VLOOKUP(堀江ファイブ3500[[#This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4" s="16" t="str">
        <f>IFERROR(($B$3*堀江ファイブ4000[[#This Row],[人数]])-堀江ファイブ4000[[#This Row],[単価合計]]-(堀江ファイブ4000[[#This Row],[キャンセル人数]]*$B$2),"")</f>
        <v/>
      </c>
      <c r="H1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4" s="70"/>
      <c r="J14" s="16" t="str">
        <f>IF(堀江ファイブ4000[[#This Row],[人数]]="","",VLOOKUP(堀江ファイブ4000[[#This Row],[人数]],バック金額②[#All],2,TRUE)-(堀江ファイブ4000[[#This Row],[キャンセル人数]]*$B$2))</f>
        <v/>
      </c>
      <c r="L14" s="63">
        <f t="shared" si="1"/>
        <v>44844</v>
      </c>
      <c r="M14" s="13"/>
      <c r="N14" s="14"/>
      <c r="O14" s="15"/>
      <c r="P14" s="15"/>
      <c r="Q1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4" s="16" t="str">
        <f>IFERROR(($M$3*堀江ファイブ3500[[#This Row],[人数]])-堀江ファイブ3500[[#This Row],[単価合計]]-(堀江ファイブ3500[[#This Row],[キャンセル人数]]*$B$2),"")</f>
        <v/>
      </c>
      <c r="S1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4" s="70"/>
      <c r="U14" s="16" t="str">
        <f>IF(堀江ファイブ3500[[#This Row],[人数]]="","",VLOOKUP(堀江ファイブ3500[[#This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5" s="16" t="str">
        <f>IFERROR(($B$3*堀江ファイブ4000[[#This Row],[人数]])-堀江ファイブ4000[[#This Row],[単価合計]]-(堀江ファイブ4000[[#This Row],[キャンセル人数]]*$B$2),"")</f>
        <v/>
      </c>
      <c r="H1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5" s="70"/>
      <c r="J15" s="16" t="str">
        <f>IF(堀江ファイブ4000[[#This Row],[人数]]="","",VLOOKUP(堀江ファイブ4000[[#This Row],[人数]],バック金額②[#All],2,TRUE)-(堀江ファイブ4000[[#This Row],[キャンセル人数]]*$B$2))</f>
        <v/>
      </c>
      <c r="L15" s="63">
        <f t="shared" si="1"/>
        <v>44845</v>
      </c>
      <c r="M15" s="13"/>
      <c r="N15" s="14"/>
      <c r="O15" s="15"/>
      <c r="P15" s="15"/>
      <c r="Q1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5" s="16" t="str">
        <f>IFERROR(($M$3*堀江ファイブ3500[[#This Row],[人数]])-堀江ファイブ3500[[#This Row],[単価合計]]-(堀江ファイブ3500[[#This Row],[キャンセル人数]]*$B$2),"")</f>
        <v/>
      </c>
      <c r="S1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5" s="70"/>
      <c r="U15" s="16" t="str">
        <f>IF(堀江ファイブ3500[[#This Row],[人数]]="","",VLOOKUP(堀江ファイブ3500[[#This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6" s="16" t="str">
        <f>IFERROR(($B$3*堀江ファイブ4000[[#This Row],[人数]])-堀江ファイブ4000[[#This Row],[単価合計]]-(堀江ファイブ4000[[#This Row],[キャンセル人数]]*$B$2),"")</f>
        <v/>
      </c>
      <c r="H1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6" s="70"/>
      <c r="J16" s="16" t="str">
        <f>IF(堀江ファイブ4000[[#This Row],[人数]]="","",VLOOKUP(堀江ファイブ4000[[#This Row],[人数]],バック金額②[#All],2,TRUE)-(堀江ファイブ4000[[#This Row],[キャンセル人数]]*$B$2))</f>
        <v/>
      </c>
      <c r="L16" s="63">
        <f t="shared" si="1"/>
        <v>44846</v>
      </c>
      <c r="M16" s="13"/>
      <c r="N16" s="14"/>
      <c r="O16" s="15"/>
      <c r="P16" s="15"/>
      <c r="Q1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6" s="16" t="str">
        <f>IFERROR(($M$3*堀江ファイブ3500[[#This Row],[人数]])-堀江ファイブ3500[[#This Row],[単価合計]]-(堀江ファイブ3500[[#This Row],[キャンセル人数]]*$B$2),"")</f>
        <v/>
      </c>
      <c r="S1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6" s="70"/>
      <c r="U16" s="16" t="str">
        <f>IF(堀江ファイブ3500[[#This Row],[人数]]="","",VLOOKUP(堀江ファイブ3500[[#This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7" s="16" t="str">
        <f>IFERROR(($B$3*堀江ファイブ4000[[#This Row],[人数]])-堀江ファイブ4000[[#This Row],[単価合計]]-(堀江ファイブ4000[[#This Row],[キャンセル人数]]*$B$2),"")</f>
        <v/>
      </c>
      <c r="H1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7" s="70"/>
      <c r="J17" s="16" t="str">
        <f>IF(堀江ファイブ4000[[#This Row],[人数]]="","",VLOOKUP(堀江ファイブ4000[[#This Row],[人数]],バック金額②[#All],2,TRUE)-(堀江ファイブ4000[[#This Row],[キャンセル人数]]*$B$2))</f>
        <v/>
      </c>
      <c r="L17" s="63">
        <f t="shared" si="1"/>
        <v>44847</v>
      </c>
      <c r="M17" s="13"/>
      <c r="N17" s="14"/>
      <c r="O17" s="15"/>
      <c r="P17" s="15"/>
      <c r="Q1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7" s="16" t="str">
        <f>IFERROR(($M$3*堀江ファイブ3500[[#This Row],[人数]])-堀江ファイブ3500[[#This Row],[単価合計]]-(堀江ファイブ3500[[#This Row],[キャンセル人数]]*$B$2),"")</f>
        <v/>
      </c>
      <c r="S1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7" s="70"/>
      <c r="U17" s="16" t="str">
        <f>IF(堀江ファイブ3500[[#This Row],[人数]]="","",VLOOKUP(堀江ファイブ3500[[#This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8" s="16" t="str">
        <f>IFERROR(($B$3*堀江ファイブ4000[[#This Row],[人数]])-堀江ファイブ4000[[#This Row],[単価合計]]-(堀江ファイブ4000[[#This Row],[キャンセル人数]]*$B$2),"")</f>
        <v/>
      </c>
      <c r="H1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8" s="70"/>
      <c r="J18" s="16" t="str">
        <f>IF(堀江ファイブ4000[[#This Row],[人数]]="","",VLOOKUP(堀江ファイブ4000[[#This Row],[人数]],バック金額②[#All],2,TRUE)-(堀江ファイブ4000[[#This Row],[キャンセル人数]]*$B$2))</f>
        <v/>
      </c>
      <c r="L18" s="63">
        <f t="shared" si="1"/>
        <v>44848</v>
      </c>
      <c r="M18" s="13"/>
      <c r="N18" s="14"/>
      <c r="O18" s="15"/>
      <c r="P18" s="15"/>
      <c r="Q1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8" s="16" t="str">
        <f>IFERROR(($M$3*堀江ファイブ3500[[#This Row],[人数]])-堀江ファイブ3500[[#This Row],[単価合計]]-(堀江ファイブ3500[[#This Row],[キャンセル人数]]*$B$2),"")</f>
        <v/>
      </c>
      <c r="S1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8" s="70"/>
      <c r="U18" s="16" t="str">
        <f>IF(堀江ファイブ3500[[#This Row],[人数]]="","",VLOOKUP(堀江ファイブ3500[[#This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19" s="16" t="str">
        <f>IFERROR(($B$3*堀江ファイブ4000[[#This Row],[人数]])-堀江ファイブ4000[[#This Row],[単価合計]]-(堀江ファイブ4000[[#This Row],[キャンセル人数]]*$B$2),"")</f>
        <v/>
      </c>
      <c r="H1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19" s="70"/>
      <c r="J19" s="16" t="str">
        <f>IF(堀江ファイブ4000[[#This Row],[人数]]="","",VLOOKUP(堀江ファイブ4000[[#This Row],[人数]],バック金額②[#All],2,TRUE)-(堀江ファイブ4000[[#This Row],[キャンセル人数]]*$B$2))</f>
        <v/>
      </c>
      <c r="L19" s="63">
        <f t="shared" si="1"/>
        <v>44849</v>
      </c>
      <c r="M19" s="13"/>
      <c r="N19" s="14"/>
      <c r="O19" s="15"/>
      <c r="P19" s="15"/>
      <c r="Q1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19" s="16" t="str">
        <f>IFERROR(($M$3*堀江ファイブ3500[[#This Row],[人数]])-堀江ファイブ3500[[#This Row],[単価合計]]-(堀江ファイブ3500[[#This Row],[キャンセル人数]]*$B$2),"")</f>
        <v/>
      </c>
      <c r="S1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19" s="70"/>
      <c r="U19" s="16" t="str">
        <f>IF(堀江ファイブ3500[[#This Row],[人数]]="","",VLOOKUP(堀江ファイブ3500[[#This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0" s="16" t="str">
        <f>IFERROR(($B$3*堀江ファイブ4000[[#This Row],[人数]])-堀江ファイブ4000[[#This Row],[単価合計]]-(堀江ファイブ4000[[#This Row],[キャンセル人数]]*$B$2),"")</f>
        <v/>
      </c>
      <c r="H2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0" s="70"/>
      <c r="J20" s="16" t="str">
        <f>IF(堀江ファイブ4000[[#This Row],[人数]]="","",VLOOKUP(堀江ファイブ4000[[#This Row],[人数]],バック金額②[#All],2,TRUE)-(堀江ファイブ4000[[#This Row],[キャンセル人数]]*$B$2))</f>
        <v/>
      </c>
      <c r="L20" s="63">
        <f t="shared" si="1"/>
        <v>44850</v>
      </c>
      <c r="M20" s="13"/>
      <c r="N20" s="14"/>
      <c r="O20" s="15"/>
      <c r="P20" s="15"/>
      <c r="Q2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0" s="16" t="str">
        <f>IFERROR(($M$3*堀江ファイブ3500[[#This Row],[人数]])-堀江ファイブ3500[[#This Row],[単価合計]]-(堀江ファイブ3500[[#This Row],[キャンセル人数]]*$B$2),"")</f>
        <v/>
      </c>
      <c r="S2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0" s="70"/>
      <c r="U20" s="16" t="str">
        <f>IF(堀江ファイブ3500[[#This Row],[人数]]="","",VLOOKUP(堀江ファイブ3500[[#This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1" s="16" t="str">
        <f>IFERROR(($B$3*堀江ファイブ4000[[#This Row],[人数]])-堀江ファイブ4000[[#This Row],[単価合計]]-(堀江ファイブ4000[[#This Row],[キャンセル人数]]*$B$2),"")</f>
        <v/>
      </c>
      <c r="H2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1" s="70"/>
      <c r="J21" s="16" t="str">
        <f>IF(堀江ファイブ4000[[#This Row],[人数]]="","",VLOOKUP(堀江ファイブ4000[[#This Row],[人数]],バック金額②[#All],2,TRUE)-(堀江ファイブ4000[[#This Row],[キャンセル人数]]*$B$2))</f>
        <v/>
      </c>
      <c r="L21" s="63">
        <f t="shared" si="1"/>
        <v>44851</v>
      </c>
      <c r="M21" s="13"/>
      <c r="N21" s="14"/>
      <c r="O21" s="15"/>
      <c r="P21" s="15"/>
      <c r="Q2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1" s="16" t="str">
        <f>IFERROR(($M$3*堀江ファイブ3500[[#This Row],[人数]])-堀江ファイブ3500[[#This Row],[単価合計]]-(堀江ファイブ3500[[#This Row],[キャンセル人数]]*$B$2),"")</f>
        <v/>
      </c>
      <c r="S2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1" s="70"/>
      <c r="U21" s="16" t="str">
        <f>IF(堀江ファイブ3500[[#This Row],[人数]]="","",VLOOKUP(堀江ファイブ3500[[#This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2" s="16" t="str">
        <f>IFERROR(($B$3*堀江ファイブ4000[[#This Row],[人数]])-堀江ファイブ4000[[#This Row],[単価合計]]-(堀江ファイブ4000[[#This Row],[キャンセル人数]]*$B$2),"")</f>
        <v/>
      </c>
      <c r="H2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2" s="70"/>
      <c r="J22" s="16" t="str">
        <f>IF(堀江ファイブ4000[[#This Row],[人数]]="","",VLOOKUP(堀江ファイブ4000[[#This Row],[人数]],バック金額②[#All],2,TRUE)-(堀江ファイブ4000[[#This Row],[キャンセル人数]]*$B$2))</f>
        <v/>
      </c>
      <c r="L22" s="63">
        <f t="shared" si="1"/>
        <v>44852</v>
      </c>
      <c r="M22" s="13"/>
      <c r="N22" s="14"/>
      <c r="O22" s="15"/>
      <c r="P22" s="15"/>
      <c r="Q2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2" s="16" t="str">
        <f>IFERROR(($M$3*堀江ファイブ3500[[#This Row],[人数]])-堀江ファイブ3500[[#This Row],[単価合計]]-(堀江ファイブ3500[[#This Row],[キャンセル人数]]*$B$2),"")</f>
        <v/>
      </c>
      <c r="S2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2" s="70"/>
      <c r="U22" s="16" t="str">
        <f>IF(堀江ファイブ3500[[#This Row],[人数]]="","",VLOOKUP(堀江ファイブ3500[[#This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3" s="16" t="str">
        <f>IFERROR(($B$3*堀江ファイブ4000[[#This Row],[人数]])-堀江ファイブ4000[[#This Row],[単価合計]]-(堀江ファイブ4000[[#This Row],[キャンセル人数]]*$B$2),"")</f>
        <v/>
      </c>
      <c r="H2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3" s="70"/>
      <c r="J23" s="16" t="str">
        <f>IF(堀江ファイブ4000[[#This Row],[人数]]="","",VLOOKUP(堀江ファイブ4000[[#This Row],[人数]],バック金額②[#All],2,TRUE)-(堀江ファイブ4000[[#This Row],[キャンセル人数]]*$B$2))</f>
        <v/>
      </c>
      <c r="L23" s="63">
        <f t="shared" si="1"/>
        <v>44853</v>
      </c>
      <c r="M23" s="13"/>
      <c r="N23" s="14"/>
      <c r="O23" s="15"/>
      <c r="P23" s="15"/>
      <c r="Q2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3" s="16" t="str">
        <f>IFERROR(($M$3*堀江ファイブ3500[[#This Row],[人数]])-堀江ファイブ3500[[#This Row],[単価合計]]-(堀江ファイブ3500[[#This Row],[キャンセル人数]]*$B$2),"")</f>
        <v/>
      </c>
      <c r="S2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3" s="70"/>
      <c r="U23" s="16" t="str">
        <f>IF(堀江ファイブ3500[[#This Row],[人数]]="","",VLOOKUP(堀江ファイブ3500[[#This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4" s="16" t="str">
        <f>IFERROR(($B$3*堀江ファイブ4000[[#This Row],[人数]])-堀江ファイブ4000[[#This Row],[単価合計]]-(堀江ファイブ4000[[#This Row],[キャンセル人数]]*$B$2),"")</f>
        <v/>
      </c>
      <c r="H2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4" s="70"/>
      <c r="J24" s="16" t="str">
        <f>IF(堀江ファイブ4000[[#This Row],[人数]]="","",VLOOKUP(堀江ファイブ4000[[#This Row],[人数]],バック金額②[#All],2,TRUE)-(堀江ファイブ4000[[#This Row],[キャンセル人数]]*$B$2))</f>
        <v/>
      </c>
      <c r="L24" s="63">
        <f t="shared" si="1"/>
        <v>44854</v>
      </c>
      <c r="M24" s="13"/>
      <c r="N24" s="14"/>
      <c r="O24" s="15"/>
      <c r="P24" s="15"/>
      <c r="Q2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4" s="16" t="str">
        <f>IFERROR(($M$3*堀江ファイブ3500[[#This Row],[人数]])-堀江ファイブ3500[[#This Row],[単価合計]]-(堀江ファイブ3500[[#This Row],[キャンセル人数]]*$B$2),"")</f>
        <v/>
      </c>
      <c r="S2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4" s="70"/>
      <c r="U24" s="16" t="str">
        <f>IF(堀江ファイブ3500[[#This Row],[人数]]="","",VLOOKUP(堀江ファイブ3500[[#This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5" s="16" t="str">
        <f>IFERROR(($B$3*堀江ファイブ4000[[#This Row],[人数]])-堀江ファイブ4000[[#This Row],[単価合計]]-(堀江ファイブ4000[[#This Row],[キャンセル人数]]*$B$2),"")</f>
        <v/>
      </c>
      <c r="H2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5" s="70"/>
      <c r="J25" s="16" t="str">
        <f>IF(堀江ファイブ4000[[#This Row],[人数]]="","",VLOOKUP(堀江ファイブ4000[[#This Row],[人数]],バック金額②[#All],2,TRUE)-(堀江ファイブ4000[[#This Row],[キャンセル人数]]*$B$2))</f>
        <v/>
      </c>
      <c r="L25" s="63">
        <f t="shared" si="1"/>
        <v>44855</v>
      </c>
      <c r="M25" s="13"/>
      <c r="N25" s="14"/>
      <c r="O25" s="15"/>
      <c r="P25" s="15"/>
      <c r="Q2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5" s="16" t="str">
        <f>IFERROR(($M$3*堀江ファイブ3500[[#This Row],[人数]])-堀江ファイブ3500[[#This Row],[単価合計]]-(堀江ファイブ3500[[#This Row],[キャンセル人数]]*$B$2),"")</f>
        <v/>
      </c>
      <c r="S2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5" s="70"/>
      <c r="U25" s="16" t="str">
        <f>IF(堀江ファイブ3500[[#This Row],[人数]]="","",VLOOKUP(堀江ファイブ3500[[#This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6" s="16" t="str">
        <f>IFERROR(($B$3*堀江ファイブ4000[[#This Row],[人数]])-堀江ファイブ4000[[#This Row],[単価合計]]-(堀江ファイブ4000[[#This Row],[キャンセル人数]]*$B$2),"")</f>
        <v/>
      </c>
      <c r="H26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6" s="70"/>
      <c r="J26" s="16" t="str">
        <f>IF(堀江ファイブ4000[[#This Row],[人数]]="","",VLOOKUP(堀江ファイブ4000[[#This Row],[人数]],バック金額②[#All],2,TRUE)-(堀江ファイブ4000[[#This Row],[キャンセル人数]]*$B$2))</f>
        <v/>
      </c>
      <c r="L26" s="63">
        <f t="shared" si="1"/>
        <v>44856</v>
      </c>
      <c r="M26" s="13"/>
      <c r="N26" s="14"/>
      <c r="O26" s="15"/>
      <c r="P26" s="15"/>
      <c r="Q26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6" s="16" t="str">
        <f>IFERROR(($M$3*堀江ファイブ3500[[#This Row],[人数]])-堀江ファイブ3500[[#This Row],[単価合計]]-(堀江ファイブ3500[[#This Row],[キャンセル人数]]*$B$2),"")</f>
        <v/>
      </c>
      <c r="S26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6" s="70"/>
      <c r="U26" s="16" t="str">
        <f>IF(堀江ファイブ3500[[#This Row],[人数]]="","",VLOOKUP(堀江ファイブ3500[[#This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7" s="16" t="str">
        <f>IFERROR(($B$3*堀江ファイブ4000[[#This Row],[人数]])-堀江ファイブ4000[[#This Row],[単価合計]]-(堀江ファイブ4000[[#This Row],[キャンセル人数]]*$B$2),"")</f>
        <v/>
      </c>
      <c r="H27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7" s="70"/>
      <c r="J27" s="16" t="str">
        <f>IF(堀江ファイブ4000[[#This Row],[人数]]="","",VLOOKUP(堀江ファイブ4000[[#This Row],[人数]],バック金額②[#All],2,TRUE)-(堀江ファイブ4000[[#This Row],[キャンセル人数]]*$B$2))</f>
        <v/>
      </c>
      <c r="L27" s="63">
        <f t="shared" si="1"/>
        <v>44857</v>
      </c>
      <c r="M27" s="13"/>
      <c r="N27" s="14"/>
      <c r="O27" s="15"/>
      <c r="P27" s="15"/>
      <c r="Q27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7" s="16" t="str">
        <f>IFERROR(($M$3*堀江ファイブ3500[[#This Row],[人数]])-堀江ファイブ3500[[#This Row],[単価合計]]-(堀江ファイブ3500[[#This Row],[キャンセル人数]]*$B$2),"")</f>
        <v/>
      </c>
      <c r="S27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7" s="70"/>
      <c r="U27" s="16" t="str">
        <f>IF(堀江ファイブ3500[[#This Row],[人数]]="","",VLOOKUP(堀江ファイブ3500[[#This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8" s="16" t="str">
        <f>IFERROR(($B$3*堀江ファイブ4000[[#This Row],[人数]])-堀江ファイブ4000[[#This Row],[単価合計]]-(堀江ファイブ4000[[#This Row],[キャンセル人数]]*$B$2),"")</f>
        <v/>
      </c>
      <c r="H28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8" s="70"/>
      <c r="J28" s="16" t="str">
        <f>IF(堀江ファイブ4000[[#This Row],[人数]]="","",VLOOKUP(堀江ファイブ4000[[#This Row],[人数]],バック金額②[#All],2,TRUE)-(堀江ファイブ4000[[#This Row],[キャンセル人数]]*$B$2))</f>
        <v/>
      </c>
      <c r="L28" s="63">
        <f t="shared" si="1"/>
        <v>44858</v>
      </c>
      <c r="M28" s="13"/>
      <c r="N28" s="14"/>
      <c r="O28" s="50"/>
      <c r="P28" s="15"/>
      <c r="Q28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8" s="16" t="str">
        <f>IFERROR(($M$3*堀江ファイブ3500[[#This Row],[人数]])-堀江ファイブ3500[[#This Row],[単価合計]]-(堀江ファイブ3500[[#This Row],[キャンセル人数]]*$B$2),"")</f>
        <v/>
      </c>
      <c r="S28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8" s="70"/>
      <c r="U28" s="16" t="str">
        <f>IF(堀江ファイブ3500[[#This Row],[人数]]="","",VLOOKUP(堀江ファイブ3500[[#This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29" s="16" t="str">
        <f>IFERROR(($B$3*堀江ファイブ4000[[#This Row],[人数]])-堀江ファイブ4000[[#This Row],[単価合計]]-(堀江ファイブ4000[[#This Row],[キャンセル人数]]*$B$2),"")</f>
        <v/>
      </c>
      <c r="H29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29" s="70"/>
      <c r="J29" s="16" t="str">
        <f>IF(堀江ファイブ4000[[#This Row],[人数]]="","",VLOOKUP(堀江ファイブ4000[[#This Row],[人数]],バック金額②[#All],2,TRUE)-(堀江ファイブ4000[[#This Row],[キャンセル人数]]*$B$2))</f>
        <v/>
      </c>
      <c r="L29" s="63">
        <f t="shared" si="1"/>
        <v>44859</v>
      </c>
      <c r="M29" s="13"/>
      <c r="N29" s="14"/>
      <c r="O29" s="50"/>
      <c r="P29" s="15"/>
      <c r="Q29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29" s="16" t="str">
        <f>IFERROR(($M$3*堀江ファイブ3500[[#This Row],[人数]])-堀江ファイブ3500[[#This Row],[単価合計]]-(堀江ファイブ3500[[#This Row],[キャンセル人数]]*$B$2),"")</f>
        <v/>
      </c>
      <c r="S29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29" s="70"/>
      <c r="U29" s="16" t="str">
        <f>IF(堀江ファイブ3500[[#This Row],[人数]]="","",VLOOKUP(堀江ファイブ3500[[#This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0" s="16" t="str">
        <f>IFERROR(($B$3*堀江ファイブ4000[[#This Row],[人数]])-堀江ファイブ4000[[#This Row],[単価合計]]-(堀江ファイブ4000[[#This Row],[キャンセル人数]]*$B$2),"")</f>
        <v/>
      </c>
      <c r="H30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0" s="70"/>
      <c r="J30" s="16" t="str">
        <f>IF(堀江ファイブ4000[[#This Row],[人数]]="","",VLOOKUP(堀江ファイブ4000[[#This Row],[人数]],バック金額②[#All],2,TRUE)-(堀江ファイブ4000[[#This Row],[キャンセル人数]]*$B$2))</f>
        <v/>
      </c>
      <c r="L30" s="63">
        <f t="shared" si="1"/>
        <v>44860</v>
      </c>
      <c r="M30" s="13"/>
      <c r="N30" s="14"/>
      <c r="O30" s="15"/>
      <c r="P30" s="15"/>
      <c r="Q30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0" s="16" t="str">
        <f>IFERROR(($M$3*堀江ファイブ3500[[#This Row],[人数]])-堀江ファイブ3500[[#This Row],[単価合計]]-(堀江ファイブ3500[[#This Row],[キャンセル人数]]*$B$2),"")</f>
        <v/>
      </c>
      <c r="S30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0" s="70"/>
      <c r="U30" s="16" t="str">
        <f>IF(堀江ファイブ3500[[#This Row],[人数]]="","",VLOOKUP(堀江ファイブ3500[[#This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1" s="16" t="str">
        <f>IFERROR(($B$3*堀江ファイブ4000[[#This Row],[人数]])-堀江ファイブ4000[[#This Row],[単価合計]]-(堀江ファイブ4000[[#This Row],[キャンセル人数]]*$B$2),"")</f>
        <v/>
      </c>
      <c r="H31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1" s="70"/>
      <c r="J31" s="16" t="str">
        <f>IF(堀江ファイブ4000[[#This Row],[人数]]="","",VLOOKUP(堀江ファイブ4000[[#This Row],[人数]],バック金額②[#All],2,TRUE)-(堀江ファイブ4000[[#This Row],[キャンセル人数]]*$B$2))</f>
        <v/>
      </c>
      <c r="L31" s="63">
        <f t="shared" si="1"/>
        <v>44861</v>
      </c>
      <c r="M31" s="13"/>
      <c r="N31" s="14"/>
      <c r="O31" s="15"/>
      <c r="P31" s="15"/>
      <c r="Q31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1" s="16" t="str">
        <f>IFERROR(($M$3*堀江ファイブ3500[[#This Row],[人数]])-堀江ファイブ3500[[#This Row],[単価合計]]-(堀江ファイブ3500[[#This Row],[キャンセル人数]]*$B$2),"")</f>
        <v/>
      </c>
      <c r="S31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1" s="70"/>
      <c r="U31" s="16" t="str">
        <f>IF(堀江ファイブ3500[[#This Row],[人数]]="","",VLOOKUP(堀江ファイブ3500[[#This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2" s="16" t="str">
        <f>IFERROR(($B$3*堀江ファイブ4000[[#This Row],[人数]])-堀江ファイブ4000[[#This Row],[単価合計]]-(堀江ファイブ4000[[#This Row],[キャンセル人数]]*$B$2),"")</f>
        <v/>
      </c>
      <c r="H32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2" s="70"/>
      <c r="J32" s="16" t="str">
        <f>IF(堀江ファイブ4000[[#This Row],[人数]]="","",VLOOKUP(堀江ファイブ4000[[#This Row],[人数]],バック金額②[#All],2,TRUE)-(堀江ファイブ4000[[#This Row],[キャンセル人数]]*$B$2))</f>
        <v/>
      </c>
      <c r="L32" s="63">
        <f t="shared" si="1"/>
        <v>44862</v>
      </c>
      <c r="M32" s="13"/>
      <c r="N32" s="14"/>
      <c r="O32" s="15"/>
      <c r="P32" s="15"/>
      <c r="Q32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2" s="16" t="str">
        <f>IFERROR(($M$3*堀江ファイブ3500[[#This Row],[人数]])-堀江ファイブ3500[[#This Row],[単価合計]]-(堀江ファイブ3500[[#This Row],[キャンセル人数]]*$B$2),"")</f>
        <v/>
      </c>
      <c r="S32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2" s="70"/>
      <c r="U32" s="16" t="str">
        <f>IF(堀江ファイブ3500[[#This Row],[人数]]="","",VLOOKUP(堀江ファイブ3500[[#This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3" s="16" t="str">
        <f>IFERROR(($B$3*堀江ファイブ4000[[#This Row],[人数]])-堀江ファイブ4000[[#This Row],[単価合計]]-(堀江ファイブ4000[[#This Row],[キャンセル人数]]*$B$2),"")</f>
        <v/>
      </c>
      <c r="H33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3" s="70"/>
      <c r="J33" s="16" t="str">
        <f>IF(堀江ファイブ4000[[#This Row],[人数]]="","",VLOOKUP(堀江ファイブ4000[[#This Row],[人数]],バック金額②[#All],2,TRUE)-(堀江ファイブ4000[[#This Row],[キャンセル人数]]*$B$2))</f>
        <v/>
      </c>
      <c r="L33" s="63">
        <f t="shared" si="1"/>
        <v>44863</v>
      </c>
      <c r="M33" s="13"/>
      <c r="N33" s="14"/>
      <c r="O33" s="15"/>
      <c r="P33" s="15"/>
      <c r="Q33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3" s="16" t="str">
        <f>IFERROR(($M$3*堀江ファイブ3500[[#This Row],[人数]])-堀江ファイブ3500[[#This Row],[単価合計]]-(堀江ファイブ3500[[#This Row],[キャンセル人数]]*$B$2),"")</f>
        <v/>
      </c>
      <c r="S33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3" s="70"/>
      <c r="U33" s="16" t="str">
        <f>IF(堀江ファイブ3500[[#This Row],[人数]]="","",VLOOKUP(堀江ファイブ3500[[#This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4" s="16" t="str">
        <f>IFERROR(($B$3*堀江ファイブ4000[[#This Row],[人数]])-堀江ファイブ4000[[#This Row],[単価合計]]-(堀江ファイブ4000[[#This Row],[キャンセル人数]]*$B$2),"")</f>
        <v/>
      </c>
      <c r="H34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4" s="70"/>
      <c r="J34" s="16" t="str">
        <f>IF(堀江ファイブ4000[[#This Row],[人数]]="","",VLOOKUP(堀江ファイブ4000[[#This Row],[人数]],バック金額②[#All],2,TRUE)-(堀江ファイブ4000[[#This Row],[キャンセル人数]]*$B$2))</f>
        <v/>
      </c>
      <c r="L34" s="63">
        <f t="shared" si="1"/>
        <v>44864</v>
      </c>
      <c r="M34" s="13"/>
      <c r="N34" s="14"/>
      <c r="O34" s="15"/>
      <c r="P34" s="15"/>
      <c r="Q34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4" s="16" t="str">
        <f>IFERROR(($M$3*堀江ファイブ3500[[#This Row],[人数]])-堀江ファイブ3500[[#This Row],[単価合計]]-(堀江ファイブ3500[[#This Row],[キャンセル人数]]*$B$2),"")</f>
        <v/>
      </c>
      <c r="S34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4" s="70"/>
      <c r="U34" s="16" t="str">
        <f>IF(堀江ファイブ3500[[#This Row],[人数]]="","",VLOOKUP(堀江ファイブ3500[[#This Row],[人数]],バック金額②[#All],2,TRUE))</f>
        <v/>
      </c>
    </row>
    <row r="35" spans="1:21">
      <c r="A35" s="74">
        <f t="shared" si="0"/>
        <v>44865</v>
      </c>
      <c r="B35" s="17"/>
      <c r="C35" s="18"/>
      <c r="D35" s="19"/>
      <c r="E35" s="19"/>
      <c r="F35" s="16" t="str">
        <f>IF(堀江ファイブ4000[[#This Row],[人数]]="","",IF(堀江ファイブ4000[[#This Row],[人数]]&lt;=7,$B$1*堀江ファイブ4000[[#This Row],[人数]],$B$1*堀江ファイブ4000[[#This Row],[人数]]-堀江ファイブ4000[[#This Row],[幹事無料]]))</f>
        <v/>
      </c>
      <c r="G35" s="16" t="str">
        <f>IFERROR(($B$3*堀江ファイブ4000[[#This Row],[人数]])-堀江ファイブ4000[[#This Row],[単価合計]]-(堀江ファイブ4000[[#This Row],[キャンセル人数]]*$B$2),"")</f>
        <v/>
      </c>
      <c r="H35" s="16" t="str">
        <f>IF(堀江ファイブ4000[[#This Row],[人数]]=0,"",IF(堀江ファイブ4000[[#This Row],[人数]]&lt;=7,"",IF(堀江ファイブ4000[[#This Row],[人数]]&lt;=15,$B$1,IF(堀江ファイブ4000[[#This Row],[人数]]&lt;=23,$B$1*2,IF(堀江ファイブ4000[[#This Row],[人数]]&lt;=31,$B$1*3,IF(堀江ファイブ4000[[#This Row],[人数]]&lt;=39,$B$1*4,""))))))</f>
        <v/>
      </c>
      <c r="I35" s="70"/>
      <c r="J35" s="16" t="str">
        <f>IF(堀江ファイブ4000[[#This Row],[人数]]="","",VLOOKUP(堀江ファイブ4000[[#This Row],[人数]],バック金額②[#All],2,TRUE)-(堀江ファイブ4000[[#This Row],[キャンセル人数]]*$B$2))</f>
        <v/>
      </c>
      <c r="L35" s="74">
        <f t="shared" si="1"/>
        <v>44865</v>
      </c>
      <c r="M35" s="17"/>
      <c r="N35" s="18"/>
      <c r="O35" s="19"/>
      <c r="P35" s="19"/>
      <c r="Q35" s="16" t="str">
        <f>IF(堀江ファイブ3500[[#This Row],[人数]]="","",IF(堀江ファイブ3500[[#This Row],[人数]]&lt;=7,$B$1*堀江ファイブ3500[[#This Row],[人数]],$B$1*堀江ファイブ3500[[#This Row],[人数]]-堀江ファイブ3500[[#This Row],[幹事無料]]))</f>
        <v/>
      </c>
      <c r="R35" s="16" t="str">
        <f>IFERROR(($M$3*堀江ファイブ3500[[#This Row],[人数]])-堀江ファイブ3500[[#This Row],[単価合計]]-(堀江ファイブ3500[[#This Row],[キャンセル人数]]*$B$2),"")</f>
        <v/>
      </c>
      <c r="S35" s="16" t="str">
        <f>IF(堀江ファイブ3500[[#This Row],[人数]]=0,"",IF(堀江ファイブ3500[[#This Row],[人数]]&lt;=7,"",IF(堀江ファイブ3500[[#This Row],[人数]]&lt;=15,$B$1,IF(堀江ファイブ3500[[#This Row],[人数]]&lt;=23,$B$1*2,IF(堀江ファイブ3500[[#This Row],[人数]]&lt;=31,$B$1*3,IF(堀江ファイブ3500[[#This Row],[人数]]&lt;=39,$B$1*4,""))))))</f>
        <v/>
      </c>
      <c r="T35" s="70"/>
      <c r="U35" s="16" t="str">
        <f>IF(堀江ファイブ3500[[#This Row],[人数]]="","",VLOOKUP(堀江ファイブ3500[[#This Row],[人数]],バック金額②[#All],2,TRUE))</f>
        <v/>
      </c>
    </row>
    <row r="36" spans="1:21">
      <c r="A36" s="6" t="s">
        <v>211</v>
      </c>
      <c r="B36" s="16">
        <f>SUM(堀江ファイブ4000[[#All],[件数]])</f>
        <v>0</v>
      </c>
      <c r="C36" s="6"/>
      <c r="D36" s="16">
        <f>SUM(堀江ファイブ4000[[#All],[人数]])</f>
        <v>0</v>
      </c>
      <c r="E36" s="16">
        <f>SUM(堀江ファイブ4000[[#All],[Aパターン]])</f>
        <v>0</v>
      </c>
      <c r="F36" s="16">
        <f>SUM(堀江ファイブ4000[[#All],[単価合計]])</f>
        <v>0</v>
      </c>
      <c r="G36" s="16">
        <f>SUM(堀江ファイブ4000[[#All],[ゆうき取りに行く]])</f>
        <v>0</v>
      </c>
      <c r="H36" s="16"/>
      <c r="I36" s="16"/>
      <c r="J36" s="16">
        <f>SUM(堀江ファイブ4000[[#All],[イベンターへ]])</f>
        <v>0</v>
      </c>
      <c r="L36" s="6" t="s">
        <v>211</v>
      </c>
      <c r="M36" s="16">
        <f>SUM(堀江ファイブ3500[[#All],[件数]])</f>
        <v>0</v>
      </c>
      <c r="N36" s="6"/>
      <c r="O36" s="16">
        <f>SUM(堀江ファイブ3500[[#All],[人数]])</f>
        <v>0</v>
      </c>
      <c r="P36" s="16">
        <f>SUM(堀江ファイブ3500[[#All],[Aパターン]])</f>
        <v>0</v>
      </c>
      <c r="Q36" s="16">
        <f>SUM(堀江ファイブ3500[[#All],[単価合計]])</f>
        <v>0</v>
      </c>
      <c r="R36" s="16">
        <f>SUM(堀江ファイブ3500[[#All],[ゆうき取りに行く]])</f>
        <v>0</v>
      </c>
      <c r="S36" s="16"/>
      <c r="T36" s="16"/>
      <c r="U36" s="16">
        <f>SUM(堀江ファイブ3500[[#All],[イベンターへ]])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7087-0814-476B-A52E-F7C200BB82F5}">
  <sheetPr codeName="Sheet6"/>
  <dimension ref="A1:U37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243</v>
      </c>
      <c r="H1" s="93" t="s">
        <v>522</v>
      </c>
    </row>
    <row r="2" spans="1:21">
      <c r="A2" s="46" t="s">
        <v>372</v>
      </c>
      <c r="B2" s="8">
        <v>1300</v>
      </c>
      <c r="E2" s="46" t="s">
        <v>562</v>
      </c>
      <c r="F2" s="9">
        <f>$B$1*($D$37-$E$37)</f>
        <v>80000</v>
      </c>
      <c r="H2" s="93" t="s">
        <v>564</v>
      </c>
    </row>
    <row r="3" spans="1:21">
      <c r="A3" s="46" t="s">
        <v>376</v>
      </c>
      <c r="B3" s="8">
        <v>4000</v>
      </c>
      <c r="E3" s="46"/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7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>
        <v>1</v>
      </c>
      <c r="C5" s="14">
        <v>64</v>
      </c>
      <c r="D5" s="15">
        <v>8</v>
      </c>
      <c r="E5" s="15">
        <v>1</v>
      </c>
      <c r="F5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5" s="16">
        <f>IFERROR(($B$3*北新地ファイブ4000[[#This Row],[人数]])-北新地ファイブ4000[[#This Row],[単価合計]]-(北新地ファイブ4000[[#This Row],[キャンセル人数]]*$B$2),"")</f>
        <v>14500</v>
      </c>
      <c r="H5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5" s="70"/>
      <c r="J5" s="16">
        <f>IF(北新地ファイブ4000[[#This Row],[人数]]="","",VLOOKUP(北新地ファイブ4000[[#This Row],[人数]],バック金額②[#All],2,TRUE))</f>
        <v>9000</v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5" s="16" t="str">
        <f>IFERROR(($M$3*北新地ファイブ3500[[#This Row],[人数]])-北新地ファイブ3500[[#This Row],[単価合計]]-(北新地ファイブ3500[[#This Row],[キャンセル人数]]*$B$2),"")</f>
        <v/>
      </c>
      <c r="S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5" s="70"/>
      <c r="U5" s="16" t="str">
        <f>IF(北新地ファイブ3500[[#This Row],[人数]]="","",VLOOKUP(北新地ファイブ3500[[#This Row],[人数]],バック金額②[#All],2,TRUE))</f>
        <v/>
      </c>
    </row>
    <row r="6" spans="1:21">
      <c r="A6" s="63">
        <v>44835</v>
      </c>
      <c r="B6" s="13">
        <v>1</v>
      </c>
      <c r="C6" s="14">
        <v>0</v>
      </c>
      <c r="D6" s="15">
        <v>5</v>
      </c>
      <c r="E6" s="15"/>
      <c r="F6" s="114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12500</v>
      </c>
      <c r="G6" s="114">
        <f>IFERROR(($B$3*北新地ファイブ4000[[#This Row],[人数]])-北新地ファイブ4000[[#This Row],[単価合計]]-(北新地ファイブ4000[[#This Row],[キャンセル人数]]*$B$2),"")</f>
        <v>7500</v>
      </c>
      <c r="H6" s="114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6" s="147"/>
      <c r="J6" s="114">
        <f>IF(北新地ファイブ4000[[#This Row],[人数]]="","",VLOOKUP(北新地ファイブ4000[[#This Row],[人数]],バック金額②[#All],2,TRUE))</f>
        <v>5000</v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6" s="16" t="str">
        <f>IFERROR(($M$3*北新地ファイブ3500[[#This Row],[人数]])-北新地ファイブ3500[[#This Row],[単価合計]]-(北新地ファイブ3500[[#This Row],[キャンセル人数]]*$B$2),"")</f>
        <v/>
      </c>
      <c r="S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6" s="70"/>
      <c r="U6" s="16" t="str">
        <f>IF(北新地ファイブ3500[[#This Row],[人数]]="","",VLOOKUP(北新地ファイブ3500[[#This Row],[人数]],バック金額②[#All],2,TRUE))</f>
        <v/>
      </c>
    </row>
    <row r="7" spans="1:21">
      <c r="A7" s="63">
        <f>IFERROR(IF(DATE(YEAR($A$5),MONTH($A$5),DAY($A$5))=DATE(YEAR(A5),MONTH(A5),DAY(A5+1)),"",DATE(YEAR(A5),MONTH(A5),DAY(A5+1))),"")</f>
        <v>44836</v>
      </c>
      <c r="B7" s="13"/>
      <c r="C7" s="14"/>
      <c r="D7" s="15"/>
      <c r="E7" s="15"/>
      <c r="F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7" s="16" t="str">
        <f>IFERROR(($B$3*北新地ファイブ4000[[#This Row],[人数]])-北新地ファイブ4000[[#This Row],[単価合計]]-(北新地ファイブ4000[[#This Row],[キャンセル人数]]*$B$2),"")</f>
        <v/>
      </c>
      <c r="H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7" s="70"/>
      <c r="J7" s="16" t="str">
        <f>IF(北新地ファイブ4000[[#This Row],[人数]]="","",VLOOKUP(北新地ファイブ4000[[#This Row],[人数]],バック金額②[#All],2,TRUE))</f>
        <v/>
      </c>
      <c r="L7" s="63">
        <f t="shared" ref="L7:L35" si="0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7" s="16" t="str">
        <f>IFERROR(($M$3*北新地ファイブ3500[[#This Row],[人数]])-北新地ファイブ3500[[#This Row],[単価合計]]-(北新地ファイブ3500[[#This Row],[キャンセル人数]]*$B$2),"")</f>
        <v/>
      </c>
      <c r="S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7" s="70"/>
      <c r="U7" s="16" t="str">
        <f>IF(北新地ファイブ3500[[#This Row],[人数]]="","",VLOOKUP(北新地ファイブ3500[[#This Row],[人数]],バック金額②[#All],2,TRUE))</f>
        <v/>
      </c>
    </row>
    <row r="8" spans="1:21">
      <c r="A8" s="63">
        <f t="shared" ref="A8:A36" si="1">IFERROR(IF(DATE(YEAR($A$5),MONTH($A$5),DAY($A$5))=DATE(YEAR(A7),MONTH(A7),DAY(A7+1)),"",DATE(YEAR(A7),MONTH(A7),DAY(A7+1))),"")</f>
        <v>44837</v>
      </c>
      <c r="B8" s="13"/>
      <c r="C8" s="14"/>
      <c r="D8" s="15"/>
      <c r="E8" s="15"/>
      <c r="F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8" s="16" t="str">
        <f>IFERROR(($B$3*北新地ファイブ4000[[#This Row],[人数]])-北新地ファイブ4000[[#This Row],[単価合計]]-(北新地ファイブ4000[[#This Row],[キャンセル人数]]*$B$2),"")</f>
        <v/>
      </c>
      <c r="H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8" s="70"/>
      <c r="J8" s="16" t="str">
        <f>IF(北新地ファイブ4000[[#This Row],[人数]]="","",VLOOKUP(北新地ファイブ4000[[#This Row],[人数]],バック金額②[#All],2,TRUE))</f>
        <v/>
      </c>
      <c r="L8" s="63">
        <f t="shared" si="0"/>
        <v>44838</v>
      </c>
      <c r="M8" s="13"/>
      <c r="N8" s="14"/>
      <c r="O8" s="15"/>
      <c r="P8" s="15"/>
      <c r="Q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8" s="16" t="str">
        <f>IFERROR(($M$3*北新地ファイブ3500[[#This Row],[人数]])-北新地ファイブ3500[[#This Row],[単価合計]]-(北新地ファイブ3500[[#This Row],[キャンセル人数]]*$B$2),"")</f>
        <v/>
      </c>
      <c r="S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8" s="70"/>
      <c r="U8" s="16" t="str">
        <f>IF(北新地ファイブ3500[[#This Row],[人数]]="","",VLOOKUP(北新地ファイブ3500[[#This Row],[人数]],バック金額②[#All],2,TRUE))</f>
        <v/>
      </c>
    </row>
    <row r="9" spans="1:21">
      <c r="A9" s="63">
        <f t="shared" si="1"/>
        <v>44838</v>
      </c>
      <c r="B9" s="13"/>
      <c r="C9" s="14"/>
      <c r="D9" s="15"/>
      <c r="E9" s="15"/>
      <c r="F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9" s="16" t="str">
        <f>IFERROR(($B$3*北新地ファイブ4000[[#This Row],[人数]])-北新地ファイブ4000[[#This Row],[単価合計]]-(北新地ファイブ4000[[#This Row],[キャンセル人数]]*$B$2),"")</f>
        <v/>
      </c>
      <c r="H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9" s="70"/>
      <c r="J9" s="16" t="str">
        <f>IF(北新地ファイブ4000[[#This Row],[人数]]="","",VLOOKUP(北新地ファイブ4000[[#This Row],[人数]],バック金額②[#All],2,TRUE))</f>
        <v/>
      </c>
      <c r="L9" s="63">
        <f t="shared" si="0"/>
        <v>44839</v>
      </c>
      <c r="M9" s="13"/>
      <c r="N9" s="14"/>
      <c r="O9" s="15"/>
      <c r="P9" s="15"/>
      <c r="Q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9" s="16" t="str">
        <f>IFERROR(($M$3*北新地ファイブ3500[[#This Row],[人数]])-北新地ファイブ3500[[#This Row],[単価合計]]-(北新地ファイブ3500[[#This Row],[キャンセル人数]]*$B$2),"")</f>
        <v/>
      </c>
      <c r="S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9" s="70"/>
      <c r="U9" s="16" t="str">
        <f>IF(北新地ファイブ3500[[#This Row],[人数]]="","",VLOOKUP(北新地ファイブ3500[[#This Row],[人数]],バック金額②[#All],2,TRUE))</f>
        <v/>
      </c>
    </row>
    <row r="10" spans="1:21">
      <c r="A10" s="63">
        <f>IFERROR(IF(DATE(YEAR($A$5),MONTH($A$5),DAY($A$5))=DATE(YEAR(A9),MONTH(A9),DAY(A9+1)),"",DATE(YEAR(A9),MONTH(A9),DAY(A9+1))),"")</f>
        <v>44839</v>
      </c>
      <c r="B10" s="13"/>
      <c r="C10" s="14"/>
      <c r="D10" s="15"/>
      <c r="E10" s="15"/>
      <c r="F1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0" s="16" t="str">
        <f>IFERROR(($B$3*北新地ファイブ4000[[#This Row],[人数]])-北新地ファイブ4000[[#This Row],[単価合計]]-(北新地ファイブ4000[[#This Row],[キャンセル人数]]*$B$2),"")</f>
        <v/>
      </c>
      <c r="H1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0" s="70"/>
      <c r="J10" s="16" t="str">
        <f>IF(北新地ファイブ4000[[#This Row],[人数]]="","",VLOOKUP(北新地ファイブ4000[[#This Row],[人数]],バック金額②[#All],2,TRUE))</f>
        <v/>
      </c>
      <c r="L10" s="63">
        <f t="shared" si="0"/>
        <v>44840</v>
      </c>
      <c r="M10" s="13"/>
      <c r="N10" s="14"/>
      <c r="O10" s="15"/>
      <c r="P10" s="15"/>
      <c r="Q1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0" s="16" t="str">
        <f>IFERROR(($M$3*北新地ファイブ3500[[#This Row],[人数]])-北新地ファイブ3500[[#This Row],[単価合計]]-(北新地ファイブ3500[[#This Row],[キャンセル人数]]*$B$2),"")</f>
        <v/>
      </c>
      <c r="S1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0" s="70"/>
      <c r="U10" s="16" t="str">
        <f>IF(北新地ファイブ3500[[#This Row],[人数]]="","",VLOOKUP(北新地ファイブ3500[[#This Row],[人数]],バック金額②[#All],2,TRUE))</f>
        <v/>
      </c>
    </row>
    <row r="11" spans="1:21">
      <c r="A11" s="63">
        <f t="shared" si="1"/>
        <v>44840</v>
      </c>
      <c r="B11" s="13"/>
      <c r="C11" s="14"/>
      <c r="D11" s="15"/>
      <c r="E11" s="15"/>
      <c r="F1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1" s="16" t="str">
        <f>IFERROR(($B$3*北新地ファイブ4000[[#This Row],[人数]])-北新地ファイブ4000[[#This Row],[単価合計]]-(北新地ファイブ4000[[#This Row],[キャンセル人数]]*$B$2),"")</f>
        <v/>
      </c>
      <c r="H1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1" s="70"/>
      <c r="J11" s="16" t="str">
        <f>IF(北新地ファイブ4000[[#This Row],[人数]]="","",VLOOKUP(北新地ファイブ4000[[#This Row],[人数]],バック金額②[#All],2,TRUE))</f>
        <v/>
      </c>
      <c r="L11" s="63">
        <f t="shared" si="0"/>
        <v>44841</v>
      </c>
      <c r="M11" s="13"/>
      <c r="N11" s="14"/>
      <c r="O11" s="15"/>
      <c r="P11" s="15"/>
      <c r="Q1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1" s="16" t="str">
        <f>IFERROR(($M$3*北新地ファイブ3500[[#This Row],[人数]])-北新地ファイブ3500[[#This Row],[単価合計]]-(北新地ファイブ3500[[#This Row],[キャンセル人数]]*$B$2),"")</f>
        <v/>
      </c>
      <c r="S1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1" s="70"/>
      <c r="U11" s="16" t="str">
        <f>IF(北新地ファイブ3500[[#This Row],[人数]]="","",VLOOKUP(北新地ファイブ3500[[#This Row],[人数]],バック金額②[#All],2,TRUE))</f>
        <v/>
      </c>
    </row>
    <row r="12" spans="1:21">
      <c r="A12" s="63">
        <f t="shared" si="1"/>
        <v>44841</v>
      </c>
      <c r="B12" s="13">
        <v>1</v>
      </c>
      <c r="C12" s="14">
        <v>0</v>
      </c>
      <c r="D12" s="15">
        <v>8</v>
      </c>
      <c r="E12" s="15">
        <v>1</v>
      </c>
      <c r="F12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12" s="16">
        <f>IFERROR(($B$3*北新地ファイブ4000[[#This Row],[人数]])-北新地ファイブ4000[[#This Row],[単価合計]]-(北新地ファイブ4000[[#This Row],[キャンセル人数]]*$B$2),"")</f>
        <v>14500</v>
      </c>
      <c r="H12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12" s="70"/>
      <c r="J12" s="16">
        <f>IF(北新地ファイブ4000[[#This Row],[人数]]="","",VLOOKUP(北新地ファイブ4000[[#This Row],[人数]],バック金額②[#All],2,TRUE))</f>
        <v>9000</v>
      </c>
      <c r="L12" s="63">
        <f t="shared" si="0"/>
        <v>44842</v>
      </c>
      <c r="M12" s="13"/>
      <c r="N12" s="14"/>
      <c r="O12" s="15"/>
      <c r="P12" s="15"/>
      <c r="Q1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2" s="16" t="str">
        <f>IFERROR(($M$3*北新地ファイブ3500[[#This Row],[人数]])-北新地ファイブ3500[[#This Row],[単価合計]]-(北新地ファイブ3500[[#This Row],[キャンセル人数]]*$B$2),"")</f>
        <v/>
      </c>
      <c r="S1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2" s="70"/>
      <c r="U12" s="16" t="str">
        <f>IF(北新地ファイブ3500[[#This Row],[人数]]="","",VLOOKUP(北新地ファイブ3500[[#This Row],[人数]],バック金額②[#All],2,TRUE))</f>
        <v/>
      </c>
    </row>
    <row r="13" spans="1:21">
      <c r="A13" s="63">
        <f t="shared" si="1"/>
        <v>44842</v>
      </c>
      <c r="B13" s="13"/>
      <c r="C13" s="14"/>
      <c r="D13" s="15"/>
      <c r="E13" s="15"/>
      <c r="F1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3" s="16" t="str">
        <f>IFERROR(($B$3*北新地ファイブ4000[[#This Row],[人数]])-北新地ファイブ4000[[#This Row],[単価合計]]-(北新地ファイブ4000[[#This Row],[キャンセル人数]]*$B$2),"")</f>
        <v/>
      </c>
      <c r="H1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3" s="70"/>
      <c r="J13" s="16" t="str">
        <f>IF(北新地ファイブ4000[[#This Row],[人数]]="","",VLOOKUP(北新地ファイブ4000[[#This Row],[人数]],バック金額②[#All],2,TRUE))</f>
        <v/>
      </c>
      <c r="L13" s="63">
        <f t="shared" si="0"/>
        <v>44843</v>
      </c>
      <c r="M13" s="13"/>
      <c r="N13" s="14"/>
      <c r="O13" s="15"/>
      <c r="P13" s="15"/>
      <c r="Q1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3" s="16" t="str">
        <f>IFERROR(($M$3*北新地ファイブ3500[[#This Row],[人数]])-北新地ファイブ3500[[#This Row],[単価合計]]-(北新地ファイブ3500[[#This Row],[キャンセル人数]]*$B$2),"")</f>
        <v/>
      </c>
      <c r="S1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3" s="70"/>
      <c r="U13" s="16" t="str">
        <f>IF(北新地ファイブ3500[[#This Row],[人数]]="","",VLOOKUP(北新地ファイブ3500[[#This Row],[人数]],バック金額②[#All],2,TRUE))</f>
        <v/>
      </c>
    </row>
    <row r="14" spans="1:21">
      <c r="A14" s="63">
        <f t="shared" si="1"/>
        <v>44843</v>
      </c>
      <c r="B14" s="13"/>
      <c r="C14" s="14"/>
      <c r="D14" s="15"/>
      <c r="E14" s="15"/>
      <c r="F1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4" s="16" t="str">
        <f>IFERROR(($B$3*北新地ファイブ4000[[#This Row],[人数]])-北新地ファイブ4000[[#This Row],[単価合計]]-(北新地ファイブ4000[[#This Row],[キャンセル人数]]*$B$2),"")</f>
        <v/>
      </c>
      <c r="H1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4" s="70"/>
      <c r="J14" s="16" t="str">
        <f>IF(北新地ファイブ4000[[#This Row],[人数]]="","",VLOOKUP(北新地ファイブ4000[[#This Row],[人数]],バック金額②[#All],2,TRUE))</f>
        <v/>
      </c>
      <c r="L14" s="63">
        <f t="shared" si="0"/>
        <v>44844</v>
      </c>
      <c r="M14" s="13"/>
      <c r="N14" s="14"/>
      <c r="O14" s="15"/>
      <c r="P14" s="15"/>
      <c r="Q1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4" s="16" t="str">
        <f>IFERROR(($M$3*北新地ファイブ3500[[#This Row],[人数]])-北新地ファイブ3500[[#This Row],[単価合計]]-(北新地ファイブ3500[[#This Row],[キャンセル人数]]*$B$2),"")</f>
        <v/>
      </c>
      <c r="S1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4" s="70"/>
      <c r="U14" s="16" t="str">
        <f>IF(北新地ファイブ3500[[#This Row],[人数]]="","",VLOOKUP(北新地ファイブ3500[[#This Row],[人数]],バック金額②[#All],2,TRUE))</f>
        <v/>
      </c>
    </row>
    <row r="15" spans="1:21">
      <c r="A15" s="63">
        <f t="shared" si="1"/>
        <v>44844</v>
      </c>
      <c r="B15" s="13"/>
      <c r="C15" s="14"/>
      <c r="D15" s="15"/>
      <c r="E15" s="15"/>
      <c r="F1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5" s="16" t="str">
        <f>IFERROR(($B$3*北新地ファイブ4000[[#This Row],[人数]])-北新地ファイブ4000[[#This Row],[単価合計]]-(北新地ファイブ4000[[#This Row],[キャンセル人数]]*$B$2),"")</f>
        <v/>
      </c>
      <c r="H1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5" s="70"/>
      <c r="J15" s="16" t="str">
        <f>IF(北新地ファイブ4000[[#This Row],[人数]]="","",VLOOKUP(北新地ファイブ4000[[#This Row],[人数]],バック金額②[#All],2,TRUE))</f>
        <v/>
      </c>
      <c r="L15" s="63">
        <f t="shared" si="0"/>
        <v>44845</v>
      </c>
      <c r="M15" s="13"/>
      <c r="N15" s="14"/>
      <c r="O15" s="15"/>
      <c r="P15" s="15"/>
      <c r="Q1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5" s="16" t="str">
        <f>IFERROR(($M$3*北新地ファイブ3500[[#This Row],[人数]])-北新地ファイブ3500[[#This Row],[単価合計]]-(北新地ファイブ3500[[#This Row],[キャンセル人数]]*$B$2),"")</f>
        <v/>
      </c>
      <c r="S1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5" s="70"/>
      <c r="U15" s="16" t="str">
        <f>IF(北新地ファイブ3500[[#This Row],[人数]]="","",VLOOKUP(北新地ファイブ3500[[#This Row],[人数]],バック金額②[#All],2,TRUE))</f>
        <v/>
      </c>
    </row>
    <row r="16" spans="1:21">
      <c r="A16" s="63">
        <f t="shared" si="1"/>
        <v>44845</v>
      </c>
      <c r="B16" s="13"/>
      <c r="C16" s="14"/>
      <c r="D16" s="15"/>
      <c r="E16" s="15"/>
      <c r="F1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6" s="16" t="str">
        <f>IFERROR(($B$3*北新地ファイブ4000[[#This Row],[人数]])-北新地ファイブ4000[[#This Row],[単価合計]]-(北新地ファイブ4000[[#This Row],[キャンセル人数]]*$B$2),"")</f>
        <v/>
      </c>
      <c r="H1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6" s="70"/>
      <c r="J16" s="16" t="str">
        <f>IF(北新地ファイブ4000[[#This Row],[人数]]="","",VLOOKUP(北新地ファイブ4000[[#This Row],[人数]],バック金額②[#All],2,TRUE))</f>
        <v/>
      </c>
      <c r="L16" s="63">
        <f t="shared" si="0"/>
        <v>44846</v>
      </c>
      <c r="M16" s="13"/>
      <c r="N16" s="14"/>
      <c r="O16" s="15"/>
      <c r="P16" s="15"/>
      <c r="Q1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6" s="16" t="str">
        <f>IFERROR(($M$3*北新地ファイブ3500[[#This Row],[人数]])-北新地ファイブ3500[[#This Row],[単価合計]]-(北新地ファイブ3500[[#This Row],[キャンセル人数]]*$B$2),"")</f>
        <v/>
      </c>
      <c r="S1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6" s="70"/>
      <c r="U16" s="16" t="str">
        <f>IF(北新地ファイブ3500[[#This Row],[人数]]="","",VLOOKUP(北新地ファイブ3500[[#This Row],[人数]],バック金額②[#All],2,TRUE))</f>
        <v/>
      </c>
    </row>
    <row r="17" spans="1:21">
      <c r="A17" s="63">
        <f t="shared" si="1"/>
        <v>44846</v>
      </c>
      <c r="B17" s="13"/>
      <c r="C17" s="53"/>
      <c r="D17" s="15"/>
      <c r="E17" s="15"/>
      <c r="F1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7" s="16" t="str">
        <f>IFERROR(($B$3*北新地ファイブ4000[[#This Row],[人数]])-北新地ファイブ4000[[#This Row],[単価合計]]-(北新地ファイブ4000[[#This Row],[キャンセル人数]]*$B$2),"")</f>
        <v/>
      </c>
      <c r="H1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7" s="70"/>
      <c r="J17" s="16" t="str">
        <f>IF(北新地ファイブ4000[[#This Row],[人数]]="","",VLOOKUP(北新地ファイブ4000[[#This Row],[人数]],バック金額②[#All],2,TRUE))</f>
        <v/>
      </c>
      <c r="L17" s="63">
        <f t="shared" si="0"/>
        <v>44847</v>
      </c>
      <c r="M17" s="13"/>
      <c r="N17" s="14"/>
      <c r="O17" s="15"/>
      <c r="P17" s="15"/>
      <c r="Q1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7" s="16" t="str">
        <f>IFERROR(($M$3*北新地ファイブ3500[[#This Row],[人数]])-北新地ファイブ3500[[#This Row],[単価合計]]-(北新地ファイブ3500[[#This Row],[キャンセル人数]]*$B$2),"")</f>
        <v/>
      </c>
      <c r="S1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7" s="70"/>
      <c r="U17" s="16" t="str">
        <f>IF(北新地ファイブ3500[[#This Row],[人数]]="","",VLOOKUP(北新地ファイブ3500[[#This Row],[人数]],バック金額②[#All],2,TRUE))</f>
        <v/>
      </c>
    </row>
    <row r="18" spans="1:21">
      <c r="A18" s="63">
        <f t="shared" si="1"/>
        <v>44847</v>
      </c>
      <c r="B18" s="13"/>
      <c r="C18" s="14"/>
      <c r="D18" s="15"/>
      <c r="E18" s="15"/>
      <c r="F1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18" s="16" t="str">
        <f>IFERROR(($B$3*北新地ファイブ4000[[#This Row],[人数]])-北新地ファイブ4000[[#This Row],[単価合計]]-(北新地ファイブ4000[[#This Row],[キャンセル人数]]*$B$2),"")</f>
        <v/>
      </c>
      <c r="H1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8" s="70"/>
      <c r="J18" s="16" t="str">
        <f>IF(北新地ファイブ4000[[#This Row],[人数]]="","",VLOOKUP(北新地ファイブ4000[[#This Row],[人数]],バック金額②[#All],2,TRUE))</f>
        <v/>
      </c>
      <c r="K18" s="46"/>
      <c r="L18" s="63">
        <f t="shared" si="0"/>
        <v>44848</v>
      </c>
      <c r="M18" s="13"/>
      <c r="N18" s="14"/>
      <c r="O18" s="15"/>
      <c r="P18" s="15"/>
      <c r="Q1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8" s="16" t="str">
        <f>IFERROR(($M$3*北新地ファイブ3500[[#This Row],[人数]])-北新地ファイブ3500[[#This Row],[単価合計]]-(北新地ファイブ3500[[#This Row],[キャンセル人数]]*$B$2),"")</f>
        <v/>
      </c>
      <c r="S1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8" s="70"/>
      <c r="U18" s="16" t="str">
        <f>IF(北新地ファイブ3500[[#This Row],[人数]]="","",VLOOKUP(北新地ファイブ3500[[#This Row],[人数]],バック金額②[#All],2,TRUE))</f>
        <v/>
      </c>
    </row>
    <row r="19" spans="1:21">
      <c r="A19" s="63">
        <f t="shared" si="1"/>
        <v>44848</v>
      </c>
      <c r="B19" s="13">
        <v>1</v>
      </c>
      <c r="C19" s="14">
        <v>27</v>
      </c>
      <c r="D19" s="15">
        <v>6</v>
      </c>
      <c r="E19" s="15"/>
      <c r="F19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15000</v>
      </c>
      <c r="G19" s="16">
        <f>IFERROR(($B$3*北新地ファイブ4000[[#This Row],[人数]])-北新地ファイブ4000[[#This Row],[単価合計]]-(北新地ファイブ4000[[#This Row],[キャンセル人数]]*$B$2),"")</f>
        <v>9000</v>
      </c>
      <c r="H1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19" s="70"/>
      <c r="J19" s="16">
        <f>IF(北新地ファイブ4000[[#This Row],[人数]]="","",VLOOKUP(北新地ファイブ4000[[#This Row],[人数]],バック金額②[#All],2,TRUE))</f>
        <v>6000</v>
      </c>
      <c r="L19" s="63">
        <f t="shared" si="0"/>
        <v>44849</v>
      </c>
      <c r="M19" s="13"/>
      <c r="N19" s="14"/>
      <c r="O19" s="15"/>
      <c r="P19" s="15"/>
      <c r="Q1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19" s="16" t="str">
        <f>IFERROR(($M$3*北新地ファイブ3500[[#This Row],[人数]])-北新地ファイブ3500[[#This Row],[単価合計]]-(北新地ファイブ3500[[#This Row],[キャンセル人数]]*$B$2),"")</f>
        <v/>
      </c>
      <c r="S1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19" s="70"/>
      <c r="U19" s="16" t="str">
        <f>IF(北新地ファイブ3500[[#This Row],[人数]]="","",VLOOKUP(北新地ファイブ3500[[#This Row],[人数]],バック金額②[#All],2,TRUE))</f>
        <v/>
      </c>
    </row>
    <row r="20" spans="1:21">
      <c r="A20" s="63">
        <f t="shared" si="1"/>
        <v>44849</v>
      </c>
      <c r="B20" s="13"/>
      <c r="C20" s="14"/>
      <c r="D20" s="15"/>
      <c r="E20" s="15"/>
      <c r="F2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0" s="16" t="str">
        <f>IFERROR(($B$3*北新地ファイブ4000[[#This Row],[人数]])-北新地ファイブ4000[[#This Row],[単価合計]]-(北新地ファイブ4000[[#This Row],[キャンセル人数]]*$B$2),"")</f>
        <v/>
      </c>
      <c r="H2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0" s="70"/>
      <c r="J20" s="16" t="str">
        <f>IF(北新地ファイブ4000[[#This Row],[人数]]="","",VLOOKUP(北新地ファイブ4000[[#This Row],[人数]],バック金額②[#All],2,TRUE))</f>
        <v/>
      </c>
      <c r="L20" s="63">
        <f t="shared" si="0"/>
        <v>44850</v>
      </c>
      <c r="M20" s="13"/>
      <c r="N20" s="14"/>
      <c r="O20" s="15"/>
      <c r="P20" s="15"/>
      <c r="Q2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0" s="16" t="str">
        <f>IFERROR(($M$3*北新地ファイブ3500[[#This Row],[人数]])-北新地ファイブ3500[[#This Row],[単価合計]]-(北新地ファイブ3500[[#This Row],[キャンセル人数]]*$B$2),"")</f>
        <v/>
      </c>
      <c r="S2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0" s="70"/>
      <c r="U20" s="16" t="str">
        <f>IF(北新地ファイブ3500[[#This Row],[人数]]="","",VLOOKUP(北新地ファイブ3500[[#This Row],[人数]],バック金額②[#All],2,TRUE))</f>
        <v/>
      </c>
    </row>
    <row r="21" spans="1:21">
      <c r="A21" s="63">
        <f t="shared" si="1"/>
        <v>44850</v>
      </c>
      <c r="B21" s="13"/>
      <c r="C21" s="14"/>
      <c r="D21" s="15"/>
      <c r="E21" s="15"/>
      <c r="F2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1" s="16" t="str">
        <f>IFERROR(($B$3*北新地ファイブ4000[[#This Row],[人数]])-北新地ファイブ4000[[#This Row],[単価合計]]-(北新地ファイブ4000[[#This Row],[キャンセル人数]]*$B$2),"")</f>
        <v/>
      </c>
      <c r="H2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1" s="70"/>
      <c r="J21" s="16" t="str">
        <f>IF(北新地ファイブ4000[[#This Row],[人数]]="","",VLOOKUP(北新地ファイブ4000[[#This Row],[人数]],バック金額②[#All],2,TRUE))</f>
        <v/>
      </c>
      <c r="L21" s="63">
        <f t="shared" si="0"/>
        <v>44851</v>
      </c>
      <c r="M21" s="13"/>
      <c r="N21" s="14"/>
      <c r="O21" s="15"/>
      <c r="P21" s="15"/>
      <c r="Q2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1" s="16" t="str">
        <f>IFERROR(($M$3*北新地ファイブ3500[[#This Row],[人数]])-北新地ファイブ3500[[#This Row],[単価合計]]-(北新地ファイブ3500[[#This Row],[キャンセル人数]]*$B$2),"")</f>
        <v/>
      </c>
      <c r="S2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1" s="70"/>
      <c r="U21" s="16" t="str">
        <f>IF(北新地ファイブ3500[[#This Row],[人数]]="","",VLOOKUP(北新地ファイブ3500[[#This Row],[人数]],バック金額②[#All],2,TRUE))</f>
        <v/>
      </c>
    </row>
    <row r="22" spans="1:21">
      <c r="A22" s="63">
        <f t="shared" si="1"/>
        <v>44851</v>
      </c>
      <c r="B22" s="13"/>
      <c r="C22" s="14"/>
      <c r="D22" s="15"/>
      <c r="E22" s="15"/>
      <c r="F22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2" s="16" t="str">
        <f>IFERROR(($B$3*北新地ファイブ4000[[#This Row],[人数]])-北新地ファイブ4000[[#This Row],[単価合計]]-(北新地ファイブ4000[[#This Row],[キャンセル人数]]*$B$2),"")</f>
        <v/>
      </c>
      <c r="H22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2" s="70"/>
      <c r="J22" s="16" t="str">
        <f>IF(北新地ファイブ4000[[#This Row],[人数]]="","",VLOOKUP(北新地ファイブ4000[[#This Row],[人数]],バック金額②[#All],2,TRUE))</f>
        <v/>
      </c>
      <c r="L22" s="63">
        <f t="shared" si="0"/>
        <v>44852</v>
      </c>
      <c r="M22" s="13"/>
      <c r="N22" s="14"/>
      <c r="O22" s="15"/>
      <c r="P22" s="15"/>
      <c r="Q2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2" s="16" t="str">
        <f>IFERROR(($M$3*北新地ファイブ3500[[#This Row],[人数]])-北新地ファイブ3500[[#This Row],[単価合計]]-(北新地ファイブ3500[[#This Row],[キャンセル人数]]*$B$2),"")</f>
        <v/>
      </c>
      <c r="S2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2" s="70"/>
      <c r="U22" s="16" t="str">
        <f>IF(北新地ファイブ3500[[#This Row],[人数]]="","",VLOOKUP(北新地ファイブ3500[[#This Row],[人数]],バック金額②[#All],2,TRUE))</f>
        <v/>
      </c>
    </row>
    <row r="23" spans="1:21">
      <c r="A23" s="63">
        <f t="shared" si="1"/>
        <v>44852</v>
      </c>
      <c r="B23" s="13"/>
      <c r="C23" s="14"/>
      <c r="D23" s="15"/>
      <c r="E23" s="15"/>
      <c r="F2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3" s="16" t="str">
        <f>IFERROR(($B$3*北新地ファイブ4000[[#This Row],[人数]])-北新地ファイブ4000[[#This Row],[単価合計]]-(北新地ファイブ4000[[#This Row],[キャンセル人数]]*$B$2),"")</f>
        <v/>
      </c>
      <c r="H2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3" s="70"/>
      <c r="J23" s="16" t="str">
        <f>IF(北新地ファイブ4000[[#This Row],[人数]]="","",VLOOKUP(北新地ファイブ4000[[#This Row],[人数]],バック金額②[#All],2,TRUE))</f>
        <v/>
      </c>
      <c r="L23" s="63">
        <f t="shared" si="0"/>
        <v>44853</v>
      </c>
      <c r="M23" s="13"/>
      <c r="N23" s="14"/>
      <c r="O23" s="15"/>
      <c r="P23" s="15"/>
      <c r="Q2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3" s="16" t="str">
        <f>IFERROR(($M$3*北新地ファイブ3500[[#This Row],[人数]])-北新地ファイブ3500[[#This Row],[単価合計]]-(北新地ファイブ3500[[#This Row],[キャンセル人数]]*$B$2),"")</f>
        <v/>
      </c>
      <c r="S2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3" s="70"/>
      <c r="U23" s="16" t="str">
        <f>IF(北新地ファイブ3500[[#This Row],[人数]]="","",VLOOKUP(北新地ファイブ3500[[#This Row],[人数]],バック金額②[#All],2,TRUE))</f>
        <v/>
      </c>
    </row>
    <row r="24" spans="1:21">
      <c r="A24" s="63">
        <f t="shared" si="1"/>
        <v>44853</v>
      </c>
      <c r="B24" s="13"/>
      <c r="C24" s="14"/>
      <c r="D24" s="15"/>
      <c r="E24" s="15"/>
      <c r="F2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4" s="16" t="str">
        <f>IFERROR(($B$3*北新地ファイブ4000[[#This Row],[人数]])-北新地ファイブ4000[[#This Row],[単価合計]]-(北新地ファイブ4000[[#This Row],[キャンセル人数]]*$B$2),"")</f>
        <v/>
      </c>
      <c r="H2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4" s="70"/>
      <c r="J24" s="16" t="str">
        <f>IF(北新地ファイブ4000[[#This Row],[人数]]="","",VLOOKUP(北新地ファイブ4000[[#This Row],[人数]],バック金額②[#All],2,TRUE))</f>
        <v/>
      </c>
      <c r="L24" s="63">
        <f t="shared" si="0"/>
        <v>44854</v>
      </c>
      <c r="M24" s="13"/>
      <c r="N24" s="14"/>
      <c r="O24" s="15"/>
      <c r="P24" s="15"/>
      <c r="Q2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4" s="16" t="str">
        <f>IFERROR(($M$3*北新地ファイブ3500[[#This Row],[人数]])-北新地ファイブ3500[[#This Row],[単価合計]]-(北新地ファイブ3500[[#This Row],[キャンセル人数]]*$B$2),"")</f>
        <v/>
      </c>
      <c r="S2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4" s="70"/>
      <c r="U24" s="16" t="str">
        <f>IF(北新地ファイブ3500[[#This Row],[人数]]="","",VLOOKUP(北新地ファイブ3500[[#This Row],[人数]],バック金額②[#All],2,TRUE))</f>
        <v/>
      </c>
    </row>
    <row r="25" spans="1:21">
      <c r="A25" s="63">
        <f t="shared" si="1"/>
        <v>44854</v>
      </c>
      <c r="B25" s="13"/>
      <c r="C25" s="14"/>
      <c r="D25" s="15"/>
      <c r="E25" s="15"/>
      <c r="F2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5" s="16" t="str">
        <f>IFERROR(($B$3*北新地ファイブ4000[[#This Row],[人数]])-北新地ファイブ4000[[#This Row],[単価合計]]-(北新地ファイブ4000[[#This Row],[キャンセル人数]]*$B$2),"")</f>
        <v/>
      </c>
      <c r="H2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5" s="70"/>
      <c r="J25" s="16" t="str">
        <f>IF(北新地ファイブ4000[[#This Row],[人数]]="","",VLOOKUP(北新地ファイブ4000[[#This Row],[人数]],バック金額②[#All],2,TRUE))</f>
        <v/>
      </c>
      <c r="L25" s="63">
        <f t="shared" si="0"/>
        <v>44855</v>
      </c>
      <c r="M25" s="13"/>
      <c r="N25" s="14"/>
      <c r="O25" s="15"/>
      <c r="P25" s="15"/>
      <c r="Q2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5" s="16" t="str">
        <f>IFERROR(($M$3*北新地ファイブ3500[[#This Row],[人数]])-北新地ファイブ3500[[#This Row],[単価合計]]-(北新地ファイブ3500[[#This Row],[キャンセル人数]]*$B$2),"")</f>
        <v/>
      </c>
      <c r="S2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5" s="70"/>
      <c r="U25" s="16" t="str">
        <f>IF(北新地ファイブ3500[[#This Row],[人数]]="","",VLOOKUP(北新地ファイブ3500[[#This Row],[人数]],バック金額②[#All],2,TRUE))</f>
        <v/>
      </c>
    </row>
    <row r="26" spans="1:21">
      <c r="A26" s="63">
        <f t="shared" si="1"/>
        <v>44855</v>
      </c>
      <c r="B26" s="13"/>
      <c r="C26" s="14"/>
      <c r="D26" s="15"/>
      <c r="E26" s="15"/>
      <c r="F2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6" s="16" t="str">
        <f>IFERROR(($B$3*北新地ファイブ4000[[#This Row],[人数]])-北新地ファイブ4000[[#This Row],[単価合計]]-(北新地ファイブ4000[[#This Row],[キャンセル人数]]*$B$2),"")</f>
        <v/>
      </c>
      <c r="H2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6" s="70"/>
      <c r="J26" s="16" t="str">
        <f>IF(北新地ファイブ4000[[#This Row],[人数]]="","",VLOOKUP(北新地ファイブ4000[[#This Row],[人数]],バック金額②[#All],2,TRUE))</f>
        <v/>
      </c>
      <c r="L26" s="63">
        <f t="shared" si="0"/>
        <v>44856</v>
      </c>
      <c r="M26" s="13"/>
      <c r="N26" s="14"/>
      <c r="O26" s="15"/>
      <c r="P26" s="15"/>
      <c r="Q26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6" s="16" t="str">
        <f>IFERROR(($M$3*北新地ファイブ3500[[#This Row],[人数]])-北新地ファイブ3500[[#This Row],[単価合計]]-(北新地ファイブ3500[[#This Row],[キャンセル人数]]*$B$2),"")</f>
        <v/>
      </c>
      <c r="S26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6" s="70"/>
      <c r="U26" s="16" t="str">
        <f>IF(北新地ファイブ3500[[#This Row],[人数]]="","",VLOOKUP(北新地ファイブ3500[[#This Row],[人数]],バック金額②[#All],2,TRUE))</f>
        <v/>
      </c>
    </row>
    <row r="27" spans="1:21">
      <c r="A27" s="63">
        <f>IFERROR(IF(DATE(YEAR($A$5),MONTH($A$5),DAY($A$5))=DATE(YEAR(A26),MONTH(A26),DAY(A26+1)),"",DATE(YEAR(A26),MONTH(A26),DAY(A26+1))),"")</f>
        <v>44856</v>
      </c>
      <c r="B27" s="13"/>
      <c r="C27" s="14"/>
      <c r="D27" s="15"/>
      <c r="E27" s="15"/>
      <c r="F27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7" s="16" t="str">
        <f>IFERROR(($B$3*北新地ファイブ4000[[#This Row],[人数]])-北新地ファイブ4000[[#This Row],[単価合計]]-(北新地ファイブ4000[[#This Row],[キャンセル人数]]*$B$2),"")</f>
        <v/>
      </c>
      <c r="H27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7" s="70"/>
      <c r="J27" s="16" t="str">
        <f>IF(北新地ファイブ4000[[#This Row],[人数]]="","",VLOOKUP(北新地ファイブ4000[[#This Row],[人数]],バック金額②[#All],2,TRUE))</f>
        <v/>
      </c>
      <c r="L27" s="63">
        <f t="shared" si="0"/>
        <v>44857</v>
      </c>
      <c r="M27" s="13"/>
      <c r="N27" s="14"/>
      <c r="O27" s="15"/>
      <c r="P27" s="15"/>
      <c r="Q27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7" s="16" t="str">
        <f>IFERROR(($M$3*北新地ファイブ3500[[#This Row],[人数]])-北新地ファイブ3500[[#This Row],[単価合計]]-(北新地ファイブ3500[[#This Row],[キャンセル人数]]*$B$2),"")</f>
        <v/>
      </c>
      <c r="S27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7" s="70"/>
      <c r="U27" s="16" t="str">
        <f>IF(北新地ファイブ3500[[#This Row],[人数]]="","",VLOOKUP(北新地ファイブ3500[[#This Row],[人数]],バック金額②[#All],2,TRUE))</f>
        <v/>
      </c>
    </row>
    <row r="28" spans="1:21">
      <c r="A28" s="63">
        <f t="shared" si="1"/>
        <v>44857</v>
      </c>
      <c r="B28" s="13"/>
      <c r="C28" s="14"/>
      <c r="D28" s="15"/>
      <c r="E28" s="15"/>
      <c r="F28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8" s="16" t="str">
        <f>IFERROR(($B$3*北新地ファイブ4000[[#This Row],[人数]])-北新地ファイブ4000[[#This Row],[単価合計]]-(北新地ファイブ4000[[#This Row],[キャンセル人数]]*$B$2),"")</f>
        <v/>
      </c>
      <c r="H28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8" s="70"/>
      <c r="J28" s="16" t="str">
        <f>IF(北新地ファイブ4000[[#This Row],[人数]]="","",VLOOKUP(北新地ファイブ4000[[#This Row],[人数]],バック金額②[#All],2,TRUE))</f>
        <v/>
      </c>
      <c r="L28" s="63">
        <f t="shared" si="0"/>
        <v>44858</v>
      </c>
      <c r="M28" s="13"/>
      <c r="N28" s="14"/>
      <c r="O28" s="15"/>
      <c r="P28" s="15"/>
      <c r="Q28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8" s="16" t="str">
        <f>IFERROR(($M$3*北新地ファイブ3500[[#This Row],[人数]])-北新地ファイブ3500[[#This Row],[単価合計]]-(北新地ファイブ3500[[#This Row],[キャンセル人数]]*$B$2),"")</f>
        <v/>
      </c>
      <c r="S28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8" s="70"/>
      <c r="U28" s="16" t="str">
        <f>IF(北新地ファイブ3500[[#This Row],[人数]]="","",VLOOKUP(北新地ファイブ3500[[#This Row],[人数]],バック金額②[#All],2,TRUE))</f>
        <v/>
      </c>
    </row>
    <row r="29" spans="1:21">
      <c r="A29" s="63">
        <f t="shared" si="1"/>
        <v>44858</v>
      </c>
      <c r="B29" s="13"/>
      <c r="C29" s="14"/>
      <c r="D29" s="15"/>
      <c r="E29" s="15"/>
      <c r="F29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29" s="16" t="str">
        <f>IFERROR(($B$3*北新地ファイブ4000[[#This Row],[人数]])-北新地ファイブ4000[[#This Row],[単価合計]]-(北新地ファイブ4000[[#This Row],[キャンセル人数]]*$B$2),"")</f>
        <v/>
      </c>
      <c r="H29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29" s="70"/>
      <c r="J29" s="16" t="str">
        <f>IF(北新地ファイブ4000[[#This Row],[人数]]="","",VLOOKUP(北新地ファイブ4000[[#This Row],[人数]],バック金額②[#All],2,TRUE))</f>
        <v/>
      </c>
      <c r="L29" s="63">
        <f t="shared" si="0"/>
        <v>44859</v>
      </c>
      <c r="M29" s="13"/>
      <c r="N29" s="14"/>
      <c r="O29" s="15"/>
      <c r="P29" s="15"/>
      <c r="Q29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29" s="16" t="str">
        <f>IFERROR(($M$3*北新地ファイブ3500[[#This Row],[人数]])-北新地ファイブ3500[[#This Row],[単価合計]]-(北新地ファイブ3500[[#This Row],[キャンセル人数]]*$B$2),"")</f>
        <v/>
      </c>
      <c r="S29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29" s="70"/>
      <c r="U29" s="16" t="str">
        <f>IF(北新地ファイブ3500[[#This Row],[人数]]="","",VLOOKUP(北新地ファイブ3500[[#This Row],[人数]],バック金額②[#All],2,TRUE))</f>
        <v/>
      </c>
    </row>
    <row r="30" spans="1:21">
      <c r="A30" s="63">
        <f t="shared" si="1"/>
        <v>44859</v>
      </c>
      <c r="B30" s="13"/>
      <c r="C30" s="14"/>
      <c r="D30" s="15"/>
      <c r="E30" s="15"/>
      <c r="F30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0" s="16" t="str">
        <f>IFERROR(($B$3*北新地ファイブ4000[[#This Row],[人数]])-北新地ファイブ4000[[#This Row],[単価合計]]-(北新地ファイブ4000[[#This Row],[キャンセル人数]]*$B$2),"")</f>
        <v/>
      </c>
      <c r="H30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0" s="70"/>
      <c r="J30" s="16" t="str">
        <f>IF(北新地ファイブ4000[[#This Row],[人数]]="","",VLOOKUP(北新地ファイブ4000[[#This Row],[人数]],バック金額②[#All],2,TRUE))</f>
        <v/>
      </c>
      <c r="L30" s="63">
        <f t="shared" si="0"/>
        <v>44860</v>
      </c>
      <c r="M30" s="13"/>
      <c r="N30" s="14"/>
      <c r="O30" s="15"/>
      <c r="P30" s="15"/>
      <c r="Q30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0" s="16" t="str">
        <f>IFERROR(($M$3*北新地ファイブ3500[[#This Row],[人数]])-北新地ファイブ3500[[#This Row],[単価合計]]-(北新地ファイブ3500[[#This Row],[キャンセル人数]]*$B$2),"")</f>
        <v/>
      </c>
      <c r="S30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0" s="70"/>
      <c r="U30" s="16" t="str">
        <f>IF(北新地ファイブ3500[[#This Row],[人数]]="","",VLOOKUP(北新地ファイブ3500[[#This Row],[人数]],バック金額②[#All],2,TRUE))</f>
        <v/>
      </c>
    </row>
    <row r="31" spans="1:21">
      <c r="A31" s="63">
        <f t="shared" si="1"/>
        <v>44860</v>
      </c>
      <c r="B31" s="13"/>
      <c r="C31" s="14"/>
      <c r="D31" s="15"/>
      <c r="E31" s="15"/>
      <c r="F31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1" s="16" t="str">
        <f>IFERROR(($B$3*北新地ファイブ4000[[#This Row],[人数]])-北新地ファイブ4000[[#This Row],[単価合計]]-(北新地ファイブ4000[[#This Row],[キャンセル人数]]*$B$2),"")</f>
        <v/>
      </c>
      <c r="H31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1" s="70"/>
      <c r="J31" s="16" t="str">
        <f>IF(北新地ファイブ4000[[#This Row],[人数]]="","",VLOOKUP(北新地ファイブ4000[[#This Row],[人数]],バック金額②[#All],2,TRUE))</f>
        <v/>
      </c>
      <c r="L31" s="63">
        <f t="shared" si="0"/>
        <v>44861</v>
      </c>
      <c r="M31" s="13"/>
      <c r="N31" s="14"/>
      <c r="O31" s="15"/>
      <c r="P31" s="15"/>
      <c r="Q31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1" s="16" t="str">
        <f>IFERROR(($M$3*北新地ファイブ3500[[#This Row],[人数]])-北新地ファイブ3500[[#This Row],[単価合計]]-(北新地ファイブ3500[[#This Row],[キャンセル人数]]*$B$2),"")</f>
        <v/>
      </c>
      <c r="S31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1" s="70"/>
      <c r="U31" s="16" t="str">
        <f>IF(北新地ファイブ3500[[#This Row],[人数]]="","",VLOOKUP(北新地ファイブ3500[[#This Row],[人数]],バック金額②[#All],2,TRUE))</f>
        <v/>
      </c>
    </row>
    <row r="32" spans="1:21">
      <c r="A32" s="63">
        <f t="shared" si="1"/>
        <v>44861</v>
      </c>
      <c r="B32" s="13">
        <v>1</v>
      </c>
      <c r="C32" s="14">
        <v>263</v>
      </c>
      <c r="D32" s="15">
        <v>8</v>
      </c>
      <c r="E32" s="15">
        <v>1</v>
      </c>
      <c r="F32" s="16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>17500</v>
      </c>
      <c r="G32" s="16">
        <f>IFERROR(($B$3*北新地ファイブ4000[[#This Row],[人数]])-北新地ファイブ4000[[#This Row],[単価合計]]-(北新地ファイブ4000[[#This Row],[キャンセル人数]]*$B$2),"")</f>
        <v>14500</v>
      </c>
      <c r="H32" s="16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>2500</v>
      </c>
      <c r="I32" s="70"/>
      <c r="J32" s="16">
        <f>IF(北新地ファイブ4000[[#This Row],[人数]]="","",VLOOKUP(北新地ファイブ4000[[#This Row],[人数]],バック金額②[#All],2,TRUE))</f>
        <v>9000</v>
      </c>
      <c r="L32" s="63">
        <f t="shared" si="0"/>
        <v>44862</v>
      </c>
      <c r="M32" s="13"/>
      <c r="N32" s="14"/>
      <c r="O32" s="15"/>
      <c r="P32" s="15"/>
      <c r="Q32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2" s="16" t="str">
        <f>IFERROR(($M$3*北新地ファイブ3500[[#This Row],[人数]])-北新地ファイブ3500[[#This Row],[単価合計]]-(北新地ファイブ3500[[#This Row],[キャンセル人数]]*$B$2),"")</f>
        <v/>
      </c>
      <c r="S32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2" s="70"/>
      <c r="U32" s="16" t="str">
        <f>IF(北新地ファイブ3500[[#This Row],[人数]]="","",VLOOKUP(北新地ファイブ3500[[#This Row],[人数]],バック金額②[#All],2,TRUE))</f>
        <v/>
      </c>
    </row>
    <row r="33" spans="1:21">
      <c r="A33" s="63">
        <f t="shared" si="1"/>
        <v>44862</v>
      </c>
      <c r="B33" s="13"/>
      <c r="C33" s="14"/>
      <c r="D33" s="15"/>
      <c r="E33" s="15"/>
      <c r="F33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3" s="16" t="str">
        <f>IFERROR(($B$3*北新地ファイブ4000[[#This Row],[人数]])-北新地ファイブ4000[[#This Row],[単価合計]]-(北新地ファイブ4000[[#This Row],[キャンセル人数]]*$B$2),"")</f>
        <v/>
      </c>
      <c r="H33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3" s="70"/>
      <c r="J33" s="16" t="str">
        <f>IF(北新地ファイブ4000[[#This Row],[人数]]="","",VLOOKUP(北新地ファイブ4000[[#This Row],[人数]],バック金額②[#All],2,TRUE))</f>
        <v/>
      </c>
      <c r="L33" s="63">
        <f t="shared" si="0"/>
        <v>44863</v>
      </c>
      <c r="M33" s="13"/>
      <c r="N33" s="14"/>
      <c r="O33" s="15"/>
      <c r="P33" s="15"/>
      <c r="Q33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3" s="16" t="str">
        <f>IFERROR(($M$3*北新地ファイブ3500[[#This Row],[人数]])-北新地ファイブ3500[[#This Row],[単価合計]]-(北新地ファイブ3500[[#This Row],[キャンセル人数]]*$B$2),"")</f>
        <v/>
      </c>
      <c r="S33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3" s="70"/>
      <c r="U33" s="16" t="str">
        <f>IF(北新地ファイブ3500[[#This Row],[人数]]="","",VLOOKUP(北新地ファイブ3500[[#This Row],[人数]],バック金額②[#All],2,TRUE))</f>
        <v/>
      </c>
    </row>
    <row r="34" spans="1:21">
      <c r="A34" s="63">
        <f t="shared" si="1"/>
        <v>44863</v>
      </c>
      <c r="B34" s="13"/>
      <c r="C34" s="14"/>
      <c r="D34" s="15"/>
      <c r="E34" s="15"/>
      <c r="F34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4" s="16" t="str">
        <f>IFERROR(($B$3*北新地ファイブ4000[[#This Row],[人数]])-北新地ファイブ4000[[#This Row],[単価合計]]-(北新地ファイブ4000[[#This Row],[キャンセル人数]]*$B$2),"")</f>
        <v/>
      </c>
      <c r="H34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4" s="70"/>
      <c r="J34" s="16" t="str">
        <f>IF(北新地ファイブ4000[[#This Row],[人数]]="","",VLOOKUP(北新地ファイブ4000[[#This Row],[人数]],バック金額②[#All],2,TRUE))</f>
        <v/>
      </c>
      <c r="L34" s="63">
        <f t="shared" si="0"/>
        <v>44864</v>
      </c>
      <c r="M34" s="13"/>
      <c r="N34" s="14"/>
      <c r="O34" s="15"/>
      <c r="P34" s="15"/>
      <c r="Q34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4" s="16" t="str">
        <f>IFERROR(($M$3*北新地ファイブ3500[[#This Row],[人数]])-北新地ファイブ3500[[#This Row],[単価合計]]-(北新地ファイブ3500[[#This Row],[キャンセル人数]]*$B$2),"")</f>
        <v/>
      </c>
      <c r="S34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4" s="70"/>
      <c r="U34" s="16" t="str">
        <f>IF(北新地ファイブ3500[[#This Row],[人数]]="","",VLOOKUP(北新地ファイブ3500[[#This Row],[人数]],バック金額②[#All],2,TRUE))</f>
        <v/>
      </c>
    </row>
    <row r="35" spans="1:21">
      <c r="A35" s="63">
        <f t="shared" si="1"/>
        <v>44864</v>
      </c>
      <c r="B35" s="13"/>
      <c r="C35" s="14"/>
      <c r="D35" s="15"/>
      <c r="E35" s="15"/>
      <c r="F35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5" s="16" t="str">
        <f>IFERROR(($B$3*北新地ファイブ4000[[#This Row],[人数]])-北新地ファイブ4000[[#This Row],[単価合計]]-(北新地ファイブ4000[[#This Row],[キャンセル人数]]*$B$2),"")</f>
        <v/>
      </c>
      <c r="H35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5" s="70"/>
      <c r="J35" s="16" t="str">
        <f>IF(北新地ファイブ4000[[#This Row],[人数]]="","",VLOOKUP(北新地ファイブ4000[[#This Row],[人数]],バック金額②[#All],2,TRUE))</f>
        <v/>
      </c>
      <c r="L35" s="74">
        <f t="shared" si="0"/>
        <v>44865</v>
      </c>
      <c r="M35" s="17"/>
      <c r="N35" s="18"/>
      <c r="O35" s="19"/>
      <c r="P35" s="19"/>
      <c r="Q35" s="16" t="str">
        <f>IF(北新地ファイブ3500[[#This Row],[人数]]="","",IF(北新地ファイブ3500[[#This Row],[人数]]&lt;=7,$B$1*北新地ファイブ3500[[#This Row],[人数]],$B$1*北新地ファイブ3500[[#This Row],[人数]]-北新地ファイブ3500[[#This Row],[幹事無料]]))</f>
        <v/>
      </c>
      <c r="R35" s="16" t="str">
        <f>IFERROR(($M$3*北新地ファイブ3500[[#This Row],[人数]])-北新地ファイブ3500[[#This Row],[単価合計]]-(北新地ファイブ3500[[#This Row],[キャンセル人数]]*$B$2),"")</f>
        <v/>
      </c>
      <c r="S35" s="16" t="str">
        <f>IF(北新地ファイブ3500[[#This Row],[人数]]=0,"",IF(北新地ファイブ3500[[#This Row],[人数]]&lt;=7,"",IF(北新地ファイブ3500[[#This Row],[人数]]&lt;=15,$B$1,IF(北新地ファイブ3500[[#This Row],[人数]]&lt;=23,$B$1*2,IF(北新地ファイブ3500[[#This Row],[人数]]&lt;=31,$B$1*3,IF(北新地ファイブ3500[[#This Row],[人数]]&lt;=39,$B$1*4,""))))))</f>
        <v/>
      </c>
      <c r="T35" s="70"/>
      <c r="U35" s="16" t="str">
        <f>IF(北新地ファイブ3500[[#This Row],[人数]]="","",VLOOKUP(北新地ファイブ3500[[#This Row],[人数]],バック金額②[#All],2,TRUE))</f>
        <v/>
      </c>
    </row>
    <row r="36" spans="1:21">
      <c r="A36" s="74">
        <f t="shared" si="1"/>
        <v>44865</v>
      </c>
      <c r="B36" s="17"/>
      <c r="C36" s="18"/>
      <c r="D36" s="19"/>
      <c r="E36" s="19"/>
      <c r="F36" s="16" t="str">
        <f>IF(北新地ファイブ4000[[#This Row],[人数]]="","",IF(北新地ファイブ4000[[#This Row],[人数]]&lt;=7,$B$1*北新地ファイブ4000[[#This Row],[人数]],$B$1*北新地ファイブ4000[[#This Row],[人数]]-北新地ファイブ4000[[#This Row],[幹事無料]]))</f>
        <v/>
      </c>
      <c r="G36" s="16" t="str">
        <f>IFERROR(($B$3*北新地ファイブ4000[[#This Row],[人数]])-北新地ファイブ4000[[#This Row],[単価合計]]-(北新地ファイブ4000[[#This Row],[キャンセル人数]]*$B$2),"")</f>
        <v/>
      </c>
      <c r="H36" s="16" t="str">
        <f>IF(北新地ファイブ4000[[#This Row],[人数]]=0,"",IF(北新地ファイブ4000[[#This Row],[人数]]&lt;=7,"",IF(北新地ファイブ4000[[#This Row],[人数]]&lt;=15,$B$1,IF(北新地ファイブ4000[[#This Row],[人数]]&lt;=23,$B$1*2,IF(北新地ファイブ4000[[#This Row],[人数]]&lt;=31,$B$1*3,IF(北新地ファイブ4000[[#This Row],[人数]]&lt;=39,$B$1*4,""))))))</f>
        <v/>
      </c>
      <c r="I36" s="70"/>
      <c r="J36" s="16" t="str">
        <f>IF(北新地ファイブ4000[[#This Row],[人数]]="","",VLOOKUP(北新地ファイブ4000[[#This Row],[人数]],バック金額②[#All],2,TRUE))</f>
        <v/>
      </c>
      <c r="L36" s="6" t="s">
        <v>211</v>
      </c>
      <c r="M36" s="16">
        <f>SUM(北新地ファイブ3500[[#All],[件数]])</f>
        <v>0</v>
      </c>
      <c r="N36" s="6"/>
      <c r="O36" s="16">
        <f>SUM(北新地ファイブ3500[[#All],[人数]])</f>
        <v>0</v>
      </c>
      <c r="P36" s="16">
        <f>SUM(北新地ファイブ3500[[#All],[Aパターン]])</f>
        <v>0</v>
      </c>
      <c r="Q36" s="16">
        <f>SUM(北新地ファイブ3500[[#All],[単価合計]])</f>
        <v>0</v>
      </c>
      <c r="R36" s="16">
        <f>SUM(北新地ファイブ3500[[#All],[ゆうき取りに行く]])</f>
        <v>0</v>
      </c>
      <c r="S36" s="16"/>
      <c r="T36" s="16"/>
      <c r="U36" s="16">
        <f>SUM(北新地ファイブ3500[[#All],[イベンターへ]])</f>
        <v>0</v>
      </c>
    </row>
    <row r="37" spans="1:21">
      <c r="A37" s="69" t="s">
        <v>323</v>
      </c>
      <c r="B37" s="16">
        <f>SUM(北新地ファイブ4000[[#All],[件数]])</f>
        <v>5</v>
      </c>
      <c r="C37" s="6"/>
      <c r="D37" s="16">
        <f>SUM(北新地ファイブ4000[[#All],[人数]])</f>
        <v>35</v>
      </c>
      <c r="E37" s="16">
        <f>SUM(北新地ファイブ4000[[#All],[Aパターン]])</f>
        <v>3</v>
      </c>
      <c r="F37" s="16">
        <f>SUM(北新地ファイブ4000[[#All],[単価合計]])</f>
        <v>80000</v>
      </c>
      <c r="G37" s="16">
        <f>SUM(北新地ファイブ4000[[#All],[ゆうき取りに行く]])</f>
        <v>60000</v>
      </c>
      <c r="H37" s="16"/>
      <c r="I37" s="16"/>
      <c r="J37" s="16">
        <f>SUM(北新地ファイブ4000[[#All],[イベンターへ]])</f>
        <v>38000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D2EE7-AA31-49D4-BA5C-9FD5435EC7B4}">
  <sheetPr codeName="Sheet1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441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441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2300</v>
      </c>
      <c r="E1" s="46" t="s">
        <v>511</v>
      </c>
    </row>
    <row r="2" spans="1:21">
      <c r="A2" s="46" t="s">
        <v>372</v>
      </c>
      <c r="B2" s="8">
        <v>1100</v>
      </c>
    </row>
    <row r="3" spans="1:21">
      <c r="A3" s="46" t="s">
        <v>376</v>
      </c>
      <c r="B3" s="8">
        <v>4000</v>
      </c>
      <c r="C3" s="46" t="s">
        <v>280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5" s="16" t="str">
        <f>IFERROR(($B$3*梅田ここから4000[[#This Row],[人数]])-梅田ここから4000[[#This Row],[単価合計]]-(梅田ここから4000[[#This Row],[キャンセル人数]]*$B$2),"")</f>
        <v/>
      </c>
      <c r="H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5" s="15"/>
      <c r="J5" s="16" t="str">
        <f>IF(梅田ここから4000[[#This Row],[人数]]="","",VLOOKUP(梅田ここから4000[[#This Row],[人数]],バック金額②[#All],2,TRUE))</f>
        <v/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5" s="16" t="str">
        <f>IFERROR(($M$3*梅田ここから3500[[#This Row],[人数]])-梅田ここから3500[[#This Row],[単価合計]]-(梅田ここから3500[[#This Row],[キャンセル人数]]*$B$2),"")</f>
        <v/>
      </c>
      <c r="S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5" s="15"/>
      <c r="U5" s="16" t="str">
        <f>IF(梅田ここから3500[[#This Row],[人数]]="","",VLOOKUP(梅田ここから3500[[#This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6" s="16" t="str">
        <f>IFERROR(($B$3*梅田ここから4000[[#This Row],[人数]])-梅田ここから4000[[#This Row],[単価合計]]-(梅田ここから4000[[#This Row],[キャンセル人数]]*$B$2),"")</f>
        <v/>
      </c>
      <c r="H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6" s="15"/>
      <c r="J6" s="16" t="str">
        <f>IF(梅田ここから4000[[#This Row],[人数]]="","",VLOOKUP(梅田ここから4000[[#This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6" s="16" t="str">
        <f>IFERROR(($M$3*梅田ここから3500[[#This Row],[人数]])-梅田ここから3500[[#This Row],[単価合計]]-(梅田ここから3500[[#This Row],[キャンセル人数]]*$B$2),"")</f>
        <v/>
      </c>
      <c r="S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6" s="15"/>
      <c r="U6" s="16" t="str">
        <f>IF(梅田ここから3500[[#This Row],[人数]]="","",VLOOKUP(梅田ここから3500[[#This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7" s="16" t="str">
        <f>IFERROR(($B$3*梅田ここから4000[[#This Row],[人数]])-梅田ここから4000[[#This Row],[単価合計]]-(梅田ここから4000[[#This Row],[キャンセル人数]]*$B$2),"")</f>
        <v/>
      </c>
      <c r="H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7" s="15"/>
      <c r="J7" s="16" t="str">
        <f>IF(梅田ここから4000[[#This Row],[人数]]="","",VLOOKUP(梅田ここから4000[[#This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7" s="16" t="str">
        <f>IFERROR(($M$3*梅田ここから3500[[#This Row],[人数]])-梅田ここから3500[[#This Row],[単価合計]]-(梅田ここから3500[[#This Row],[キャンセル人数]]*$B$2),"")</f>
        <v/>
      </c>
      <c r="S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7" s="15"/>
      <c r="U7" s="16" t="str">
        <f>IF(梅田ここから3500[[#This Row],[人数]]="","",VLOOKUP(梅田ここから3500[[#This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8" s="16" t="str">
        <f>IFERROR(($B$3*梅田ここから4000[[#This Row],[人数]])-梅田ここから4000[[#This Row],[単価合計]]-(梅田ここから4000[[#This Row],[キャンセル人数]]*$B$2),"")</f>
        <v/>
      </c>
      <c r="H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8" s="15"/>
      <c r="J8" s="16" t="str">
        <f>IF(梅田ここから4000[[#This Row],[人数]]="","",VLOOKUP(梅田ここから4000[[#This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8" s="16" t="str">
        <f>IFERROR(($M$3*梅田ここから3500[[#This Row],[人数]])-梅田ここから3500[[#This Row],[単価合計]]-(梅田ここから3500[[#This Row],[キャンセル人数]]*$B$2),"")</f>
        <v/>
      </c>
      <c r="S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8" s="15"/>
      <c r="U8" s="16" t="str">
        <f>IF(梅田ここから3500[[#This Row],[人数]]="","",VLOOKUP(梅田ここから3500[[#This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9" s="16" t="str">
        <f>IFERROR(($B$3*梅田ここから4000[[#This Row],[人数]])-梅田ここから4000[[#This Row],[単価合計]]-(梅田ここから4000[[#This Row],[キャンセル人数]]*$B$2),"")</f>
        <v/>
      </c>
      <c r="H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9" s="15"/>
      <c r="J9" s="16" t="str">
        <f>IF(梅田ここから4000[[#This Row],[人数]]="","",VLOOKUP(梅田ここから4000[[#This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9" s="16" t="str">
        <f>IFERROR(($M$3*梅田ここから3500[[#This Row],[人数]])-梅田ここから3500[[#This Row],[単価合計]]-(梅田ここから3500[[#This Row],[キャンセル人数]]*$B$2),"")</f>
        <v/>
      </c>
      <c r="S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9" s="15"/>
      <c r="U9" s="16" t="str">
        <f>IF(梅田ここから3500[[#This Row],[人数]]="","",VLOOKUP(梅田ここから3500[[#This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0" s="16" t="str">
        <f>IFERROR(($B$3*梅田ここから4000[[#This Row],[人数]])-梅田ここから4000[[#This Row],[単価合計]]-(梅田ここから4000[[#This Row],[キャンセル人数]]*$B$2),"")</f>
        <v/>
      </c>
      <c r="H1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0" s="15"/>
      <c r="J10" s="16" t="str">
        <f>IF(梅田ここから4000[[#This Row],[人数]]="","",VLOOKUP(梅田ここから4000[[#This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0" s="16" t="str">
        <f>IFERROR(($M$3*梅田ここから3500[[#This Row],[人数]])-梅田ここから3500[[#This Row],[単価合計]]-(梅田ここから3500[[#This Row],[キャンセル人数]]*$B$2),"")</f>
        <v/>
      </c>
      <c r="S1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0" s="15"/>
      <c r="U10" s="16" t="str">
        <f>IF(梅田ここから3500[[#This Row],[人数]]="","",VLOOKUP(梅田ここから3500[[#This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1" s="16" t="str">
        <f>IFERROR(($B$3*梅田ここから4000[[#This Row],[人数]])-梅田ここから4000[[#This Row],[単価合計]]-(梅田ここから4000[[#This Row],[キャンセル人数]]*$B$2),"")</f>
        <v/>
      </c>
      <c r="H1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1" s="15"/>
      <c r="J11" s="16" t="str">
        <f>IF(梅田ここから4000[[#This Row],[人数]]="","",VLOOKUP(梅田ここから4000[[#This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1" s="16" t="str">
        <f>IFERROR(($M$3*梅田ここから3500[[#This Row],[人数]])-梅田ここから3500[[#This Row],[単価合計]]-(梅田ここから3500[[#This Row],[キャンセル人数]]*$B$2),"")</f>
        <v/>
      </c>
      <c r="S1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1" s="15"/>
      <c r="U11" s="16" t="str">
        <f>IF(梅田ここから3500[[#This Row],[人数]]="","",VLOOKUP(梅田ここから3500[[#This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2" s="16" t="str">
        <f>IFERROR(($B$3*梅田ここから4000[[#This Row],[人数]])-梅田ここから4000[[#This Row],[単価合計]]-(梅田ここから4000[[#This Row],[キャンセル人数]]*$B$2),"")</f>
        <v/>
      </c>
      <c r="H1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2" s="15"/>
      <c r="J12" s="16" t="str">
        <f>IF(梅田ここから4000[[#This Row],[人数]]="","",VLOOKUP(梅田ここから4000[[#This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2" s="16" t="str">
        <f>IFERROR(($M$3*梅田ここから3500[[#This Row],[人数]])-梅田ここから3500[[#This Row],[単価合計]]-(梅田ここから3500[[#This Row],[キャンセル人数]]*$B$2),"")</f>
        <v/>
      </c>
      <c r="S1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2" s="15"/>
      <c r="U12" s="16" t="str">
        <f>IF(梅田ここから3500[[#This Row],[人数]]="","",VLOOKUP(梅田ここから3500[[#This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3" s="16" t="str">
        <f>IFERROR(($B$3*梅田ここから4000[[#This Row],[人数]])-梅田ここから4000[[#This Row],[単価合計]]-(梅田ここから4000[[#This Row],[キャンセル人数]]*$B$2),"")</f>
        <v/>
      </c>
      <c r="H1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3" s="15"/>
      <c r="J13" s="16" t="str">
        <f>IF(梅田ここから4000[[#This Row],[人数]]="","",VLOOKUP(梅田ここから4000[[#This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3" s="16" t="str">
        <f>IFERROR(($M$3*梅田ここから3500[[#This Row],[人数]])-梅田ここから3500[[#This Row],[単価合計]]-(梅田ここから3500[[#This Row],[キャンセル人数]]*$B$2),"")</f>
        <v/>
      </c>
      <c r="S1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3" s="15"/>
      <c r="U13" s="16" t="str">
        <f>IF(梅田ここから3500[[#This Row],[人数]]="","",VLOOKUP(梅田ここから3500[[#This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4" s="16" t="str">
        <f>IFERROR(($B$3*梅田ここから4000[[#This Row],[人数]])-梅田ここから4000[[#This Row],[単価合計]]-(梅田ここから4000[[#This Row],[キャンセル人数]]*$B$2),"")</f>
        <v/>
      </c>
      <c r="H1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4" s="15"/>
      <c r="J14" s="16" t="str">
        <f>IF(梅田ここから4000[[#This Row],[人数]]="","",VLOOKUP(梅田ここから4000[[#This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4" s="16" t="str">
        <f>IFERROR(($M$3*梅田ここから3500[[#This Row],[人数]])-梅田ここから3500[[#This Row],[単価合計]]-(梅田ここから3500[[#This Row],[キャンセル人数]]*$B$2),"")</f>
        <v/>
      </c>
      <c r="S1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4" s="15"/>
      <c r="U14" s="16" t="str">
        <f>IF(梅田ここから3500[[#This Row],[人数]]="","",VLOOKUP(梅田ここから3500[[#This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5" s="16" t="str">
        <f>IFERROR(($B$3*梅田ここから4000[[#This Row],[人数]])-梅田ここから4000[[#This Row],[単価合計]]-(梅田ここから4000[[#This Row],[キャンセル人数]]*$B$2),"")</f>
        <v/>
      </c>
      <c r="H1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5" s="15"/>
      <c r="J15" s="16" t="str">
        <f>IF(梅田ここから4000[[#This Row],[人数]]="","",VLOOKUP(梅田ここから4000[[#This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5" s="16" t="str">
        <f>IFERROR(($M$3*梅田ここから3500[[#This Row],[人数]])-梅田ここから3500[[#This Row],[単価合計]]-(梅田ここから3500[[#This Row],[キャンセル人数]]*$B$2),"")</f>
        <v/>
      </c>
      <c r="S1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5" s="15"/>
      <c r="U15" s="16" t="str">
        <f>IF(梅田ここから3500[[#This Row],[人数]]="","",VLOOKUP(梅田ここから3500[[#This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6" s="16" t="str">
        <f>IFERROR(($B$3*梅田ここから4000[[#This Row],[人数]])-梅田ここから4000[[#This Row],[単価合計]]-(梅田ここから4000[[#This Row],[キャンセル人数]]*$B$2),"")</f>
        <v/>
      </c>
      <c r="H1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6" s="15"/>
      <c r="J16" s="16" t="str">
        <f>IF(梅田ここから4000[[#This Row],[人数]]="","",VLOOKUP(梅田ここから4000[[#This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6" s="16" t="str">
        <f>IFERROR(($M$3*梅田ここから3500[[#This Row],[人数]])-梅田ここから3500[[#This Row],[単価合計]]-(梅田ここから3500[[#This Row],[キャンセル人数]]*$B$2),"")</f>
        <v/>
      </c>
      <c r="S1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6" s="15"/>
      <c r="U16" s="16" t="str">
        <f>IF(梅田ここから3500[[#This Row],[人数]]="","",VLOOKUP(梅田ここから3500[[#This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7" s="16" t="str">
        <f>IFERROR(($B$3*梅田ここから4000[[#This Row],[人数]])-梅田ここから4000[[#This Row],[単価合計]]-(梅田ここから4000[[#This Row],[キャンセル人数]]*$B$2),"")</f>
        <v/>
      </c>
      <c r="H1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7" s="15"/>
      <c r="J17" s="16" t="str">
        <f>IF(梅田ここから4000[[#This Row],[人数]]="","",VLOOKUP(梅田ここから4000[[#This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7" s="16" t="str">
        <f>IFERROR(($M$3*梅田ここから3500[[#This Row],[人数]])-梅田ここから3500[[#This Row],[単価合計]]-(梅田ここから3500[[#This Row],[キャンセル人数]]*$B$2),"")</f>
        <v/>
      </c>
      <c r="S1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7" s="15"/>
      <c r="U17" s="16" t="str">
        <f>IF(梅田ここから3500[[#This Row],[人数]]="","",VLOOKUP(梅田ここから3500[[#This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8" s="16" t="str">
        <f>IFERROR(($B$3*梅田ここから4000[[#This Row],[人数]])-梅田ここから4000[[#This Row],[単価合計]]-(梅田ここから4000[[#This Row],[キャンセル人数]]*$B$2),"")</f>
        <v/>
      </c>
      <c r="H1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8" s="15"/>
      <c r="J18" s="16" t="str">
        <f>IF(梅田ここから4000[[#This Row],[人数]]="","",VLOOKUP(梅田ここから4000[[#This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8" s="16" t="str">
        <f>IFERROR(($M$3*梅田ここから3500[[#This Row],[人数]])-梅田ここから3500[[#This Row],[単価合計]]-(梅田ここから3500[[#This Row],[キャンセル人数]]*$B$2),"")</f>
        <v/>
      </c>
      <c r="S1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8" s="15"/>
      <c r="U18" s="16" t="str">
        <f>IF(梅田ここから3500[[#This Row],[人数]]="","",VLOOKUP(梅田ここから3500[[#This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19" s="16" t="str">
        <f>IFERROR(($B$3*梅田ここから4000[[#This Row],[人数]])-梅田ここから4000[[#This Row],[単価合計]]-(梅田ここから4000[[#This Row],[キャンセル人数]]*$B$2),"")</f>
        <v/>
      </c>
      <c r="H1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19" s="15"/>
      <c r="J19" s="16" t="str">
        <f>IF(梅田ここから4000[[#This Row],[人数]]="","",VLOOKUP(梅田ここから4000[[#This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19" s="16" t="str">
        <f>IFERROR(($M$3*梅田ここから3500[[#This Row],[人数]])-梅田ここから3500[[#This Row],[単価合計]]-(梅田ここから3500[[#This Row],[キャンセル人数]]*$B$2),"")</f>
        <v/>
      </c>
      <c r="S1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19" s="15"/>
      <c r="U19" s="16" t="str">
        <f>IF(梅田ここから3500[[#This Row],[人数]]="","",VLOOKUP(梅田ここから3500[[#This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0" s="16" t="str">
        <f>IFERROR(($B$3*梅田ここから4000[[#This Row],[人数]])-梅田ここから4000[[#This Row],[単価合計]]-(梅田ここから4000[[#This Row],[キャンセル人数]]*$B$2),"")</f>
        <v/>
      </c>
      <c r="H2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0" s="15"/>
      <c r="J20" s="16" t="str">
        <f>IF(梅田ここから4000[[#This Row],[人数]]="","",VLOOKUP(梅田ここから4000[[#This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0" s="16" t="str">
        <f>IFERROR(($M$3*梅田ここから3500[[#This Row],[人数]])-梅田ここから3500[[#This Row],[単価合計]]-(梅田ここから3500[[#This Row],[キャンセル人数]]*$B$2),"")</f>
        <v/>
      </c>
      <c r="S2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0" s="15"/>
      <c r="U20" s="16" t="str">
        <f>IF(梅田ここから3500[[#This Row],[人数]]="","",VLOOKUP(梅田ここから3500[[#This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44851</v>
      </c>
      <c r="B21" s="13"/>
      <c r="C21" s="14"/>
      <c r="D21" s="15"/>
      <c r="E21" s="15"/>
      <c r="F2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1" s="16" t="str">
        <f>IFERROR(($B$3*梅田ここから4000[[#This Row],[人数]])-梅田ここから4000[[#This Row],[単価合計]]-(梅田ここから4000[[#This Row],[キャンセル人数]]*$B$2),"")</f>
        <v/>
      </c>
      <c r="H2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1" s="15"/>
      <c r="J21" s="16" t="str">
        <f>IF(梅田ここから4000[[#This Row],[人数]]="","",VLOOKUP(梅田ここから4000[[#This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1" s="16" t="str">
        <f>IFERROR(($M$3*梅田ここから3500[[#This Row],[人数]])-梅田ここから3500[[#This Row],[単価合計]]-(梅田ここから3500[[#This Row],[キャンセル人数]]*$B$2),"")</f>
        <v/>
      </c>
      <c r="S2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1" s="15"/>
      <c r="U21" s="16" t="str">
        <f>IF(梅田ここから3500[[#This Row],[人数]]="","",VLOOKUP(梅田ここから3500[[#This Row],[人数]],バック金額②[#All],2,TRUE))</f>
        <v/>
      </c>
    </row>
    <row r="22" spans="1:21">
      <c r="A22" s="63">
        <f>IFERROR(IF(DATE(YEAR($A$5),MONTH($A$5),DAY($A$5))=DATE(YEAR(A21),MONTH(A21),DAY(A21+1)),"",DATE(YEAR(A21),MONTH(A21),DAY(A21+1))),"")</f>
        <v>44852</v>
      </c>
      <c r="B22" s="13"/>
      <c r="C22" s="14"/>
      <c r="D22" s="15"/>
      <c r="E22" s="15"/>
      <c r="F2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2" s="16" t="str">
        <f>IFERROR(($B$3*梅田ここから4000[[#This Row],[人数]])-梅田ここから4000[[#This Row],[単価合計]]-(梅田ここから4000[[#This Row],[キャンセル人数]]*$B$2),"")</f>
        <v/>
      </c>
      <c r="H2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2" s="15"/>
      <c r="J22" s="16" t="str">
        <f>IF(梅田ここから4000[[#This Row],[人数]]="","",VLOOKUP(梅田ここから4000[[#This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2" s="16" t="str">
        <f>IFERROR(($M$3*梅田ここから3500[[#This Row],[人数]])-梅田ここから3500[[#This Row],[単価合計]]-(梅田ここから3500[[#This Row],[キャンセル人数]]*$B$2),"")</f>
        <v/>
      </c>
      <c r="S2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2" s="15"/>
      <c r="U22" s="16" t="str">
        <f>IF(梅田ここから3500[[#This Row],[人数]]="","",VLOOKUP(梅田ここから3500[[#This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3" s="16" t="str">
        <f>IFERROR(($B$3*梅田ここから4000[[#This Row],[人数]])-梅田ここから4000[[#This Row],[単価合計]]-(梅田ここから4000[[#This Row],[キャンセル人数]]*$B$2),"")</f>
        <v/>
      </c>
      <c r="H2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3" s="15"/>
      <c r="J23" s="16" t="str">
        <f>IF(梅田ここから4000[[#This Row],[人数]]="","",VLOOKUP(梅田ここから4000[[#This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3" s="16" t="str">
        <f>IFERROR(($M$3*梅田ここから3500[[#This Row],[人数]])-梅田ここから3500[[#This Row],[単価合計]]-(梅田ここから3500[[#This Row],[キャンセル人数]]*$B$2),"")</f>
        <v/>
      </c>
      <c r="S2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3" s="15"/>
      <c r="U23" s="16" t="str">
        <f>IF(梅田ここから3500[[#This Row],[人数]]="","",VLOOKUP(梅田ここから3500[[#This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4" s="16" t="str">
        <f>IFERROR(($B$3*梅田ここから4000[[#This Row],[人数]])-梅田ここから4000[[#This Row],[単価合計]]-(梅田ここから4000[[#This Row],[キャンセル人数]]*$B$2),"")</f>
        <v/>
      </c>
      <c r="H2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4" s="15"/>
      <c r="J24" s="16" t="str">
        <f>IF(梅田ここから4000[[#This Row],[人数]]="","",VLOOKUP(梅田ここから4000[[#This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4" s="16" t="str">
        <f>IFERROR(($M$3*梅田ここから3500[[#This Row],[人数]])-梅田ここから3500[[#This Row],[単価合計]]-(梅田ここから3500[[#This Row],[キャンセル人数]]*$B$2),"")</f>
        <v/>
      </c>
      <c r="S2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4" s="15"/>
      <c r="U24" s="16" t="str">
        <f>IF(梅田ここから3500[[#This Row],[人数]]="","",VLOOKUP(梅田ここから3500[[#This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5" s="16" t="str">
        <f>IFERROR(($B$3*梅田ここから4000[[#This Row],[人数]])-梅田ここから4000[[#This Row],[単価合計]]-(梅田ここから4000[[#This Row],[キャンセル人数]]*$B$2),"")</f>
        <v/>
      </c>
      <c r="H2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5" s="15"/>
      <c r="J25" s="16" t="str">
        <f>IF(梅田ここから4000[[#This Row],[人数]]="","",VLOOKUP(梅田ここから4000[[#This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5" s="16" t="str">
        <f>IFERROR(($M$3*梅田ここから3500[[#This Row],[人数]])-梅田ここから3500[[#This Row],[単価合計]]-(梅田ここから3500[[#This Row],[キャンセル人数]]*$B$2),"")</f>
        <v/>
      </c>
      <c r="S2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5" s="15"/>
      <c r="U25" s="16" t="str">
        <f>IF(梅田ここから3500[[#This Row],[人数]]="","",VLOOKUP(梅田ここから3500[[#This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6" s="16" t="str">
        <f>IFERROR(($B$3*梅田ここから4000[[#This Row],[人数]])-梅田ここから4000[[#This Row],[単価合計]]-(梅田ここから4000[[#This Row],[キャンセル人数]]*$B$2),"")</f>
        <v/>
      </c>
      <c r="H26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6" s="15"/>
      <c r="J26" s="16" t="str">
        <f>IF(梅田ここから4000[[#This Row],[人数]]="","",VLOOKUP(梅田ここから4000[[#This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6" s="16" t="str">
        <f>IFERROR(($M$3*梅田ここから3500[[#This Row],[人数]])-梅田ここから3500[[#This Row],[単価合計]]-(梅田ここから3500[[#This Row],[キャンセル人数]]*$B$2),"")</f>
        <v/>
      </c>
      <c r="S26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6" s="15"/>
      <c r="U26" s="16" t="str">
        <f>IF(梅田ここから3500[[#This Row],[人数]]="","",VLOOKUP(梅田ここから3500[[#This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7" s="16" t="str">
        <f>IFERROR(($B$3*梅田ここから4000[[#This Row],[人数]])-梅田ここから4000[[#This Row],[単価合計]]-(梅田ここから4000[[#This Row],[キャンセル人数]]*$B$2),"")</f>
        <v/>
      </c>
      <c r="H27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7" s="15"/>
      <c r="J27" s="16" t="str">
        <f>IF(梅田ここから4000[[#This Row],[人数]]="","",VLOOKUP(梅田ここから4000[[#This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7" s="16" t="str">
        <f>IFERROR(($M$3*梅田ここから3500[[#This Row],[人数]])-梅田ここから3500[[#This Row],[単価合計]]-(梅田ここから3500[[#This Row],[キャンセル人数]]*$B$2),"")</f>
        <v/>
      </c>
      <c r="S27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7" s="15"/>
      <c r="U27" s="16" t="str">
        <f>IF(梅田ここから3500[[#This Row],[人数]]="","",VLOOKUP(梅田ここから3500[[#This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8" s="16" t="str">
        <f>IFERROR(($B$3*梅田ここから4000[[#This Row],[人数]])-梅田ここから4000[[#This Row],[単価合計]]-(梅田ここから4000[[#This Row],[キャンセル人数]]*$B$2),"")</f>
        <v/>
      </c>
      <c r="H28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8" s="15"/>
      <c r="J28" s="16" t="str">
        <f>IF(梅田ここから4000[[#This Row],[人数]]="","",VLOOKUP(梅田ここから4000[[#This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8" s="16" t="str">
        <f>IFERROR(($M$3*梅田ここから3500[[#This Row],[人数]])-梅田ここから3500[[#This Row],[単価合計]]-(梅田ここから3500[[#This Row],[キャンセル人数]]*$B$2),"")</f>
        <v/>
      </c>
      <c r="S28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8" s="15"/>
      <c r="U28" s="16" t="str">
        <f>IF(梅田ここから3500[[#This Row],[人数]]="","",VLOOKUP(梅田ここから3500[[#This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29" s="16" t="str">
        <f>IFERROR(($B$3*梅田ここから4000[[#This Row],[人数]])-梅田ここから4000[[#This Row],[単価合計]]-(梅田ここから4000[[#This Row],[キャンセル人数]]*$B$2),"")</f>
        <v/>
      </c>
      <c r="H29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29" s="15"/>
      <c r="J29" s="16" t="str">
        <f>IF(梅田ここから4000[[#This Row],[人数]]="","",VLOOKUP(梅田ここから4000[[#This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29" s="16" t="str">
        <f>IFERROR(($M$3*梅田ここから3500[[#This Row],[人数]])-梅田ここから3500[[#This Row],[単価合計]]-(梅田ここから3500[[#This Row],[キャンセル人数]]*$B$2),"")</f>
        <v/>
      </c>
      <c r="S29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29" s="15"/>
      <c r="U29" s="16" t="str">
        <f>IF(梅田ここから3500[[#This Row],[人数]]="","",VLOOKUP(梅田ここから3500[[#This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0" s="16" t="str">
        <f>IFERROR(($B$3*梅田ここから4000[[#This Row],[人数]])-梅田ここから4000[[#This Row],[単価合計]]-(梅田ここから4000[[#This Row],[キャンセル人数]]*$B$2),"")</f>
        <v/>
      </c>
      <c r="H30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0" s="15"/>
      <c r="J30" s="16" t="str">
        <f>IF(梅田ここから4000[[#This Row],[人数]]="","",VLOOKUP(梅田ここから4000[[#This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0" s="16" t="str">
        <f>IFERROR(($M$3*梅田ここから3500[[#This Row],[人数]])-梅田ここから3500[[#This Row],[単価合計]]-(梅田ここから3500[[#This Row],[キャンセル人数]]*$B$2),"")</f>
        <v/>
      </c>
      <c r="S30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0" s="15"/>
      <c r="U30" s="16" t="str">
        <f>IF(梅田ここから3500[[#This Row],[人数]]="","",VLOOKUP(梅田ここから3500[[#This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1" s="16" t="str">
        <f>IFERROR(($B$3*梅田ここから4000[[#This Row],[人数]])-梅田ここから4000[[#This Row],[単価合計]]-(梅田ここから4000[[#This Row],[キャンセル人数]]*$B$2),"")</f>
        <v/>
      </c>
      <c r="H31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1" s="15"/>
      <c r="J31" s="16" t="str">
        <f>IF(梅田ここから4000[[#This Row],[人数]]="","",VLOOKUP(梅田ここから4000[[#This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1" s="16" t="str">
        <f>IFERROR(($M$3*梅田ここから3500[[#This Row],[人数]])-梅田ここから3500[[#This Row],[単価合計]]-(梅田ここから3500[[#This Row],[キャンセル人数]]*$B$2),"")</f>
        <v/>
      </c>
      <c r="S31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1" s="15"/>
      <c r="U31" s="16" t="str">
        <f>IF(梅田ここから3500[[#This Row],[人数]]="","",VLOOKUP(梅田ここから3500[[#This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2" s="16" t="str">
        <f>IFERROR(($B$3*梅田ここから4000[[#This Row],[人数]])-梅田ここから4000[[#This Row],[単価合計]]-(梅田ここから4000[[#This Row],[キャンセル人数]]*$B$2),"")</f>
        <v/>
      </c>
      <c r="H32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2" s="15"/>
      <c r="J32" s="16" t="str">
        <f>IF(梅田ここから4000[[#This Row],[人数]]="","",VLOOKUP(梅田ここから4000[[#This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2" s="16" t="str">
        <f>IFERROR(($M$3*梅田ここから3500[[#This Row],[人数]])-梅田ここから3500[[#This Row],[単価合計]]-(梅田ここから3500[[#This Row],[キャンセル人数]]*$B$2),"")</f>
        <v/>
      </c>
      <c r="S32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2" s="15"/>
      <c r="U32" s="16" t="str">
        <f>IF(梅田ここから3500[[#This Row],[人数]]="","",VLOOKUP(梅田ここから3500[[#This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3" s="16" t="str">
        <f>IFERROR(($B$3*梅田ここから4000[[#This Row],[人数]])-梅田ここから4000[[#This Row],[単価合計]]-(梅田ここから4000[[#This Row],[キャンセル人数]]*$B$2),"")</f>
        <v/>
      </c>
      <c r="H33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3" s="15"/>
      <c r="J33" s="16" t="str">
        <f>IF(梅田ここから4000[[#This Row],[人数]]="","",VLOOKUP(梅田ここから4000[[#This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3" s="16" t="str">
        <f>IFERROR(($M$3*梅田ここから3500[[#This Row],[人数]])-梅田ここから3500[[#This Row],[単価合計]]-(梅田ここから3500[[#This Row],[キャンセル人数]]*$B$2),"")</f>
        <v/>
      </c>
      <c r="S33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3" s="15"/>
      <c r="U33" s="16" t="str">
        <f>IF(梅田ここから3500[[#This Row],[人数]]="","",VLOOKUP(梅田ここから3500[[#This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4" s="16" t="str">
        <f>IFERROR(($B$3*梅田ここから4000[[#This Row],[人数]])-梅田ここから4000[[#This Row],[単価合計]]-(梅田ここから4000[[#This Row],[キャンセル人数]]*$B$2),"")</f>
        <v/>
      </c>
      <c r="H34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4" s="15"/>
      <c r="J34" s="16" t="str">
        <f>IF(梅田ここから4000[[#This Row],[人数]]="","",VLOOKUP(梅田ここから4000[[#This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4" s="16" t="str">
        <f>IFERROR(($M$3*梅田ここから3500[[#This Row],[人数]])-梅田ここから3500[[#This Row],[単価合計]]-(梅田ここから3500[[#This Row],[キャンセル人数]]*$B$2),"")</f>
        <v/>
      </c>
      <c r="S34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4" s="15"/>
      <c r="U34" s="16" t="str">
        <f>IF(梅田ここから3500[[#This Row],[人数]]="","",VLOOKUP(梅田ここから3500[[#This Row],[人数]],バック金額②[#All],2,TRUE))</f>
        <v/>
      </c>
    </row>
    <row r="35" spans="1:21">
      <c r="A35" s="74">
        <f t="shared" si="0"/>
        <v>44865</v>
      </c>
      <c r="B35" s="17"/>
      <c r="C35" s="18"/>
      <c r="D35" s="19"/>
      <c r="E35" s="19"/>
      <c r="F35" s="16" t="str">
        <f>IF(梅田ここから4000[[#This Row],[人数]]="","",IF(梅田ここから4000[[#This Row],[人数]]&lt;=7,$B$1*梅田ここから4000[[#This Row],[人数]],$B$1*梅田ここから4000[[#This Row],[人数]]-梅田ここから4000[[#This Row],[幹事無料]]))</f>
        <v/>
      </c>
      <c r="G35" s="16" t="str">
        <f>IFERROR(($B$3*梅田ここから4000[[#This Row],[人数]])-梅田ここから4000[[#This Row],[単価合計]]-(梅田ここから4000[[#This Row],[キャンセル人数]]*$B$2),"")</f>
        <v/>
      </c>
      <c r="H35" s="16" t="str">
        <f>IF(梅田ここから4000[[#This Row],[人数]]=0,"",IF(梅田ここから4000[[#This Row],[人数]]&lt;=7,"",IF(梅田ここから4000[[#This Row],[人数]]&lt;=15,$B$1,IF(梅田ここから4000[[#This Row],[人数]]&lt;=23,$B$1*2,IF(梅田ここから4000[[#This Row],[人数]]&lt;=31,$B$1*3,IF(梅田ここから4000[[#This Row],[人数]]&lt;=39,$B$1*4,""))))))</f>
        <v/>
      </c>
      <c r="I35" s="19"/>
      <c r="J35" s="16" t="str">
        <f>IF(梅田ここから4000[[#This Row],[人数]]="","",VLOOKUP(梅田ここから4000[[#This Row],[人数]],バック金額②[#All],2,TRUE))</f>
        <v/>
      </c>
      <c r="L35" s="74">
        <f t="shared" si="1"/>
        <v>44865</v>
      </c>
      <c r="M35" s="17"/>
      <c r="N35" s="18"/>
      <c r="O35" s="19"/>
      <c r="P35" s="19"/>
      <c r="Q35" s="16" t="str">
        <f>IF(梅田ここから3500[[#This Row],[人数]]="","",IF(梅田ここから3500[[#This Row],[人数]]&lt;=7,$B$1*梅田ここから3500[[#This Row],[人数]],$B$1*梅田ここから3500[[#This Row],[人数]]-梅田ここから3500[[#This Row],[幹事無料]]))</f>
        <v/>
      </c>
      <c r="R35" s="16" t="str">
        <f>IFERROR(($M$3*梅田ここから3500[[#This Row],[人数]])-梅田ここから3500[[#This Row],[単価合計]]-(梅田ここから3500[[#This Row],[キャンセル人数]]*$B$2),"")</f>
        <v/>
      </c>
      <c r="S35" s="16" t="str">
        <f>IF(梅田ここから3500[[#This Row],[人数]]=0,"",IF(梅田ここから3500[[#This Row],[人数]]&lt;=7,"",IF(梅田ここから3500[[#This Row],[人数]]&lt;=15,$B$1,IF(梅田ここから3500[[#This Row],[人数]]&lt;=23,$B$1*2,IF(梅田ここから3500[[#This Row],[人数]]&lt;=31,$B$1*3,IF(梅田ここから3500[[#This Row],[人数]]&lt;=39,$B$1*4,""))))))</f>
        <v/>
      </c>
      <c r="T35" s="19"/>
      <c r="U35" s="16" t="str">
        <f>IF(梅田ここから3500[[#This Row],[人数]]="","",VLOOKUP(梅田ここから3500[[#This Row],[人数]],バック金額②[#All],2,TRUE))</f>
        <v/>
      </c>
    </row>
    <row r="36" spans="1:21">
      <c r="A36" s="69" t="s">
        <v>323</v>
      </c>
      <c r="B36" s="16">
        <f>SUM(梅田ここから4000[[#All],[件数]])</f>
        <v>0</v>
      </c>
      <c r="C36" s="6"/>
      <c r="D36" s="16">
        <f>SUM(梅田ここから4000[[#All],[人数]])</f>
        <v>0</v>
      </c>
      <c r="E36" s="16">
        <f>SUM(梅田ここから4000[[#All],[Aパターン]])</f>
        <v>0</v>
      </c>
      <c r="F36" s="16">
        <f>SUM(梅田ここから4000[[#All],[単価合計]])</f>
        <v>0</v>
      </c>
      <c r="G36" s="16">
        <f>SUM(梅田ここから4000[[#All],[ゆうき取りに行く]])</f>
        <v>0</v>
      </c>
      <c r="H36" s="16"/>
      <c r="I36" s="16"/>
      <c r="J36" s="16">
        <f>SUM(梅田ここから4000[[#All],[イベンターへ]])</f>
        <v>0</v>
      </c>
      <c r="L36" s="6" t="s">
        <v>211</v>
      </c>
      <c r="M36" s="16">
        <f>SUM(梅田ここから3500[[#All],[件数]])</f>
        <v>0</v>
      </c>
      <c r="N36" s="6"/>
      <c r="O36" s="16">
        <f>SUM(梅田ここから3500[[#All],[人数]])</f>
        <v>0</v>
      </c>
      <c r="P36" s="16">
        <f>SUM(梅田ここから3500[[#All],[Aパターン]])</f>
        <v>0</v>
      </c>
      <c r="Q36" s="16">
        <f>SUM(梅田ここから3500[[#All],[単価合計]])</f>
        <v>0</v>
      </c>
      <c r="R36" s="16">
        <f>SUM(梅田ここから3500[[#All],[ゆうき取りに行く]])</f>
        <v>0</v>
      </c>
      <c r="S36" s="16"/>
      <c r="T36" s="16"/>
      <c r="U36" s="16">
        <f>SUM(梅田ここから3500[[#All],[イベンターへ]])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BD761-5473-4CDD-BEA0-454433381F24}">
  <sheetPr codeName="Sheet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244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20" t="s">
        <v>206</v>
      </c>
      <c r="C4" s="6" t="s">
        <v>207</v>
      </c>
      <c r="D4" s="21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67" t="s">
        <v>205</v>
      </c>
      <c r="M4" s="65" t="s">
        <v>206</v>
      </c>
      <c r="N4" s="66" t="s">
        <v>207</v>
      </c>
      <c r="O4" s="66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5" s="16" t="str">
        <f>IFERROR(($B$3*梅田石狩4000[[#This Row],[人数]])-梅田石狩4000[[#This Row],[単価合計]]-(梅田石狩4000[[#This Row],[キャンセル人数]]*$B$2),"")</f>
        <v/>
      </c>
      <c r="H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5" s="15"/>
      <c r="J5" s="16" t="str">
        <f>IF(梅田石狩4000[[#This Row],[人数]]="","",VLOOKUP(梅田石狩4000[[#This Row],[人数]],バック金額②[#All],2,TRUE))</f>
        <v/>
      </c>
      <c r="L5" s="63">
        <f>IF(DAY(DATE(名前リスト!$N$1,名前リスト!$O$1,ROW()-4))=ROW()-4,DATE(名前リスト!$N$1,名前リスト!$O$1,ROW()-4),"")</f>
        <v>44835</v>
      </c>
      <c r="M5" s="22"/>
      <c r="N5" s="19"/>
      <c r="O5" s="15"/>
      <c r="P5" s="19"/>
      <c r="Q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5" s="16" t="str">
        <f>IFERROR(($M$3*梅田石狩3500[[#This Row],[人数]])-梅田石狩3500[[#This Row],[単価合計]]-(梅田石狩3500[[#This Row],[キャンセル人数]]*$B$2),"")</f>
        <v/>
      </c>
      <c r="S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5" s="15"/>
      <c r="U5" s="16" t="str">
        <f>IF(梅田石狩3500[[#This Row],[人数]]="","",VLOOKUP(梅田石狩3500[[#This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6" s="16" t="str">
        <f>IFERROR(($B$3*梅田石狩4000[[#This Row],[人数]])-梅田石狩4000[[#This Row],[単価合計]]-(梅田石狩4000[[#This Row],[キャンセル人数]]*$B$2),"")</f>
        <v/>
      </c>
      <c r="H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6" s="15"/>
      <c r="J6" s="16" t="str">
        <f>IF(梅田石狩4000[[#This Row],[人数]]="","",VLOOKUP(梅田石狩4000[[#This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22"/>
      <c r="N6" s="19"/>
      <c r="O6" s="15"/>
      <c r="P6" s="19"/>
      <c r="Q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6" s="16" t="str">
        <f>IFERROR(($M$3*梅田石狩3500[[#This Row],[人数]])-梅田石狩3500[[#This Row],[単価合計]]-(梅田石狩3500[[#This Row],[キャンセル人数]]*$B$2),"")</f>
        <v/>
      </c>
      <c r="S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6" s="15"/>
      <c r="U6" s="16" t="str">
        <f>IF(梅田石狩3500[[#This Row],[人数]]="","",VLOOKUP(梅田石狩3500[[#This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7" s="16" t="str">
        <f>IFERROR(($B$3*梅田石狩4000[[#This Row],[人数]])-梅田石狩4000[[#This Row],[単価合計]]-(梅田石狩4000[[#This Row],[キャンセル人数]]*$B$2),"")</f>
        <v/>
      </c>
      <c r="H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7" s="15"/>
      <c r="J7" s="16" t="str">
        <f>IF(梅田石狩4000[[#This Row],[人数]]="","",VLOOKUP(梅田石狩4000[[#This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22"/>
      <c r="N7" s="19"/>
      <c r="O7" s="15"/>
      <c r="P7" s="19"/>
      <c r="Q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7" s="16" t="str">
        <f>IFERROR(($M$3*梅田石狩3500[[#This Row],[人数]])-梅田石狩3500[[#This Row],[単価合計]]-(梅田石狩3500[[#This Row],[キャンセル人数]]*$B$2),"")</f>
        <v/>
      </c>
      <c r="S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7" s="15"/>
      <c r="U7" s="16" t="str">
        <f>IF(梅田石狩3500[[#This Row],[人数]]="","",VLOOKUP(梅田石狩3500[[#This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8" s="16" t="str">
        <f>IFERROR(($B$3*梅田石狩4000[[#This Row],[人数]])-梅田石狩4000[[#This Row],[単価合計]]-(梅田石狩4000[[#This Row],[キャンセル人数]]*$B$2),"")</f>
        <v/>
      </c>
      <c r="H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8" s="15"/>
      <c r="J8" s="16" t="str">
        <f>IF(梅田石狩4000[[#This Row],[人数]]="","",VLOOKUP(梅田石狩4000[[#This Row],[人数]],バック金額②[#All],2,TRUE))</f>
        <v/>
      </c>
      <c r="L8" s="63">
        <f t="shared" si="1"/>
        <v>44838</v>
      </c>
      <c r="M8" s="22"/>
      <c r="N8" s="19"/>
      <c r="O8" s="15"/>
      <c r="P8" s="19"/>
      <c r="Q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8" s="16" t="str">
        <f>IFERROR(($M$3*梅田石狩3500[[#This Row],[人数]])-梅田石狩3500[[#This Row],[単価合計]]-(梅田石狩3500[[#This Row],[キャンセル人数]]*$B$2),"")</f>
        <v/>
      </c>
      <c r="S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8" s="15"/>
      <c r="U8" s="16" t="str">
        <f>IF(梅田石狩3500[[#This Row],[人数]]="","",VLOOKUP(梅田石狩3500[[#This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9" s="16" t="str">
        <f>IFERROR(($B$3*梅田石狩4000[[#This Row],[人数]])-梅田石狩4000[[#This Row],[単価合計]]-(梅田石狩4000[[#This Row],[キャンセル人数]]*$B$2),"")</f>
        <v/>
      </c>
      <c r="H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9" s="15"/>
      <c r="J9" s="16" t="str">
        <f>IF(梅田石狩4000[[#This Row],[人数]]="","",VLOOKUP(梅田石狩4000[[#This Row],[人数]],バック金額②[#All],2,TRUE))</f>
        <v/>
      </c>
      <c r="L9" s="63">
        <f t="shared" si="1"/>
        <v>44839</v>
      </c>
      <c r="M9" s="22"/>
      <c r="N9" s="19"/>
      <c r="O9" s="15"/>
      <c r="P9" s="19"/>
      <c r="Q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9" s="16" t="str">
        <f>IFERROR(($M$3*梅田石狩3500[[#This Row],[人数]])-梅田石狩3500[[#This Row],[単価合計]]-(梅田石狩3500[[#This Row],[キャンセル人数]]*$B$2),"")</f>
        <v/>
      </c>
      <c r="S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9" s="15"/>
      <c r="U9" s="16" t="str">
        <f>IF(梅田石狩3500[[#This Row],[人数]]="","",VLOOKUP(梅田石狩3500[[#This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0" s="16" t="str">
        <f>IFERROR(($B$3*梅田石狩4000[[#This Row],[人数]])-梅田石狩4000[[#This Row],[単価合計]]-(梅田石狩4000[[#This Row],[キャンセル人数]]*$B$2),"")</f>
        <v/>
      </c>
      <c r="H1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0" s="15"/>
      <c r="J10" s="16" t="str">
        <f>IF(梅田石狩4000[[#This Row],[人数]]="","",VLOOKUP(梅田石狩4000[[#This Row],[人数]],バック金額②[#All],2,TRUE))</f>
        <v/>
      </c>
      <c r="L10" s="63">
        <f t="shared" si="1"/>
        <v>44840</v>
      </c>
      <c r="M10" s="22"/>
      <c r="N10" s="19"/>
      <c r="O10" s="15"/>
      <c r="P10" s="19"/>
      <c r="Q1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0" s="16" t="str">
        <f>IFERROR(($M$3*梅田石狩3500[[#This Row],[人数]])-梅田石狩3500[[#This Row],[単価合計]]-(梅田石狩3500[[#This Row],[キャンセル人数]]*$B$2),"")</f>
        <v/>
      </c>
      <c r="S1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0" s="15"/>
      <c r="U10" s="16" t="str">
        <f>IF(梅田石狩3500[[#This Row],[人数]]="","",VLOOKUP(梅田石狩3500[[#This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1" s="16" t="str">
        <f>IFERROR(($B$3*梅田石狩4000[[#This Row],[人数]])-梅田石狩4000[[#This Row],[単価合計]]-(梅田石狩4000[[#This Row],[キャンセル人数]]*$B$2),"")</f>
        <v/>
      </c>
      <c r="H1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1" s="15"/>
      <c r="J11" s="16" t="str">
        <f>IF(梅田石狩4000[[#This Row],[人数]]="","",VLOOKUP(梅田石狩4000[[#This Row],[人数]],バック金額②[#All],2,TRUE))</f>
        <v/>
      </c>
      <c r="L11" s="63">
        <f t="shared" si="1"/>
        <v>44841</v>
      </c>
      <c r="M11" s="22"/>
      <c r="N11" s="19"/>
      <c r="O11" s="15"/>
      <c r="P11" s="19"/>
      <c r="Q1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1" s="16" t="str">
        <f>IFERROR(($M$3*梅田石狩3500[[#This Row],[人数]])-梅田石狩3500[[#This Row],[単価合計]]-(梅田石狩3500[[#This Row],[キャンセル人数]]*$B$2),"")</f>
        <v/>
      </c>
      <c r="S1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1" s="15"/>
      <c r="U11" s="16" t="str">
        <f>IF(梅田石狩3500[[#This Row],[人数]]="","",VLOOKUP(梅田石狩3500[[#This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2" s="16" t="str">
        <f>IFERROR(($B$3*梅田石狩4000[[#This Row],[人数]])-梅田石狩4000[[#This Row],[単価合計]]-(梅田石狩4000[[#This Row],[キャンセル人数]]*$B$2),"")</f>
        <v/>
      </c>
      <c r="H1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2" s="15"/>
      <c r="J12" s="16" t="str">
        <f>IF(梅田石狩4000[[#This Row],[人数]]="","",VLOOKUP(梅田石狩4000[[#This Row],[人数]],バック金額②[#All],2,TRUE))</f>
        <v/>
      </c>
      <c r="L12" s="63">
        <f t="shared" si="1"/>
        <v>44842</v>
      </c>
      <c r="M12" s="22"/>
      <c r="N12" s="19"/>
      <c r="O12" s="15"/>
      <c r="P12" s="19"/>
      <c r="Q1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2" s="16" t="str">
        <f>IFERROR(($M$3*梅田石狩3500[[#This Row],[人数]])-梅田石狩3500[[#This Row],[単価合計]]-(梅田石狩3500[[#This Row],[キャンセル人数]]*$B$2),"")</f>
        <v/>
      </c>
      <c r="S1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2" s="15"/>
      <c r="U12" s="16" t="str">
        <f>IF(梅田石狩3500[[#This Row],[人数]]="","",VLOOKUP(梅田石狩3500[[#This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3" s="16" t="str">
        <f>IFERROR(($B$3*梅田石狩4000[[#This Row],[人数]])-梅田石狩4000[[#This Row],[単価合計]]-(梅田石狩4000[[#This Row],[キャンセル人数]]*$B$2),"")</f>
        <v/>
      </c>
      <c r="H1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3" s="15"/>
      <c r="J13" s="16" t="str">
        <f>IF(梅田石狩4000[[#This Row],[人数]]="","",VLOOKUP(梅田石狩4000[[#This Row],[人数]],バック金額②[#All],2,TRUE))</f>
        <v/>
      </c>
      <c r="L13" s="63">
        <f t="shared" si="1"/>
        <v>44843</v>
      </c>
      <c r="M13" s="22"/>
      <c r="N13" s="19"/>
      <c r="O13" s="15"/>
      <c r="P13" s="19"/>
      <c r="Q1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3" s="16" t="str">
        <f>IFERROR(($M$3*梅田石狩3500[[#This Row],[人数]])-梅田石狩3500[[#This Row],[単価合計]]-(梅田石狩3500[[#This Row],[キャンセル人数]]*$B$2),"")</f>
        <v/>
      </c>
      <c r="S1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3" s="15"/>
      <c r="U13" s="16" t="str">
        <f>IF(梅田石狩3500[[#This Row],[人数]]="","",VLOOKUP(梅田石狩3500[[#This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4" s="16" t="str">
        <f>IFERROR(($B$3*梅田石狩4000[[#This Row],[人数]])-梅田石狩4000[[#This Row],[単価合計]]-(梅田石狩4000[[#This Row],[キャンセル人数]]*$B$2),"")</f>
        <v/>
      </c>
      <c r="H1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4" s="15"/>
      <c r="J14" s="16" t="str">
        <f>IF(梅田石狩4000[[#This Row],[人数]]="","",VLOOKUP(梅田石狩4000[[#This Row],[人数]],バック金額②[#All],2,TRUE))</f>
        <v/>
      </c>
      <c r="L14" s="63">
        <f t="shared" si="1"/>
        <v>44844</v>
      </c>
      <c r="M14" s="22"/>
      <c r="N14" s="19"/>
      <c r="O14" s="15"/>
      <c r="P14" s="19"/>
      <c r="Q1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4" s="16" t="str">
        <f>IFERROR(($M$3*梅田石狩3500[[#This Row],[人数]])-梅田石狩3500[[#This Row],[単価合計]]-(梅田石狩3500[[#This Row],[キャンセル人数]]*$B$2),"")</f>
        <v/>
      </c>
      <c r="S1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4" s="15"/>
      <c r="U14" s="16" t="str">
        <f>IF(梅田石狩3500[[#This Row],[人数]]="","",VLOOKUP(梅田石狩3500[[#This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5" s="16" t="str">
        <f>IFERROR(($B$3*梅田石狩4000[[#This Row],[人数]])-梅田石狩4000[[#This Row],[単価合計]]-(梅田石狩4000[[#This Row],[キャンセル人数]]*$B$2),"")</f>
        <v/>
      </c>
      <c r="H1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5" s="15"/>
      <c r="J15" s="16" t="str">
        <f>IF(梅田石狩4000[[#This Row],[人数]]="","",VLOOKUP(梅田石狩4000[[#This Row],[人数]],バック金額②[#All],2,TRUE))</f>
        <v/>
      </c>
      <c r="L15" s="63">
        <f t="shared" si="1"/>
        <v>44845</v>
      </c>
      <c r="M15" s="22"/>
      <c r="N15" s="19"/>
      <c r="O15" s="15"/>
      <c r="P15" s="19"/>
      <c r="Q1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5" s="16" t="str">
        <f>IFERROR(($M$3*梅田石狩3500[[#This Row],[人数]])-梅田石狩3500[[#This Row],[単価合計]]-(梅田石狩3500[[#This Row],[キャンセル人数]]*$B$2),"")</f>
        <v/>
      </c>
      <c r="S1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5" s="15"/>
      <c r="U15" s="16" t="str">
        <f>IF(梅田石狩3500[[#This Row],[人数]]="","",VLOOKUP(梅田石狩3500[[#This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6" s="16" t="str">
        <f>IFERROR(($B$3*梅田石狩4000[[#This Row],[人数]])-梅田石狩4000[[#This Row],[単価合計]]-(梅田石狩4000[[#This Row],[キャンセル人数]]*$B$2),"")</f>
        <v/>
      </c>
      <c r="H1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6" s="15"/>
      <c r="J16" s="16" t="str">
        <f>IF(梅田石狩4000[[#This Row],[人数]]="","",VLOOKUP(梅田石狩4000[[#This Row],[人数]],バック金額②[#All],2,TRUE))</f>
        <v/>
      </c>
      <c r="L16" s="63">
        <f t="shared" si="1"/>
        <v>44846</v>
      </c>
      <c r="M16" s="22"/>
      <c r="N16" s="19"/>
      <c r="O16" s="15"/>
      <c r="P16" s="19"/>
      <c r="Q1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6" s="16" t="str">
        <f>IFERROR(($M$3*梅田石狩3500[[#This Row],[人数]])-梅田石狩3500[[#This Row],[単価合計]]-(梅田石狩3500[[#This Row],[キャンセル人数]]*$B$2),"")</f>
        <v/>
      </c>
      <c r="S1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6" s="15"/>
      <c r="U16" s="16" t="str">
        <f>IF(梅田石狩3500[[#This Row],[人数]]="","",VLOOKUP(梅田石狩3500[[#This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7" s="16" t="str">
        <f>IFERROR(($B$3*梅田石狩4000[[#This Row],[人数]])-梅田石狩4000[[#This Row],[単価合計]]-(梅田石狩4000[[#This Row],[キャンセル人数]]*$B$2),"")</f>
        <v/>
      </c>
      <c r="H1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7" s="15"/>
      <c r="J17" s="16" t="str">
        <f>IF(梅田石狩4000[[#This Row],[人数]]="","",VLOOKUP(梅田石狩4000[[#This Row],[人数]],バック金額②[#All],2,TRUE))</f>
        <v/>
      </c>
      <c r="L17" s="63">
        <f t="shared" si="1"/>
        <v>44847</v>
      </c>
      <c r="M17" s="22"/>
      <c r="N17" s="19"/>
      <c r="O17" s="15"/>
      <c r="P17" s="19"/>
      <c r="Q1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7" s="16" t="str">
        <f>IFERROR(($M$3*梅田石狩3500[[#This Row],[人数]])-梅田石狩3500[[#This Row],[単価合計]]-(梅田石狩3500[[#This Row],[キャンセル人数]]*$B$2),"")</f>
        <v/>
      </c>
      <c r="S1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7" s="15"/>
      <c r="U17" s="16" t="str">
        <f>IF(梅田石狩3500[[#This Row],[人数]]="","",VLOOKUP(梅田石狩3500[[#This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8" s="16" t="str">
        <f>IFERROR(($B$3*梅田石狩4000[[#This Row],[人数]])-梅田石狩4000[[#This Row],[単価合計]]-(梅田石狩4000[[#This Row],[キャンセル人数]]*$B$2),"")</f>
        <v/>
      </c>
      <c r="H1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8" s="15"/>
      <c r="J18" s="16" t="str">
        <f>IF(梅田石狩4000[[#This Row],[人数]]="","",VLOOKUP(梅田石狩4000[[#This Row],[人数]],バック金額②[#All],2,TRUE))</f>
        <v/>
      </c>
      <c r="L18" s="63">
        <f t="shared" si="1"/>
        <v>44848</v>
      </c>
      <c r="M18" s="22"/>
      <c r="N18" s="19"/>
      <c r="O18" s="15"/>
      <c r="P18" s="19"/>
      <c r="Q1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8" s="16" t="str">
        <f>IFERROR(($M$3*梅田石狩3500[[#This Row],[人数]])-梅田石狩3500[[#This Row],[単価合計]]-(梅田石狩3500[[#This Row],[キャンセル人数]]*$B$2),"")</f>
        <v/>
      </c>
      <c r="S1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8" s="15"/>
      <c r="U18" s="16" t="str">
        <f>IF(梅田石狩3500[[#This Row],[人数]]="","",VLOOKUP(梅田石狩3500[[#This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19" s="16" t="str">
        <f>IFERROR(($B$3*梅田石狩4000[[#This Row],[人数]])-梅田石狩4000[[#This Row],[単価合計]]-(梅田石狩4000[[#This Row],[キャンセル人数]]*$B$2),"")</f>
        <v/>
      </c>
      <c r="H1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19" s="15"/>
      <c r="J19" s="16" t="str">
        <f>IF(梅田石狩4000[[#This Row],[人数]]="","",VLOOKUP(梅田石狩4000[[#This Row],[人数]],バック金額②[#All],2,TRUE))</f>
        <v/>
      </c>
      <c r="L19" s="63">
        <f t="shared" si="1"/>
        <v>44849</v>
      </c>
      <c r="M19" s="22"/>
      <c r="N19" s="19"/>
      <c r="O19" s="15"/>
      <c r="P19" s="19"/>
      <c r="Q1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19" s="16" t="str">
        <f>IFERROR(($M$3*梅田石狩3500[[#This Row],[人数]])-梅田石狩3500[[#This Row],[単価合計]]-(梅田石狩3500[[#This Row],[キャンセル人数]]*$B$2),"")</f>
        <v/>
      </c>
      <c r="S1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19" s="15"/>
      <c r="U19" s="16" t="str">
        <f>IF(梅田石狩3500[[#This Row],[人数]]="","",VLOOKUP(梅田石狩3500[[#This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0" s="16" t="str">
        <f>IFERROR(($B$3*梅田石狩4000[[#This Row],[人数]])-梅田石狩4000[[#This Row],[単価合計]]-(梅田石狩4000[[#This Row],[キャンセル人数]]*$B$2),"")</f>
        <v/>
      </c>
      <c r="H2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0" s="15"/>
      <c r="J20" s="16" t="str">
        <f>IF(梅田石狩4000[[#This Row],[人数]]="","",VLOOKUP(梅田石狩4000[[#This Row],[人数]],バック金額②[#All],2,TRUE))</f>
        <v/>
      </c>
      <c r="L20" s="63">
        <f t="shared" si="1"/>
        <v>44850</v>
      </c>
      <c r="M20" s="22"/>
      <c r="N20" s="19"/>
      <c r="O20" s="15"/>
      <c r="P20" s="19"/>
      <c r="Q2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0" s="16" t="str">
        <f>IFERROR(($M$3*梅田石狩3500[[#This Row],[人数]])-梅田石狩3500[[#This Row],[単価合計]]-(梅田石狩3500[[#This Row],[キャンセル人数]]*$B$2),"")</f>
        <v/>
      </c>
      <c r="S2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0" s="15"/>
      <c r="U20" s="16" t="str">
        <f>IF(梅田石狩3500[[#This Row],[人数]]="","",VLOOKUP(梅田石狩3500[[#This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1" s="16" t="str">
        <f>IFERROR(($B$3*梅田石狩4000[[#This Row],[人数]])-梅田石狩4000[[#This Row],[単価合計]]-(梅田石狩4000[[#This Row],[キャンセル人数]]*$B$2),"")</f>
        <v/>
      </c>
      <c r="H2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1" s="15"/>
      <c r="J21" s="16" t="str">
        <f>IF(梅田石狩4000[[#This Row],[人数]]="","",VLOOKUP(梅田石狩4000[[#This Row],[人数]],バック金額②[#All],2,TRUE))</f>
        <v/>
      </c>
      <c r="L21" s="63">
        <f t="shared" si="1"/>
        <v>44851</v>
      </c>
      <c r="M21" s="22"/>
      <c r="N21" s="19"/>
      <c r="O21" s="15"/>
      <c r="P21" s="19"/>
      <c r="Q2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1" s="16" t="str">
        <f>IFERROR(($M$3*梅田石狩3500[[#This Row],[人数]])-梅田石狩3500[[#This Row],[単価合計]]-(梅田石狩3500[[#This Row],[キャンセル人数]]*$B$2),"")</f>
        <v/>
      </c>
      <c r="S2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1" s="15"/>
      <c r="U21" s="16" t="str">
        <f>IF(梅田石狩3500[[#This Row],[人数]]="","",VLOOKUP(梅田石狩3500[[#This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2" s="16" t="str">
        <f>IFERROR(($B$3*梅田石狩4000[[#This Row],[人数]])-梅田石狩4000[[#This Row],[単価合計]]-(梅田石狩4000[[#This Row],[キャンセル人数]]*$B$2),"")</f>
        <v/>
      </c>
      <c r="H2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2" s="15"/>
      <c r="J22" s="16" t="str">
        <f>IF(梅田石狩4000[[#This Row],[人数]]="","",VLOOKUP(梅田石狩4000[[#This Row],[人数]],バック金額②[#All],2,TRUE))</f>
        <v/>
      </c>
      <c r="L22" s="63">
        <f t="shared" si="1"/>
        <v>44852</v>
      </c>
      <c r="M22" s="22"/>
      <c r="N22" s="19"/>
      <c r="O22" s="19"/>
      <c r="P22" s="19"/>
      <c r="Q2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2" s="16" t="str">
        <f>IFERROR(($M$3*梅田石狩3500[[#This Row],[人数]])-梅田石狩3500[[#This Row],[単価合計]]-(梅田石狩3500[[#This Row],[キャンセル人数]]*$B$2),"")</f>
        <v/>
      </c>
      <c r="S2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2" s="15"/>
      <c r="U22" s="16" t="str">
        <f>IF(梅田石狩3500[[#This Row],[人数]]="","",VLOOKUP(梅田石狩3500[[#This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3" s="16" t="str">
        <f>IFERROR(($B$3*梅田石狩4000[[#This Row],[人数]])-梅田石狩4000[[#This Row],[単価合計]]-(梅田石狩4000[[#This Row],[キャンセル人数]]*$B$2),"")</f>
        <v/>
      </c>
      <c r="H2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3" s="15"/>
      <c r="J23" s="16" t="str">
        <f>IF(梅田石狩4000[[#This Row],[人数]]="","",VLOOKUP(梅田石狩4000[[#This Row],[人数]],バック金額②[#All],2,TRUE))</f>
        <v/>
      </c>
      <c r="L23" s="63">
        <f t="shared" si="1"/>
        <v>44853</v>
      </c>
      <c r="M23" s="22"/>
      <c r="N23" s="19"/>
      <c r="O23" s="19"/>
      <c r="P23" s="19"/>
      <c r="Q2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3" s="16" t="str">
        <f>IFERROR(($M$3*梅田石狩3500[[#This Row],[人数]])-梅田石狩3500[[#This Row],[単価合計]]-(梅田石狩3500[[#This Row],[キャンセル人数]]*$B$2),"")</f>
        <v/>
      </c>
      <c r="S2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3" s="15"/>
      <c r="U23" s="16" t="str">
        <f>IF(梅田石狩3500[[#This Row],[人数]]="","",VLOOKUP(梅田石狩3500[[#This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4" s="16" t="str">
        <f>IFERROR(($B$3*梅田石狩4000[[#This Row],[人数]])-梅田石狩4000[[#This Row],[単価合計]]-(梅田石狩4000[[#This Row],[キャンセル人数]]*$B$2),"")</f>
        <v/>
      </c>
      <c r="H2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4" s="15"/>
      <c r="J24" s="16" t="str">
        <f>IF(梅田石狩4000[[#This Row],[人数]]="","",VLOOKUP(梅田石狩4000[[#This Row],[人数]],バック金額②[#All],2,TRUE))</f>
        <v/>
      </c>
      <c r="L24" s="63">
        <f t="shared" si="1"/>
        <v>44854</v>
      </c>
      <c r="M24" s="22"/>
      <c r="N24" s="19"/>
      <c r="O24" s="19"/>
      <c r="P24" s="19"/>
      <c r="Q2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4" s="16" t="str">
        <f>IFERROR(($M$3*梅田石狩3500[[#This Row],[人数]])-梅田石狩3500[[#This Row],[単価合計]]-(梅田石狩3500[[#This Row],[キャンセル人数]]*$B$2),"")</f>
        <v/>
      </c>
      <c r="S2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4" s="15"/>
      <c r="U24" s="16" t="str">
        <f>IF(梅田石狩3500[[#This Row],[人数]]="","",VLOOKUP(梅田石狩3500[[#This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5" s="16" t="str">
        <f>IFERROR(($B$3*梅田石狩4000[[#This Row],[人数]])-梅田石狩4000[[#This Row],[単価合計]]-(梅田石狩4000[[#This Row],[キャンセル人数]]*$B$2),"")</f>
        <v/>
      </c>
      <c r="H2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5" s="15"/>
      <c r="J25" s="16" t="str">
        <f>IF(梅田石狩4000[[#This Row],[人数]]="","",VLOOKUP(梅田石狩4000[[#This Row],[人数]],バック金額②[#All],2,TRUE))</f>
        <v/>
      </c>
      <c r="L25" s="63">
        <f t="shared" si="1"/>
        <v>44855</v>
      </c>
      <c r="M25" s="22"/>
      <c r="N25" s="19"/>
      <c r="O25" s="19"/>
      <c r="P25" s="19"/>
      <c r="Q2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5" s="16" t="str">
        <f>IFERROR(($M$3*梅田石狩3500[[#This Row],[人数]])-梅田石狩3500[[#This Row],[単価合計]]-(梅田石狩3500[[#This Row],[キャンセル人数]]*$B$2),"")</f>
        <v/>
      </c>
      <c r="S2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5" s="15"/>
      <c r="U25" s="16" t="str">
        <f>IF(梅田石狩3500[[#This Row],[人数]]="","",VLOOKUP(梅田石狩3500[[#This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6" s="16" t="str">
        <f>IFERROR(($B$3*梅田石狩4000[[#This Row],[人数]])-梅田石狩4000[[#This Row],[単価合計]]-(梅田石狩4000[[#This Row],[キャンセル人数]]*$B$2),"")</f>
        <v/>
      </c>
      <c r="H26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6" s="15"/>
      <c r="J26" s="16" t="str">
        <f>IF(梅田石狩4000[[#This Row],[人数]]="","",VLOOKUP(梅田石狩4000[[#This Row],[人数]],バック金額②[#All],2,TRUE))</f>
        <v/>
      </c>
      <c r="L26" s="63">
        <f t="shared" si="1"/>
        <v>44856</v>
      </c>
      <c r="M26" s="22"/>
      <c r="N26" s="19"/>
      <c r="O26" s="19"/>
      <c r="P26" s="19"/>
      <c r="Q26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6" s="16" t="str">
        <f>IFERROR(($M$3*梅田石狩3500[[#This Row],[人数]])-梅田石狩3500[[#This Row],[単価合計]]-(梅田石狩3500[[#This Row],[キャンセル人数]]*$B$2),"")</f>
        <v/>
      </c>
      <c r="S26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6" s="15"/>
      <c r="U26" s="16" t="str">
        <f>IF(梅田石狩3500[[#This Row],[人数]]="","",VLOOKUP(梅田石狩3500[[#This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7" s="16" t="str">
        <f>IFERROR(($B$3*梅田石狩4000[[#This Row],[人数]])-梅田石狩4000[[#This Row],[単価合計]]-(梅田石狩4000[[#This Row],[キャンセル人数]]*$B$2),"")</f>
        <v/>
      </c>
      <c r="H27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7" s="15"/>
      <c r="J27" s="16" t="str">
        <f>IF(梅田石狩4000[[#This Row],[人数]]="","",VLOOKUP(梅田石狩4000[[#This Row],[人数]],バック金額②[#All],2,TRUE))</f>
        <v/>
      </c>
      <c r="L27" s="63">
        <f t="shared" si="1"/>
        <v>44857</v>
      </c>
      <c r="M27" s="22"/>
      <c r="N27" s="19"/>
      <c r="O27" s="19"/>
      <c r="P27" s="19"/>
      <c r="Q27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7" s="16" t="str">
        <f>IFERROR(($M$3*梅田石狩3500[[#This Row],[人数]])-梅田石狩3500[[#This Row],[単価合計]]-(梅田石狩3500[[#This Row],[キャンセル人数]]*$B$2),"")</f>
        <v/>
      </c>
      <c r="S27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7" s="15"/>
      <c r="U27" s="16" t="str">
        <f>IF(梅田石狩3500[[#This Row],[人数]]="","",VLOOKUP(梅田石狩3500[[#This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8" s="16" t="str">
        <f>IFERROR(($B$3*梅田石狩4000[[#This Row],[人数]])-梅田石狩4000[[#This Row],[単価合計]]-(梅田石狩4000[[#This Row],[キャンセル人数]]*$B$2),"")</f>
        <v/>
      </c>
      <c r="H28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8" s="15"/>
      <c r="J28" s="16" t="str">
        <f>IF(梅田石狩4000[[#This Row],[人数]]="","",VLOOKUP(梅田石狩4000[[#This Row],[人数]],バック金額②[#All],2,TRUE))</f>
        <v/>
      </c>
      <c r="L28" s="63">
        <f t="shared" si="1"/>
        <v>44858</v>
      </c>
      <c r="M28" s="22"/>
      <c r="N28" s="19"/>
      <c r="O28" s="19"/>
      <c r="P28" s="19"/>
      <c r="Q28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8" s="16" t="str">
        <f>IFERROR(($M$3*梅田石狩3500[[#This Row],[人数]])-梅田石狩3500[[#This Row],[単価合計]]-(梅田石狩3500[[#This Row],[キャンセル人数]]*$B$2),"")</f>
        <v/>
      </c>
      <c r="S28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8" s="15"/>
      <c r="U28" s="16" t="str">
        <f>IF(梅田石狩3500[[#This Row],[人数]]="","",VLOOKUP(梅田石狩3500[[#This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29" s="16" t="str">
        <f>IFERROR(($B$3*梅田石狩4000[[#This Row],[人数]])-梅田石狩4000[[#This Row],[単価合計]]-(梅田石狩4000[[#This Row],[キャンセル人数]]*$B$2),"")</f>
        <v/>
      </c>
      <c r="H29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29" s="15"/>
      <c r="J29" s="16" t="str">
        <f>IF(梅田石狩4000[[#This Row],[人数]]="","",VLOOKUP(梅田石狩4000[[#This Row],[人数]],バック金額②[#All],2,TRUE))</f>
        <v/>
      </c>
      <c r="L29" s="63">
        <f t="shared" si="1"/>
        <v>44859</v>
      </c>
      <c r="M29" s="22"/>
      <c r="N29" s="19"/>
      <c r="O29" s="19"/>
      <c r="P29" s="19"/>
      <c r="Q29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29" s="16" t="str">
        <f>IFERROR(($M$3*梅田石狩3500[[#This Row],[人数]])-梅田石狩3500[[#This Row],[単価合計]]-(梅田石狩3500[[#This Row],[キャンセル人数]]*$B$2),"")</f>
        <v/>
      </c>
      <c r="S29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29" s="15"/>
      <c r="U29" s="16" t="str">
        <f>IF(梅田石狩3500[[#This Row],[人数]]="","",VLOOKUP(梅田石狩3500[[#This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0" s="16" t="str">
        <f>IFERROR(($B$3*梅田石狩4000[[#This Row],[人数]])-梅田石狩4000[[#This Row],[単価合計]]-(梅田石狩4000[[#This Row],[キャンセル人数]]*$B$2),"")</f>
        <v/>
      </c>
      <c r="H30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0" s="15"/>
      <c r="J30" s="16" t="str">
        <f>IF(梅田石狩4000[[#This Row],[人数]]="","",VLOOKUP(梅田石狩4000[[#This Row],[人数]],バック金額②[#All],2,TRUE))</f>
        <v/>
      </c>
      <c r="L30" s="63">
        <f t="shared" si="1"/>
        <v>44860</v>
      </c>
      <c r="M30" s="22"/>
      <c r="N30" s="19"/>
      <c r="O30" s="19"/>
      <c r="P30" s="19"/>
      <c r="Q30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0" s="16" t="str">
        <f>IFERROR(($M$3*梅田石狩3500[[#This Row],[人数]])-梅田石狩3500[[#This Row],[単価合計]]-(梅田石狩3500[[#This Row],[キャンセル人数]]*$B$2),"")</f>
        <v/>
      </c>
      <c r="S30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0" s="15"/>
      <c r="U30" s="16" t="str">
        <f>IF(梅田石狩3500[[#This Row],[人数]]="","",VLOOKUP(梅田石狩3500[[#This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1" s="16" t="str">
        <f>IFERROR(($B$3*梅田石狩4000[[#This Row],[人数]])-梅田石狩4000[[#This Row],[単価合計]]-(梅田石狩4000[[#This Row],[キャンセル人数]]*$B$2),"")</f>
        <v/>
      </c>
      <c r="H31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1" s="15"/>
      <c r="J31" s="16" t="str">
        <f>IF(梅田石狩4000[[#This Row],[人数]]="","",VLOOKUP(梅田石狩4000[[#This Row],[人数]],バック金額②[#All],2,TRUE))</f>
        <v/>
      </c>
      <c r="L31" s="63">
        <f t="shared" si="1"/>
        <v>44861</v>
      </c>
      <c r="M31" s="22"/>
      <c r="N31" s="19"/>
      <c r="O31" s="19"/>
      <c r="P31" s="19"/>
      <c r="Q31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1" s="16" t="str">
        <f>IFERROR(($M$3*梅田石狩3500[[#This Row],[人数]])-梅田石狩3500[[#This Row],[単価合計]]-(梅田石狩3500[[#This Row],[キャンセル人数]]*$B$2),"")</f>
        <v/>
      </c>
      <c r="S31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1" s="15"/>
      <c r="U31" s="16" t="str">
        <f>IF(梅田石狩3500[[#This Row],[人数]]="","",VLOOKUP(梅田石狩3500[[#This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2" s="16" t="str">
        <f>IFERROR(($B$3*梅田石狩4000[[#This Row],[人数]])-梅田石狩4000[[#This Row],[単価合計]]-(梅田石狩4000[[#This Row],[キャンセル人数]]*$B$2),"")</f>
        <v/>
      </c>
      <c r="H32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2" s="15"/>
      <c r="J32" s="16" t="str">
        <f>IF(梅田石狩4000[[#This Row],[人数]]="","",VLOOKUP(梅田石狩4000[[#This Row],[人数]],バック金額②[#All],2,TRUE))</f>
        <v/>
      </c>
      <c r="L32" s="63">
        <f t="shared" si="1"/>
        <v>44862</v>
      </c>
      <c r="M32" s="22"/>
      <c r="N32" s="19"/>
      <c r="O32" s="19"/>
      <c r="P32" s="19"/>
      <c r="Q32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2" s="16" t="str">
        <f>IFERROR(($M$3*梅田石狩3500[[#This Row],[人数]])-梅田石狩3500[[#This Row],[単価合計]]-(梅田石狩3500[[#This Row],[キャンセル人数]]*$B$2),"")</f>
        <v/>
      </c>
      <c r="S32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2" s="15"/>
      <c r="U32" s="16" t="str">
        <f>IF(梅田石狩3500[[#This Row],[人数]]="","",VLOOKUP(梅田石狩3500[[#This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3" s="16" t="str">
        <f>IFERROR(($B$3*梅田石狩4000[[#This Row],[人数]])-梅田石狩4000[[#This Row],[単価合計]]-(梅田石狩4000[[#This Row],[キャンセル人数]]*$B$2),"")</f>
        <v/>
      </c>
      <c r="H33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3" s="15"/>
      <c r="J33" s="16" t="str">
        <f>IF(梅田石狩4000[[#This Row],[人数]]="","",VLOOKUP(梅田石狩4000[[#This Row],[人数]],バック金額②[#All],2,TRUE))</f>
        <v/>
      </c>
      <c r="L33" s="63">
        <f t="shared" si="1"/>
        <v>44863</v>
      </c>
      <c r="M33" s="22"/>
      <c r="N33" s="19"/>
      <c r="O33" s="19"/>
      <c r="P33" s="19"/>
      <c r="Q33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3" s="16" t="str">
        <f>IFERROR(($M$3*梅田石狩3500[[#This Row],[人数]])-梅田石狩3500[[#This Row],[単価合計]]-(梅田石狩3500[[#This Row],[キャンセル人数]]*$B$2),"")</f>
        <v/>
      </c>
      <c r="S33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3" s="15"/>
      <c r="U33" s="16" t="str">
        <f>IF(梅田石狩3500[[#This Row],[人数]]="","",VLOOKUP(梅田石狩3500[[#This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4" s="16" t="str">
        <f>IFERROR(($B$3*梅田石狩4000[[#This Row],[人数]])-梅田石狩4000[[#This Row],[単価合計]]-(梅田石狩4000[[#This Row],[キャンセル人数]]*$B$2),"")</f>
        <v/>
      </c>
      <c r="H34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4" s="15"/>
      <c r="J34" s="16" t="str">
        <f>IF(梅田石狩4000[[#This Row],[人数]]="","",VLOOKUP(梅田石狩4000[[#This Row],[人数]],バック金額②[#All],2,TRUE))</f>
        <v/>
      </c>
      <c r="L34" s="63">
        <f t="shared" si="1"/>
        <v>44864</v>
      </c>
      <c r="M34" s="23"/>
      <c r="N34" s="15"/>
      <c r="O34" s="15"/>
      <c r="P34" s="15"/>
      <c r="Q34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4" s="16" t="str">
        <f>IFERROR(($M$3*梅田石狩3500[[#This Row],[人数]])-梅田石狩3500[[#This Row],[単価合計]]-(梅田石狩3500[[#This Row],[キャンセル人数]]*$B$2),"")</f>
        <v/>
      </c>
      <c r="S34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4" s="15"/>
      <c r="U34" s="16" t="str">
        <f>IF(梅田石狩3500[[#This Row],[人数]]="","",VLOOKUP(梅田石狩3500[[#This Row],[人数]],バック金額②[#All],2,TRUE))</f>
        <v/>
      </c>
    </row>
    <row r="35" spans="1:21">
      <c r="A35" s="63">
        <f t="shared" si="0"/>
        <v>44865</v>
      </c>
      <c r="B35" s="13"/>
      <c r="C35" s="14"/>
      <c r="D35" s="15"/>
      <c r="E35" s="15"/>
      <c r="F35" s="16" t="str">
        <f>IF(梅田石狩4000[[#This Row],[人数]]="","",IF(梅田石狩4000[[#This Row],[人数]]&lt;=7,$B$1*梅田石狩4000[[#This Row],[人数]],$B$1*梅田石狩4000[[#This Row],[人数]]-梅田石狩4000[[#This Row],[幹事無料]]))</f>
        <v/>
      </c>
      <c r="G35" s="16" t="str">
        <f>IFERROR(($B$3*梅田石狩4000[[#This Row],[人数]])-梅田石狩4000[[#This Row],[単価合計]]-(梅田石狩4000[[#This Row],[キャンセル人数]]*$B$2),"")</f>
        <v/>
      </c>
      <c r="H35" s="16" t="str">
        <f>IF(梅田石狩4000[[#This Row],[人数]]=0,"",IF(梅田石狩4000[[#This Row],[人数]]&lt;=7,"",IF(梅田石狩4000[[#This Row],[人数]]&lt;=15,$B$1,IF(梅田石狩4000[[#This Row],[人数]]&lt;=23,$B$1*2,IF(梅田石狩4000[[#This Row],[人数]]&lt;=31,$B$1*3,IF(梅田石狩4000[[#This Row],[人数]]&lt;=39,$B$1*4,""))))))</f>
        <v/>
      </c>
      <c r="I35" s="15"/>
      <c r="J35" s="16" t="str">
        <f>IF(梅田石狩4000[[#This Row],[人数]]="","",VLOOKUP(梅田石狩4000[[#This Row],[人数]],バック金額②[#All],2,TRUE))</f>
        <v/>
      </c>
      <c r="L35" s="74">
        <f t="shared" si="1"/>
        <v>44865</v>
      </c>
      <c r="M35" s="17"/>
      <c r="N35" s="18"/>
      <c r="O35" s="19"/>
      <c r="P35" s="19"/>
      <c r="Q35" s="16" t="str">
        <f>IF(梅田石狩3500[[#This Row],[人数]]="","",IF(梅田石狩3500[[#This Row],[人数]]&lt;=7,$B$1*梅田石狩3500[[#This Row],[人数]],$B$1*梅田石狩3500[[#This Row],[人数]]-梅田石狩3500[[#This Row],[幹事無料]]))</f>
        <v/>
      </c>
      <c r="R35" s="16" t="str">
        <f>IFERROR(($M$3*梅田石狩3500[[#This Row],[人数]])-梅田石狩3500[[#This Row],[単価合計]]-(梅田石狩3500[[#This Row],[キャンセル人数]]*$B$2),"")</f>
        <v/>
      </c>
      <c r="S35" s="16" t="str">
        <f>IF(梅田石狩3500[[#This Row],[人数]]=0,"",IF(梅田石狩3500[[#This Row],[人数]]&lt;=7,"",IF(梅田石狩3500[[#This Row],[人数]]&lt;=15,$B$1,IF(梅田石狩3500[[#This Row],[人数]]&lt;=23,$B$1*2,IF(梅田石狩3500[[#This Row],[人数]]&lt;=31,$B$1*3,IF(梅田石狩3500[[#This Row],[人数]]&lt;=39,$B$1*4,""))))))</f>
        <v/>
      </c>
      <c r="T35" s="15"/>
      <c r="U35" s="16" t="str">
        <f>IF(梅田石狩3500[[#This Row],[人数]]="","",VLOOKUP(梅田石狩3500[[#This Row],[人数]],バック金額②[#All],2,TRUE))</f>
        <v/>
      </c>
    </row>
    <row r="36" spans="1:21">
      <c r="A36" s="64" t="s">
        <v>323</v>
      </c>
      <c r="B36" s="7">
        <f>SUM(梅田石狩4000[[#All],[件数]])</f>
        <v>0</v>
      </c>
      <c r="C36" s="6"/>
      <c r="D36" s="7">
        <f>SUM(梅田石狩4000[[#All],[人数]])</f>
        <v>0</v>
      </c>
      <c r="E36" s="7">
        <f>SUM(梅田石狩4000[[#All],[Aパターン]])</f>
        <v>0</v>
      </c>
      <c r="F36" s="7">
        <f>SUM(梅田石狩4000[[#All],[単価合計]])</f>
        <v>0</v>
      </c>
      <c r="G36" s="7">
        <f>SUM(梅田石狩4000[[#All],[ゆうき取りに行く]])</f>
        <v>0</v>
      </c>
      <c r="H36" s="7"/>
      <c r="I36" s="7"/>
      <c r="J36" s="7">
        <f>SUM(梅田石狩4000[[#All],[イベンターへ]])</f>
        <v>0</v>
      </c>
      <c r="L36" s="6" t="s">
        <v>211</v>
      </c>
      <c r="M36" s="7">
        <f>SUM(梅田石狩3500[[#All],[件数]])</f>
        <v>0</v>
      </c>
      <c r="N36" s="75"/>
      <c r="O36" s="7">
        <f>SUM(梅田石狩3500[[#All],[人数]])</f>
        <v>0</v>
      </c>
      <c r="P36" s="7">
        <f>SUM(梅田石狩3500[[#All],[Aパターン]])</f>
        <v>0</v>
      </c>
      <c r="Q36" s="7">
        <f>SUM(梅田石狩3500[[#All],[単価合計]])</f>
        <v>0</v>
      </c>
      <c r="R36" s="7">
        <f>SUM(梅田石狩3500[[#All],[ゆうき取りに行く]])</f>
        <v>0</v>
      </c>
      <c r="S36" s="7"/>
      <c r="T36" s="7"/>
      <c r="U36" s="7">
        <f>SUM(梅田石狩3500[[#All],[イベンターへ]])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1613-E19A-495F-9FEE-3AE164462B9E}">
  <sheetPr codeName="Sheet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C1" s="46" t="s">
        <v>245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5" s="16" t="str">
        <f>IFERROR(($B$3*梅田あん4000[[#This Row],[人数]])-梅田あん4000[[#This Row],[単価合計]]-(梅田あん4000[[#This Row],[キャンセル人数]]*$B$2),"")</f>
        <v/>
      </c>
      <c r="H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5" s="15"/>
      <c r="J5" s="16" t="str">
        <f>IF(梅田あん4000[[#This Row],[人数]]="","",VLOOKUP(梅田あん4000[[#This Row],[人数]],バック金額②[#All],2,TRUE))</f>
        <v/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5" s="16" t="str">
        <f>IFERROR(($M$3*梅田あん3500[[#This Row],[人数]])-梅田あん3500[[#This Row],[単価合計]]-(梅田あん3500[[#This Row],[キャンセル人数]]*$B$2),"")</f>
        <v/>
      </c>
      <c r="S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5" s="15"/>
      <c r="U5" s="16" t="str">
        <f>IF(梅田あん3500[[#This Row],[人数]]="","",VLOOKUP(梅田あん3500[[#This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6" s="16" t="str">
        <f>IFERROR(($B$3*梅田あん4000[[#This Row],[人数]])-梅田あん4000[[#This Row],[単価合計]]-(梅田あん4000[[#This Row],[キャンセル人数]]*$B$2),"")</f>
        <v/>
      </c>
      <c r="H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6" s="15"/>
      <c r="J6" s="16" t="str">
        <f>IF(梅田あん4000[[#This Row],[人数]]="","",VLOOKUP(梅田あん4000[[#This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6" s="16" t="str">
        <f>IFERROR(($M$3*梅田あん3500[[#This Row],[人数]])-梅田あん3500[[#This Row],[単価合計]]-(梅田あん3500[[#This Row],[キャンセル人数]]*$B$2),"")</f>
        <v/>
      </c>
      <c r="S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6" s="15"/>
      <c r="U6" s="16" t="str">
        <f>IF(梅田あん3500[[#This Row],[人数]]="","",VLOOKUP(梅田あん3500[[#This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7" s="16" t="str">
        <f>IFERROR(($B$3*梅田あん4000[[#This Row],[人数]])-梅田あん4000[[#This Row],[単価合計]]-(梅田あん4000[[#This Row],[キャンセル人数]]*$B$2),"")</f>
        <v/>
      </c>
      <c r="H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7" s="15"/>
      <c r="J7" s="16" t="str">
        <f>IF(梅田あん4000[[#This Row],[人数]]="","",VLOOKUP(梅田あん4000[[#This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7" s="16" t="str">
        <f>IFERROR(($M$3*梅田あん3500[[#This Row],[人数]])-梅田あん3500[[#This Row],[単価合計]]-(梅田あん3500[[#This Row],[キャンセル人数]]*$B$2),"")</f>
        <v/>
      </c>
      <c r="S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7" s="15"/>
      <c r="U7" s="16" t="str">
        <f>IF(梅田あん3500[[#This Row],[人数]]="","",VLOOKUP(梅田あん3500[[#This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8" s="16" t="str">
        <f>IFERROR(($B$3*梅田あん4000[[#This Row],[人数]])-梅田あん4000[[#This Row],[単価合計]]-(梅田あん4000[[#This Row],[キャンセル人数]]*$B$2),"")</f>
        <v/>
      </c>
      <c r="H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8" s="15"/>
      <c r="J8" s="16" t="str">
        <f>IF(梅田あん4000[[#This Row],[人数]]="","",VLOOKUP(梅田あん4000[[#This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8" s="16" t="str">
        <f>IFERROR(($M$3*梅田あん3500[[#This Row],[人数]])-梅田あん3500[[#This Row],[単価合計]]-(梅田あん3500[[#This Row],[キャンセル人数]]*$B$2),"")</f>
        <v/>
      </c>
      <c r="S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8" s="15"/>
      <c r="U8" s="16" t="str">
        <f>IF(梅田あん3500[[#This Row],[人数]]="","",VLOOKUP(梅田あん3500[[#This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9" s="16" t="str">
        <f>IFERROR(($B$3*梅田あん4000[[#This Row],[人数]])-梅田あん4000[[#This Row],[単価合計]]-(梅田あん4000[[#This Row],[キャンセル人数]]*$B$2),"")</f>
        <v/>
      </c>
      <c r="H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9" s="15"/>
      <c r="J9" s="16" t="str">
        <f>IF(梅田あん4000[[#This Row],[人数]]="","",VLOOKUP(梅田あん4000[[#This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9" s="16" t="str">
        <f>IFERROR(($M$3*梅田あん3500[[#This Row],[人数]])-梅田あん3500[[#This Row],[単価合計]]-(梅田あん3500[[#This Row],[キャンセル人数]]*$B$2),"")</f>
        <v/>
      </c>
      <c r="S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9" s="15"/>
      <c r="U9" s="16" t="str">
        <f>IF(梅田あん3500[[#This Row],[人数]]="","",VLOOKUP(梅田あん3500[[#This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0" s="16" t="str">
        <f>IFERROR(($B$3*梅田あん4000[[#This Row],[人数]])-梅田あん4000[[#This Row],[単価合計]]-(梅田あん4000[[#This Row],[キャンセル人数]]*$B$2),"")</f>
        <v/>
      </c>
      <c r="H1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0" s="15"/>
      <c r="J10" s="16" t="str">
        <f>IF(梅田あん4000[[#This Row],[人数]]="","",VLOOKUP(梅田あん4000[[#This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0" s="16" t="str">
        <f>IFERROR(($M$3*梅田あん3500[[#This Row],[人数]])-梅田あん3500[[#This Row],[単価合計]]-(梅田あん3500[[#This Row],[キャンセル人数]]*$B$2),"")</f>
        <v/>
      </c>
      <c r="S1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0" s="15"/>
      <c r="U10" s="16" t="str">
        <f>IF(梅田あん3500[[#This Row],[人数]]="","",VLOOKUP(梅田あん3500[[#This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1" s="16" t="str">
        <f>IFERROR(($B$3*梅田あん4000[[#This Row],[人数]])-梅田あん4000[[#This Row],[単価合計]]-(梅田あん4000[[#This Row],[キャンセル人数]]*$B$2),"")</f>
        <v/>
      </c>
      <c r="H1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1" s="15"/>
      <c r="J11" s="16" t="str">
        <f>IF(梅田あん4000[[#This Row],[人数]]="","",VLOOKUP(梅田あん4000[[#This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1" s="16" t="str">
        <f>IFERROR(($M$3*梅田あん3500[[#This Row],[人数]])-梅田あん3500[[#This Row],[単価合計]]-(梅田あん3500[[#This Row],[キャンセル人数]]*$B$2),"")</f>
        <v/>
      </c>
      <c r="S1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1" s="15"/>
      <c r="U11" s="16" t="str">
        <f>IF(梅田あん3500[[#This Row],[人数]]="","",VLOOKUP(梅田あん3500[[#This Row],[人数]],バック金額②[#All],2,TRUE))</f>
        <v/>
      </c>
    </row>
    <row r="12" spans="1:21">
      <c r="A12" s="63">
        <f>IFERROR(IF(DATE(YEAR($A$5),MONTH($A$5),DAY($A$5))=DATE(YEAR(A11),MONTH(A11),DAY(A11+1)),"",DATE(YEAR(A11),MONTH(A11),DAY(A11+1))),"")</f>
        <v>44842</v>
      </c>
      <c r="B12" s="13"/>
      <c r="C12" s="14"/>
      <c r="D12" s="15"/>
      <c r="E12" s="15"/>
      <c r="F1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2" s="16" t="str">
        <f>IFERROR(($B$3*梅田あん4000[[#This Row],[人数]])-梅田あん4000[[#This Row],[単価合計]]-(梅田あん4000[[#This Row],[キャンセル人数]]*$B$2),"")</f>
        <v/>
      </c>
      <c r="H1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2" s="15"/>
      <c r="J12" s="16" t="str">
        <f>IF(梅田あん4000[[#This Row],[人数]]="","",VLOOKUP(梅田あん4000[[#This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2" s="16" t="str">
        <f>IFERROR(($M$3*梅田あん3500[[#This Row],[人数]])-梅田あん3500[[#This Row],[単価合計]]-(梅田あん3500[[#This Row],[キャンセル人数]]*$B$2),"")</f>
        <v/>
      </c>
      <c r="S1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2" s="15"/>
      <c r="U12" s="16" t="str">
        <f>IF(梅田あん3500[[#This Row],[人数]]="","",VLOOKUP(梅田あん3500[[#This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3" s="16" t="str">
        <f>IFERROR(($B$3*梅田あん4000[[#This Row],[人数]])-梅田あん4000[[#This Row],[単価合計]]-(梅田あん4000[[#This Row],[キャンセル人数]]*$B$2),"")</f>
        <v/>
      </c>
      <c r="H1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3" s="15"/>
      <c r="J13" s="16" t="str">
        <f>IF(梅田あん4000[[#This Row],[人数]]="","",VLOOKUP(梅田あん4000[[#This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3" s="16" t="str">
        <f>IFERROR(($M$3*梅田あん3500[[#This Row],[人数]])-梅田あん3500[[#This Row],[単価合計]]-(梅田あん3500[[#This Row],[キャンセル人数]]*$B$2),"")</f>
        <v/>
      </c>
      <c r="S1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3" s="15"/>
      <c r="U13" s="16" t="str">
        <f>IF(梅田あん3500[[#This Row],[人数]]="","",VLOOKUP(梅田あん3500[[#This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4" s="16" t="str">
        <f>IFERROR(($B$3*梅田あん4000[[#This Row],[人数]])-梅田あん4000[[#This Row],[単価合計]]-(梅田あん4000[[#This Row],[キャンセル人数]]*$B$2),"")</f>
        <v/>
      </c>
      <c r="H1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4" s="15"/>
      <c r="J14" s="16" t="str">
        <f>IF(梅田あん4000[[#This Row],[人数]]="","",VLOOKUP(梅田あん4000[[#This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4" s="16" t="str">
        <f>IFERROR(($M$3*梅田あん3500[[#This Row],[人数]])-梅田あん3500[[#This Row],[単価合計]]-(梅田あん3500[[#This Row],[キャンセル人数]]*$B$2),"")</f>
        <v/>
      </c>
      <c r="S1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4" s="15"/>
      <c r="U14" s="16" t="str">
        <f>IF(梅田あん3500[[#This Row],[人数]]="","",VLOOKUP(梅田あん3500[[#This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5" s="16" t="str">
        <f>IFERROR(($B$3*梅田あん4000[[#This Row],[人数]])-梅田あん4000[[#This Row],[単価合計]]-(梅田あん4000[[#This Row],[キャンセル人数]]*$B$2),"")</f>
        <v/>
      </c>
      <c r="H1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5" s="15"/>
      <c r="J15" s="16" t="str">
        <f>IF(梅田あん4000[[#This Row],[人数]]="","",VLOOKUP(梅田あん4000[[#This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5" s="16" t="str">
        <f>IFERROR(($M$3*梅田あん3500[[#This Row],[人数]])-梅田あん3500[[#This Row],[単価合計]]-(梅田あん3500[[#This Row],[キャンセル人数]]*$B$2),"")</f>
        <v/>
      </c>
      <c r="S1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5" s="15"/>
      <c r="U15" s="16" t="str">
        <f>IF(梅田あん3500[[#This Row],[人数]]="","",VLOOKUP(梅田あん3500[[#This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6" s="16" t="str">
        <f>IFERROR(($B$3*梅田あん4000[[#This Row],[人数]])-梅田あん4000[[#This Row],[単価合計]]-(梅田あん4000[[#This Row],[キャンセル人数]]*$B$2),"")</f>
        <v/>
      </c>
      <c r="H1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6" s="15"/>
      <c r="J16" s="16" t="str">
        <f>IF(梅田あん4000[[#This Row],[人数]]="","",VLOOKUP(梅田あん4000[[#This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6" s="16" t="str">
        <f>IFERROR(($M$3*梅田あん3500[[#This Row],[人数]])-梅田あん3500[[#This Row],[単価合計]]-(梅田あん3500[[#This Row],[キャンセル人数]]*$B$2),"")</f>
        <v/>
      </c>
      <c r="S1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6" s="15"/>
      <c r="U16" s="16" t="str">
        <f>IF(梅田あん3500[[#This Row],[人数]]="","",VLOOKUP(梅田あん3500[[#This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7" s="16" t="str">
        <f>IFERROR(($B$3*梅田あん4000[[#This Row],[人数]])-梅田あん4000[[#This Row],[単価合計]]-(梅田あん4000[[#This Row],[キャンセル人数]]*$B$2),"")</f>
        <v/>
      </c>
      <c r="H1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7" s="15"/>
      <c r="J17" s="16" t="str">
        <f>IF(梅田あん4000[[#This Row],[人数]]="","",VLOOKUP(梅田あん4000[[#This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7" s="16" t="str">
        <f>IFERROR(($M$3*梅田あん3500[[#This Row],[人数]])-梅田あん3500[[#This Row],[単価合計]]-(梅田あん3500[[#This Row],[キャンセル人数]]*$B$2),"")</f>
        <v/>
      </c>
      <c r="S1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7" s="15"/>
      <c r="U17" s="16" t="str">
        <f>IF(梅田あん3500[[#This Row],[人数]]="","",VLOOKUP(梅田あん3500[[#This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8" s="16" t="str">
        <f>IFERROR(($B$3*梅田あん4000[[#This Row],[人数]])-梅田あん4000[[#This Row],[単価合計]]-(梅田あん4000[[#This Row],[キャンセル人数]]*$B$2),"")</f>
        <v/>
      </c>
      <c r="H1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8" s="15"/>
      <c r="J18" s="16" t="str">
        <f>IF(梅田あん4000[[#This Row],[人数]]="","",VLOOKUP(梅田あん4000[[#This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8" s="16" t="str">
        <f>IFERROR(($M$3*梅田あん3500[[#This Row],[人数]])-梅田あん3500[[#This Row],[単価合計]]-(梅田あん3500[[#This Row],[キャンセル人数]]*$B$2),"")</f>
        <v/>
      </c>
      <c r="S1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8" s="15"/>
      <c r="U18" s="16" t="str">
        <f>IF(梅田あん3500[[#This Row],[人数]]="","",VLOOKUP(梅田あん3500[[#This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19" s="16" t="str">
        <f>IFERROR(($B$3*梅田あん4000[[#This Row],[人数]])-梅田あん4000[[#This Row],[単価合計]]-(梅田あん4000[[#This Row],[キャンセル人数]]*$B$2),"")</f>
        <v/>
      </c>
      <c r="H1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19" s="15"/>
      <c r="J19" s="16" t="str">
        <f>IF(梅田あん4000[[#This Row],[人数]]="","",VLOOKUP(梅田あん4000[[#This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19" s="16" t="str">
        <f>IFERROR(($M$3*梅田あん3500[[#This Row],[人数]])-梅田あん3500[[#This Row],[単価合計]]-(梅田あん3500[[#This Row],[キャンセル人数]]*$B$2),"")</f>
        <v/>
      </c>
      <c r="S1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19" s="15"/>
      <c r="U19" s="16" t="str">
        <f>IF(梅田あん3500[[#This Row],[人数]]="","",VLOOKUP(梅田あん3500[[#This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0" s="16" t="str">
        <f>IFERROR(($B$3*梅田あん4000[[#This Row],[人数]])-梅田あん4000[[#This Row],[単価合計]]-(梅田あん4000[[#This Row],[キャンセル人数]]*$B$2),"")</f>
        <v/>
      </c>
      <c r="H2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0" s="15"/>
      <c r="J20" s="16" t="str">
        <f>IF(梅田あん4000[[#This Row],[人数]]="","",VLOOKUP(梅田あん4000[[#This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0" s="16" t="str">
        <f>IFERROR(($M$3*梅田あん3500[[#This Row],[人数]])-梅田あん3500[[#This Row],[単価合計]]-(梅田あん3500[[#This Row],[キャンセル人数]]*$B$2),"")</f>
        <v/>
      </c>
      <c r="S2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0" s="15"/>
      <c r="U20" s="16" t="str">
        <f>IF(梅田あん3500[[#This Row],[人数]]="","",VLOOKUP(梅田あん3500[[#This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1" s="16" t="str">
        <f>IFERROR(($B$3*梅田あん4000[[#This Row],[人数]])-梅田あん4000[[#This Row],[単価合計]]-(梅田あん4000[[#This Row],[キャンセル人数]]*$B$2),"")</f>
        <v/>
      </c>
      <c r="H2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1" s="15"/>
      <c r="J21" s="16" t="str">
        <f>IF(梅田あん4000[[#This Row],[人数]]="","",VLOOKUP(梅田あん4000[[#This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1" s="16" t="str">
        <f>IFERROR(($M$3*梅田あん3500[[#This Row],[人数]])-梅田あん3500[[#This Row],[単価合計]]-(梅田あん3500[[#This Row],[キャンセル人数]]*$B$2),"")</f>
        <v/>
      </c>
      <c r="S2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1" s="15"/>
      <c r="U21" s="16" t="str">
        <f>IF(梅田あん3500[[#This Row],[人数]]="","",VLOOKUP(梅田あん3500[[#This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2" s="16" t="str">
        <f>IFERROR(($B$3*梅田あん4000[[#This Row],[人数]])-梅田あん4000[[#This Row],[単価合計]]-(梅田あん4000[[#This Row],[キャンセル人数]]*$B$2),"")</f>
        <v/>
      </c>
      <c r="H2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2" s="15"/>
      <c r="J22" s="16" t="str">
        <f>IF(梅田あん4000[[#This Row],[人数]]="","",VLOOKUP(梅田あん4000[[#This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2" s="16" t="str">
        <f>IFERROR(($M$3*梅田あん3500[[#This Row],[人数]])-梅田あん3500[[#This Row],[単価合計]]-(梅田あん3500[[#This Row],[キャンセル人数]]*$B$2),"")</f>
        <v/>
      </c>
      <c r="S2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2" s="15"/>
      <c r="U22" s="16" t="str">
        <f>IF(梅田あん3500[[#This Row],[人数]]="","",VLOOKUP(梅田あん3500[[#This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3" s="16" t="str">
        <f>IFERROR(($B$3*梅田あん4000[[#This Row],[人数]])-梅田あん4000[[#This Row],[単価合計]]-(梅田あん4000[[#This Row],[キャンセル人数]]*$B$2),"")</f>
        <v/>
      </c>
      <c r="H2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3" s="15"/>
      <c r="J23" s="16" t="str">
        <f>IF(梅田あん4000[[#This Row],[人数]]="","",VLOOKUP(梅田あん4000[[#This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3" s="16" t="str">
        <f>IFERROR(($M$3*梅田あん3500[[#This Row],[人数]])-梅田あん3500[[#This Row],[単価合計]]-(梅田あん3500[[#This Row],[キャンセル人数]]*$B$2),"")</f>
        <v/>
      </c>
      <c r="S2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3" s="15"/>
      <c r="U23" s="16" t="str">
        <f>IF(梅田あん3500[[#This Row],[人数]]="","",VLOOKUP(梅田あん3500[[#This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4" s="16" t="str">
        <f>IFERROR(($B$3*梅田あん4000[[#This Row],[人数]])-梅田あん4000[[#This Row],[単価合計]]-(梅田あん4000[[#This Row],[キャンセル人数]]*$B$2),"")</f>
        <v/>
      </c>
      <c r="H2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4" s="15"/>
      <c r="J24" s="16" t="str">
        <f>IF(梅田あん4000[[#This Row],[人数]]="","",VLOOKUP(梅田あん4000[[#This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4" s="16" t="str">
        <f>IFERROR(($M$3*梅田あん3500[[#This Row],[人数]])-梅田あん3500[[#This Row],[単価合計]]-(梅田あん3500[[#This Row],[キャンセル人数]]*$B$2),"")</f>
        <v/>
      </c>
      <c r="S2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4" s="15"/>
      <c r="U24" s="16" t="str">
        <f>IF(梅田あん3500[[#This Row],[人数]]="","",VLOOKUP(梅田あん3500[[#This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5" s="16" t="str">
        <f>IFERROR(($B$3*梅田あん4000[[#This Row],[人数]])-梅田あん4000[[#This Row],[単価合計]]-(梅田あん4000[[#This Row],[キャンセル人数]]*$B$2),"")</f>
        <v/>
      </c>
      <c r="H2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5" s="15"/>
      <c r="J25" s="16" t="str">
        <f>IF(梅田あん4000[[#This Row],[人数]]="","",VLOOKUP(梅田あん4000[[#This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5" s="16" t="str">
        <f>IFERROR(($M$3*梅田あん3500[[#This Row],[人数]])-梅田あん3500[[#This Row],[単価合計]]-(梅田あん3500[[#This Row],[キャンセル人数]]*$B$2),"")</f>
        <v/>
      </c>
      <c r="S2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5" s="15"/>
      <c r="U25" s="16" t="str">
        <f>IF(梅田あん3500[[#This Row],[人数]]="","",VLOOKUP(梅田あん3500[[#This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6" s="16" t="str">
        <f>IFERROR(($B$3*梅田あん4000[[#This Row],[人数]])-梅田あん4000[[#This Row],[単価合計]]-(梅田あん4000[[#This Row],[キャンセル人数]]*$B$2),"")</f>
        <v/>
      </c>
      <c r="H26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6" s="15"/>
      <c r="J26" s="16" t="str">
        <f>IF(梅田あん4000[[#This Row],[人数]]="","",VLOOKUP(梅田あん4000[[#This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6" s="16" t="str">
        <f>IFERROR(($M$3*梅田あん3500[[#This Row],[人数]])-梅田あん3500[[#This Row],[単価合計]]-(梅田あん3500[[#This Row],[キャンセル人数]]*$B$2),"")</f>
        <v/>
      </c>
      <c r="S26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6" s="15"/>
      <c r="U26" s="16" t="str">
        <f>IF(梅田あん3500[[#This Row],[人数]]="","",VLOOKUP(梅田あん3500[[#This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7" s="16" t="str">
        <f>IFERROR(($B$3*梅田あん4000[[#This Row],[人数]])-梅田あん4000[[#This Row],[単価合計]]-(梅田あん4000[[#This Row],[キャンセル人数]]*$B$2),"")</f>
        <v/>
      </c>
      <c r="H27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7" s="15"/>
      <c r="J27" s="16" t="str">
        <f>IF(梅田あん4000[[#This Row],[人数]]="","",VLOOKUP(梅田あん4000[[#This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7" s="16" t="str">
        <f>IFERROR(($M$3*梅田あん3500[[#This Row],[人数]])-梅田あん3500[[#This Row],[単価合計]]-(梅田あん3500[[#This Row],[キャンセル人数]]*$B$2),"")</f>
        <v/>
      </c>
      <c r="S27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7" s="15"/>
      <c r="U27" s="16" t="str">
        <f>IF(梅田あん3500[[#This Row],[人数]]="","",VLOOKUP(梅田あん3500[[#This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8" s="16" t="str">
        <f>IFERROR(($B$3*梅田あん4000[[#This Row],[人数]])-梅田あん4000[[#This Row],[単価合計]]-(梅田あん4000[[#This Row],[キャンセル人数]]*$B$2),"")</f>
        <v/>
      </c>
      <c r="H28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8" s="15"/>
      <c r="J28" s="16" t="str">
        <f>IF(梅田あん4000[[#This Row],[人数]]="","",VLOOKUP(梅田あん4000[[#This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8" s="16" t="str">
        <f>IFERROR(($M$3*梅田あん3500[[#This Row],[人数]])-梅田あん3500[[#This Row],[単価合計]]-(梅田あん3500[[#This Row],[キャンセル人数]]*$B$2),"")</f>
        <v/>
      </c>
      <c r="S28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8" s="15"/>
      <c r="U28" s="16" t="str">
        <f>IF(梅田あん3500[[#This Row],[人数]]="","",VLOOKUP(梅田あん3500[[#This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29" s="16" t="str">
        <f>IFERROR(($B$3*梅田あん4000[[#This Row],[人数]])-梅田あん4000[[#This Row],[単価合計]]-(梅田あん4000[[#This Row],[キャンセル人数]]*$B$2),"")</f>
        <v/>
      </c>
      <c r="H29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29" s="15"/>
      <c r="J29" s="16" t="str">
        <f>IF(梅田あん4000[[#This Row],[人数]]="","",VLOOKUP(梅田あん4000[[#This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29" s="16" t="str">
        <f>IFERROR(($M$3*梅田あん3500[[#This Row],[人数]])-梅田あん3500[[#This Row],[単価合計]]-(梅田あん3500[[#This Row],[キャンセル人数]]*$B$2),"")</f>
        <v/>
      </c>
      <c r="S29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29" s="15"/>
      <c r="U29" s="16" t="str">
        <f>IF(梅田あん3500[[#This Row],[人数]]="","",VLOOKUP(梅田あん3500[[#This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0" s="16" t="str">
        <f>IFERROR(($B$3*梅田あん4000[[#This Row],[人数]])-梅田あん4000[[#This Row],[単価合計]]-(梅田あん4000[[#This Row],[キャンセル人数]]*$B$2),"")</f>
        <v/>
      </c>
      <c r="H30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0" s="15"/>
      <c r="J30" s="16" t="str">
        <f>IF(梅田あん4000[[#This Row],[人数]]="","",VLOOKUP(梅田あん4000[[#This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0" s="16" t="str">
        <f>IFERROR(($M$3*梅田あん3500[[#This Row],[人数]])-梅田あん3500[[#This Row],[単価合計]]-(梅田あん3500[[#This Row],[キャンセル人数]]*$B$2),"")</f>
        <v/>
      </c>
      <c r="S30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0" s="15"/>
      <c r="U30" s="16" t="str">
        <f>IF(梅田あん3500[[#This Row],[人数]]="","",VLOOKUP(梅田あん3500[[#This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1" s="16" t="str">
        <f>IFERROR(($B$3*梅田あん4000[[#This Row],[人数]])-梅田あん4000[[#This Row],[単価合計]]-(梅田あん4000[[#This Row],[キャンセル人数]]*$B$2),"")</f>
        <v/>
      </c>
      <c r="H31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1" s="15"/>
      <c r="J31" s="16" t="str">
        <f>IF(梅田あん4000[[#This Row],[人数]]="","",VLOOKUP(梅田あん4000[[#This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1" s="16" t="str">
        <f>IFERROR(($M$3*梅田あん3500[[#This Row],[人数]])-梅田あん3500[[#This Row],[単価合計]]-(梅田あん3500[[#This Row],[キャンセル人数]]*$B$2),"")</f>
        <v/>
      </c>
      <c r="S31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1" s="15"/>
      <c r="U31" s="16" t="str">
        <f>IF(梅田あん3500[[#This Row],[人数]]="","",VLOOKUP(梅田あん3500[[#This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2" s="16" t="str">
        <f>IFERROR(($B$3*梅田あん4000[[#This Row],[人数]])-梅田あん4000[[#This Row],[単価合計]]-(梅田あん4000[[#This Row],[キャンセル人数]]*$B$2),"")</f>
        <v/>
      </c>
      <c r="H32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2" s="15"/>
      <c r="J32" s="16" t="str">
        <f>IF(梅田あん4000[[#This Row],[人数]]="","",VLOOKUP(梅田あん4000[[#This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2" s="16" t="str">
        <f>IFERROR(($M$3*梅田あん3500[[#This Row],[人数]])-梅田あん3500[[#This Row],[単価合計]]-(梅田あん3500[[#This Row],[キャンセル人数]]*$B$2),"")</f>
        <v/>
      </c>
      <c r="S32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2" s="15"/>
      <c r="U32" s="16" t="str">
        <f>IF(梅田あん3500[[#This Row],[人数]]="","",VLOOKUP(梅田あん3500[[#This Row],[人数]],バック金額②[#All],2,TRUE))</f>
        <v/>
      </c>
    </row>
    <row r="33" spans="1:21">
      <c r="A33" s="63">
        <f>IFERROR(IF(DATE(YEAR($A$5),MONTH($A$5),DAY($A$5))=DATE(YEAR(A32),MONTH(A32),DAY(A32+1)),"",DATE(YEAR(A32),MONTH(A32),DAY(A32+1))),"")</f>
        <v>44863</v>
      </c>
      <c r="B33" s="13"/>
      <c r="C33" s="14"/>
      <c r="D33" s="15"/>
      <c r="E33" s="15"/>
      <c r="F33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3" s="16" t="str">
        <f>IFERROR(($B$3*梅田あん4000[[#This Row],[人数]])-梅田あん4000[[#This Row],[単価合計]]-(梅田あん4000[[#This Row],[キャンセル人数]]*$B$2),"")</f>
        <v/>
      </c>
      <c r="H33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3" s="15"/>
      <c r="J33" s="16" t="str">
        <f>IF(梅田あん4000[[#This Row],[人数]]="","",VLOOKUP(梅田あん4000[[#This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3" s="16" t="str">
        <f>IFERROR(($M$3*梅田あん3500[[#This Row],[人数]])-梅田あん3500[[#This Row],[単価合計]]-(梅田あん3500[[#This Row],[キャンセル人数]]*$B$2),"")</f>
        <v/>
      </c>
      <c r="S33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3" s="15"/>
      <c r="U33" s="16" t="str">
        <f>IF(梅田あん3500[[#This Row],[人数]]="","",VLOOKUP(梅田あん3500[[#This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4" s="16" t="str">
        <f>IFERROR(($B$3*梅田あん4000[[#This Row],[人数]])-梅田あん4000[[#This Row],[単価合計]]-(梅田あん4000[[#This Row],[キャンセル人数]]*$B$2),"")</f>
        <v/>
      </c>
      <c r="H34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4" s="15"/>
      <c r="J34" s="16" t="str">
        <f>IF(梅田あん4000[[#This Row],[人数]]="","",VLOOKUP(梅田あん4000[[#This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4" s="16" t="str">
        <f>IFERROR(($M$3*梅田あん3500[[#This Row],[人数]])-梅田あん3500[[#This Row],[単価合計]]-(梅田あん3500[[#This Row],[キャンセル人数]]*$B$2),"")</f>
        <v/>
      </c>
      <c r="S34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4" s="15"/>
      <c r="U34" s="16" t="str">
        <f>IF(梅田あん3500[[#This Row],[人数]]="","",VLOOKUP(梅田あん3500[[#This Row],[人数]],バック金額②[#All],2,TRUE))</f>
        <v/>
      </c>
    </row>
    <row r="35" spans="1:21">
      <c r="A35" s="74">
        <f t="shared" si="0"/>
        <v>44865</v>
      </c>
      <c r="B35" s="17"/>
      <c r="C35" s="18"/>
      <c r="D35" s="19"/>
      <c r="E35" s="19"/>
      <c r="F35" s="16" t="str">
        <f>IF(梅田あん4000[[#This Row],[人数]]="","",IF(梅田あん4000[[#This Row],[人数]]&lt;=7,$B$1*梅田あん4000[[#This Row],[人数]],$B$1*梅田あん4000[[#This Row],[人数]]-梅田あん4000[[#This Row],[幹事無料]]))</f>
        <v/>
      </c>
      <c r="G35" s="16" t="str">
        <f>IFERROR(($B$3*梅田あん4000[[#This Row],[人数]])-梅田あん4000[[#This Row],[単価合計]]-(梅田あん4000[[#This Row],[キャンセル人数]]*$B$2),"")</f>
        <v/>
      </c>
      <c r="H35" s="16" t="str">
        <f>IF(梅田あん4000[[#This Row],[人数]]=0,"",IF(梅田あん4000[[#This Row],[人数]]&lt;=7,"",IF(梅田あん4000[[#This Row],[人数]]&lt;=15,$B$1,IF(梅田あん4000[[#This Row],[人数]]&lt;=23,$B$1*2,IF(梅田あん4000[[#This Row],[人数]]&lt;=31,$B$1*3,IF(梅田あん4000[[#This Row],[人数]]&lt;=39,$B$1*4,""))))))</f>
        <v/>
      </c>
      <c r="I35" s="19"/>
      <c r="J35" s="16" t="str">
        <f>IF(梅田あん4000[[#This Row],[人数]]="","",VLOOKUP(梅田あん4000[[#This Row],[人数]],バック金額②[#All],2,TRUE))</f>
        <v/>
      </c>
      <c r="L35" s="74">
        <f t="shared" si="1"/>
        <v>44865</v>
      </c>
      <c r="M35" s="17"/>
      <c r="N35" s="18"/>
      <c r="O35" s="19"/>
      <c r="P35" s="19"/>
      <c r="Q35" s="16" t="str">
        <f>IF(梅田あん3500[[#This Row],[人数]]="","",IF(梅田あん3500[[#This Row],[人数]]&lt;=7,$B$1*梅田あん3500[[#This Row],[人数]],$B$1*梅田あん3500[[#This Row],[人数]]-梅田あん3500[[#This Row],[幹事無料]]))</f>
        <v/>
      </c>
      <c r="R35" s="16" t="str">
        <f>IFERROR(($M$3*梅田あん3500[[#This Row],[人数]])-梅田あん3500[[#This Row],[単価合計]]-(梅田あん3500[[#This Row],[キャンセル人数]]*$B$2),"")</f>
        <v/>
      </c>
      <c r="S35" s="16" t="str">
        <f>IF(梅田あん3500[[#This Row],[人数]]=0,"",IF(梅田あん3500[[#This Row],[人数]]&lt;=7,"",IF(梅田あん3500[[#This Row],[人数]]&lt;=15,$B$1,IF(梅田あん3500[[#This Row],[人数]]&lt;=23,$B$1*2,IF(梅田あん3500[[#This Row],[人数]]&lt;=31,$B$1*3,IF(梅田あん3500[[#This Row],[人数]]&lt;=39,$B$1*4,""))))))</f>
        <v/>
      </c>
      <c r="T35" s="19"/>
      <c r="U35" s="16" t="str">
        <f>IF(梅田あん3500[[#This Row],[人数]]="","",VLOOKUP(梅田あん3500[[#This Row],[人数]],バック金額②[#All],2,TRUE))</f>
        <v/>
      </c>
    </row>
    <row r="36" spans="1:21">
      <c r="A36" s="6" t="s">
        <v>211</v>
      </c>
      <c r="B36" s="16">
        <f>SUM(梅田あん4000[[#All],[件数]])</f>
        <v>0</v>
      </c>
      <c r="C36" s="6"/>
      <c r="D36" s="16">
        <f>SUM(梅田あん4000[[#All],[人数]])</f>
        <v>0</v>
      </c>
      <c r="E36" s="16">
        <f>SUM(梅田あん4000[[#All],[Aパターン]])</f>
        <v>0</v>
      </c>
      <c r="F36" s="16">
        <f>SUM(梅田あん4000[[#All],[単価合計]])</f>
        <v>0</v>
      </c>
      <c r="G36" s="16">
        <f>SUM(梅田あん4000[[#All],[ゆうき取りに行く]])</f>
        <v>0</v>
      </c>
      <c r="H36" s="16"/>
      <c r="I36" s="16"/>
      <c r="J36" s="16">
        <f>SUM(梅田あん4000[[#All],[イベンターへ]])</f>
        <v>0</v>
      </c>
      <c r="L36" s="6" t="s">
        <v>211</v>
      </c>
      <c r="M36" s="16">
        <f>SUM(梅田あん3500[[#All],[件数]])</f>
        <v>0</v>
      </c>
      <c r="N36" s="6"/>
      <c r="O36" s="16">
        <f>SUM(梅田あん3500[[#All],[人数]])</f>
        <v>0</v>
      </c>
      <c r="P36" s="16">
        <f>SUM(梅田あん3500[[#All],[Aパターン]])</f>
        <v>0</v>
      </c>
      <c r="Q36" s="16">
        <f>SUM(梅田あん3500[[#All],[単価合計]])</f>
        <v>0</v>
      </c>
      <c r="R36" s="16">
        <f>SUM(梅田あん3500[[#All],[ゆうき取りに行く]])</f>
        <v>0</v>
      </c>
      <c r="S36" s="16"/>
      <c r="T36" s="16"/>
      <c r="U36" s="16">
        <f>SUM(梅田あん3500[[#All],[イベンターへ]])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4216-6DD9-442A-9EAA-188A60FAA9B4}">
  <sheetPr codeName="Sheet9"/>
  <dimension ref="A1:U36"/>
  <sheetViews>
    <sheetView zoomScale="70" zoomScaleNormal="70" workbookViewId="0">
      <pane ySplit="4" topLeftCell="A5" activePane="bottomLeft" state="frozen"/>
      <selection pane="bottomLeft" activeCell="A6" sqref="A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2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63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5" s="16" t="str">
        <f>IFERROR(($B$3*梅田煙4000[[#This Row],[人数]])-梅田煙4000[[#This Row],[単価合計]]-(梅田煙4000[[#This Row],[キャンセル人数]]*$B$2),"")</f>
        <v/>
      </c>
      <c r="H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5" s="15"/>
      <c r="J5" s="16" t="str">
        <f>IF(梅田煙4000[[#This Row],[人数]]="","",VLOOKUP(梅田煙4000[[#This Row],[人数]],バック金額②[#All],2,TRUE))</f>
        <v/>
      </c>
      <c r="L5" s="63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5" s="16" t="str">
        <f>IFERROR(($M$3*梅田煙3500[[#This Row],[人数]])-梅田煙3500[[#This Row],[単価合計]]-(梅田煙3500[[#This Row],[キャンセル人数]]*$B$2),"")</f>
        <v/>
      </c>
      <c r="S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5" s="15"/>
      <c r="U5" s="16" t="str">
        <f>IF(梅田煙3500[[#This Row],[人数]]="","",VLOOKUP(梅田煙3500[[#This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6" s="16" t="str">
        <f>IFERROR(($B$3*梅田煙4000[[#This Row],[人数]])-梅田煙4000[[#This Row],[単価合計]]-(梅田煙4000[[#This Row],[キャンセル人数]]*$B$2),"")</f>
        <v/>
      </c>
      <c r="H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6" s="15"/>
      <c r="J6" s="16" t="str">
        <f>IF(梅田煙4000[[#This Row],[人数]]="","",VLOOKUP(梅田煙4000[[#This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6" s="16" t="str">
        <f>IFERROR(($M$3*梅田煙3500[[#This Row],[人数]])-梅田煙3500[[#This Row],[単価合計]]-(梅田煙3500[[#This Row],[キャンセル人数]]*$B$2),"")</f>
        <v/>
      </c>
      <c r="S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6" s="15"/>
      <c r="U6" s="16" t="str">
        <f>IF(梅田煙3500[[#This Row],[人数]]="","",VLOOKUP(梅田煙3500[[#This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7" s="16" t="str">
        <f>IFERROR(($B$3*梅田煙4000[[#This Row],[人数]])-梅田煙4000[[#This Row],[単価合計]]-(梅田煙4000[[#This Row],[キャンセル人数]]*$B$2),"")</f>
        <v/>
      </c>
      <c r="H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7" s="15"/>
      <c r="J7" s="16" t="str">
        <f>IF(梅田煙4000[[#This Row],[人数]]="","",VLOOKUP(梅田煙4000[[#This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7" s="16" t="str">
        <f>IFERROR(($M$3*梅田煙3500[[#This Row],[人数]])-梅田煙3500[[#This Row],[単価合計]]-(梅田煙3500[[#This Row],[キャンセル人数]]*$B$2),"")</f>
        <v/>
      </c>
      <c r="S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7" s="15"/>
      <c r="U7" s="16" t="str">
        <f>IF(梅田煙3500[[#This Row],[人数]]="","",VLOOKUP(梅田煙3500[[#This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8" s="16" t="str">
        <f>IFERROR(($B$3*梅田煙4000[[#This Row],[人数]])-梅田煙4000[[#This Row],[単価合計]]-(梅田煙4000[[#This Row],[キャンセル人数]]*$B$2),"")</f>
        <v/>
      </c>
      <c r="H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8" s="15"/>
      <c r="J8" s="16" t="str">
        <f>IF(梅田煙4000[[#This Row],[人数]]="","",VLOOKUP(梅田煙4000[[#This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8" s="16" t="str">
        <f>IFERROR(($M$3*梅田煙3500[[#This Row],[人数]])-梅田煙3500[[#This Row],[単価合計]]-(梅田煙3500[[#This Row],[キャンセル人数]]*$B$2),"")</f>
        <v/>
      </c>
      <c r="S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8" s="15"/>
      <c r="U8" s="16" t="str">
        <f>IF(梅田煙3500[[#This Row],[人数]]="","",VLOOKUP(梅田煙3500[[#This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9" s="16" t="str">
        <f>IFERROR(($B$3*梅田煙4000[[#This Row],[人数]])-梅田煙4000[[#This Row],[単価合計]]-(梅田煙4000[[#This Row],[キャンセル人数]]*$B$2),"")</f>
        <v/>
      </c>
      <c r="H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9" s="15"/>
      <c r="J9" s="16" t="str">
        <f>IF(梅田煙4000[[#This Row],[人数]]="","",VLOOKUP(梅田煙4000[[#This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9" s="16" t="str">
        <f>IFERROR(($M$3*梅田煙3500[[#This Row],[人数]])-梅田煙3500[[#This Row],[単価合計]]-(梅田煙3500[[#This Row],[キャンセル人数]]*$B$2),"")</f>
        <v/>
      </c>
      <c r="S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9" s="15"/>
      <c r="U9" s="16" t="str">
        <f>IF(梅田煙3500[[#This Row],[人数]]="","",VLOOKUP(梅田煙3500[[#This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0" s="16" t="str">
        <f>IFERROR(($B$3*梅田煙4000[[#This Row],[人数]])-梅田煙4000[[#This Row],[単価合計]]-(梅田煙4000[[#This Row],[キャンセル人数]]*$B$2),"")</f>
        <v/>
      </c>
      <c r="H1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0" s="15"/>
      <c r="J10" s="16" t="str">
        <f>IF(梅田煙4000[[#This Row],[人数]]="","",VLOOKUP(梅田煙4000[[#This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0" s="16" t="str">
        <f>IFERROR(($M$3*梅田煙3500[[#This Row],[人数]])-梅田煙3500[[#This Row],[単価合計]]-(梅田煙3500[[#This Row],[キャンセル人数]]*$B$2),"")</f>
        <v/>
      </c>
      <c r="S1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0" s="15"/>
      <c r="U10" s="16" t="str">
        <f>IF(梅田煙3500[[#This Row],[人数]]="","",VLOOKUP(梅田煙3500[[#This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1" s="16" t="str">
        <f>IFERROR(($B$3*梅田煙4000[[#This Row],[人数]])-梅田煙4000[[#This Row],[単価合計]]-(梅田煙4000[[#This Row],[キャンセル人数]]*$B$2),"")</f>
        <v/>
      </c>
      <c r="H1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1" s="15"/>
      <c r="J11" s="16" t="str">
        <f>IF(梅田煙4000[[#This Row],[人数]]="","",VLOOKUP(梅田煙4000[[#This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1" s="16" t="str">
        <f>IFERROR(($M$3*梅田煙3500[[#This Row],[人数]])-梅田煙3500[[#This Row],[単価合計]]-(梅田煙3500[[#This Row],[キャンセル人数]]*$B$2),"")</f>
        <v/>
      </c>
      <c r="S1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1" s="15"/>
      <c r="U11" s="16" t="str">
        <f>IF(梅田煙3500[[#This Row],[人数]]="","",VLOOKUP(梅田煙3500[[#This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2" s="16" t="str">
        <f>IFERROR(($B$3*梅田煙4000[[#This Row],[人数]])-梅田煙4000[[#This Row],[単価合計]]-(梅田煙4000[[#This Row],[キャンセル人数]]*$B$2),"")</f>
        <v/>
      </c>
      <c r="H1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2" s="15"/>
      <c r="J12" s="16" t="str">
        <f>IF(梅田煙4000[[#This Row],[人数]]="","",VLOOKUP(梅田煙4000[[#This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2" s="16" t="str">
        <f>IFERROR(($M$3*梅田煙3500[[#This Row],[人数]])-梅田煙3500[[#This Row],[単価合計]]-(梅田煙3500[[#This Row],[キャンセル人数]]*$B$2),"")</f>
        <v/>
      </c>
      <c r="S1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2" s="15"/>
      <c r="U12" s="16" t="str">
        <f>IF(梅田煙3500[[#This Row],[人数]]="","",VLOOKUP(梅田煙3500[[#This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3" s="16" t="str">
        <f>IFERROR(($B$3*梅田煙4000[[#This Row],[人数]])-梅田煙4000[[#This Row],[単価合計]]-(梅田煙4000[[#This Row],[キャンセル人数]]*$B$2),"")</f>
        <v/>
      </c>
      <c r="H1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3" s="15"/>
      <c r="J13" s="16" t="str">
        <f>IF(梅田煙4000[[#This Row],[人数]]="","",VLOOKUP(梅田煙4000[[#This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3" s="16" t="str">
        <f>IFERROR(($M$3*梅田煙3500[[#This Row],[人数]])-梅田煙3500[[#This Row],[単価合計]]-(梅田煙3500[[#This Row],[キャンセル人数]]*$B$2),"")</f>
        <v/>
      </c>
      <c r="S1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3" s="15"/>
      <c r="U13" s="16" t="str">
        <f>IF(梅田煙3500[[#This Row],[人数]]="","",VLOOKUP(梅田煙3500[[#This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4" s="16" t="str">
        <f>IFERROR(($B$3*梅田煙4000[[#This Row],[人数]])-梅田煙4000[[#This Row],[単価合計]]-(梅田煙4000[[#This Row],[キャンセル人数]]*$B$2),"")</f>
        <v/>
      </c>
      <c r="H1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4" s="15"/>
      <c r="J14" s="16" t="str">
        <f>IF(梅田煙4000[[#This Row],[人数]]="","",VLOOKUP(梅田煙4000[[#This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4" s="16" t="str">
        <f>IFERROR(($M$3*梅田煙3500[[#This Row],[人数]])-梅田煙3500[[#This Row],[単価合計]]-(梅田煙3500[[#This Row],[キャンセル人数]]*$B$2),"")</f>
        <v/>
      </c>
      <c r="S1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4" s="15"/>
      <c r="U14" s="16" t="str">
        <f>IF(梅田煙3500[[#This Row],[人数]]="","",VLOOKUP(梅田煙3500[[#This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5" s="16" t="str">
        <f>IFERROR(($B$3*梅田煙4000[[#This Row],[人数]])-梅田煙4000[[#This Row],[単価合計]]-(梅田煙4000[[#This Row],[キャンセル人数]]*$B$2),"")</f>
        <v/>
      </c>
      <c r="H1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5" s="15"/>
      <c r="J15" s="16" t="str">
        <f>IF(梅田煙4000[[#This Row],[人数]]="","",VLOOKUP(梅田煙4000[[#This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5" s="16" t="str">
        <f>IFERROR(($M$3*梅田煙3500[[#This Row],[人数]])-梅田煙3500[[#This Row],[単価合計]]-(梅田煙3500[[#This Row],[キャンセル人数]]*$B$2),"")</f>
        <v/>
      </c>
      <c r="S1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5" s="15"/>
      <c r="U15" s="16" t="str">
        <f>IF(梅田煙3500[[#This Row],[人数]]="","",VLOOKUP(梅田煙3500[[#This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6" s="16" t="str">
        <f>IFERROR(($B$3*梅田煙4000[[#This Row],[人数]])-梅田煙4000[[#This Row],[単価合計]]-(梅田煙4000[[#This Row],[キャンセル人数]]*$B$2),"")</f>
        <v/>
      </c>
      <c r="H1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6" s="15"/>
      <c r="J16" s="16" t="str">
        <f>IF(梅田煙4000[[#This Row],[人数]]="","",VLOOKUP(梅田煙4000[[#This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6" s="16" t="str">
        <f>IFERROR(($M$3*梅田煙3500[[#This Row],[人数]])-梅田煙3500[[#This Row],[単価合計]]-(梅田煙3500[[#This Row],[キャンセル人数]]*$B$2),"")</f>
        <v/>
      </c>
      <c r="S1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6" s="15"/>
      <c r="U16" s="16" t="str">
        <f>IF(梅田煙3500[[#This Row],[人数]]="","",VLOOKUP(梅田煙3500[[#This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7" s="16" t="str">
        <f>IFERROR(($B$3*梅田煙4000[[#This Row],[人数]])-梅田煙4000[[#This Row],[単価合計]]-(梅田煙4000[[#This Row],[キャンセル人数]]*$B$2),"")</f>
        <v/>
      </c>
      <c r="H1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7" s="15"/>
      <c r="J17" s="16" t="str">
        <f>IF(梅田煙4000[[#This Row],[人数]]="","",VLOOKUP(梅田煙4000[[#This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7" s="16" t="str">
        <f>IFERROR(($M$3*梅田煙3500[[#This Row],[人数]])-梅田煙3500[[#This Row],[単価合計]]-(梅田煙3500[[#This Row],[キャンセル人数]]*$B$2),"")</f>
        <v/>
      </c>
      <c r="S1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7" s="15"/>
      <c r="U17" s="16" t="str">
        <f>IF(梅田煙3500[[#This Row],[人数]]="","",VLOOKUP(梅田煙3500[[#This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8" s="16" t="str">
        <f>IFERROR(($B$3*梅田煙4000[[#This Row],[人数]])-梅田煙4000[[#This Row],[単価合計]]-(梅田煙4000[[#This Row],[キャンセル人数]]*$B$2),"")</f>
        <v/>
      </c>
      <c r="H1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8" s="15"/>
      <c r="J18" s="16" t="str">
        <f>IF(梅田煙4000[[#This Row],[人数]]="","",VLOOKUP(梅田煙4000[[#This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8" s="16" t="str">
        <f>IFERROR(($M$3*梅田煙3500[[#This Row],[人数]])-梅田煙3500[[#This Row],[単価合計]]-(梅田煙3500[[#This Row],[キャンセル人数]]*$B$2),"")</f>
        <v/>
      </c>
      <c r="S1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8" s="15"/>
      <c r="U18" s="16" t="str">
        <f>IF(梅田煙3500[[#This Row],[人数]]="","",VLOOKUP(梅田煙3500[[#This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19" s="16" t="str">
        <f>IFERROR(($B$3*梅田煙4000[[#This Row],[人数]])-梅田煙4000[[#This Row],[単価合計]]-(梅田煙4000[[#This Row],[キャンセル人数]]*$B$2),"")</f>
        <v/>
      </c>
      <c r="H1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19" s="15"/>
      <c r="J19" s="16" t="str">
        <f>IF(梅田煙4000[[#This Row],[人数]]="","",VLOOKUP(梅田煙4000[[#This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19" s="16" t="str">
        <f>IFERROR(($M$3*梅田煙3500[[#This Row],[人数]])-梅田煙3500[[#This Row],[単価合計]]-(梅田煙3500[[#This Row],[キャンセル人数]]*$B$2),"")</f>
        <v/>
      </c>
      <c r="S1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19" s="15"/>
      <c r="U19" s="16" t="str">
        <f>IF(梅田煙3500[[#This Row],[人数]]="","",VLOOKUP(梅田煙3500[[#This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0" s="16" t="str">
        <f>IFERROR(($B$3*梅田煙4000[[#This Row],[人数]])-梅田煙4000[[#This Row],[単価合計]]-(梅田煙4000[[#This Row],[キャンセル人数]]*$B$2),"")</f>
        <v/>
      </c>
      <c r="H2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0" s="15"/>
      <c r="J20" s="16" t="str">
        <f>IF(梅田煙4000[[#This Row],[人数]]="","",VLOOKUP(梅田煙4000[[#This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0" s="16" t="str">
        <f>IFERROR(($M$3*梅田煙3500[[#This Row],[人数]])-梅田煙3500[[#This Row],[単価合計]]-(梅田煙3500[[#This Row],[キャンセル人数]]*$B$2),"")</f>
        <v/>
      </c>
      <c r="S2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0" s="15"/>
      <c r="U20" s="16" t="str">
        <f>IF(梅田煙3500[[#This Row],[人数]]="","",VLOOKUP(梅田煙3500[[#This Row],[人数]],バック金額②[#All],2,TRUE))</f>
        <v/>
      </c>
    </row>
    <row r="21" spans="1:21">
      <c r="A21" s="63">
        <f>IFERROR(IF(DATE(YEAR($A$5),MONTH($A$5),DAY($A$5))=DATE(YEAR(A20),MONTH(A20),DAY(A20+1)),"",DATE(YEAR(A20),MONTH(A20),DAY(A20+1))),"")</f>
        <v>44851</v>
      </c>
      <c r="B21" s="13"/>
      <c r="C21" s="14"/>
      <c r="D21" s="15"/>
      <c r="E21" s="15"/>
      <c r="F2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1" s="16" t="str">
        <f>IFERROR(($B$3*梅田煙4000[[#This Row],[人数]])-梅田煙4000[[#This Row],[単価合計]]-(梅田煙4000[[#This Row],[キャンセル人数]]*$B$2),"")</f>
        <v/>
      </c>
      <c r="H2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1" s="15"/>
      <c r="J21" s="16" t="str">
        <f>IF(梅田煙4000[[#This Row],[人数]]="","",VLOOKUP(梅田煙4000[[#This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1" s="16" t="str">
        <f>IFERROR(($M$3*梅田煙3500[[#This Row],[人数]])-梅田煙3500[[#This Row],[単価合計]]-(梅田煙3500[[#This Row],[キャンセル人数]]*$B$2),"")</f>
        <v/>
      </c>
      <c r="S2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1" s="15"/>
      <c r="U21" s="16" t="str">
        <f>IF(梅田煙3500[[#This Row],[人数]]="","",VLOOKUP(梅田煙3500[[#This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2" s="16" t="str">
        <f>IFERROR(($B$3*梅田煙4000[[#This Row],[人数]])-梅田煙4000[[#This Row],[単価合計]]-(梅田煙4000[[#This Row],[キャンセル人数]]*$B$2),"")</f>
        <v/>
      </c>
      <c r="H2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2" s="15"/>
      <c r="J22" s="16" t="str">
        <f>IF(梅田煙4000[[#This Row],[人数]]="","",VLOOKUP(梅田煙4000[[#This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2" s="16" t="str">
        <f>IFERROR(($M$3*梅田煙3500[[#This Row],[人数]])-梅田煙3500[[#This Row],[単価合計]]-(梅田煙3500[[#This Row],[キャンセル人数]]*$B$2),"")</f>
        <v/>
      </c>
      <c r="S2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2" s="15"/>
      <c r="U22" s="16" t="str">
        <f>IF(梅田煙3500[[#This Row],[人数]]="","",VLOOKUP(梅田煙3500[[#This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3" s="16" t="str">
        <f>IFERROR(($B$3*梅田煙4000[[#This Row],[人数]])-梅田煙4000[[#This Row],[単価合計]]-(梅田煙4000[[#This Row],[キャンセル人数]]*$B$2),"")</f>
        <v/>
      </c>
      <c r="H2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3" s="15"/>
      <c r="J23" s="16" t="str">
        <f>IF(梅田煙4000[[#This Row],[人数]]="","",VLOOKUP(梅田煙4000[[#This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3" s="16" t="str">
        <f>IFERROR(($M$3*梅田煙3500[[#This Row],[人数]])-梅田煙3500[[#This Row],[単価合計]]-(梅田煙3500[[#This Row],[キャンセル人数]]*$B$2),"")</f>
        <v/>
      </c>
      <c r="S2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3" s="15"/>
      <c r="U23" s="16" t="str">
        <f>IF(梅田煙3500[[#This Row],[人数]]="","",VLOOKUP(梅田煙3500[[#This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4" s="16" t="str">
        <f>IFERROR(($B$3*梅田煙4000[[#This Row],[人数]])-梅田煙4000[[#This Row],[単価合計]]-(梅田煙4000[[#This Row],[キャンセル人数]]*$B$2),"")</f>
        <v/>
      </c>
      <c r="H2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4" s="15"/>
      <c r="J24" s="16" t="str">
        <f>IF(梅田煙4000[[#This Row],[人数]]="","",VLOOKUP(梅田煙4000[[#This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4" s="16" t="str">
        <f>IFERROR(($M$3*梅田煙3500[[#This Row],[人数]])-梅田煙3500[[#This Row],[単価合計]]-(梅田煙3500[[#This Row],[キャンセル人数]]*$B$2),"")</f>
        <v/>
      </c>
      <c r="S2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4" s="15"/>
      <c r="U24" s="16" t="str">
        <f>IF(梅田煙3500[[#This Row],[人数]]="","",VLOOKUP(梅田煙3500[[#This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5" s="16" t="str">
        <f>IFERROR(($B$3*梅田煙4000[[#This Row],[人数]])-梅田煙4000[[#This Row],[単価合計]]-(梅田煙4000[[#This Row],[キャンセル人数]]*$B$2),"")</f>
        <v/>
      </c>
      <c r="H2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5" s="15"/>
      <c r="J25" s="16" t="str">
        <f>IF(梅田煙4000[[#This Row],[人数]]="","",VLOOKUP(梅田煙4000[[#This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5" s="16" t="str">
        <f>IFERROR(($M$3*梅田煙3500[[#This Row],[人数]])-梅田煙3500[[#This Row],[単価合計]]-(梅田煙3500[[#This Row],[キャンセル人数]]*$B$2),"")</f>
        <v/>
      </c>
      <c r="S2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5" s="15"/>
      <c r="U25" s="16" t="str">
        <f>IF(梅田煙3500[[#This Row],[人数]]="","",VLOOKUP(梅田煙3500[[#This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6" s="16" t="str">
        <f>IFERROR(($B$3*梅田煙4000[[#This Row],[人数]])-梅田煙4000[[#This Row],[単価合計]]-(梅田煙4000[[#This Row],[キャンセル人数]]*$B$2),"")</f>
        <v/>
      </c>
      <c r="H26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6" s="15"/>
      <c r="J26" s="16" t="str">
        <f>IF(梅田煙4000[[#This Row],[人数]]="","",VLOOKUP(梅田煙4000[[#This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6" s="16" t="str">
        <f>IFERROR(($M$3*梅田煙3500[[#This Row],[人数]])-梅田煙3500[[#This Row],[単価合計]]-(梅田煙3500[[#This Row],[キャンセル人数]]*$B$2),"")</f>
        <v/>
      </c>
      <c r="S26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6" s="15"/>
      <c r="U26" s="16" t="str">
        <f>IF(梅田煙3500[[#This Row],[人数]]="","",VLOOKUP(梅田煙3500[[#This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7" s="16" t="str">
        <f>IFERROR(($B$3*梅田煙4000[[#This Row],[人数]])-梅田煙4000[[#This Row],[単価合計]]-(梅田煙4000[[#This Row],[キャンセル人数]]*$B$2),"")</f>
        <v/>
      </c>
      <c r="H27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7" s="15"/>
      <c r="J27" s="16" t="str">
        <f>IF(梅田煙4000[[#This Row],[人数]]="","",VLOOKUP(梅田煙4000[[#This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7" s="16" t="str">
        <f>IFERROR(($M$3*梅田煙3500[[#This Row],[人数]])-梅田煙3500[[#This Row],[単価合計]]-(梅田煙3500[[#This Row],[キャンセル人数]]*$B$2),"")</f>
        <v/>
      </c>
      <c r="S27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7" s="15"/>
      <c r="U27" s="16" t="str">
        <f>IF(梅田煙3500[[#This Row],[人数]]="","",VLOOKUP(梅田煙3500[[#This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8" s="16" t="str">
        <f>IFERROR(($B$3*梅田煙4000[[#This Row],[人数]])-梅田煙4000[[#This Row],[単価合計]]-(梅田煙4000[[#This Row],[キャンセル人数]]*$B$2),"")</f>
        <v/>
      </c>
      <c r="H28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8" s="15"/>
      <c r="J28" s="16" t="str">
        <f>IF(梅田煙4000[[#This Row],[人数]]="","",VLOOKUP(梅田煙4000[[#This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8" s="16" t="str">
        <f>IFERROR(($M$3*梅田煙3500[[#This Row],[人数]])-梅田煙3500[[#This Row],[単価合計]]-(梅田煙3500[[#This Row],[キャンセル人数]]*$B$2),"")</f>
        <v/>
      </c>
      <c r="S28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8" s="15"/>
      <c r="U28" s="16" t="str">
        <f>IF(梅田煙3500[[#This Row],[人数]]="","",VLOOKUP(梅田煙3500[[#This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29" s="16" t="str">
        <f>IFERROR(($B$3*梅田煙4000[[#This Row],[人数]])-梅田煙4000[[#This Row],[単価合計]]-(梅田煙4000[[#This Row],[キャンセル人数]]*$B$2),"")</f>
        <v/>
      </c>
      <c r="H29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29" s="15"/>
      <c r="J29" s="16" t="str">
        <f>IF(梅田煙4000[[#This Row],[人数]]="","",VLOOKUP(梅田煙4000[[#This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29" s="16" t="str">
        <f>IFERROR(($M$3*梅田煙3500[[#This Row],[人数]])-梅田煙3500[[#This Row],[単価合計]]-(梅田煙3500[[#This Row],[キャンセル人数]]*$B$2),"")</f>
        <v/>
      </c>
      <c r="S29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29" s="15"/>
      <c r="U29" s="16" t="str">
        <f>IF(梅田煙3500[[#This Row],[人数]]="","",VLOOKUP(梅田煙3500[[#This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0" s="16" t="str">
        <f>IFERROR(($B$3*梅田煙4000[[#This Row],[人数]])-梅田煙4000[[#This Row],[単価合計]]-(梅田煙4000[[#This Row],[キャンセル人数]]*$B$2),"")</f>
        <v/>
      </c>
      <c r="H30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0" s="15"/>
      <c r="J30" s="16" t="str">
        <f>IF(梅田煙4000[[#This Row],[人数]]="","",VLOOKUP(梅田煙4000[[#This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0" s="16" t="str">
        <f>IFERROR(($M$3*梅田煙3500[[#This Row],[人数]])-梅田煙3500[[#This Row],[単価合計]]-(梅田煙3500[[#This Row],[キャンセル人数]]*$B$2),"")</f>
        <v/>
      </c>
      <c r="S30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0" s="15"/>
      <c r="U30" s="16" t="str">
        <f>IF(梅田煙3500[[#This Row],[人数]]="","",VLOOKUP(梅田煙3500[[#This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1" s="16" t="str">
        <f>IFERROR(($B$3*梅田煙4000[[#This Row],[人数]])-梅田煙4000[[#This Row],[単価合計]]-(梅田煙4000[[#This Row],[キャンセル人数]]*$B$2),"")</f>
        <v/>
      </c>
      <c r="H31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1" s="15"/>
      <c r="J31" s="16" t="str">
        <f>IF(梅田煙4000[[#This Row],[人数]]="","",VLOOKUP(梅田煙4000[[#This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1" s="16" t="str">
        <f>IFERROR(($M$3*梅田煙3500[[#This Row],[人数]])-梅田煙3500[[#This Row],[単価合計]]-(梅田煙3500[[#This Row],[キャンセル人数]]*$B$2),"")</f>
        <v/>
      </c>
      <c r="S31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1" s="15"/>
      <c r="U31" s="16" t="str">
        <f>IF(梅田煙3500[[#This Row],[人数]]="","",VLOOKUP(梅田煙3500[[#This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2" s="16" t="str">
        <f>IFERROR(($B$3*梅田煙4000[[#This Row],[人数]])-梅田煙4000[[#This Row],[単価合計]]-(梅田煙4000[[#This Row],[キャンセル人数]]*$B$2),"")</f>
        <v/>
      </c>
      <c r="H32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2" s="15"/>
      <c r="J32" s="16" t="str">
        <f>IF(梅田煙4000[[#This Row],[人数]]="","",VLOOKUP(梅田煙4000[[#This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2" s="16" t="str">
        <f>IFERROR(($M$3*梅田煙3500[[#This Row],[人数]])-梅田煙3500[[#This Row],[単価合計]]-(梅田煙3500[[#This Row],[キャンセル人数]]*$B$2),"")</f>
        <v/>
      </c>
      <c r="S32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2" s="15"/>
      <c r="U32" s="16" t="str">
        <f>IF(梅田煙3500[[#This Row],[人数]]="","",VLOOKUP(梅田煙3500[[#This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3" s="16" t="str">
        <f>IFERROR(($B$3*梅田煙4000[[#This Row],[人数]])-梅田煙4000[[#This Row],[単価合計]]-(梅田煙4000[[#This Row],[キャンセル人数]]*$B$2),"")</f>
        <v/>
      </c>
      <c r="H33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3" s="15"/>
      <c r="J33" s="16" t="str">
        <f>IF(梅田煙4000[[#This Row],[人数]]="","",VLOOKUP(梅田煙4000[[#This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3" s="16" t="str">
        <f>IFERROR(($M$3*梅田煙3500[[#This Row],[人数]])-梅田煙3500[[#This Row],[単価合計]]-(梅田煙3500[[#This Row],[キャンセル人数]]*$B$2),"")</f>
        <v/>
      </c>
      <c r="S33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3" s="15"/>
      <c r="U33" s="16" t="str">
        <f>IF(梅田煙3500[[#This Row],[人数]]="","",VLOOKUP(梅田煙3500[[#This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4" s="16" t="str">
        <f>IFERROR(($B$3*梅田煙4000[[#This Row],[人数]])-梅田煙4000[[#This Row],[単価合計]]-(梅田煙4000[[#This Row],[キャンセル人数]]*$B$2),"")</f>
        <v/>
      </c>
      <c r="H34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4" s="15"/>
      <c r="J34" s="16" t="str">
        <f>IF(梅田煙4000[[#This Row],[人数]]="","",VLOOKUP(梅田煙4000[[#This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4" s="16" t="str">
        <f>IFERROR(($M$3*梅田煙3500[[#This Row],[人数]])-梅田煙3500[[#This Row],[単価合計]]-(梅田煙3500[[#This Row],[キャンセル人数]]*$B$2),"")</f>
        <v/>
      </c>
      <c r="S34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4" s="15"/>
      <c r="U34" s="16" t="str">
        <f>IF(梅田煙3500[[#This Row],[人数]]="","",VLOOKUP(梅田煙3500[[#This Row],[人数]],バック金額②[#All],2,TRUE))</f>
        <v/>
      </c>
    </row>
    <row r="35" spans="1:21">
      <c r="A35" s="74">
        <f t="shared" si="0"/>
        <v>44865</v>
      </c>
      <c r="B35" s="17"/>
      <c r="C35" s="18"/>
      <c r="D35" s="19"/>
      <c r="E35" s="19"/>
      <c r="F35" s="16" t="str">
        <f>IF(梅田煙4000[[#This Row],[人数]]="","",IF(梅田煙4000[[#This Row],[人数]]&lt;=7,$B$1*梅田煙4000[[#This Row],[人数]],$B$1*梅田煙4000[[#This Row],[人数]]-梅田煙4000[[#This Row],[幹事無料]]))</f>
        <v/>
      </c>
      <c r="G35" s="16" t="str">
        <f>IFERROR(($B$3*梅田煙4000[[#This Row],[人数]])-梅田煙4000[[#This Row],[単価合計]]-(梅田煙4000[[#This Row],[キャンセル人数]]*$B$2),"")</f>
        <v/>
      </c>
      <c r="H35" s="16" t="str">
        <f>IF(梅田煙4000[[#This Row],[人数]]=0,"",IF(梅田煙4000[[#This Row],[人数]]&lt;=7,"",IF(梅田煙4000[[#This Row],[人数]]&lt;=15,$B$1,IF(梅田煙4000[[#This Row],[人数]]&lt;=23,$B$1*2,IF(梅田煙4000[[#This Row],[人数]]&lt;=31,$B$1*3,IF(梅田煙4000[[#This Row],[人数]]&lt;=39,$B$1*4,""))))))</f>
        <v/>
      </c>
      <c r="I35" s="19"/>
      <c r="J35" s="16" t="str">
        <f>IF(梅田煙4000[[#This Row],[人数]]="","",VLOOKUP(梅田煙4000[[#This Row],[人数]],バック金額②[#All],2,TRUE))</f>
        <v/>
      </c>
      <c r="L35" s="74">
        <f t="shared" si="1"/>
        <v>44865</v>
      </c>
      <c r="M35" s="17"/>
      <c r="N35" s="18"/>
      <c r="O35" s="19"/>
      <c r="P35" s="19"/>
      <c r="Q35" s="16" t="str">
        <f>IF(梅田煙3500[[#This Row],[人数]]="","",IF(梅田煙3500[[#This Row],[人数]]&lt;=7,$B$1*梅田煙3500[[#This Row],[人数]],$B$1*梅田煙3500[[#This Row],[人数]]-梅田煙3500[[#This Row],[幹事無料]]))</f>
        <v/>
      </c>
      <c r="R35" s="16" t="str">
        <f>IFERROR(($M$3*梅田煙3500[[#This Row],[人数]])-梅田煙3500[[#This Row],[単価合計]]-(梅田煙3500[[#This Row],[キャンセル人数]]*$B$2),"")</f>
        <v/>
      </c>
      <c r="S35" s="16" t="str">
        <f>IF(梅田煙3500[[#This Row],[人数]]=0,"",IF(梅田煙3500[[#This Row],[人数]]&lt;=7,"",IF(梅田煙3500[[#This Row],[人数]]&lt;=15,$B$1,IF(梅田煙3500[[#This Row],[人数]]&lt;=23,$B$1*2,IF(梅田煙3500[[#This Row],[人数]]&lt;=31,$B$1*3,IF(梅田煙3500[[#This Row],[人数]]&lt;=39,$B$1*4,""))))))</f>
        <v/>
      </c>
      <c r="T35" s="19"/>
      <c r="U35" s="16" t="str">
        <f>IF(梅田煙3500[[#This Row],[人数]]="","",VLOOKUP(梅田煙3500[[#This Row],[人数]],バック金額②[#All],2,TRUE))</f>
        <v/>
      </c>
    </row>
    <row r="36" spans="1:21">
      <c r="A36" s="6" t="s">
        <v>211</v>
      </c>
      <c r="B36" s="16">
        <f>SUM(梅田煙4000[[#All],[件数]])</f>
        <v>0</v>
      </c>
      <c r="C36" s="6"/>
      <c r="D36" s="16">
        <f>SUM(梅田煙4000[[#All],[人数]])</f>
        <v>0</v>
      </c>
      <c r="E36" s="16">
        <f>SUM(梅田煙4000[[#All],[Aパターン]])</f>
        <v>0</v>
      </c>
      <c r="F36" s="16">
        <f>SUM(梅田煙4000[[#All],[単価合計]])</f>
        <v>0</v>
      </c>
      <c r="G36" s="16">
        <f>SUM(梅田煙4000[[#All],[ゆうき取りに行く]])</f>
        <v>0</v>
      </c>
      <c r="H36" s="16"/>
      <c r="I36" s="16"/>
      <c r="J36" s="16">
        <f>SUM(梅田煙4000[[#All],[イベンターへ]])</f>
        <v>0</v>
      </c>
      <c r="L36" s="6" t="s">
        <v>211</v>
      </c>
      <c r="M36" s="16">
        <f>SUM(梅田煙3500[[#All],[件数]])</f>
        <v>0</v>
      </c>
      <c r="N36" s="6"/>
      <c r="O36" s="16">
        <f>SUM(梅田煙3500[[#All],[人数]])</f>
        <v>0</v>
      </c>
      <c r="P36" s="16">
        <f>SUM(梅田煙3500[[#All],[Aパターン]])</f>
        <v>0</v>
      </c>
      <c r="Q36" s="16">
        <f>SUM(梅田煙3500[[#All],[単価合計]])</f>
        <v>0</v>
      </c>
      <c r="R36" s="16">
        <f>SUM(梅田煙3500[[#All],[ゆうき取りに行く]])</f>
        <v>0</v>
      </c>
      <c r="S36" s="16"/>
      <c r="T36" s="16"/>
      <c r="U36" s="16">
        <f>SUM(梅田煙3500[[#All],[イベンターへ]])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D37B-7272-4CD1-B9C1-9CF1B928070D}">
  <sheetPr codeName="Sheet10"/>
  <dimension ref="A1:U40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10937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E1" s="46" t="s">
        <v>565</v>
      </c>
    </row>
    <row r="2" spans="1:21">
      <c r="A2" s="46" t="s">
        <v>372</v>
      </c>
      <c r="B2" s="8">
        <v>1300</v>
      </c>
      <c r="E2" s="46" t="s">
        <v>562</v>
      </c>
      <c r="F2" s="9">
        <f>$B$1*($D$40-$E$40)</f>
        <v>225000</v>
      </c>
      <c r="L2" s="46" t="s">
        <v>498</v>
      </c>
      <c r="M2" s="8">
        <v>500</v>
      </c>
    </row>
    <row r="3" spans="1:21">
      <c r="A3" s="46" t="s">
        <v>376</v>
      </c>
      <c r="B3" s="8">
        <v>4000</v>
      </c>
      <c r="C3" s="46" t="s">
        <v>247</v>
      </c>
      <c r="L3" s="46" t="s">
        <v>376</v>
      </c>
      <c r="M3" s="8">
        <v>3500</v>
      </c>
      <c r="N3" s="46" t="s">
        <v>497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5" s="16" t="str">
        <f>IFERROR(($B$3*心斎橋サファリ4000[[#This Row],[人数]])-心斎橋サファリ4000[[#This Row],[単価合計]]-(心斎橋サファリ4000[[#This Row],[キャンセル人数]]*$B$2),"")</f>
        <v/>
      </c>
      <c r="H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5" s="15"/>
      <c r="J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5" s="16" t="str">
        <f>IFERROR(($M$3*心斎橋サファリ3500[[#This Row],[人数]])-心斎橋サファリ3500[[#This Row],[単価合計]]-(心斎橋サファリ3500[[#This Row],[キャンセル人数]]*$B$2),"")</f>
        <v/>
      </c>
      <c r="S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5" s="15"/>
      <c r="U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6" spans="1:21">
      <c r="A6" s="28">
        <f>IFERROR(IF(DATE(YEAR($A$5),MONTH($A$5),DAY($A$5))=DATE(YEAR(L5),MONTH(L5),DAY(L5+1)),"",DATE(YEAR(L5),MONTH(L5),DAY(L5+1))),"")</f>
        <v>44836</v>
      </c>
      <c r="B6" s="13"/>
      <c r="C6" s="14"/>
      <c r="D6" s="15"/>
      <c r="E6" s="15"/>
      <c r="F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6" s="16" t="str">
        <f>IFERROR(($B$3*心斎橋サファリ4000[[#This Row],[人数]])-心斎橋サファリ4000[[#This Row],[単価合計]]-(心斎橋サファリ4000[[#This Row],[キャンセル人数]]*$B$2),"")</f>
        <v/>
      </c>
      <c r="H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6" s="15"/>
      <c r="J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6" s="16" t="str">
        <f>IFERROR(($M$3*心斎橋サファリ3500[[#This Row],[人数]])-心斎橋サファリ3500[[#This Row],[単価合計]]-(心斎橋サファリ3500[[#This Row],[キャンセル人数]]*$B$2),"")</f>
        <v/>
      </c>
      <c r="S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6" s="15"/>
      <c r="U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7" spans="1:21">
      <c r="A7" s="28">
        <f t="shared" ref="A7:A19" si="0">IFERROR(IF(DATE(YEAR($A$5),MONTH($A$5),DAY($A$5))=DATE(YEAR(L6),MONTH(L6),DAY(L6+1)),"",DATE(YEAR(L6),MONTH(L6),DAY(L6+1))),"")</f>
        <v>44837</v>
      </c>
      <c r="B7" s="13"/>
      <c r="C7" s="14"/>
      <c r="D7" s="15"/>
      <c r="E7" s="15"/>
      <c r="F7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7" s="16" t="str">
        <f>IFERROR(($B$3*心斎橋サファリ4000[[#This Row],[人数]])-心斎橋サファリ4000[[#This Row],[単価合計]]-(心斎橋サファリ4000[[#This Row],[キャンセル人数]]*$B$2),"")</f>
        <v/>
      </c>
      <c r="H7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7" s="15"/>
      <c r="J7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7" s="16" t="str">
        <f>IFERROR(($M$3*心斎橋サファリ3500[[#This Row],[人数]])-心斎橋サファリ3500[[#This Row],[単価合計]]-(心斎橋サファリ3500[[#This Row],[キャンセル人数]]*$B$2),"")</f>
        <v/>
      </c>
      <c r="S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7" s="15"/>
      <c r="U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8" spans="1:21">
      <c r="A8" s="28">
        <f t="shared" si="0"/>
        <v>44838</v>
      </c>
      <c r="B8" s="13"/>
      <c r="C8" s="14"/>
      <c r="D8" s="15"/>
      <c r="E8" s="15"/>
      <c r="F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8" s="16" t="str">
        <f>IFERROR(($B$3*心斎橋サファリ4000[[#This Row],[人数]])-心斎橋サファリ4000[[#This Row],[単価合計]]-(心斎橋サファリ4000[[#This Row],[キャンセル人数]]*$B$2),"")</f>
        <v/>
      </c>
      <c r="H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8" s="15"/>
      <c r="J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8" s="63">
        <f t="shared" si="1"/>
        <v>44838</v>
      </c>
      <c r="M8" s="13"/>
      <c r="N8" s="14"/>
      <c r="O8" s="15"/>
      <c r="P8" s="15"/>
      <c r="Q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8" s="16" t="str">
        <f>IFERROR(($M$3*心斎橋サファリ3500[[#This Row],[人数]])-心斎橋サファリ3500[[#This Row],[単価合計]]-(心斎橋サファリ3500[[#This Row],[キャンセル人数]]*$B$2),"")</f>
        <v/>
      </c>
      <c r="S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8" s="15"/>
      <c r="U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9" spans="1:21">
      <c r="A9" s="28">
        <f t="shared" si="0"/>
        <v>44839</v>
      </c>
      <c r="B9" s="13"/>
      <c r="C9" s="14"/>
      <c r="D9" s="15"/>
      <c r="E9" s="15"/>
      <c r="F9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9" s="16" t="str">
        <f>IFERROR(($B$3*心斎橋サファリ4000[[#This Row],[人数]])-心斎橋サファリ4000[[#This Row],[単価合計]]-(心斎橋サファリ4000[[#This Row],[キャンセル人数]]*$B$2),"")</f>
        <v/>
      </c>
      <c r="H9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9" s="115"/>
      <c r="J9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9" s="63">
        <f t="shared" si="1"/>
        <v>44839</v>
      </c>
      <c r="M9" s="13"/>
      <c r="N9" s="14"/>
      <c r="O9" s="15"/>
      <c r="P9" s="15"/>
      <c r="Q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9" s="16" t="str">
        <f>IFERROR(($M$3*心斎橋サファリ3500[[#This Row],[人数]])-心斎橋サファリ3500[[#This Row],[単価合計]]-(心斎橋サファリ3500[[#This Row],[キャンセル人数]]*$B$2),"")</f>
        <v/>
      </c>
      <c r="S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9" s="15"/>
      <c r="U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0" spans="1:21">
      <c r="A10" s="28">
        <f t="shared" si="0"/>
        <v>44840</v>
      </c>
      <c r="B10" s="13"/>
      <c r="C10" s="14"/>
      <c r="D10" s="15"/>
      <c r="E10" s="15"/>
      <c r="F1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0" s="16" t="str">
        <f>IFERROR(($B$3*心斎橋サファリ4000[[#This Row],[人数]])-心斎橋サファリ4000[[#This Row],[単価合計]]-(心斎橋サファリ4000[[#This Row],[キャンセル人数]]*$B$2),"")</f>
        <v/>
      </c>
      <c r="H1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0" s="15"/>
      <c r="J1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0" s="63">
        <f t="shared" si="1"/>
        <v>44840</v>
      </c>
      <c r="M10" s="13"/>
      <c r="N10" s="14"/>
      <c r="O10" s="15"/>
      <c r="P10" s="15"/>
      <c r="Q1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0" s="16" t="str">
        <f>IFERROR(($M$3*心斎橋サファリ3500[[#This Row],[人数]])-心斎橋サファリ3500[[#This Row],[単価合計]]-(心斎橋サファリ3500[[#This Row],[キャンセル人数]]*$B$2),"")</f>
        <v/>
      </c>
      <c r="S1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0" s="15"/>
      <c r="U10" s="16"/>
    </row>
    <row r="11" spans="1:21">
      <c r="A11" s="28">
        <f t="shared" si="0"/>
        <v>44841</v>
      </c>
      <c r="B11" s="13">
        <v>1</v>
      </c>
      <c r="C11" s="14">
        <v>126</v>
      </c>
      <c r="D11" s="15">
        <v>10</v>
      </c>
      <c r="E11" s="15">
        <v>1</v>
      </c>
      <c r="F11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22500</v>
      </c>
      <c r="G11" s="16">
        <f>IFERROR(($B$3*心斎橋サファリ4000[[#This Row],[人数]])-心斎橋サファリ4000[[#This Row],[単価合計]]-(心斎橋サファリ4000[[#This Row],[キャンセル人数]]*$B$2),"")</f>
        <v>17500</v>
      </c>
      <c r="H11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11" s="15"/>
      <c r="J11" s="16">
        <f>IFERROR(IF(心斎橋サファリ4000[[#This Row],[人数]]="","",VLOOKUP(心斎橋サファリ4000[[#This Row],[人数]],バック金額①[#All],2,TRUE)-(心斎橋サファリ4000[[#This Row],[キャンセル人数]]*$B$2)),"")</f>
        <v>12000</v>
      </c>
      <c r="L11" s="63">
        <f t="shared" si="1"/>
        <v>44841</v>
      </c>
      <c r="M11" s="13"/>
      <c r="N11" s="14"/>
      <c r="O11" s="15"/>
      <c r="P11" s="15"/>
      <c r="Q1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1" s="16" t="str">
        <f>IFERROR(($M$3*心斎橋サファリ3500[[#This Row],[人数]])-心斎橋サファリ3500[[#This Row],[単価合計]]-(心斎橋サファリ3500[[#This Row],[キャンセル人数]]*$B$2),"")</f>
        <v/>
      </c>
      <c r="S1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1" s="15"/>
      <c r="U1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2" spans="1:21">
      <c r="A12" s="28">
        <f t="shared" si="0"/>
        <v>44842</v>
      </c>
      <c r="B12" s="13"/>
      <c r="C12" s="14"/>
      <c r="D12" s="15"/>
      <c r="E12" s="15"/>
      <c r="F1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2" s="16" t="str">
        <f>IFERROR(($B$3*心斎橋サファリ4000[[#This Row],[人数]])-心斎橋サファリ4000[[#This Row],[単価合計]]-(心斎橋サファリ4000[[#This Row],[キャンセル人数]]*$B$2),"")</f>
        <v/>
      </c>
      <c r="H1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2" s="15"/>
      <c r="J1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2" s="63">
        <f t="shared" si="1"/>
        <v>44842</v>
      </c>
      <c r="M12" s="13"/>
      <c r="N12" s="14"/>
      <c r="O12" s="15"/>
      <c r="P12" s="15"/>
      <c r="Q1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2" s="16" t="str">
        <f>IFERROR(($M$3*心斎橋サファリ3500[[#This Row],[人数]])-心斎橋サファリ3500[[#This Row],[単価合計]]-(心斎橋サファリ3500[[#This Row],[キャンセル人数]]*$B$2),"")</f>
        <v/>
      </c>
      <c r="S1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2" s="15"/>
      <c r="U1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3" spans="1:21">
      <c r="A13" s="28">
        <f t="shared" si="0"/>
        <v>44843</v>
      </c>
      <c r="B13" s="13"/>
      <c r="C13" s="49"/>
      <c r="D13" s="15"/>
      <c r="E13" s="15"/>
      <c r="F1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3" s="16" t="str">
        <f>IFERROR(($B$3*心斎橋サファリ4000[[#This Row],[人数]])-心斎橋サファリ4000[[#This Row],[単価合計]]-(心斎橋サファリ4000[[#This Row],[キャンセル人数]]*$B$2),"")</f>
        <v/>
      </c>
      <c r="H1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3" s="15"/>
      <c r="J1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3" s="63">
        <f t="shared" si="1"/>
        <v>44843</v>
      </c>
      <c r="M13" s="13"/>
      <c r="N13" s="14"/>
      <c r="O13" s="15"/>
      <c r="P13" s="15"/>
      <c r="Q1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3" s="16" t="str">
        <f>IFERROR(($M$3*心斎橋サファリ3500[[#This Row],[人数]])-心斎橋サファリ3500[[#This Row],[単価合計]]-(心斎橋サファリ3500[[#This Row],[キャンセル人数]]*$B$2),"")</f>
        <v/>
      </c>
      <c r="S1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3" s="15"/>
      <c r="U1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4" spans="1:21">
      <c r="A14" s="28">
        <f t="shared" si="0"/>
        <v>44844</v>
      </c>
      <c r="B14" s="13"/>
      <c r="C14" s="14"/>
      <c r="D14" s="15"/>
      <c r="E14" s="15"/>
      <c r="F14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4" s="16" t="str">
        <f>IFERROR(($B$3*心斎橋サファリ4000[[#This Row],[人数]])-心斎橋サファリ4000[[#This Row],[単価合計]]-(心斎橋サファリ4000[[#This Row],[キャンセル人数]]*$B$2),"")</f>
        <v/>
      </c>
      <c r="H1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4" s="15"/>
      <c r="J14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4" s="63">
        <f t="shared" si="1"/>
        <v>44844</v>
      </c>
      <c r="M14" s="13"/>
      <c r="N14" s="14"/>
      <c r="O14" s="15"/>
      <c r="P14" s="15"/>
      <c r="Q1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4" s="16" t="str">
        <f>IFERROR(($M$3*心斎橋サファリ3500[[#This Row],[人数]])-心斎橋サファリ3500[[#This Row],[単価合計]]-(心斎橋サファリ3500[[#This Row],[キャンセル人数]]*$B$2),"")</f>
        <v/>
      </c>
      <c r="S1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4" s="15"/>
      <c r="U1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5" spans="1:21">
      <c r="A15" s="28">
        <f t="shared" si="0"/>
        <v>44845</v>
      </c>
      <c r="B15" s="13"/>
      <c r="C15" s="14"/>
      <c r="D15" s="15"/>
      <c r="E15" s="15"/>
      <c r="F1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5" s="16" t="str">
        <f>IFERROR(($B$3*心斎橋サファリ4000[[#This Row],[人数]])-心斎橋サファリ4000[[#This Row],[単価合計]]-(心斎橋サファリ4000[[#This Row],[キャンセル人数]]*$B$2),"")</f>
        <v/>
      </c>
      <c r="H1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5" s="15"/>
      <c r="J1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5" s="63">
        <f t="shared" si="1"/>
        <v>44845</v>
      </c>
      <c r="M15" s="13"/>
      <c r="N15" s="14"/>
      <c r="O15" s="15"/>
      <c r="P15" s="15"/>
      <c r="Q1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5" s="16" t="str">
        <f>IFERROR(($M$3*心斎橋サファリ3500[[#This Row],[人数]])-心斎橋サファリ3500[[#This Row],[単価合計]]-(心斎橋サファリ3500[[#This Row],[キャンセル人数]]*$B$2),"")</f>
        <v/>
      </c>
      <c r="S1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5" s="15"/>
      <c r="U1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6" spans="1:21">
      <c r="A16" s="28">
        <f t="shared" si="0"/>
        <v>44846</v>
      </c>
      <c r="B16" s="13"/>
      <c r="C16" s="14"/>
      <c r="D16" s="15"/>
      <c r="E16" s="15"/>
      <c r="F16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6" s="16" t="str">
        <f>IFERROR(($B$3*心斎橋サファリ4000[[#This Row],[人数]])-心斎橋サファリ4000[[#This Row],[単価合計]]-(心斎橋サファリ4000[[#This Row],[キャンセル人数]]*$B$2),"")</f>
        <v/>
      </c>
      <c r="H1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6" s="115"/>
      <c r="J16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6" s="63">
        <f t="shared" si="1"/>
        <v>44846</v>
      </c>
      <c r="M16" s="13"/>
      <c r="N16" s="14"/>
      <c r="O16" s="15"/>
      <c r="P16" s="15"/>
      <c r="Q1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6" s="16" t="str">
        <f>IFERROR(($M$3*心斎橋サファリ3500[[#This Row],[人数]])-心斎橋サファリ3500[[#This Row],[単価合計]]-(心斎橋サファリ3500[[#This Row],[キャンセル人数]]*$B$2),"")</f>
        <v/>
      </c>
      <c r="S1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6" s="15"/>
      <c r="U1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7" spans="1:21">
      <c r="A17" s="28">
        <f t="shared" si="0"/>
        <v>44847</v>
      </c>
      <c r="B17" s="13">
        <v>1</v>
      </c>
      <c r="C17" s="14">
        <v>6</v>
      </c>
      <c r="D17" s="15">
        <v>7</v>
      </c>
      <c r="E17" s="15"/>
      <c r="F17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7" s="16">
        <f>IFERROR(($B$3*心斎橋サファリ4000[[#This Row],[人数]])-心斎橋サファリ4000[[#This Row],[単価合計]]-(心斎橋サファリ4000[[#This Row],[キャンセル人数]]*$B$2),"")</f>
        <v>10500</v>
      </c>
      <c r="H17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7" s="115"/>
      <c r="J17" s="114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  <c r="L17" s="63">
        <f t="shared" si="1"/>
        <v>44847</v>
      </c>
      <c r="M17" s="13"/>
      <c r="N17" s="14"/>
      <c r="O17" s="15"/>
      <c r="P17" s="15"/>
      <c r="Q1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7" s="16" t="str">
        <f>IFERROR(($M$3*心斎橋サファリ3500[[#This Row],[人数]])-心斎橋サファリ3500[[#This Row],[単価合計]]-(心斎橋サファリ3500[[#This Row],[キャンセル人数]]*$B$2),"")</f>
        <v/>
      </c>
      <c r="S1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7" s="15"/>
      <c r="U1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8" spans="1:21">
      <c r="A18" s="28">
        <f t="shared" si="0"/>
        <v>44848</v>
      </c>
      <c r="B18" s="13"/>
      <c r="C18" s="14"/>
      <c r="D18" s="15"/>
      <c r="E18" s="15"/>
      <c r="F1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18" s="16" t="str">
        <f>IFERROR(($B$3*心斎橋サファリ4000[[#This Row],[人数]])-心斎橋サファリ4000[[#This Row],[単価合計]]-(心斎橋サファリ4000[[#This Row],[キャンセル人数]]*$B$2),"")</f>
        <v/>
      </c>
      <c r="H1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18" s="115"/>
      <c r="J18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18" s="63">
        <f t="shared" si="1"/>
        <v>44848</v>
      </c>
      <c r="M18" s="13"/>
      <c r="N18" s="14"/>
      <c r="O18" s="15"/>
      <c r="P18" s="15"/>
      <c r="Q1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8" s="16" t="str">
        <f>IFERROR(($M$3*心斎橋サファリ3500[[#This Row],[人数]])-心斎橋サファリ3500[[#This Row],[単価合計]]-(心斎橋サファリ3500[[#This Row],[キャンセル人数]]*$B$2),"")</f>
        <v/>
      </c>
      <c r="S1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8" s="15"/>
      <c r="U1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19" spans="1:21">
      <c r="A19" s="28">
        <f t="shared" si="0"/>
        <v>44849</v>
      </c>
      <c r="B19" s="13">
        <v>1</v>
      </c>
      <c r="C19" s="14">
        <v>126</v>
      </c>
      <c r="D19" s="15">
        <v>8</v>
      </c>
      <c r="E19" s="15">
        <v>1</v>
      </c>
      <c r="F19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19" s="16">
        <f>IFERROR(($B$3*心斎橋サファリ4000[[#This Row],[人数]])-心斎橋サファリ4000[[#This Row],[単価合計]]-(心斎橋サファリ4000[[#This Row],[キャンセル人数]]*$B$2),"")</f>
        <v>14500</v>
      </c>
      <c r="H19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19" s="115"/>
      <c r="J19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19" s="63">
        <f t="shared" si="1"/>
        <v>44849</v>
      </c>
      <c r="M19" s="13"/>
      <c r="N19" s="14"/>
      <c r="O19" s="15"/>
      <c r="P19" s="15"/>
      <c r="Q1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19" s="16" t="str">
        <f>IFERROR(($M$3*心斎橋サファリ3500[[#This Row],[人数]])-心斎橋サファリ3500[[#This Row],[単価合計]]-(心斎橋サファリ3500[[#This Row],[キャンセル人数]]*$B$2),"")</f>
        <v/>
      </c>
      <c r="S1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19" s="15"/>
      <c r="U1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0" spans="1:21">
      <c r="A20" s="28">
        <v>44849</v>
      </c>
      <c r="B20" s="13">
        <v>1</v>
      </c>
      <c r="C20" s="14">
        <v>134</v>
      </c>
      <c r="D20" s="15">
        <v>6</v>
      </c>
      <c r="E20" s="15"/>
      <c r="F20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0" s="114">
        <f>IFERROR(($B$3*心斎橋サファリ4000[[#This Row],[人数]])-心斎橋サファリ4000[[#This Row],[単価合計]]-(心斎橋サファリ4000[[#This Row],[キャンセル人数]]*$B$2),"")</f>
        <v>9000</v>
      </c>
      <c r="H20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0" s="115"/>
      <c r="J20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0" s="63">
        <f t="shared" si="1"/>
        <v>44850</v>
      </c>
      <c r="M20" s="13"/>
      <c r="N20" s="14"/>
      <c r="O20" s="15"/>
      <c r="P20" s="15"/>
      <c r="Q2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0" s="16" t="str">
        <f>IFERROR(($M$3*心斎橋サファリ3500[[#This Row],[人数]])-心斎橋サファリ3500[[#This Row],[単価合計]]-(心斎橋サファリ3500[[#This Row],[キャンセル人数]]*$B$2),"")</f>
        <v/>
      </c>
      <c r="S2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0" s="15"/>
      <c r="U2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1" spans="1:21">
      <c r="A21" s="28">
        <f>IFERROR(IF(DATE(YEAR($A$5),MONTH($A$5),DAY($A$5))=DATE(YEAR(L19),MONTH(L19),DAY(L19+1)),"",DATE(YEAR(L19),MONTH(L19),DAY(L19+1))),"")</f>
        <v>44850</v>
      </c>
      <c r="B21" s="13"/>
      <c r="C21" s="14"/>
      <c r="D21" s="15"/>
      <c r="E21" s="15"/>
      <c r="F2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1" s="16" t="str">
        <f>IFERROR(($B$3*心斎橋サファリ4000[[#This Row],[人数]])-心斎橋サファリ4000[[#This Row],[単価合計]]-(心斎橋サファリ4000[[#This Row],[キャンセル人数]]*$B$2),"")</f>
        <v/>
      </c>
      <c r="H2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1" s="15"/>
      <c r="J2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1" s="63">
        <f t="shared" si="1"/>
        <v>44851</v>
      </c>
      <c r="M21" s="13"/>
      <c r="N21" s="14"/>
      <c r="O21" s="15"/>
      <c r="P21" s="15"/>
      <c r="Q2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1" s="16" t="str">
        <f>IFERROR(($M$3*心斎橋サファリ3500[[#This Row],[人数]])-心斎橋サファリ3500[[#This Row],[単価合計]]-(心斎橋サファリ3500[[#This Row],[キャンセル人数]]*$B$2),"")</f>
        <v/>
      </c>
      <c r="S2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1" s="15"/>
      <c r="U2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2" spans="1:21">
      <c r="A22" s="28">
        <f>IFERROR(IF(DATE(YEAR($A$5),MONTH($A$5),DAY($A$5))=DATE(YEAR(L20),MONTH(L20),DAY(L20+1)),"",DATE(YEAR(L20),MONTH(L20),DAY(L20+1))),"")</f>
        <v>44851</v>
      </c>
      <c r="B22" s="13"/>
      <c r="C22" s="14"/>
      <c r="D22" s="15"/>
      <c r="E22" s="15"/>
      <c r="F2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2" s="16" t="str">
        <f>IFERROR(($B$3*心斎橋サファリ4000[[#This Row],[人数]])-心斎橋サファリ4000[[#This Row],[単価合計]]-(心斎橋サファリ4000[[#This Row],[キャンセル人数]]*$B$2),"")</f>
        <v/>
      </c>
      <c r="H2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2" s="15"/>
      <c r="J2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2" s="63">
        <f t="shared" si="1"/>
        <v>44852</v>
      </c>
      <c r="M22" s="13"/>
      <c r="N22" s="14"/>
      <c r="O22" s="15"/>
      <c r="P22" s="15"/>
      <c r="Q2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2" s="16" t="str">
        <f>IFERROR(($M$3*心斎橋サファリ3500[[#This Row],[人数]])-心斎橋サファリ3500[[#This Row],[単価合計]]-(心斎橋サファリ3500[[#This Row],[キャンセル人数]]*$B$2),"")</f>
        <v/>
      </c>
      <c r="S2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2" s="15"/>
      <c r="U2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3" spans="1:21">
      <c r="A23" s="28">
        <f>IFERROR(IF(DATE(YEAR($A$5),MONTH($A$5),DAY($A$5))=DATE(YEAR(L21),MONTH(L21),DAY(L21+1)),"",DATE(YEAR(L21),MONTH(L21),DAY(L21+1))),"")</f>
        <v>44852</v>
      </c>
      <c r="B23" s="13"/>
      <c r="C23" s="14"/>
      <c r="D23" s="15"/>
      <c r="E23" s="15"/>
      <c r="F23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3" s="16" t="str">
        <f>IFERROR(($B$3*心斎橋サファリ4000[[#This Row],[人数]])-心斎橋サファリ4000[[#This Row],[単価合計]]-(心斎橋サファリ4000[[#This Row],[キャンセル人数]]*$B$2),"")</f>
        <v/>
      </c>
      <c r="H23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3" s="15"/>
      <c r="J23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3" s="63">
        <f t="shared" si="1"/>
        <v>44853</v>
      </c>
      <c r="M23" s="13"/>
      <c r="N23" s="14"/>
      <c r="O23" s="15"/>
      <c r="P23" s="15"/>
      <c r="Q2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3" s="16" t="str">
        <f>IFERROR(($M$3*心斎橋サファリ3500[[#This Row],[人数]])-心斎橋サファリ3500[[#This Row],[単価合計]]-(心斎橋サファリ3500[[#This Row],[キャンセル人数]]*$B$2),"")</f>
        <v/>
      </c>
      <c r="S2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3" s="15"/>
      <c r="U2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4" spans="1:21">
      <c r="A24" s="28">
        <f>IFERROR(IF(DATE(YEAR($A$5),MONTH($A$5),DAY($A$5))=DATE(YEAR(L22),MONTH(L22),DAY(L22+1)),"",DATE(YEAR(L22),MONTH(L22),DAY(L22+1))),"")</f>
        <v>44853</v>
      </c>
      <c r="B24" s="13">
        <v>1</v>
      </c>
      <c r="C24" s="14"/>
      <c r="D24" s="15">
        <v>6</v>
      </c>
      <c r="E24" s="15"/>
      <c r="F2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4" s="16">
        <v>9625</v>
      </c>
      <c r="H24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4" s="15"/>
      <c r="J24" s="16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4" s="63">
        <f t="shared" si="1"/>
        <v>44854</v>
      </c>
      <c r="M24" s="13"/>
      <c r="N24" s="14"/>
      <c r="O24" s="15"/>
      <c r="P24" s="15"/>
      <c r="Q2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4" s="16" t="str">
        <f>IFERROR(($M$3*心斎橋サファリ3500[[#This Row],[人数]])-心斎橋サファリ3500[[#This Row],[単価合計]]-(心斎橋サファリ3500[[#This Row],[キャンセル人数]]*$B$2),"")</f>
        <v/>
      </c>
      <c r="S2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4" s="15"/>
      <c r="U2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5" spans="1:21">
      <c r="A25" s="28">
        <f>IFERROR(IF(DATE(YEAR($A$5),MONTH($A$5),DAY($A$5))=DATE(YEAR(L23),MONTH(L23),DAY(L23+1)),"",DATE(YEAR(L23),MONTH(L23),DAY(L23+1))),"")</f>
        <v>44854</v>
      </c>
      <c r="B25" s="13"/>
      <c r="C25" s="14"/>
      <c r="D25" s="15"/>
      <c r="E25" s="15"/>
      <c r="F25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5" s="16" t="str">
        <f>IFERROR(($B$3*心斎橋サファリ4000[[#This Row],[人数]])-心斎橋サファリ4000[[#This Row],[単価合計]]-(心斎橋サファリ4000[[#This Row],[キャンセル人数]]*$B$2),"")</f>
        <v/>
      </c>
      <c r="H25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5" s="115"/>
      <c r="J25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5" s="63">
        <f t="shared" si="1"/>
        <v>44855</v>
      </c>
      <c r="M25" s="13"/>
      <c r="N25" s="14"/>
      <c r="O25" s="15"/>
      <c r="P25" s="15"/>
      <c r="Q25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5" s="16" t="str">
        <f>IFERROR(($M$3*心斎橋サファリ3500[[#This Row],[人数]])-心斎橋サファリ3500[[#This Row],[単価合計]]-(心斎橋サファリ3500[[#This Row],[キャンセル人数]]*$B$2),"")</f>
        <v/>
      </c>
      <c r="S25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5" s="15"/>
      <c r="U25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6" spans="1:21">
      <c r="A26" s="28">
        <f>IFERROR(IF(DATE(YEAR($A$5),MONTH($A$5),DAY($A$5))=DATE(YEAR(L24),MONTH(L24),DAY(L24+1)),"",DATE(YEAR(L24),MONTH(L24),DAY(L24+1))),"")</f>
        <v>44855</v>
      </c>
      <c r="B26" s="13">
        <v>1</v>
      </c>
      <c r="C26" s="14">
        <v>329</v>
      </c>
      <c r="D26" s="15">
        <v>6</v>
      </c>
      <c r="E26" s="50"/>
      <c r="F26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15000</v>
      </c>
      <c r="G26" s="16">
        <f>IFERROR(($B$3*心斎橋サファリ4000[[#This Row],[人数]])-心斎橋サファリ4000[[#This Row],[単価合計]]-(心斎橋サファリ4000[[#This Row],[キャンセル人数]]*$B$2),"")</f>
        <v>9000</v>
      </c>
      <c r="H26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6" s="115"/>
      <c r="J26" s="114">
        <f>IFERROR(IF(心斎橋サファリ4000[[#This Row],[人数]]="","",VLOOKUP(心斎橋サファリ4000[[#This Row],[人数]],バック金額①[#All],2,TRUE)-(心斎橋サファリ4000[[#This Row],[キャンセル人数]]*$B$2)),"")</f>
        <v>7000</v>
      </c>
      <c r="L26" s="63">
        <f t="shared" si="1"/>
        <v>44856</v>
      </c>
      <c r="M26" s="13"/>
      <c r="N26" s="14"/>
      <c r="O26" s="15"/>
      <c r="P26" s="15"/>
      <c r="Q26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6" s="16" t="str">
        <f>IFERROR(($M$3*心斎橋サファリ3500[[#This Row],[人数]])-心斎橋サファリ3500[[#This Row],[単価合計]]-(心斎橋サファリ3500[[#This Row],[キャンセル人数]]*$B$2),"")</f>
        <v/>
      </c>
      <c r="S26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6" s="15"/>
      <c r="U26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7" spans="1:21">
      <c r="A27" s="28">
        <v>44855</v>
      </c>
      <c r="B27" s="13">
        <v>1</v>
      </c>
      <c r="C27" s="14">
        <v>316</v>
      </c>
      <c r="D27" s="15">
        <v>8</v>
      </c>
      <c r="E27" s="15">
        <v>1</v>
      </c>
      <c r="F27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7" s="114">
        <f>IFERROR(($B$3*心斎橋サファリ4000[[#This Row],[人数]])-心斎橋サファリ4000[[#This Row],[単価合計]]-(心斎橋サファリ4000[[#This Row],[キャンセル人数]]*$B$2),"")</f>
        <v>14500</v>
      </c>
      <c r="H27" s="114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27" s="115"/>
      <c r="J27" s="114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27" s="63">
        <f t="shared" si="1"/>
        <v>44857</v>
      </c>
      <c r="M27" s="13"/>
      <c r="N27" s="14"/>
      <c r="O27" s="15"/>
      <c r="P27" s="15"/>
      <c r="Q27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7" s="16" t="str">
        <f>IFERROR(($M$3*心斎橋サファリ3500[[#This Row],[人数]])-心斎橋サファリ3500[[#This Row],[単価合計]]-(心斎橋サファリ3500[[#This Row],[キャンセル人数]]*$B$2),"")</f>
        <v/>
      </c>
      <c r="S27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7" s="15"/>
      <c r="U27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8" spans="1:21">
      <c r="A28" s="28">
        <v>44855</v>
      </c>
      <c r="B28" s="13">
        <v>1</v>
      </c>
      <c r="C28" s="14">
        <v>6</v>
      </c>
      <c r="D28" s="15">
        <v>7</v>
      </c>
      <c r="E28" s="15"/>
      <c r="F28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28" s="114">
        <f>IFERROR(($B$3*心斎橋サファリ4000[[#This Row],[人数]])-心斎橋サファリ4000[[#This Row],[単価合計]]-(心斎橋サファリ4000[[#This Row],[キャンセル人数]]*$B$2),"")</f>
        <v>10500</v>
      </c>
      <c r="H28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8" s="115"/>
      <c r="J28" s="114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  <c r="L28" s="63">
        <f t="shared" si="1"/>
        <v>44858</v>
      </c>
      <c r="M28" s="13"/>
      <c r="N28" s="14"/>
      <c r="O28" s="15"/>
      <c r="P28" s="15"/>
      <c r="Q28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8" s="16" t="str">
        <f>IFERROR(($M$3*心斎橋サファリ3500[[#This Row],[人数]])-心斎橋サファリ3500[[#This Row],[単価合計]]-(心斎橋サファリ3500[[#This Row],[キャンセル人数]]*$B$2),"")</f>
        <v/>
      </c>
      <c r="S28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8" s="15"/>
      <c r="U28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29" spans="1:21">
      <c r="A29" s="28">
        <f>IFERROR(IF(DATE(YEAR($A$5),MONTH($A$5),DAY($A$5))=DATE(YEAR(L25),MONTH(L25),DAY(L25+1)),"",DATE(YEAR(L25),MONTH(L25),DAY(L25+1))),"")</f>
        <v>44856</v>
      </c>
      <c r="B29" s="13"/>
      <c r="C29" s="14"/>
      <c r="D29" s="15"/>
      <c r="E29" s="15"/>
      <c r="F2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29" s="16" t="str">
        <f>IFERROR(($B$3*心斎橋サファリ4000[[#This Row],[人数]])-心斎橋サファリ4000[[#This Row],[単価合計]]-(心斎橋サファリ4000[[#This Row],[キャンセル人数]]*$B$2),"")</f>
        <v/>
      </c>
      <c r="H2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29" s="15"/>
      <c r="J2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29" s="63">
        <f t="shared" si="1"/>
        <v>44859</v>
      </c>
      <c r="M29" s="13"/>
      <c r="N29" s="14"/>
      <c r="O29" s="15"/>
      <c r="P29" s="15"/>
      <c r="Q29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29" s="16" t="str">
        <f>IFERROR(($M$3*心斎橋サファリ3500[[#This Row],[人数]])-心斎橋サファリ3500[[#This Row],[単価合計]]-(心斎橋サファリ3500[[#This Row],[キャンセル人数]]*$B$2),"")</f>
        <v/>
      </c>
      <c r="S29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29" s="15"/>
      <c r="U29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0" spans="1:21">
      <c r="A30" s="28">
        <f>IFERROR(IF(DATE(YEAR($A$5),MONTH($A$5),DAY($A$5))=DATE(YEAR(L26),MONTH(L26),DAY(L26+1)),"",DATE(YEAR(L26),MONTH(L26),DAY(L26+1))),"")</f>
        <v>44857</v>
      </c>
      <c r="B30" s="13"/>
      <c r="C30" s="14"/>
      <c r="D30" s="15"/>
      <c r="E30" s="15"/>
      <c r="F30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0" s="16" t="str">
        <f>IFERROR(($B$3*心斎橋サファリ4000[[#This Row],[人数]])-心斎橋サファリ4000[[#This Row],[単価合計]]-(心斎橋サファリ4000[[#This Row],[キャンセル人数]]*$B$2),"")</f>
        <v/>
      </c>
      <c r="H30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0" s="15"/>
      <c r="J30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0" s="63">
        <f t="shared" si="1"/>
        <v>44860</v>
      </c>
      <c r="M30" s="13"/>
      <c r="N30" s="14"/>
      <c r="O30" s="15"/>
      <c r="P30" s="15"/>
      <c r="Q30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0" s="16" t="str">
        <f>IFERROR(($M$3*心斎橋サファリ3500[[#This Row],[人数]])-心斎橋サファリ3500[[#This Row],[単価合計]]-(心斎橋サファリ3500[[#This Row],[キャンセル人数]]*$B$2),"")</f>
        <v/>
      </c>
      <c r="S30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0" s="15"/>
      <c r="U30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1" spans="1:21">
      <c r="A31" s="28">
        <f>IFERROR(IF(DATE(YEAR($A$5),MONTH($A$5),DAY($A$5))=DATE(YEAR(L27),MONTH(L27),DAY(L27+1)),"",DATE(YEAR(L27),MONTH(L27),DAY(L27+1))),"")</f>
        <v>44858</v>
      </c>
      <c r="B31" s="13"/>
      <c r="C31" s="14"/>
      <c r="D31" s="15"/>
      <c r="E31" s="15"/>
      <c r="F31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1" s="16" t="str">
        <f>IFERROR(($B$3*心斎橋サファリ4000[[#This Row],[人数]])-心斎橋サファリ4000[[#This Row],[単価合計]]-(心斎橋サファリ4000[[#This Row],[キャンセル人数]]*$B$2),"")</f>
        <v/>
      </c>
      <c r="H31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1" s="15"/>
      <c r="J31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1" s="63">
        <f t="shared" si="1"/>
        <v>44861</v>
      </c>
      <c r="M31" s="13"/>
      <c r="N31" s="14"/>
      <c r="O31" s="15"/>
      <c r="P31" s="15"/>
      <c r="Q31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1" s="16" t="str">
        <f>IFERROR(($M$3*心斎橋サファリ3500[[#This Row],[人数]])-心斎橋サファリ3500[[#This Row],[単価合計]]-(心斎橋サファリ3500[[#This Row],[キャンセル人数]]*$B$2),"")</f>
        <v/>
      </c>
      <c r="S31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1" s="15"/>
      <c r="U31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2" spans="1:21">
      <c r="A32" s="28">
        <f>IFERROR(IF(DATE(YEAR($A$5),MONTH($A$5),DAY($A$5))=DATE(YEAR(L28),MONTH(L28),DAY(L28+1)),"",DATE(YEAR(L28),MONTH(L28),DAY(L28+1))),"")</f>
        <v>44859</v>
      </c>
      <c r="B32" s="13"/>
      <c r="C32" s="14"/>
      <c r="D32" s="15"/>
      <c r="E32" s="15"/>
      <c r="F32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2" s="16" t="str">
        <f>IFERROR(($B$3*心斎橋サファリ4000[[#This Row],[人数]])-心斎橋サファリ4000[[#This Row],[単価合計]]-(心斎橋サファリ4000[[#This Row],[キャンセル人数]]*$B$2),"")</f>
        <v/>
      </c>
      <c r="H32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2" s="15"/>
      <c r="J32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2" s="63">
        <f t="shared" si="1"/>
        <v>44862</v>
      </c>
      <c r="M32" s="13"/>
      <c r="N32" s="14"/>
      <c r="O32" s="15"/>
      <c r="P32" s="15"/>
      <c r="Q32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2" s="16" t="str">
        <f>IFERROR(($M$3*心斎橋サファリ3500[[#This Row],[人数]])-心斎橋サファリ3500[[#This Row],[単価合計]]-(心斎橋サファリ3500[[#This Row],[キャンセル人数]]*$B$2),"")</f>
        <v/>
      </c>
      <c r="S32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2" s="15"/>
      <c r="U32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3" spans="1:21">
      <c r="A33" s="28">
        <f>IFERROR(IF(DATE(YEAR($A$5),MONTH($A$5),DAY($A$5))=DATE(YEAR(L29),MONTH(L29),DAY(L29+1)),"",DATE(YEAR(L29),MONTH(L29),DAY(L29+1))),"")</f>
        <v>44860</v>
      </c>
      <c r="B33" s="13"/>
      <c r="C33" s="14"/>
      <c r="D33" s="15"/>
      <c r="E33" s="15"/>
      <c r="F33" s="114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3" s="16" t="str">
        <f>IFERROR(($B$3*心斎橋サファリ4000[[#This Row],[人数]])-心斎橋サファリ4000[[#This Row],[単価合計]]-(心斎橋サファリ4000[[#This Row],[キャンセル人数]]*$B$2),"")</f>
        <v/>
      </c>
      <c r="H33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3" s="115"/>
      <c r="J33" s="114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3" s="63">
        <f t="shared" si="1"/>
        <v>44863</v>
      </c>
      <c r="M33" s="13"/>
      <c r="N33" s="14"/>
      <c r="O33" s="15"/>
      <c r="P33" s="15"/>
      <c r="Q33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3" s="16" t="str">
        <f>IFERROR(($M$3*心斎橋サファリ3500[[#This Row],[人数]])-心斎橋サファリ3500[[#This Row],[単価合計]]-(心斎橋サファリ3500[[#This Row],[キャンセル人数]]*$B$2),"")</f>
        <v/>
      </c>
      <c r="S33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3" s="15"/>
      <c r="U33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4" spans="1:21">
      <c r="A34" s="28">
        <f>IFERROR(IF(DATE(YEAR($A$5),MONTH($A$5),DAY($A$5))=DATE(YEAR(L30),MONTH(L30),DAY(L30+1)),"",DATE(YEAR(L30),MONTH(L30),DAY(L30+1))),"")</f>
        <v>44861</v>
      </c>
      <c r="B34" s="13">
        <v>1</v>
      </c>
      <c r="C34" s="14">
        <v>126</v>
      </c>
      <c r="D34" s="15">
        <v>8</v>
      </c>
      <c r="E34" s="15">
        <v>1</v>
      </c>
      <c r="F34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34" s="16">
        <f>IFERROR(($B$3*心斎橋サファリ4000[[#This Row],[人数]])-心斎橋サファリ4000[[#This Row],[単価合計]]-(心斎橋サファリ4000[[#This Row],[キャンセル人数]]*$B$2),"")</f>
        <v>14500</v>
      </c>
      <c r="H34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2500</v>
      </c>
      <c r="I34" s="15"/>
      <c r="J34" s="16">
        <f>IFERROR(IF(心斎橋サファリ4000[[#This Row],[人数]]="","",VLOOKUP(心斎橋サファリ4000[[#This Row],[人数]],バック金額①[#All],2,TRUE)-(心斎橋サファリ4000[[#This Row],[キャンセル人数]]*$B$2)),"")</f>
        <v>10000</v>
      </c>
      <c r="L34" s="63">
        <f t="shared" si="1"/>
        <v>44864</v>
      </c>
      <c r="M34" s="13"/>
      <c r="N34" s="14"/>
      <c r="O34" s="15"/>
      <c r="P34" s="15"/>
      <c r="Q34" s="16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4" s="16" t="str">
        <f>IFERROR(($M$3*心斎橋サファリ3500[[#This Row],[人数]])-心斎橋サファリ3500[[#This Row],[単価合計]]-(心斎橋サファリ3500[[#This Row],[キャンセル人数]]*$B$2),"")</f>
        <v/>
      </c>
      <c r="S34" s="16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4" s="15"/>
      <c r="U34" s="16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5" spans="1:21">
      <c r="A35" s="28">
        <f>IFERROR(IF(DATE(YEAR($A$5),MONTH($A$5),DAY($A$5))=DATE(YEAR(L31),MONTH(L31),DAY(L31+1)),"",DATE(YEAR(L31),MONTH(L31),DAY(L31+1))),"")</f>
        <v>44862</v>
      </c>
      <c r="B35" s="13">
        <v>1</v>
      </c>
      <c r="C35" s="14">
        <v>263</v>
      </c>
      <c r="D35" s="15">
        <v>20</v>
      </c>
      <c r="E35" s="15">
        <v>2</v>
      </c>
      <c r="F35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45000</v>
      </c>
      <c r="G35" s="16">
        <f>IFERROR(($B$3*心斎橋サファリ4000[[#This Row],[人数]])-心斎橋サファリ4000[[#This Row],[単価合計]]-(心斎橋サファリ4000[[#This Row],[キャンセル人数]]*$B$2),"")</f>
        <v>35000</v>
      </c>
      <c r="H35" s="16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>5000</v>
      </c>
      <c r="I35" s="15"/>
      <c r="J35" s="16">
        <f>IFERROR(IF(心斎橋サファリ4000[[#This Row],[人数]]="","",VLOOKUP(心斎橋サファリ4000[[#This Row],[人数]],バック金額①[#All],2,TRUE)-(心斎橋サファリ4000[[#This Row],[キャンセル人数]]*$B$2)),"")</f>
        <v>24000</v>
      </c>
      <c r="L35" s="140">
        <f t="shared" si="1"/>
        <v>44865</v>
      </c>
      <c r="M35" s="17"/>
      <c r="N35" s="18"/>
      <c r="O35" s="19"/>
      <c r="P35" s="19"/>
      <c r="Q35" s="141" t="str">
        <f>IF(心斎橋サファリ3500[[#This Row],[人数]]="","",IF(心斎橋サファリ3500[[#This Row],[人数]]&lt;=7,$B$1*心斎橋サファリ3500[[#This Row],[人数]],$B$1*心斎橋サファリ3500[[#This Row],[人数]]-心斎橋サファリ3500[[#This Row],[幹事無料]]))</f>
        <v/>
      </c>
      <c r="R35" s="141" t="str">
        <f>IFERROR(($M$3*心斎橋サファリ3500[[#This Row],[人数]])-心斎橋サファリ3500[[#This Row],[単価合計]]-(心斎橋サファリ3500[[#This Row],[キャンセル人数]]*$B$2),"")</f>
        <v/>
      </c>
      <c r="S35" s="141" t="str">
        <f>IF(心斎橋サファリ3500[[#This Row],[人数]]=0,"",IF(心斎橋サファリ3500[[#This Row],[人数]]&lt;=7,"",IF(心斎橋サファリ3500[[#This Row],[人数]]&lt;=15,$B$1,IF(心斎橋サファリ3500[[#This Row],[人数]]&lt;=23,$B$1*2,IF(心斎橋サファリ3500[[#This Row],[人数]]&lt;=31,$B$1*3,IF(心斎橋サファリ3500[[#This Row],[人数]]&lt;=39,$B$1*4,""))))))</f>
        <v/>
      </c>
      <c r="T35" s="142"/>
      <c r="U35" s="141" t="str">
        <f>IF(心斎橋サファリ3500[[#This Row],[人数]]="","",VLOOKUP(心斎橋サファリ3500[[#This Row],[人数]],バック金額①[#All],2,TRUE)-(心斎橋サファリ3500[[#This Row],[キャンセル人数]]*$B$2)-($M$2*心斎橋サファリ3500[[#This Row],[人数]]))</f>
        <v/>
      </c>
    </row>
    <row r="36" spans="1:21">
      <c r="A36" s="28">
        <f>IFERROR(IF(DATE(YEAR($A$5),MONTH($A$5),DAY($A$5))=DATE(YEAR(L32),MONTH(L32),DAY(L32+1)),"",DATE(YEAR(L32),MONTH(L32),DAY(L32+1))),"")</f>
        <v>44863</v>
      </c>
      <c r="B36" s="13">
        <v>1</v>
      </c>
      <c r="C36" s="14">
        <v>40</v>
      </c>
      <c r="D36" s="15">
        <v>3</v>
      </c>
      <c r="E36" s="15"/>
      <c r="F36" s="16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7500</v>
      </c>
      <c r="G36" s="16">
        <f>IFERROR(($B$3*心斎橋サファリ4000[[#This Row],[人数]])-心斎橋サファリ4000[[#This Row],[単価合計]]-(心斎橋サファリ4000[[#This Row],[キャンセル人数]]*$B$2),"")</f>
        <v>4500</v>
      </c>
      <c r="H36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6" s="15"/>
      <c r="J36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  <c r="L36" s="71" t="s">
        <v>323</v>
      </c>
      <c r="M36" s="16">
        <f>SUM(心斎橋サファリ3500[[#All],[件数]])</f>
        <v>0</v>
      </c>
      <c r="N36" s="6"/>
      <c r="O36" s="16">
        <f>SUM(心斎橋サファリ3500[[#All],[人数]])</f>
        <v>0</v>
      </c>
      <c r="P36" s="16">
        <f>SUM(心斎橋サファリ3500[[#All],[Aパターン]])</f>
        <v>0</v>
      </c>
      <c r="Q36" s="16">
        <f>SUM(心斎橋サファリ3500[[#All],[単価合計]])</f>
        <v>0</v>
      </c>
      <c r="R36" s="16">
        <f>SUM(心斎橋サファリ3500[[#All],[ゆうき取りに行く]])</f>
        <v>0</v>
      </c>
      <c r="S36" s="16"/>
      <c r="T36" s="16"/>
      <c r="U36" s="16">
        <f>SUM(心斎橋サファリ3500[[#All],[イベンターへ]])</f>
        <v>0</v>
      </c>
    </row>
    <row r="37" spans="1:21">
      <c r="A37" s="28">
        <v>44863</v>
      </c>
      <c r="B37" s="13">
        <v>1</v>
      </c>
      <c r="C37" s="14">
        <v>6</v>
      </c>
      <c r="D37" s="15">
        <v>7</v>
      </c>
      <c r="E37" s="15"/>
      <c r="F37" s="114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>17500</v>
      </c>
      <c r="G37" s="114">
        <f>IFERROR(($B$3*心斎橋サファリ4000[[#This Row],[人数]])-心斎橋サファリ4000[[#This Row],[単価合計]]-(心斎橋サファリ4000[[#This Row],[キャンセル人数]]*$B$2),"")</f>
        <v>10500</v>
      </c>
      <c r="H37" s="114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7" s="115"/>
      <c r="J37" s="114">
        <f>IFERROR(IF(心斎橋サファリ4000[[#This Row],[人数]]="","",VLOOKUP(心斎橋サファリ4000[[#This Row],[人数]],バック金額①[#All],2,TRUE)-(心斎橋サファリ4000[[#This Row],[キャンセル人数]]*$B$2)),"")</f>
        <v>9000</v>
      </c>
    </row>
    <row r="38" spans="1:21">
      <c r="A38" s="28">
        <f>IFERROR(IF(DATE(YEAR($A$5),MONTH($A$5),DAY($A$5))=DATE(YEAR(L33),MONTH(L33),DAY(L33+1)),"",DATE(YEAR(L33),MONTH(L33),DAY(L33+1))),"")</f>
        <v>44864</v>
      </c>
      <c r="B38" s="13"/>
      <c r="C38" s="14"/>
      <c r="D38" s="15"/>
      <c r="E38" s="15"/>
      <c r="F38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8" s="16" t="str">
        <f>IFERROR(($B$3*心斎橋サファリ4000[[#This Row],[人数]])-心斎橋サファリ4000[[#This Row],[単価合計]]-(心斎橋サファリ4000[[#This Row],[キャンセル人数]]*$B$2),"")</f>
        <v/>
      </c>
      <c r="H38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8" s="115"/>
      <c r="J38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</row>
    <row r="39" spans="1:21">
      <c r="A39" s="28">
        <f>IFERROR(IF(DATE(YEAR($A$5),MONTH($A$5),DAY($A$5))=DATE(YEAR(L34),MONTH(L34),DAY(L34+1)),"",DATE(YEAR(L34),MONTH(L34),DAY(L34+1))),"")</f>
        <v>44865</v>
      </c>
      <c r="B39" s="13"/>
      <c r="C39" s="14"/>
      <c r="D39" s="15"/>
      <c r="E39" s="15"/>
      <c r="F39" s="16" t="str">
        <f>IF(心斎橋サファリ4000[[#This Row],[人数]]="","",IF(心斎橋サファリ4000[[#This Row],[人数]]&lt;=7,$B$1*心斎橋サファリ4000[[#This Row],[人数]],$B$1*心斎橋サファリ4000[[#This Row],[人数]]-心斎橋サファリ4000[[#This Row],[幹事無料]]))</f>
        <v/>
      </c>
      <c r="G39" s="16" t="str">
        <f>IFERROR(($B$3*心斎橋サファリ4000[[#This Row],[人数]])-心斎橋サファリ4000[[#This Row],[単価合計]]-(心斎橋サファリ4000[[#This Row],[キャンセル人数]]*$B$2),"")</f>
        <v/>
      </c>
      <c r="H39" s="16" t="str">
        <f>IF(心斎橋サファリ4000[[#This Row],[人数]]=0,"",IF(心斎橋サファリ4000[[#This Row],[人数]]&lt;=7,"",IF(心斎橋サファリ4000[[#This Row],[人数]]&lt;=15,$B$1,IF(心斎橋サファリ4000[[#This Row],[人数]]&lt;=23,$B$1*2,IF(心斎橋サファリ4000[[#This Row],[人数]]&lt;=31,$B$1*3,IF(心斎橋サファリ4000[[#This Row],[人数]]&lt;=39,$B$1*4,IF(心斎橋サファリ4000[[#This Row],[人数]]&lt;=47,$B$1*5,IF(心斎橋サファリ4000[[#This Row],[人数]]&lt;=55,$B$1*6,""))))))))</f>
        <v/>
      </c>
      <c r="I39" s="15"/>
      <c r="J39" s="16" t="str">
        <f>IFERROR(IF(心斎橋サファリ4000[[#This Row],[人数]]="","",VLOOKUP(心斎橋サファリ4000[[#This Row],[人数]],バック金額①[#All],2,TRUE)-(心斎橋サファリ4000[[#This Row],[キャンセル人数]]*$B$2)),"")</f>
        <v/>
      </c>
    </row>
    <row r="40" spans="1:21">
      <c r="A40" s="71" t="s">
        <v>323</v>
      </c>
      <c r="B40" s="16">
        <f>SUM(心斎橋サファリ4000[[#All],[件数]])</f>
        <v>12</v>
      </c>
      <c r="C40" s="6"/>
      <c r="D40" s="16">
        <f>SUM(心斎橋サファリ4000[[#All],[人数]])</f>
        <v>96</v>
      </c>
      <c r="E40" s="16">
        <f>SUM(心斎橋サファリ4000[[#All],[Aパターン]])</f>
        <v>6</v>
      </c>
      <c r="F40" s="16">
        <f>SUM(心斎橋サファリ4000[[#All],[単価合計]])</f>
        <v>225000</v>
      </c>
      <c r="G40" s="16">
        <f>SUM(心斎橋サファリ4000[[#All],[ゆうき取りに行く]])</f>
        <v>159625</v>
      </c>
      <c r="H40" s="16"/>
      <c r="I40" s="16"/>
      <c r="J40" s="16">
        <f>SUM(心斎橋サファリ4000[[#All],[イベンターへ]])</f>
        <v>114000</v>
      </c>
    </row>
  </sheetData>
  <phoneticPr fontId="2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F24E-D41F-48FB-A32D-1E8F6DC29FEA}">
  <sheetPr codeName="Sheet13"/>
  <dimension ref="A1:U36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11.5546875" defaultRowHeight="19.5"/>
  <cols>
    <col min="1" max="1" width="21.33203125" style="8" bestFit="1" customWidth="1"/>
    <col min="2" max="2" width="6.5546875" style="8" customWidth="1"/>
    <col min="3" max="3" width="10" style="8" customWidth="1"/>
    <col min="4" max="4" width="6.5546875" style="8" customWidth="1"/>
    <col min="5" max="5" width="12.21875" style="8" bestFit="1" customWidth="1"/>
    <col min="6" max="6" width="11.21875" style="9" bestFit="1" customWidth="1"/>
    <col min="7" max="7" width="15.6640625" style="9" bestFit="1" customWidth="1"/>
    <col min="8" max="9" width="15.6640625" style="9" customWidth="1"/>
    <col min="10" max="10" width="13.6640625" style="9" customWidth="1"/>
    <col min="11" max="11" width="11.5546875" style="8"/>
    <col min="12" max="12" width="21.33203125" style="8" bestFit="1" customWidth="1"/>
    <col min="13" max="13" width="6.5546875" style="8" customWidth="1"/>
    <col min="14" max="14" width="10" style="8" customWidth="1"/>
    <col min="15" max="15" width="6.5546875" style="8" customWidth="1"/>
    <col min="16" max="16" width="12.21875" style="8" bestFit="1" customWidth="1"/>
    <col min="17" max="17" width="11.2187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248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5" s="16" t="str">
        <f>IFERROR(($B$3*心斎橋3ebar4000円[[#This Row],[人数]])-心斎橋3ebar4000円[[#This Row],[単価合計]]-(心斎橋3ebar4000円[[#This Row],[キャンセル人数]]*$B$2),"")</f>
        <v/>
      </c>
      <c r="H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5" s="15"/>
      <c r="J5" s="16" t="str">
        <f>IF(心斎橋3ebar4000円[[#This Row],[人数]]="","",VLOOKUP(心斎橋3ebar4000円[[#This Row],[人数]],バック金額①[#All],2,TRUE))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5" s="16" t="str">
        <f>IFERROR(($M$3*心斎橋3ebar3500円[[#This Row],[人数]])-心斎橋3ebar3500円[[#This Row],[単価合計]]-(心斎橋3ebar3500円[[#This Row],[キャンセル人数]]*$B$2),"")</f>
        <v/>
      </c>
      <c r="S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5" s="15"/>
      <c r="U5" s="16" t="str">
        <f>IF(心斎橋3ebar3500円[[#This Row],[人数]]="","",VLOOKUP(心斎橋3ebar3500円[[#This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6" s="16" t="str">
        <f>IFERROR(($B$3*心斎橋3ebar4000円[[#This Row],[人数]])-心斎橋3ebar4000円[[#This Row],[単価合計]]-(心斎橋3ebar4000円[[#This Row],[キャンセル人数]]*$B$2),"")</f>
        <v/>
      </c>
      <c r="H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6" s="15"/>
      <c r="J6" s="16" t="str">
        <f>IF(心斎橋3ebar4000円[[#This Row],[人数]]="","",VLOOKUP(心斎橋3ebar4000円[[#This Row],[人数]],バック金額①[#All],2,TRUE))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6" s="16" t="str">
        <f>IFERROR(($M$3*心斎橋3ebar3500円[[#This Row],[人数]])-心斎橋3ebar3500円[[#This Row],[単価合計]]-(心斎橋3ebar3500円[[#This Row],[キャンセル人数]]*$B$2),"")</f>
        <v/>
      </c>
      <c r="S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6" s="15"/>
      <c r="U6" s="16" t="str">
        <f>IF(心斎橋3ebar3500円[[#This Row],[人数]]="","",VLOOKUP(心斎橋3ebar3500円[[#This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7" s="16" t="str">
        <f>IFERROR(($B$3*心斎橋3ebar4000円[[#This Row],[人数]])-心斎橋3ebar4000円[[#This Row],[単価合計]]-(心斎橋3ebar4000円[[#This Row],[キャンセル人数]]*$B$2),"")</f>
        <v/>
      </c>
      <c r="H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7" s="15"/>
      <c r="J7" s="16" t="str">
        <f>IF(心斎橋3ebar4000円[[#This Row],[人数]]="","",VLOOKUP(心斎橋3ebar4000円[[#This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7" s="16" t="str">
        <f>IFERROR(($M$3*心斎橋3ebar3500円[[#This Row],[人数]])-心斎橋3ebar3500円[[#This Row],[単価合計]]-(心斎橋3ebar3500円[[#This Row],[キャンセル人数]]*$B$2),"")</f>
        <v/>
      </c>
      <c r="S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7" s="15"/>
      <c r="U7" s="16" t="str">
        <f>IF(心斎橋3ebar3500円[[#This Row],[人数]]="","",VLOOKUP(心斎橋3ebar3500円[[#This Row],[人数]],バック金額①[#All],2,TRUE))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8" s="16" t="str">
        <f>IFERROR(($B$3*心斎橋3ebar4000円[[#This Row],[人数]])-心斎橋3ebar4000円[[#This Row],[単価合計]]-(心斎橋3ebar4000円[[#This Row],[キャンセル人数]]*$B$2),"")</f>
        <v/>
      </c>
      <c r="H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8" s="15"/>
      <c r="J8" s="16" t="str">
        <f>IF(心斎橋3ebar4000円[[#This Row],[人数]]="","",VLOOKUP(心斎橋3ebar4000円[[#This Row],[人数]],バック金額①[#All],2,TRUE))</f>
        <v/>
      </c>
      <c r="L8" s="63">
        <f t="shared" si="1"/>
        <v>44838</v>
      </c>
      <c r="M8" s="13"/>
      <c r="N8" s="14"/>
      <c r="O8" s="15"/>
      <c r="P8" s="15"/>
      <c r="Q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8" s="16" t="str">
        <f>IFERROR(($M$3*心斎橋3ebar3500円[[#This Row],[人数]])-心斎橋3ebar3500円[[#This Row],[単価合計]]-(心斎橋3ebar3500円[[#This Row],[キャンセル人数]]*$B$2),"")</f>
        <v/>
      </c>
      <c r="S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8" s="15"/>
      <c r="U8" s="16" t="str">
        <f>IF(心斎橋3ebar3500円[[#This Row],[人数]]="","",VLOOKUP(心斎橋3ebar3500円[[#This Row],[人数]],バック金額①[#All],2,TRUE))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9" s="16" t="str">
        <f>IFERROR(($B$3*心斎橋3ebar4000円[[#This Row],[人数]])-心斎橋3ebar4000円[[#This Row],[単価合計]]-(心斎橋3ebar4000円[[#This Row],[キャンセル人数]]*$B$2),"")</f>
        <v/>
      </c>
      <c r="H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9" s="15"/>
      <c r="J9" s="16" t="str">
        <f>IF(心斎橋3ebar4000円[[#This Row],[人数]]="","",VLOOKUP(心斎橋3ebar4000円[[#This Row],[人数]],バック金額①[#All],2,TRUE))</f>
        <v/>
      </c>
      <c r="L9" s="63">
        <f t="shared" si="1"/>
        <v>44839</v>
      </c>
      <c r="M9" s="13"/>
      <c r="N9" s="14"/>
      <c r="O9" s="15"/>
      <c r="P9" s="15"/>
      <c r="Q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9" s="16" t="str">
        <f>IFERROR(($M$3*心斎橋3ebar3500円[[#This Row],[人数]])-心斎橋3ebar3500円[[#This Row],[単価合計]]-(心斎橋3ebar3500円[[#This Row],[キャンセル人数]]*$B$2),"")</f>
        <v/>
      </c>
      <c r="S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9" s="15"/>
      <c r="U9" s="16" t="str">
        <f>IF(心斎橋3ebar3500円[[#This Row],[人数]]="","",VLOOKUP(心斎橋3ebar3500円[[#This Row],[人数]],バック金額①[#All],2,TRUE))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0" s="16" t="str">
        <f>IFERROR(($B$3*心斎橋3ebar4000円[[#This Row],[人数]])-心斎橋3ebar4000円[[#This Row],[単価合計]]-(心斎橋3ebar4000円[[#This Row],[キャンセル人数]]*$B$2),"")</f>
        <v/>
      </c>
      <c r="H1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0" s="15"/>
      <c r="J10" s="16" t="str">
        <f>IF(心斎橋3ebar4000円[[#This Row],[人数]]="","",VLOOKUP(心斎橋3ebar4000円[[#This Row],[人数]],バック金額①[#All],2,TRUE))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0" s="16" t="str">
        <f>IFERROR(($M$3*心斎橋3ebar3500円[[#This Row],[人数]])-心斎橋3ebar3500円[[#This Row],[単価合計]]-(心斎橋3ebar3500円[[#This Row],[キャンセル人数]]*$B$2),"")</f>
        <v/>
      </c>
      <c r="S1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0" s="15"/>
      <c r="U10" s="16" t="str">
        <f>IF(心斎橋3ebar3500円[[#This Row],[人数]]="","",VLOOKUP(心斎橋3ebar3500円[[#This Row],[人数]],バック金額①[#All],2,TRUE))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1" s="16" t="str">
        <f>IFERROR(($B$3*心斎橋3ebar4000円[[#This Row],[人数]])-心斎橋3ebar4000円[[#This Row],[単価合計]]-(心斎橋3ebar4000円[[#This Row],[キャンセル人数]]*$B$2),"")</f>
        <v/>
      </c>
      <c r="H1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1" s="15"/>
      <c r="J11" s="16" t="str">
        <f>IF(心斎橋3ebar4000円[[#This Row],[人数]]="","",VLOOKUP(心斎橋3ebar4000円[[#This Row],[人数]],バック金額①[#All],2,TRUE))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1" s="16" t="str">
        <f>IFERROR(($M$3*心斎橋3ebar3500円[[#This Row],[人数]])-心斎橋3ebar3500円[[#This Row],[単価合計]]-(心斎橋3ebar3500円[[#This Row],[キャンセル人数]]*$B$2),"")</f>
        <v/>
      </c>
      <c r="S1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1" s="15"/>
      <c r="U11" s="16" t="str">
        <f>IF(心斎橋3ebar3500円[[#This Row],[人数]]="","",VLOOKUP(心斎橋3ebar3500円[[#This Row],[人数]],バック金額①[#All],2,TRUE))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2" s="16" t="str">
        <f>IFERROR(($B$3*心斎橋3ebar4000円[[#This Row],[人数]])-心斎橋3ebar4000円[[#This Row],[単価合計]]-(心斎橋3ebar4000円[[#This Row],[キャンセル人数]]*$B$2),"")</f>
        <v/>
      </c>
      <c r="H1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2" s="15"/>
      <c r="J12" s="16" t="str">
        <f>IF(心斎橋3ebar4000円[[#This Row],[人数]]="","",VLOOKUP(心斎橋3ebar4000円[[#This Row],[人数]],バック金額①[#All],2,TRUE))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2" s="16" t="str">
        <f>IFERROR(($M$3*心斎橋3ebar3500円[[#This Row],[人数]])-心斎橋3ebar3500円[[#This Row],[単価合計]]-(心斎橋3ebar3500円[[#This Row],[キャンセル人数]]*$B$2),"")</f>
        <v/>
      </c>
      <c r="S1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2" s="15"/>
      <c r="U12" s="16" t="str">
        <f>IF(心斎橋3ebar3500円[[#This Row],[人数]]="","",VLOOKUP(心斎橋3ebar3500円[[#This Row],[人数]],バック金額①[#All],2,TRUE))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3" s="16" t="str">
        <f>IFERROR(($B$3*心斎橋3ebar4000円[[#This Row],[人数]])-心斎橋3ebar4000円[[#This Row],[単価合計]]-(心斎橋3ebar4000円[[#This Row],[キャンセル人数]]*$B$2),"")</f>
        <v/>
      </c>
      <c r="H1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3" s="15"/>
      <c r="J13" s="16" t="str">
        <f>IF(心斎橋3ebar4000円[[#This Row],[人数]]="","",VLOOKUP(心斎橋3ebar4000円[[#This Row],[人数]],バック金額①[#All],2,TRUE))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3" s="16" t="str">
        <f>IFERROR(($M$3*心斎橋3ebar3500円[[#This Row],[人数]])-心斎橋3ebar3500円[[#This Row],[単価合計]]-(心斎橋3ebar3500円[[#This Row],[キャンセル人数]]*$B$2),"")</f>
        <v/>
      </c>
      <c r="S1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3" s="15"/>
      <c r="U13" s="16" t="str">
        <f>IF(心斎橋3ebar3500円[[#This Row],[人数]]="","",VLOOKUP(心斎橋3ebar3500円[[#This Row],[人数]],バック金額①[#All],2,TRUE))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4" s="16" t="str">
        <f>IFERROR(($B$3*心斎橋3ebar4000円[[#This Row],[人数]])-心斎橋3ebar4000円[[#This Row],[単価合計]]-(心斎橋3ebar4000円[[#This Row],[キャンセル人数]]*$B$2),"")</f>
        <v/>
      </c>
      <c r="H1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4" s="15"/>
      <c r="J14" s="16" t="str">
        <f>IF(心斎橋3ebar4000円[[#This Row],[人数]]="","",VLOOKUP(心斎橋3ebar4000円[[#This Row],[人数]],バック金額①[#All],2,TRUE))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4" s="16" t="str">
        <f>IFERROR(($M$3*心斎橋3ebar3500円[[#This Row],[人数]])-心斎橋3ebar3500円[[#This Row],[単価合計]]-(心斎橋3ebar3500円[[#This Row],[キャンセル人数]]*$B$2),"")</f>
        <v/>
      </c>
      <c r="S1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4" s="15"/>
      <c r="U14" s="16" t="str">
        <f>IF(心斎橋3ebar3500円[[#This Row],[人数]]="","",VLOOKUP(心斎橋3ebar3500円[[#This Row],[人数]],バック金額①[#All],2,TRUE))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5" s="16" t="str">
        <f>IFERROR(($B$3*心斎橋3ebar4000円[[#This Row],[人数]])-心斎橋3ebar4000円[[#This Row],[単価合計]]-(心斎橋3ebar4000円[[#This Row],[キャンセル人数]]*$B$2),"")</f>
        <v/>
      </c>
      <c r="H1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5" s="15"/>
      <c r="J15" s="16" t="str">
        <f>IF(心斎橋3ebar4000円[[#This Row],[人数]]="","",VLOOKUP(心斎橋3ebar4000円[[#This Row],[人数]],バック金額①[#All],2,TRUE))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5" s="16" t="str">
        <f>IFERROR(($M$3*心斎橋3ebar3500円[[#This Row],[人数]])-心斎橋3ebar3500円[[#This Row],[単価合計]]-(心斎橋3ebar3500円[[#This Row],[キャンセル人数]]*$B$2),"")</f>
        <v/>
      </c>
      <c r="S1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5" s="15"/>
      <c r="U15" s="16" t="str">
        <f>IF(心斎橋3ebar3500円[[#This Row],[人数]]="","",VLOOKUP(心斎橋3ebar3500円[[#This Row],[人数]],バック金額①[#All],2,TRUE))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6" s="16" t="str">
        <f>IFERROR(($B$3*心斎橋3ebar4000円[[#This Row],[人数]])-心斎橋3ebar4000円[[#This Row],[単価合計]]-(心斎橋3ebar4000円[[#This Row],[キャンセル人数]]*$B$2),"")</f>
        <v/>
      </c>
      <c r="H1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6" s="15"/>
      <c r="J16" s="16" t="str">
        <f>IF(心斎橋3ebar4000円[[#This Row],[人数]]="","",VLOOKUP(心斎橋3ebar4000円[[#This Row],[人数]],バック金額①[#All],2,TRUE))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6" s="16" t="str">
        <f>IFERROR(($M$3*心斎橋3ebar3500円[[#This Row],[人数]])-心斎橋3ebar3500円[[#This Row],[単価合計]]-(心斎橋3ebar3500円[[#This Row],[キャンセル人数]]*$B$2),"")</f>
        <v/>
      </c>
      <c r="S1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6" s="15"/>
      <c r="U16" s="16" t="str">
        <f>IF(心斎橋3ebar3500円[[#This Row],[人数]]="","",VLOOKUP(心斎橋3ebar3500円[[#This Row],[人数]],バック金額①[#All],2,TRUE))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7" s="16" t="str">
        <f>IFERROR(($B$3*心斎橋3ebar4000円[[#This Row],[人数]])-心斎橋3ebar4000円[[#This Row],[単価合計]]-(心斎橋3ebar4000円[[#This Row],[キャンセル人数]]*$B$2),"")</f>
        <v/>
      </c>
      <c r="H1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7" s="15"/>
      <c r="J17" s="16" t="str">
        <f>IF(心斎橋3ebar4000円[[#This Row],[人数]]="","",VLOOKUP(心斎橋3ebar4000円[[#This Row],[人数]],バック金額①[#All],2,TRUE))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7" s="16" t="str">
        <f>IFERROR(($M$3*心斎橋3ebar3500円[[#This Row],[人数]])-心斎橋3ebar3500円[[#This Row],[単価合計]]-(心斎橋3ebar3500円[[#This Row],[キャンセル人数]]*$B$2),"")</f>
        <v/>
      </c>
      <c r="S1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7" s="15"/>
      <c r="U17" s="16" t="str">
        <f>IF(心斎橋3ebar3500円[[#This Row],[人数]]="","",VLOOKUP(心斎橋3ebar3500円[[#This Row],[人数]],バック金額①[#All],2,TRUE))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8" s="16" t="str">
        <f>IFERROR(($B$3*心斎橋3ebar4000円[[#This Row],[人数]])-心斎橋3ebar4000円[[#This Row],[単価合計]]-(心斎橋3ebar4000円[[#This Row],[キャンセル人数]]*$B$2),"")</f>
        <v/>
      </c>
      <c r="H1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8" s="15"/>
      <c r="J18" s="16" t="str">
        <f>IF(心斎橋3ebar4000円[[#This Row],[人数]]="","",VLOOKUP(心斎橋3ebar4000円[[#This Row],[人数]],バック金額①[#All],2,TRUE))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8" s="16" t="str">
        <f>IFERROR(($M$3*心斎橋3ebar3500円[[#This Row],[人数]])-心斎橋3ebar3500円[[#This Row],[単価合計]]-(心斎橋3ebar3500円[[#This Row],[キャンセル人数]]*$B$2),"")</f>
        <v/>
      </c>
      <c r="S1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8" s="15"/>
      <c r="U18" s="16" t="str">
        <f>IF(心斎橋3ebar3500円[[#This Row],[人数]]="","",VLOOKUP(心斎橋3ebar3500円[[#This Row],[人数]],バック金額①[#All],2,TRUE))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19" s="16" t="str">
        <f>IFERROR(($B$3*心斎橋3ebar4000円[[#This Row],[人数]])-心斎橋3ebar4000円[[#This Row],[単価合計]]-(心斎橋3ebar4000円[[#This Row],[キャンセル人数]]*$B$2),"")</f>
        <v/>
      </c>
      <c r="H1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19" s="15"/>
      <c r="J19" s="16" t="str">
        <f>IF(心斎橋3ebar4000円[[#This Row],[人数]]="","",VLOOKUP(心斎橋3ebar4000円[[#This Row],[人数]],バック金額①[#All],2,TRUE))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19" s="16" t="str">
        <f>IFERROR(($M$3*心斎橋3ebar3500円[[#This Row],[人数]])-心斎橋3ebar3500円[[#This Row],[単価合計]]-(心斎橋3ebar3500円[[#This Row],[キャンセル人数]]*$B$2),"")</f>
        <v/>
      </c>
      <c r="S1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19" s="15"/>
      <c r="U19" s="16" t="str">
        <f>IF(心斎橋3ebar3500円[[#This Row],[人数]]="","",VLOOKUP(心斎橋3ebar3500円[[#This Row],[人数]],バック金額①[#All],2,TRUE))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0" s="16" t="str">
        <f>IFERROR(($B$3*心斎橋3ebar4000円[[#This Row],[人数]])-心斎橋3ebar4000円[[#This Row],[単価合計]]-(心斎橋3ebar4000円[[#This Row],[キャンセル人数]]*$B$2),"")</f>
        <v/>
      </c>
      <c r="H2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0" s="15"/>
      <c r="J20" s="16" t="str">
        <f>IF(心斎橋3ebar4000円[[#This Row],[人数]]="","",VLOOKUP(心斎橋3ebar4000円[[#This Row],[人数]],バック金額①[#All],2,TRUE))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0" s="16" t="str">
        <f>IFERROR(($M$3*心斎橋3ebar3500円[[#This Row],[人数]])-心斎橋3ebar3500円[[#This Row],[単価合計]]-(心斎橋3ebar3500円[[#This Row],[キャンセル人数]]*$B$2),"")</f>
        <v/>
      </c>
      <c r="S2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0" s="15"/>
      <c r="U20" s="16" t="str">
        <f>IF(心斎橋3ebar3500円[[#This Row],[人数]]="","",VLOOKUP(心斎橋3ebar3500円[[#This Row],[人数]],バック金額①[#All],2,TRUE))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1" s="16" t="str">
        <f>IFERROR(($B$3*心斎橋3ebar4000円[[#This Row],[人数]])-心斎橋3ebar4000円[[#This Row],[単価合計]]-(心斎橋3ebar4000円[[#This Row],[キャンセル人数]]*$B$2),"")</f>
        <v/>
      </c>
      <c r="H2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1" s="15"/>
      <c r="J21" s="16" t="str">
        <f>IF(心斎橋3ebar4000円[[#This Row],[人数]]="","",VLOOKUP(心斎橋3ebar4000円[[#This Row],[人数]],バック金額①[#All],2,TRUE))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1" s="16" t="str">
        <f>IFERROR(($M$3*心斎橋3ebar3500円[[#This Row],[人数]])-心斎橋3ebar3500円[[#This Row],[単価合計]]-(心斎橋3ebar3500円[[#This Row],[キャンセル人数]]*$B$2),"")</f>
        <v/>
      </c>
      <c r="S2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1" s="15"/>
      <c r="U21" s="16" t="str">
        <f>IF(心斎橋3ebar3500円[[#This Row],[人数]]="","",VLOOKUP(心斎橋3ebar3500円[[#This Row],[人数]],バック金額①[#All],2,TRUE))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2" s="16" t="str">
        <f>IFERROR(($B$3*心斎橋3ebar4000円[[#This Row],[人数]])-心斎橋3ebar4000円[[#This Row],[単価合計]]-(心斎橋3ebar4000円[[#This Row],[キャンセル人数]]*$B$2),"")</f>
        <v/>
      </c>
      <c r="H2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2" s="15"/>
      <c r="J22" s="16" t="str">
        <f>IF(心斎橋3ebar4000円[[#This Row],[人数]]="","",VLOOKUP(心斎橋3ebar4000円[[#This Row],[人数]],バック金額①[#All],2,TRUE))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2" s="16" t="str">
        <f>IFERROR(($M$3*心斎橋3ebar3500円[[#This Row],[人数]])-心斎橋3ebar3500円[[#This Row],[単価合計]]-(心斎橋3ebar3500円[[#This Row],[キャンセル人数]]*$B$2),"")</f>
        <v/>
      </c>
      <c r="S2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2" s="15"/>
      <c r="U22" s="16" t="str">
        <f>IF(心斎橋3ebar3500円[[#This Row],[人数]]="","",VLOOKUP(心斎橋3ebar3500円[[#This Row],[人数]],バック金額①[#All],2,TRUE))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3" s="16" t="str">
        <f>IFERROR(($B$3*心斎橋3ebar4000円[[#This Row],[人数]])-心斎橋3ebar4000円[[#This Row],[単価合計]]-(心斎橋3ebar4000円[[#This Row],[キャンセル人数]]*$B$2),"")</f>
        <v/>
      </c>
      <c r="H2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3" s="15"/>
      <c r="J23" s="16" t="str">
        <f>IF(心斎橋3ebar4000円[[#This Row],[人数]]="","",VLOOKUP(心斎橋3ebar4000円[[#This Row],[人数]],バック金額①[#All],2,TRUE))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3" s="16" t="str">
        <f>IFERROR(($M$3*心斎橋3ebar3500円[[#This Row],[人数]])-心斎橋3ebar3500円[[#This Row],[単価合計]]-(心斎橋3ebar3500円[[#This Row],[キャンセル人数]]*$B$2),"")</f>
        <v/>
      </c>
      <c r="S2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3" s="15"/>
      <c r="U23" s="16" t="str">
        <f>IF(心斎橋3ebar3500円[[#This Row],[人数]]="","",VLOOKUP(心斎橋3ebar3500円[[#This Row],[人数]],バック金額①[#All],2,TRUE))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4" s="16" t="str">
        <f>IFERROR(($B$3*心斎橋3ebar4000円[[#This Row],[人数]])-心斎橋3ebar4000円[[#This Row],[単価合計]]-(心斎橋3ebar4000円[[#This Row],[キャンセル人数]]*$B$2),"")</f>
        <v/>
      </c>
      <c r="H2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4" s="15"/>
      <c r="J24" s="16" t="str">
        <f>IF(心斎橋3ebar4000円[[#This Row],[人数]]="","",VLOOKUP(心斎橋3ebar4000円[[#This Row],[人数]],バック金額①[#All],2,TRUE))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4" s="16" t="str">
        <f>IFERROR(($M$3*心斎橋3ebar3500円[[#This Row],[人数]])-心斎橋3ebar3500円[[#This Row],[単価合計]]-(心斎橋3ebar3500円[[#This Row],[キャンセル人数]]*$B$2),"")</f>
        <v/>
      </c>
      <c r="S2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4" s="15"/>
      <c r="U24" s="16" t="str">
        <f>IF(心斎橋3ebar3500円[[#This Row],[人数]]="","",VLOOKUP(心斎橋3ebar3500円[[#This Row],[人数]],バック金額①[#All],2,TRUE))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5" s="16" t="str">
        <f>IFERROR(($B$3*心斎橋3ebar4000円[[#This Row],[人数]])-心斎橋3ebar4000円[[#This Row],[単価合計]]-(心斎橋3ebar4000円[[#This Row],[キャンセル人数]]*$B$2),"")</f>
        <v/>
      </c>
      <c r="H2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5" s="15"/>
      <c r="J25" s="16" t="str">
        <f>IF(心斎橋3ebar4000円[[#This Row],[人数]]="","",VLOOKUP(心斎橋3ebar4000円[[#This Row],[人数]],バック金額①[#All],2,TRUE))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5" s="16" t="str">
        <f>IFERROR(($M$3*心斎橋3ebar3500円[[#This Row],[人数]])-心斎橋3ebar3500円[[#This Row],[単価合計]]-(心斎橋3ebar3500円[[#This Row],[キャンセル人数]]*$B$2),"")</f>
        <v/>
      </c>
      <c r="S2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5" s="15"/>
      <c r="U25" s="16" t="str">
        <f>IF(心斎橋3ebar3500円[[#This Row],[人数]]="","",VLOOKUP(心斎橋3ebar3500円[[#This Row],[人数]],バック金額①[#All],2,TRUE))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6" s="16" t="str">
        <f>IFERROR(($B$3*心斎橋3ebar4000円[[#This Row],[人数]])-心斎橋3ebar4000円[[#This Row],[単価合計]]-(心斎橋3ebar4000円[[#This Row],[キャンセル人数]]*$B$2),"")</f>
        <v/>
      </c>
      <c r="H26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6" s="15"/>
      <c r="J26" s="16" t="str">
        <f>IF(心斎橋3ebar4000円[[#This Row],[人数]]="","",VLOOKUP(心斎橋3ebar4000円[[#This Row],[人数]],バック金額①[#All],2,TRUE))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6" s="16" t="str">
        <f>IFERROR(($M$3*心斎橋3ebar3500円[[#This Row],[人数]])-心斎橋3ebar3500円[[#This Row],[単価合計]]-(心斎橋3ebar3500円[[#This Row],[キャンセル人数]]*$B$2),"")</f>
        <v/>
      </c>
      <c r="S26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6" s="15"/>
      <c r="U26" s="16" t="str">
        <f>IF(心斎橋3ebar3500円[[#This Row],[人数]]="","",VLOOKUP(心斎橋3ebar3500円[[#This Row],[人数]],バック金額①[#All],2,TRUE))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7" s="16" t="str">
        <f>IFERROR(($B$3*心斎橋3ebar4000円[[#This Row],[人数]])-心斎橋3ebar4000円[[#This Row],[単価合計]]-(心斎橋3ebar4000円[[#This Row],[キャンセル人数]]*$B$2),"")</f>
        <v/>
      </c>
      <c r="H27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7" s="15"/>
      <c r="J27" s="16" t="str">
        <f>IF(心斎橋3ebar4000円[[#This Row],[人数]]="","",VLOOKUP(心斎橋3ebar4000円[[#This Row],[人数]],バック金額①[#All],2,TRUE))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7" s="16" t="str">
        <f>IFERROR(($M$3*心斎橋3ebar3500円[[#This Row],[人数]])-心斎橋3ebar3500円[[#This Row],[単価合計]]-(心斎橋3ebar3500円[[#This Row],[キャンセル人数]]*$B$2),"")</f>
        <v/>
      </c>
      <c r="S27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7" s="15"/>
      <c r="U27" s="16" t="str">
        <f>IF(心斎橋3ebar3500円[[#This Row],[人数]]="","",VLOOKUP(心斎橋3ebar3500円[[#This Row],[人数]],バック金額①[#All],2,TRUE))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8" s="16" t="str">
        <f>IFERROR(($B$3*心斎橋3ebar4000円[[#This Row],[人数]])-心斎橋3ebar4000円[[#This Row],[単価合計]]-(心斎橋3ebar4000円[[#This Row],[キャンセル人数]]*$B$2),"")</f>
        <v/>
      </c>
      <c r="H28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8" s="15"/>
      <c r="J28" s="16" t="str">
        <f>IF(心斎橋3ebar4000円[[#This Row],[人数]]="","",VLOOKUP(心斎橋3ebar4000円[[#This Row],[人数]],バック金額①[#All],2,TRUE))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8" s="16" t="str">
        <f>IFERROR(($M$3*心斎橋3ebar3500円[[#This Row],[人数]])-心斎橋3ebar3500円[[#This Row],[単価合計]]-(心斎橋3ebar3500円[[#This Row],[キャンセル人数]]*$B$2),"")</f>
        <v/>
      </c>
      <c r="S28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8" s="15"/>
      <c r="U28" s="16" t="str">
        <f>IF(心斎橋3ebar3500円[[#This Row],[人数]]="","",VLOOKUP(心斎橋3ebar3500円[[#This Row],[人数]],バック金額①[#All],2,TRUE))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29" s="16" t="str">
        <f>IFERROR(($B$3*心斎橋3ebar4000円[[#This Row],[人数]])-心斎橋3ebar4000円[[#This Row],[単価合計]]-(心斎橋3ebar4000円[[#This Row],[キャンセル人数]]*$B$2),"")</f>
        <v/>
      </c>
      <c r="H29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29" s="15"/>
      <c r="J29" s="16" t="str">
        <f>IF(心斎橋3ebar4000円[[#This Row],[人数]]="","",VLOOKUP(心斎橋3ebar4000円[[#This Row],[人数]],バック金額①[#All],2,TRUE))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29" s="16" t="str">
        <f>IFERROR(($M$3*心斎橋3ebar3500円[[#This Row],[人数]])-心斎橋3ebar3500円[[#This Row],[単価合計]]-(心斎橋3ebar3500円[[#This Row],[キャンセル人数]]*$B$2),"")</f>
        <v/>
      </c>
      <c r="S29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29" s="15"/>
      <c r="U29" s="16" t="str">
        <f>IF(心斎橋3ebar3500円[[#This Row],[人数]]="","",VLOOKUP(心斎橋3ebar3500円[[#This Row],[人数]],バック金額①[#All],2,TRUE))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0" s="16" t="str">
        <f>IFERROR(($B$3*心斎橋3ebar4000円[[#This Row],[人数]])-心斎橋3ebar4000円[[#This Row],[単価合計]]-(心斎橋3ebar4000円[[#This Row],[キャンセル人数]]*$B$2),"")</f>
        <v/>
      </c>
      <c r="H30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0" s="15"/>
      <c r="J30" s="16" t="str">
        <f>IF(心斎橋3ebar4000円[[#This Row],[人数]]="","",VLOOKUP(心斎橋3ebar4000円[[#This Row],[人数]],バック金額①[#All],2,TRUE))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0" s="16" t="str">
        <f>IFERROR(($M$3*心斎橋3ebar3500円[[#This Row],[人数]])-心斎橋3ebar3500円[[#This Row],[単価合計]]-(心斎橋3ebar3500円[[#This Row],[キャンセル人数]]*$B$2),"")</f>
        <v/>
      </c>
      <c r="S30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0" s="15"/>
      <c r="U30" s="16" t="str">
        <f>IF(心斎橋3ebar3500円[[#This Row],[人数]]="","",VLOOKUP(心斎橋3ebar3500円[[#This Row],[人数]],バック金額①[#All],2,TRUE))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1" s="16" t="str">
        <f>IFERROR(($B$3*心斎橋3ebar4000円[[#This Row],[人数]])-心斎橋3ebar4000円[[#This Row],[単価合計]]-(心斎橋3ebar4000円[[#This Row],[キャンセル人数]]*$B$2),"")</f>
        <v/>
      </c>
      <c r="H31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1" s="15"/>
      <c r="J31" s="16" t="str">
        <f>IF(心斎橋3ebar4000円[[#This Row],[人数]]="","",VLOOKUP(心斎橋3ebar4000円[[#This Row],[人数]],バック金額①[#All],2,TRUE))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1" s="16" t="str">
        <f>IFERROR(($M$3*心斎橋3ebar3500円[[#This Row],[人数]])-心斎橋3ebar3500円[[#This Row],[単価合計]]-(心斎橋3ebar3500円[[#This Row],[キャンセル人数]]*$B$2),"")</f>
        <v/>
      </c>
      <c r="S31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1" s="15"/>
      <c r="U31" s="16" t="str">
        <f>IF(心斎橋3ebar3500円[[#This Row],[人数]]="","",VLOOKUP(心斎橋3ebar3500円[[#This Row],[人数]],バック金額①[#All],2,TRUE))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2" s="16" t="str">
        <f>IFERROR(($B$3*心斎橋3ebar4000円[[#This Row],[人数]])-心斎橋3ebar4000円[[#This Row],[単価合計]]-(心斎橋3ebar4000円[[#This Row],[キャンセル人数]]*$B$2),"")</f>
        <v/>
      </c>
      <c r="H32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2" s="15"/>
      <c r="J32" s="16" t="str">
        <f>IF(心斎橋3ebar4000円[[#This Row],[人数]]="","",VLOOKUP(心斎橋3ebar4000円[[#This Row],[人数]],バック金額①[#All],2,TRUE))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2" s="16" t="str">
        <f>IFERROR(($M$3*心斎橋3ebar3500円[[#This Row],[人数]])-心斎橋3ebar3500円[[#This Row],[単価合計]]-(心斎橋3ebar3500円[[#This Row],[キャンセル人数]]*$B$2),"")</f>
        <v/>
      </c>
      <c r="S32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2" s="15"/>
      <c r="U32" s="16" t="str">
        <f>IF(心斎橋3ebar3500円[[#This Row],[人数]]="","",VLOOKUP(心斎橋3ebar3500円[[#This Row],[人数]],バック金額①[#All],2,TRUE))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3" s="16" t="str">
        <f>IFERROR(($B$3*心斎橋3ebar4000円[[#This Row],[人数]])-心斎橋3ebar4000円[[#This Row],[単価合計]]-(心斎橋3ebar4000円[[#This Row],[キャンセル人数]]*$B$2),"")</f>
        <v/>
      </c>
      <c r="H33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3" s="15"/>
      <c r="J33" s="16" t="str">
        <f>IF(心斎橋3ebar4000円[[#This Row],[人数]]="","",VLOOKUP(心斎橋3ebar4000円[[#This Row],[人数]],バック金額①[#All],2,TRUE))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3" s="16" t="str">
        <f>IFERROR(($M$3*心斎橋3ebar3500円[[#This Row],[人数]])-心斎橋3ebar3500円[[#This Row],[単価合計]]-(心斎橋3ebar3500円[[#This Row],[キャンセル人数]]*$B$2),"")</f>
        <v/>
      </c>
      <c r="S33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3" s="15"/>
      <c r="U33" s="16" t="str">
        <f>IF(心斎橋3ebar3500円[[#This Row],[人数]]="","",VLOOKUP(心斎橋3ebar3500円[[#This Row],[人数]],バック金額①[#All],2,TRUE))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4" s="16" t="str">
        <f>IFERROR(($B$3*心斎橋3ebar4000円[[#This Row],[人数]])-心斎橋3ebar4000円[[#This Row],[単価合計]]-(心斎橋3ebar4000円[[#This Row],[キャンセル人数]]*$B$2),"")</f>
        <v/>
      </c>
      <c r="H34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4" s="15"/>
      <c r="J34" s="16" t="str">
        <f>IF(心斎橋3ebar4000円[[#This Row],[人数]]="","",VLOOKUP(心斎橋3ebar4000円[[#This Row],[人数]],バック金額①[#All],2,TRUE))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4" s="16" t="str">
        <f>IFERROR(($M$3*心斎橋3ebar3500円[[#This Row],[人数]])-心斎橋3ebar3500円[[#This Row],[単価合計]]-(心斎橋3ebar3500円[[#This Row],[キャンセル人数]]*$B$2),"")</f>
        <v/>
      </c>
      <c r="S34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4" s="15"/>
      <c r="U34" s="16" t="str">
        <f>IF(心斎橋3ebar3500円[[#This Row],[人数]]="","",VLOOKUP(心斎橋3ebar3500円[[#This Row],[人数]],バック金額①[#All],2,TRUE))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IF(心斎橋3ebar4000円[[#This Row],[人数]]="","",IF(心斎橋3ebar4000円[[#This Row],[人数]]&lt;=7,$B$1*心斎橋3ebar4000円[[#This Row],[人数]],$B$1*心斎橋3ebar4000円[[#This Row],[人数]]-心斎橋3ebar4000円[[#This Row],[幹事無料]]))</f>
        <v/>
      </c>
      <c r="G35" s="16" t="str">
        <f>IFERROR(($B$3*心斎橋3ebar4000円[[#This Row],[人数]])-心斎橋3ebar4000円[[#This Row],[単価合計]]-(心斎橋3ebar4000円[[#This Row],[キャンセル人数]]*$B$2),"")</f>
        <v/>
      </c>
      <c r="H35" s="16" t="str">
        <f>IF(心斎橋3ebar4000円[[#This Row],[人数]]=0,"",IF(心斎橋3ebar4000円[[#This Row],[人数]]&lt;=7,"",IF(心斎橋3ebar4000円[[#This Row],[人数]]&lt;=15,$B$1,IF(心斎橋3ebar4000円[[#This Row],[人数]]&lt;=23,$B$1*2,IF(心斎橋3ebar4000円[[#This Row],[人数]]&lt;=31,$B$1*3,IF(心斎橋3ebar4000円[[#This Row],[人数]]&lt;=39,$B$1*4,""))))))</f>
        <v/>
      </c>
      <c r="I35" s="19"/>
      <c r="J35" s="16" t="str">
        <f>IF(心斎橋3ebar4000円[[#This Row],[人数]]="","",VLOOKUP(心斎橋3ebar4000円[[#This Row],[人数]],バック金額①[#All],2,TRUE))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IF(心斎橋3ebar3500円[[#This Row],[人数]]="","",IF(心斎橋3ebar3500円[[#This Row],[人数]]&lt;=7,$B$1*心斎橋3ebar3500円[[#This Row],[人数]],$B$1*心斎橋3ebar3500円[[#This Row],[人数]]-心斎橋3ebar3500円[[#This Row],[幹事無料]]))</f>
        <v/>
      </c>
      <c r="R35" s="16" t="str">
        <f>IFERROR(($M$3*心斎橋3ebar3500円[[#This Row],[人数]])-心斎橋3ebar3500円[[#This Row],[単価合計]]-(心斎橋3ebar3500円[[#This Row],[キャンセル人数]]*$B$2),"")</f>
        <v/>
      </c>
      <c r="S35" s="16" t="str">
        <f>IF(心斎橋3ebar3500円[[#This Row],[人数]]=0,"",IF(心斎橋3ebar3500円[[#This Row],[人数]]&lt;=7,"",IF(心斎橋3ebar3500円[[#This Row],[人数]]&lt;=15,$B$1,IF(心斎橋3ebar3500円[[#This Row],[人数]]&lt;=23,$B$1*2,IF(心斎橋3ebar3500円[[#This Row],[人数]]&lt;=31,$B$1*3,IF(心斎橋3ebar3500円[[#This Row],[人数]]&lt;=39,$B$1*4,""))))))</f>
        <v/>
      </c>
      <c r="T35" s="19"/>
      <c r="U35" s="16" t="str">
        <f>IF(心斎橋3ebar3500円[[#This Row],[人数]]="","",VLOOKUP(心斎橋3ebar3500円[[#This Row],[人数]],バック金額①[#All],2,TRUE))</f>
        <v/>
      </c>
    </row>
    <row r="36" spans="1:21">
      <c r="A36" s="69" t="s">
        <v>323</v>
      </c>
      <c r="B36" s="72">
        <f>SUM(心斎橋3ebar4000円[[#All],[件数]])</f>
        <v>0</v>
      </c>
      <c r="C36" s="73"/>
      <c r="D36" s="72">
        <f>SUM(心斎橋3ebar4000円[[#All],[人数]])</f>
        <v>0</v>
      </c>
      <c r="E36" s="72">
        <f>SUM(心斎橋3ebar4000円[[#All],[Aパターン]])</f>
        <v>0</v>
      </c>
      <c r="F36" s="72">
        <f>SUM(心斎橋3ebar4000円[[#All],[単価合計]])</f>
        <v>0</v>
      </c>
      <c r="G36" s="72">
        <f>SUM(心斎橋3ebar4000円[[#All],[ゆうき取りに行く]])</f>
        <v>0</v>
      </c>
      <c r="H36" s="72"/>
      <c r="I36" s="72"/>
      <c r="J36" s="72">
        <f>SUM(心斎橋3ebar4000円[[#All],[イベンターへ]])</f>
        <v>0</v>
      </c>
      <c r="L36" s="68" t="s">
        <v>323</v>
      </c>
      <c r="M36" s="72">
        <f>SUM(心斎橋3ebar3500円[[#All],[件数]])</f>
        <v>0</v>
      </c>
      <c r="N36" s="73"/>
      <c r="O36" s="72">
        <f>SUM(心斎橋3ebar3500円[[#All],[人数]])</f>
        <v>0</v>
      </c>
      <c r="P36" s="72">
        <f>SUM(心斎橋3ebar3500円[[#All],[Aパターン]])</f>
        <v>0</v>
      </c>
      <c r="Q36" s="72">
        <f>SUM(心斎橋3ebar3500円[[#All],[単価合計]])</f>
        <v>0</v>
      </c>
      <c r="R36" s="72">
        <f>SUM(心斎橋3ebar3500円[[#All],[ゆうき取りに行く]])</f>
        <v>0</v>
      </c>
      <c r="S36" s="72"/>
      <c r="T36" s="72"/>
      <c r="U36" s="72">
        <f>SUM(心斎橋3ebar3500円[[#All],[イベンターへ]])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34FC-6A51-4FC2-9EA0-820C2C7F0E78}">
  <sheetPr codeName="Sheet1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11.66406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11.66406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  <c r="G2" s="93" t="s">
        <v>563</v>
      </c>
      <c r="H2" s="9">
        <f>$B$1*($D$36-$E$36)</f>
        <v>27600</v>
      </c>
    </row>
    <row r="3" spans="1:21">
      <c r="A3" s="46" t="s">
        <v>376</v>
      </c>
      <c r="B3" s="8">
        <v>4000</v>
      </c>
      <c r="C3" s="46" t="s">
        <v>249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5" s="15"/>
      <c r="J5" s="16" t="str">
        <f>IF(心斎橋ラプロメッサ4000円[[#This Row],[人数]]="","",VLOOKUP(心斎橋ラプロメッサ4000円[[#This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5" s="15"/>
      <c r="U5" s="16" t="str">
        <f>IF(心斎橋ラプロメッサ3500円[[#This Row],[人数]]="","",VLOOKUP(心斎橋ラプロメッサ3500円[[#This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6" s="15"/>
      <c r="J6" s="16" t="str">
        <f>IF(心斎橋ラプロメッサ4000円[[#This Row],[人数]]="","",VLOOKUP(心斎橋ラプロメッサ4000円[[#This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6" s="15"/>
      <c r="U6" s="16" t="str">
        <f>IF(心斎橋ラプロメッサ3500円[[#This Row],[人数]]="","",VLOOKUP(心斎橋ラプロメッサ3500円[[#This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7" s="15"/>
      <c r="J7" s="16" t="str">
        <f>IF(心斎橋ラプロメッサ4000円[[#This Row],[人数]]="","",VLOOKUP(心斎橋ラプロメッサ4000円[[#This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7" s="15"/>
      <c r="U7" s="16" t="str">
        <f>IF(心斎橋ラプロメッサ3500円[[#This Row],[人数]]="","",VLOOKUP(心斎橋ラプロメッサ3500円[[#This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8" s="15"/>
      <c r="J8" s="16" t="str">
        <f>IF(心斎橋ラプロメッサ4000円[[#This Row],[人数]]="","",VLOOKUP(心斎橋ラプロメッサ4000円[[#This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8" s="15"/>
      <c r="U8" s="16" t="str">
        <f>IF(心斎橋ラプロメッサ3500円[[#This Row],[人数]]="","",VLOOKUP(心斎橋ラプロメッサ3500円[[#This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9" s="15"/>
      <c r="J9" s="16" t="str">
        <f>IF(心斎橋ラプロメッサ4000円[[#This Row],[人数]]="","",VLOOKUP(心斎橋ラプロメッサ4000円[[#This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9" s="15"/>
      <c r="U9" s="16" t="str">
        <f>IF(心斎橋ラプロメッサ3500円[[#This Row],[人数]]="","",VLOOKUP(心斎橋ラプロメッサ3500円[[#This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0" s="15"/>
      <c r="J10" s="16" t="str">
        <f>IF(心斎橋ラプロメッサ4000円[[#This Row],[人数]]="","",VLOOKUP(心斎橋ラプロメッサ4000円[[#This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0" s="15"/>
      <c r="U10" s="16" t="str">
        <f>IF(心斎橋ラプロメッサ3500円[[#This Row],[人数]]="","",VLOOKUP(心斎橋ラプロメッサ3500円[[#This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1" s="15"/>
      <c r="J11" s="16" t="str">
        <f>IF(心斎橋ラプロメッサ4000円[[#This Row],[人数]]="","",VLOOKUP(心斎橋ラプロメッサ4000円[[#This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1" s="15"/>
      <c r="U11" s="16" t="str">
        <f>IF(心斎橋ラプロメッサ3500円[[#This Row],[人数]]="","",VLOOKUP(心斎橋ラプロメッサ3500円[[#This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2" s="15"/>
      <c r="J12" s="16" t="str">
        <f>IF(心斎橋ラプロメッサ4000円[[#This Row],[人数]]="","",VLOOKUP(心斎橋ラプロメッサ4000円[[#This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2" s="15"/>
      <c r="U12" s="16" t="str">
        <f>IF(心斎橋ラプロメッサ3500円[[#This Row],[人数]]="","",VLOOKUP(心斎橋ラプロメッサ3500円[[#This Row],[人数]],バック金額②[#All],2,TRUE))</f>
        <v/>
      </c>
    </row>
    <row r="13" spans="1:21">
      <c r="A13" s="63">
        <f t="shared" si="0"/>
        <v>44843</v>
      </c>
      <c r="B13" s="13">
        <v>1</v>
      </c>
      <c r="C13" s="14">
        <v>329</v>
      </c>
      <c r="D13" s="15">
        <v>6</v>
      </c>
      <c r="E13" s="15"/>
      <c r="F13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13800</v>
      </c>
      <c r="G13" s="16">
        <f>IFERROR(($B$3*心斎橋ラプロメッサ4000円[[#This Row],[人数]])-心斎橋ラプロメッサ4000円[[#This Row],[単価合計]]-(心斎橋ラプロメッサ4000円[[#This Row],[キャンセル人数]]*$B$2),"")</f>
        <v>10200</v>
      </c>
      <c r="H1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3" s="15"/>
      <c r="J13" s="16">
        <f>IF(心斎橋ラプロメッサ4000円[[#This Row],[人数]]="","",VLOOKUP(心斎橋ラプロメッサ4000円[[#This Row],[人数]],バック金額②[#All],2,TRUE))</f>
        <v>6000</v>
      </c>
      <c r="L13" s="63">
        <f t="shared" si="1"/>
        <v>44843</v>
      </c>
      <c r="M13" s="13"/>
      <c r="N13" s="14"/>
      <c r="O13" s="15"/>
      <c r="P13" s="15"/>
      <c r="Q1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3" s="15"/>
      <c r="U13" s="16" t="str">
        <f>IF(心斎橋ラプロメッサ3500円[[#This Row],[人数]]="","",VLOOKUP(心斎橋ラプロメッサ3500円[[#This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4" s="15"/>
      <c r="J14" s="16" t="str">
        <f>IF(心斎橋ラプロメッサ4000円[[#This Row],[人数]]="","",VLOOKUP(心斎橋ラプロメッサ4000円[[#This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4" s="15"/>
      <c r="U14" s="16" t="str">
        <f>IF(心斎橋ラプロメッサ3500円[[#This Row],[人数]]="","",VLOOKUP(心斎橋ラプロメッサ3500円[[#This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5" s="15"/>
      <c r="J15" s="16" t="str">
        <f>IF(心斎橋ラプロメッサ4000円[[#This Row],[人数]]="","",VLOOKUP(心斎橋ラプロメッサ4000円[[#This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5" s="15"/>
      <c r="U15" s="16" t="str">
        <f>IF(心斎橋ラプロメッサ3500円[[#This Row],[人数]]="","",VLOOKUP(心斎橋ラプロメッサ3500円[[#This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6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6" s="15"/>
      <c r="J16" s="16" t="str">
        <f>IF(心斎橋ラプロメッサ4000円[[#This Row],[人数]]="","",VLOOKUP(心斎橋ラプロメッサ4000円[[#This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6" s="15"/>
      <c r="U16" s="16" t="str">
        <f>IF(心斎橋ラプロメッサ3500円[[#This Row],[人数]]="","",VLOOKUP(心斎橋ラプロメッサ3500円[[#This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7" s="15"/>
      <c r="J17" s="16" t="str">
        <f>IF(心斎橋ラプロメッサ4000円[[#This Row],[人数]]="","",VLOOKUP(心斎橋ラプロメッサ4000円[[#This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7" s="15"/>
      <c r="U17" s="16" t="str">
        <f>IF(心斎橋ラプロメッサ3500円[[#This Row],[人数]]="","",VLOOKUP(心斎橋ラプロメッサ3500円[[#This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8" s="15"/>
      <c r="J18" s="16" t="str">
        <f>IF(心斎橋ラプロメッサ4000円[[#This Row],[人数]]="","",VLOOKUP(心斎橋ラプロメッサ4000円[[#This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8" s="15"/>
      <c r="U18" s="16" t="str">
        <f>IF(心斎橋ラプロメッサ3500円[[#This Row],[人数]]="","",VLOOKUP(心斎橋ラプロメッサ3500円[[#This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1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1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19" s="15"/>
      <c r="J19" s="16" t="str">
        <f>IF(心斎橋ラプロメッサ4000円[[#This Row],[人数]]="","",VLOOKUP(心斎橋ラプロメッサ4000円[[#This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1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1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19" s="15"/>
      <c r="U19" s="16" t="str">
        <f>IF(心斎橋ラプロメッサ3500円[[#This Row],[人数]]="","",VLOOKUP(心斎橋ラプロメッサ3500円[[#This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0" s="15"/>
      <c r="J20" s="16" t="str">
        <f>IF(心斎橋ラプロメッサ4000円[[#This Row],[人数]]="","",VLOOKUP(心斎橋ラプロメッサ4000円[[#This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0" s="15"/>
      <c r="U20" s="16" t="str">
        <f>IF(心斎橋ラプロメッサ3500円[[#This Row],[人数]]="","",VLOOKUP(心斎橋ラプロメッサ3500円[[#This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1" s="15"/>
      <c r="J21" s="16" t="str">
        <f>IF(心斎橋ラプロメッサ4000円[[#This Row],[人数]]="","",VLOOKUP(心斎橋ラプロメッサ4000円[[#This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1" s="15"/>
      <c r="U21" s="16" t="str">
        <f>IF(心斎橋ラプロメッサ3500円[[#This Row],[人数]]="","",VLOOKUP(心斎橋ラプロメッサ3500円[[#This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2" s="15"/>
      <c r="J22" s="16" t="str">
        <f>IF(心斎橋ラプロメッサ4000円[[#This Row],[人数]]="","",VLOOKUP(心斎橋ラプロメッサ4000円[[#This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2" s="15"/>
      <c r="U22" s="16" t="str">
        <f>IF(心斎橋ラプロメッサ3500円[[#This Row],[人数]]="","",VLOOKUP(心斎橋ラプロメッサ3500円[[#This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3" s="15"/>
      <c r="J23" s="16" t="str">
        <f>IF(心斎橋ラプロメッサ4000円[[#This Row],[人数]]="","",VLOOKUP(心斎橋ラプロメッサ4000円[[#This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3" s="15"/>
      <c r="U23" s="16" t="str">
        <f>IF(心斎橋ラプロメッサ3500円[[#This Row],[人数]]="","",VLOOKUP(心斎橋ラプロメッサ3500円[[#This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4" s="15"/>
      <c r="J24" s="16" t="str">
        <f>IF(心斎橋ラプロメッサ4000円[[#This Row],[人数]]="","",VLOOKUP(心斎橋ラプロメッサ4000円[[#This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4" s="15"/>
      <c r="U24" s="16" t="str">
        <f>IF(心斎橋ラプロメッサ3500円[[#This Row],[人数]]="","",VLOOKUP(心斎橋ラプロメッサ3500円[[#This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5" s="15"/>
      <c r="J25" s="16" t="str">
        <f>IF(心斎橋ラプロメッサ4000円[[#This Row],[人数]]="","",VLOOKUP(心斎橋ラプロメッサ4000円[[#This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5" s="15"/>
      <c r="U25" s="16" t="str">
        <f>IF(心斎橋ラプロメッサ3500円[[#This Row],[人数]]="","",VLOOKUP(心斎橋ラプロメッサ3500円[[#This Row],[人数]],バック金額②[#All],2,TRUE))</f>
        <v/>
      </c>
    </row>
    <row r="26" spans="1:21">
      <c r="A26" s="63">
        <f t="shared" si="0"/>
        <v>44856</v>
      </c>
      <c r="B26" s="13">
        <v>1</v>
      </c>
      <c r="C26" s="14">
        <v>10</v>
      </c>
      <c r="D26" s="15">
        <v>6</v>
      </c>
      <c r="E26" s="15"/>
      <c r="F26" s="16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>13800</v>
      </c>
      <c r="G26" s="16">
        <f>IFERROR(($B$3*心斎橋ラプロメッサ4000円[[#This Row],[人数]])-心斎橋ラプロメッサ4000円[[#This Row],[単価合計]]-(心斎橋ラプロメッサ4000円[[#This Row],[キャンセル人数]]*$B$2),"")</f>
        <v>10200</v>
      </c>
      <c r="H26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6" s="15"/>
      <c r="J26" s="16">
        <f>IF(心斎橋ラプロメッサ4000円[[#This Row],[人数]]="","",VLOOKUP(心斎橋ラプロメッサ4000円[[#This Row],[人数]],バック金額②[#All],2,TRUE))</f>
        <v>6000</v>
      </c>
      <c r="L26" s="63">
        <f t="shared" si="1"/>
        <v>44856</v>
      </c>
      <c r="M26" s="13"/>
      <c r="N26" s="14"/>
      <c r="O26" s="15"/>
      <c r="P26" s="15"/>
      <c r="Q26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6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6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6" s="15"/>
      <c r="U26" s="16" t="str">
        <f>IF(心斎橋ラプロメッサ3500円[[#This Row],[人数]]="","",VLOOKUP(心斎橋ラプロメッサ3500円[[#This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7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7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7" s="15"/>
      <c r="J27" s="16" t="str">
        <f>IF(心斎橋ラプロメッサ4000円[[#This Row],[人数]]="","",VLOOKUP(心斎橋ラプロメッサ4000円[[#This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7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7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7" s="15"/>
      <c r="U27" s="16" t="str">
        <f>IF(心斎橋ラプロメッサ3500円[[#This Row],[人数]]="","",VLOOKUP(心斎橋ラプロメッサ3500円[[#This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8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8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8" s="15"/>
      <c r="J28" s="16" t="str">
        <f>IF(心斎橋ラプロメッサ4000円[[#This Row],[人数]]="","",VLOOKUP(心斎橋ラプロメッサ4000円[[#This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8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8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8" s="15"/>
      <c r="U28" s="16" t="str">
        <f>IF(心斎橋ラプロメッサ3500円[[#This Row],[人数]]="","",VLOOKUP(心斎橋ラプロメッサ3500円[[#This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29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29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29" s="15"/>
      <c r="J29" s="16" t="str">
        <f>IF(心斎橋ラプロメッサ4000円[[#This Row],[人数]]="","",VLOOKUP(心斎橋ラプロメッサ4000円[[#This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29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29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29" s="15"/>
      <c r="U29" s="16" t="str">
        <f>IF(心斎橋ラプロメッサ3500円[[#This Row],[人数]]="","",VLOOKUP(心斎橋ラプロメッサ3500円[[#This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0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0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0" s="15"/>
      <c r="J30" s="16" t="str">
        <f>IF(心斎橋ラプロメッサ4000円[[#This Row],[人数]]="","",VLOOKUP(心斎橋ラプロメッサ4000円[[#This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0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0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0" s="15"/>
      <c r="U30" s="16" t="str">
        <f>IF(心斎橋ラプロメッサ3500円[[#This Row],[人数]]="","",VLOOKUP(心斎橋ラプロメッサ3500円[[#This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1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1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1" s="15"/>
      <c r="J31" s="16" t="str">
        <f>IF(心斎橋ラプロメッサ4000円[[#This Row],[人数]]="","",VLOOKUP(心斎橋ラプロメッサ4000円[[#This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1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1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1" s="15"/>
      <c r="U31" s="16" t="str">
        <f>IF(心斎橋ラプロメッサ3500円[[#This Row],[人数]]="","",VLOOKUP(心斎橋ラプロメッサ3500円[[#This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2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2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2" s="15"/>
      <c r="J32" s="16" t="str">
        <f>IF(心斎橋ラプロメッサ4000円[[#This Row],[人数]]="","",VLOOKUP(心斎橋ラプロメッサ4000円[[#This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2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2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2" s="15"/>
      <c r="U32" s="16" t="str">
        <f>IF(心斎橋ラプロメッサ3500円[[#This Row],[人数]]="","",VLOOKUP(心斎橋ラプロメッサ3500円[[#This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3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3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3" s="15"/>
      <c r="J33" s="16" t="str">
        <f>IF(心斎橋ラプロメッサ4000円[[#This Row],[人数]]="","",VLOOKUP(心斎橋ラプロメッサ4000円[[#This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3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3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3" s="15"/>
      <c r="U33" s="16" t="str">
        <f>IF(心斎橋ラプロメッサ3500円[[#This Row],[人数]]="","",VLOOKUP(心斎橋ラプロメッサ3500円[[#This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4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4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4" s="15"/>
      <c r="J34" s="16" t="str">
        <f>IF(心斎橋ラプロメッサ4000円[[#This Row],[人数]]="","",VLOOKUP(心斎橋ラプロメッサ4000円[[#This Row],[人数]],バック金額②[#All],2,TRUE))</f>
        <v/>
      </c>
      <c r="L34" s="63">
        <f t="shared" si="1"/>
        <v>44864</v>
      </c>
      <c r="M34" s="17"/>
      <c r="N34" s="18"/>
      <c r="O34" s="15"/>
      <c r="P34" s="19"/>
      <c r="Q34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4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4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4" s="15"/>
      <c r="U34" s="16" t="str">
        <f>IF(心斎橋ラプロメッサ3500円[[#This Row],[人数]]="","",VLOOKUP(心斎橋ラプロメッサ3500円[[#This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5"/>
      <c r="E35" s="19"/>
      <c r="F35" s="16" t="str">
        <f>IF(心斎橋ラプロメッサ4000円[[#This Row],[人数]]="","",IF(心斎橋ラプロメッサ4000円[[#This Row],[人数]]&lt;=7,$B$1*心斎橋ラプロメッサ4000円[[#This Row],[人数]],$B$1*心斎橋ラプロメッサ4000円[[#This Row],[人数]]-心斎橋ラプロメッサ4000円[[#This Row],[幹事無料]]))</f>
        <v/>
      </c>
      <c r="G35" s="16" t="str">
        <f>IFERROR(($B$3*心斎橋ラプロメッサ4000円[[#This Row],[人数]])-心斎橋ラプロメッサ4000円[[#This Row],[単価合計]]-(心斎橋ラプロメッサ4000円[[#This Row],[キャンセル人数]]*$B$2),"")</f>
        <v/>
      </c>
      <c r="H35" s="16" t="str">
        <f>IF(心斎橋ラプロメッサ4000円[[#This Row],[人数]]=0,"",IF(心斎橋ラプロメッサ4000円[[#This Row],[人数]]&lt;=7,"",IF(心斎橋ラプロメッサ4000円[[#This Row],[人数]]&lt;=15,$B$1,IF(心斎橋ラプロメッサ4000円[[#This Row],[人数]]&lt;=23,$B$1*2,IF(心斎橋ラプロメッサ4000円[[#This Row],[人数]]&lt;=31,$B$1*3,IF(心斎橋ラプロメッサ4000円[[#This Row],[人数]]&lt;=39,$B$1*4,""))))))</f>
        <v/>
      </c>
      <c r="I35" s="19"/>
      <c r="J35" s="16" t="str">
        <f>IF(心斎橋ラプロメッサ4000円[[#This Row],[人数]]="","",VLOOKUP(心斎橋ラプロメッサ4000円[[#This Row],[人数]],バック金額②[#All],2,TRUE))</f>
        <v/>
      </c>
      <c r="L35" s="63">
        <f t="shared" si="1"/>
        <v>44865</v>
      </c>
      <c r="M35" s="14"/>
      <c r="N35" s="14"/>
      <c r="O35" s="15"/>
      <c r="P35" s="14"/>
      <c r="Q35" s="16" t="str">
        <f>IF(心斎橋ラプロメッサ3500円[[#This Row],[人数]]="","",IF(心斎橋ラプロメッサ3500円[[#This Row],[人数]]&lt;=7,$B$1*心斎橋ラプロメッサ3500円[[#This Row],[人数]],$B$1*心斎橋ラプロメッサ3500円[[#This Row],[人数]]-心斎橋ラプロメッサ3500円[[#This Row],[幹事無料]]))</f>
        <v/>
      </c>
      <c r="R35" s="16" t="str">
        <f>IFERROR(($M$3*心斎橋ラプロメッサ3500円[[#This Row],[人数]])-心斎橋ラプロメッサ3500円[[#This Row],[単価合計]]-(心斎橋ラプロメッサ3500円[[#This Row],[キャンセル人数]]*$B$2),"")</f>
        <v/>
      </c>
      <c r="S35" s="16" t="str">
        <f>IF(心斎橋ラプロメッサ3500円[[#This Row],[人数]]=0,"",IF(心斎橋ラプロメッサ3500円[[#This Row],[人数]]&lt;=7,"",IF(心斎橋ラプロメッサ3500円[[#This Row],[人数]]&lt;=15,$B$1,IF(心斎橋ラプロメッサ3500円[[#This Row],[人数]]&lt;=23,$B$1*2,IF(心斎橋ラプロメッサ3500円[[#This Row],[人数]]&lt;=31,$B$1*3,IF(心斎橋ラプロメッサ3500円[[#This Row],[人数]]&lt;=39,$B$1*4,""))))))</f>
        <v/>
      </c>
      <c r="T35" s="19"/>
      <c r="U35" s="16" t="str">
        <f>IF(心斎橋ラプロメッサ3500円[[#This Row],[人数]]="","",VLOOKUP(心斎橋ラプロメッサ3500円[[#This Row],[人数]],バック金額②[#All],2,TRUE))</f>
        <v/>
      </c>
    </row>
    <row r="36" spans="1:21">
      <c r="A36" s="69" t="s">
        <v>323</v>
      </c>
      <c r="B36" s="16">
        <f>SUM(心斎橋ラプロメッサ4000円[[#All],[件数]])</f>
        <v>2</v>
      </c>
      <c r="C36" s="6"/>
      <c r="D36" s="16">
        <f>SUM(心斎橋ラプロメッサ4000円[[#All],[人数]])</f>
        <v>12</v>
      </c>
      <c r="E36" s="16">
        <f>SUM(心斎橋ラプロメッサ4000円[[#All],[Aパターン]])</f>
        <v>0</v>
      </c>
      <c r="F36" s="16">
        <f>SUM(心斎橋ラプロメッサ4000円[[#All],[単価合計]])</f>
        <v>27600</v>
      </c>
      <c r="G36" s="16">
        <f>SUM(心斎橋ラプロメッサ4000円[[#All],[ゆうき取りに行く]])</f>
        <v>20400</v>
      </c>
      <c r="H36" s="16"/>
      <c r="I36" s="16"/>
      <c r="J36" s="16">
        <f>SUM(心斎橋ラプロメッサ4000円[[#All],[イベンターへ]])</f>
        <v>12000</v>
      </c>
      <c r="L36" s="71" t="s">
        <v>323</v>
      </c>
      <c r="M36" s="16">
        <f>SUM(心斎橋ラプロメッサ3500円[[#All],[件数]])</f>
        <v>0</v>
      </c>
      <c r="N36" s="6"/>
      <c r="O36" s="16">
        <f>SUM(心斎橋ラプロメッサ3500円[[#All],[人数]])</f>
        <v>0</v>
      </c>
      <c r="P36" s="16">
        <f>SUM(心斎橋ラプロメッサ3500円[[#All],[Aパターン]])</f>
        <v>0</v>
      </c>
      <c r="Q36" s="16">
        <f>SUM(心斎橋ラプロメッサ3500円[[#All],[単価合計]])</f>
        <v>0</v>
      </c>
      <c r="R36" s="16">
        <f>SUM(心斎橋ラプロメッサ3500円[[#All],[ゆうき取りに行く]])</f>
        <v>0</v>
      </c>
      <c r="S36" s="16"/>
      <c r="T36" s="16"/>
      <c r="U36" s="16">
        <f>SUM(心斎橋ラプロメッサ3500円[[#All],[イベンターへ]])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FA1-D8C3-44A6-8E95-B9195B8A394A}">
  <sheetPr codeName="Sheet16"/>
  <dimension ref="A1:U36"/>
  <sheetViews>
    <sheetView zoomScale="70" zoomScaleNormal="70" workbookViewId="0">
      <pane ySplit="4" topLeftCell="A5" activePane="bottomLeft" state="frozen"/>
      <selection pane="bottomLeft" activeCell="G25" sqref="G2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21875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21875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2300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250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5" s="16" t="str">
        <f>IFERROR(($B$3*心斎橋MアンドM4000円[[#This Row],[人数]])-心斎橋MアンドM4000円[[#This Row],[単価合計]]-(心斎橋MアンドM4000円[[#This Row],[キャンセル人数]]*$B$2),"")</f>
        <v/>
      </c>
      <c r="H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5" s="15"/>
      <c r="J5" s="16" t="str">
        <f>IF(心斎橋MアンドM4000円[[#This Row],[人数]]="","",VLOOKUP(心斎橋MアンドM4000円[[#This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5" s="16" t="str">
        <f>IFERROR(($M$3*心斎橋MアンドM3500円[[#This Row],[人数]])-心斎橋MアンドM3500円[[#This Row],[単価合計]]-(心斎橋MアンドM3500円[[#This Row],[キャンセル人数]]*$B$2),"")</f>
        <v/>
      </c>
      <c r="S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5" s="15"/>
      <c r="U5" s="16" t="str">
        <f>IF(心斎橋MアンドM3500円[[#This Row],[人数]]="","",VLOOKUP(心斎橋MアンドM3500円[[#This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6" s="16" t="str">
        <f>IFERROR(($B$3*心斎橋MアンドM4000円[[#This Row],[人数]])-心斎橋MアンドM4000円[[#This Row],[単価合計]]-(心斎橋MアンドM4000円[[#This Row],[キャンセル人数]]*$B$2),"")</f>
        <v/>
      </c>
      <c r="H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6" s="15"/>
      <c r="J6" s="16" t="str">
        <f>IF(心斎橋MアンドM4000円[[#This Row],[人数]]="","",VLOOKUP(心斎橋MアンドM4000円[[#This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6" s="16" t="str">
        <f>IFERROR(($M$3*心斎橋MアンドM3500円[[#This Row],[人数]])-心斎橋MアンドM3500円[[#This Row],[単価合計]]-(心斎橋MアンドM3500円[[#This Row],[キャンセル人数]]*$B$2),"")</f>
        <v/>
      </c>
      <c r="S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6" s="15"/>
      <c r="U6" s="16" t="str">
        <f>IF(心斎橋MアンドM3500円[[#This Row],[人数]]="","",VLOOKUP(心斎橋MアンドM3500円[[#This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7" s="16" t="str">
        <f>IFERROR(($B$3*心斎橋MアンドM4000円[[#This Row],[人数]])-心斎橋MアンドM4000円[[#This Row],[単価合計]]-(心斎橋MアンドM4000円[[#This Row],[キャンセル人数]]*$B$2),"")</f>
        <v/>
      </c>
      <c r="H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7" s="15"/>
      <c r="J7" s="16" t="str">
        <f>IF(心斎橋MアンドM4000円[[#This Row],[人数]]="","",VLOOKUP(心斎橋MアンドM4000円[[#This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7" s="16" t="str">
        <f>IFERROR(($M$3*心斎橋MアンドM3500円[[#This Row],[人数]])-心斎橋MアンドM3500円[[#This Row],[単価合計]]-(心斎橋MアンドM3500円[[#This Row],[キャンセル人数]]*$B$2),"")</f>
        <v/>
      </c>
      <c r="S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7" s="15"/>
      <c r="U7" s="16" t="str">
        <f>IF(心斎橋MアンドM3500円[[#This Row],[人数]]="","",VLOOKUP(心斎橋MアンドM3500円[[#This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8" s="16" t="str">
        <f>IFERROR(($B$3*心斎橋MアンドM4000円[[#This Row],[人数]])-心斎橋MアンドM4000円[[#This Row],[単価合計]]-(心斎橋MアンドM4000円[[#This Row],[キャンセル人数]]*$B$2),"")</f>
        <v/>
      </c>
      <c r="H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8" s="15"/>
      <c r="J8" s="16" t="str">
        <f>IF(心斎橋MアンドM4000円[[#This Row],[人数]]="","",VLOOKUP(心斎橋MアンドM4000円[[#This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8" s="16" t="str">
        <f>IFERROR(($M$3*心斎橋MアンドM3500円[[#This Row],[人数]])-心斎橋MアンドM3500円[[#This Row],[単価合計]]-(心斎橋MアンドM3500円[[#This Row],[キャンセル人数]]*$B$2),"")</f>
        <v/>
      </c>
      <c r="S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8" s="15"/>
      <c r="U8" s="16" t="str">
        <f>IF(心斎橋MアンドM3500円[[#This Row],[人数]]="","",VLOOKUP(心斎橋MアンドM3500円[[#This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9" s="16" t="str">
        <f>IFERROR(($B$3*心斎橋MアンドM4000円[[#This Row],[人数]])-心斎橋MアンドM4000円[[#This Row],[単価合計]]-(心斎橋MアンドM4000円[[#This Row],[キャンセル人数]]*$B$2),"")</f>
        <v/>
      </c>
      <c r="H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9" s="15"/>
      <c r="J9" s="16" t="str">
        <f>IF(心斎橋MアンドM4000円[[#This Row],[人数]]="","",VLOOKUP(心斎橋MアンドM4000円[[#This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9" s="16" t="str">
        <f>IFERROR(($M$3*心斎橋MアンドM3500円[[#This Row],[人数]])-心斎橋MアンドM3500円[[#This Row],[単価合計]]-(心斎橋MアンドM3500円[[#This Row],[キャンセル人数]]*$B$2),"")</f>
        <v/>
      </c>
      <c r="S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9" s="15"/>
      <c r="U9" s="16" t="str">
        <f>IF(心斎橋MアンドM3500円[[#This Row],[人数]]="","",VLOOKUP(心斎橋MアンドM3500円[[#This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0" s="16" t="str">
        <f>IFERROR(($B$3*心斎橋MアンドM4000円[[#This Row],[人数]])-心斎橋MアンドM4000円[[#This Row],[単価合計]]-(心斎橋MアンドM4000円[[#This Row],[キャンセル人数]]*$B$2),"")</f>
        <v/>
      </c>
      <c r="H1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0" s="15"/>
      <c r="J10" s="16" t="str">
        <f>IF(心斎橋MアンドM4000円[[#This Row],[人数]]="","",VLOOKUP(心斎橋MアンドM4000円[[#This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0" s="16" t="str">
        <f>IFERROR(($M$3*心斎橋MアンドM3500円[[#This Row],[人数]])-心斎橋MアンドM3500円[[#This Row],[単価合計]]-(心斎橋MアンドM3500円[[#This Row],[キャンセル人数]]*$B$2),"")</f>
        <v/>
      </c>
      <c r="S1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0" s="15"/>
      <c r="U10" s="16" t="str">
        <f>IF(心斎橋MアンドM3500円[[#This Row],[人数]]="","",VLOOKUP(心斎橋MアンドM3500円[[#This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1" s="16" t="str">
        <f>IFERROR(($B$3*心斎橋MアンドM4000円[[#This Row],[人数]])-心斎橋MアンドM4000円[[#This Row],[単価合計]]-(心斎橋MアンドM4000円[[#This Row],[キャンセル人数]]*$B$2),"")</f>
        <v/>
      </c>
      <c r="H1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1" s="15"/>
      <c r="J11" s="16" t="str">
        <f>IF(心斎橋MアンドM4000円[[#This Row],[人数]]="","",VLOOKUP(心斎橋MアンドM4000円[[#This Row],[人数]],バック金額②[#All],2,TRUE))</f>
        <v/>
      </c>
      <c r="L11" s="63">
        <f>IFERROR(IF(DATE(YEAR($A$5),MONTH($A$5),DAY($A$5))=DATE(YEAR(L10),MONTH(L10),DAY(L10+1)),"",DATE(YEAR(L10),MONTH(L10),DAY(L10+1))),"")</f>
        <v>44841</v>
      </c>
      <c r="M11" s="13"/>
      <c r="N11" s="14"/>
      <c r="O11" s="15"/>
      <c r="P11" s="15"/>
      <c r="Q1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1" s="16" t="str">
        <f>IFERROR(($M$3*心斎橋MアンドM3500円[[#This Row],[人数]])-心斎橋MアンドM3500円[[#This Row],[単価合計]]-(心斎橋MアンドM3500円[[#This Row],[キャンセル人数]]*$B$2),"")</f>
        <v/>
      </c>
      <c r="S1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1" s="15"/>
      <c r="U11" s="16" t="str">
        <f>IF(心斎橋MアンドM3500円[[#This Row],[人数]]="","",VLOOKUP(心斎橋MアンドM3500円[[#This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2" s="16" t="str">
        <f>IFERROR(($B$3*心斎橋MアンドM4000円[[#This Row],[人数]])-心斎橋MアンドM4000円[[#This Row],[単価合計]]-(心斎橋MアンドM4000円[[#This Row],[キャンセル人数]]*$B$2),"")</f>
        <v/>
      </c>
      <c r="H1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2" s="15"/>
      <c r="J12" s="16" t="str">
        <f>IF(心斎橋MアンドM4000円[[#This Row],[人数]]="","",VLOOKUP(心斎橋MアンドM4000円[[#This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2" s="16" t="str">
        <f>IFERROR(($M$3*心斎橋MアンドM3500円[[#This Row],[人数]])-心斎橋MアンドM3500円[[#This Row],[単価合計]]-(心斎橋MアンドM3500円[[#This Row],[キャンセル人数]]*$B$2),"")</f>
        <v/>
      </c>
      <c r="S1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2" s="15"/>
      <c r="U12" s="16" t="str">
        <f>IF(心斎橋MアンドM3500円[[#This Row],[人数]]="","",VLOOKUP(心斎橋MアンドM3500円[[#This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3" s="16" t="str">
        <f>IFERROR(($B$3*心斎橋MアンドM4000円[[#This Row],[人数]])-心斎橋MアンドM4000円[[#This Row],[単価合計]]-(心斎橋MアンドM4000円[[#This Row],[キャンセル人数]]*$B$2),"")</f>
        <v/>
      </c>
      <c r="H1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3" s="15"/>
      <c r="J13" s="16" t="str">
        <f>IF(心斎橋MアンドM4000円[[#This Row],[人数]]="","",VLOOKUP(心斎橋MアンドM4000円[[#This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3" s="16" t="str">
        <f>IFERROR(($M$3*心斎橋MアンドM3500円[[#This Row],[人数]])-心斎橋MアンドM3500円[[#This Row],[単価合計]]-(心斎橋MアンドM3500円[[#This Row],[キャンセル人数]]*$B$2),"")</f>
        <v/>
      </c>
      <c r="S1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3" s="15"/>
      <c r="U13" s="16" t="str">
        <f>IF(心斎橋MアンドM3500円[[#This Row],[人数]]="","",VLOOKUP(心斎橋MアンドM3500円[[#This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4" s="16" t="str">
        <f>IFERROR(($B$3*心斎橋MアンドM4000円[[#This Row],[人数]])-心斎橋MアンドM4000円[[#This Row],[単価合計]]-(心斎橋MアンドM4000円[[#This Row],[キャンセル人数]]*$B$2),"")</f>
        <v/>
      </c>
      <c r="H1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4" s="15"/>
      <c r="J14" s="16" t="str">
        <f>IF(心斎橋MアンドM4000円[[#This Row],[人数]]="","",VLOOKUP(心斎橋MアンドM4000円[[#This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4" s="16" t="str">
        <f>IFERROR(($M$3*心斎橋MアンドM3500円[[#This Row],[人数]])-心斎橋MアンドM3500円[[#This Row],[単価合計]]-(心斎橋MアンドM3500円[[#This Row],[キャンセル人数]]*$B$2),"")</f>
        <v/>
      </c>
      <c r="S1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4" s="15"/>
      <c r="U14" s="16" t="str">
        <f>IF(心斎橋MアンドM3500円[[#This Row],[人数]]="","",VLOOKUP(心斎橋MアンドM3500円[[#This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5" s="16" t="str">
        <f>IFERROR(($B$3*心斎橋MアンドM4000円[[#This Row],[人数]])-心斎橋MアンドM4000円[[#This Row],[単価合計]]-(心斎橋MアンドM4000円[[#This Row],[キャンセル人数]]*$B$2),"")</f>
        <v/>
      </c>
      <c r="H1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5" s="15"/>
      <c r="J15" s="16" t="str">
        <f>IF(心斎橋MアンドM4000円[[#This Row],[人数]]="","",VLOOKUP(心斎橋MアンドM4000円[[#This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5" s="16" t="str">
        <f>IFERROR(($M$3*心斎橋MアンドM3500円[[#This Row],[人数]])-心斎橋MアンドM3500円[[#This Row],[単価合計]]-(心斎橋MアンドM3500円[[#This Row],[キャンセル人数]]*$B$2),"")</f>
        <v/>
      </c>
      <c r="S1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5" s="15"/>
      <c r="U15" s="16" t="str">
        <f>IF(心斎橋MアンドM3500円[[#This Row],[人数]]="","",VLOOKUP(心斎橋MアンドM3500円[[#This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6" s="16" t="str">
        <f>IFERROR(($B$3*心斎橋MアンドM4000円[[#This Row],[人数]])-心斎橋MアンドM4000円[[#This Row],[単価合計]]-(心斎橋MアンドM4000円[[#This Row],[キャンセル人数]]*$B$2),"")</f>
        <v/>
      </c>
      <c r="H1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6" s="15"/>
      <c r="J16" s="16" t="str">
        <f>IF(心斎橋MアンドM4000円[[#This Row],[人数]]="","",VLOOKUP(心斎橋MアンドM4000円[[#This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6" s="16" t="str">
        <f>IFERROR(($M$3*心斎橋MアンドM3500円[[#This Row],[人数]])-心斎橋MアンドM3500円[[#This Row],[単価合計]]-(心斎橋MアンドM3500円[[#This Row],[キャンセル人数]]*$B$2),"")</f>
        <v/>
      </c>
      <c r="S1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6" s="15"/>
      <c r="U16" s="16" t="str">
        <f>IF(心斎橋MアンドM3500円[[#This Row],[人数]]="","",VLOOKUP(心斎橋MアンドM3500円[[#This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7" s="16" t="str">
        <f>IFERROR(($B$3*心斎橋MアンドM4000円[[#This Row],[人数]])-心斎橋MアンドM4000円[[#This Row],[単価合計]]-(心斎橋MアンドM4000円[[#This Row],[キャンセル人数]]*$B$2),"")</f>
        <v/>
      </c>
      <c r="H1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7" s="15"/>
      <c r="J17" s="16" t="str">
        <f>IF(心斎橋MアンドM4000円[[#This Row],[人数]]="","",VLOOKUP(心斎橋MアンドM4000円[[#This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7" s="16" t="str">
        <f>IFERROR(($M$3*心斎橋MアンドM3500円[[#This Row],[人数]])-心斎橋MアンドM3500円[[#This Row],[単価合計]]-(心斎橋MアンドM3500円[[#This Row],[キャンセル人数]]*$B$2),"")</f>
        <v/>
      </c>
      <c r="S1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7" s="15"/>
      <c r="U17" s="16" t="str">
        <f>IF(心斎橋MアンドM3500円[[#This Row],[人数]]="","",VLOOKUP(心斎橋MアンドM3500円[[#This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8" s="16" t="str">
        <f>IFERROR(($B$3*心斎橋MアンドM4000円[[#This Row],[人数]])-心斎橋MアンドM4000円[[#This Row],[単価合計]]-(心斎橋MアンドM4000円[[#This Row],[キャンセル人数]]*$B$2),"")</f>
        <v/>
      </c>
      <c r="H1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8" s="15"/>
      <c r="J18" s="16" t="str">
        <f>IF(心斎橋MアンドM4000円[[#This Row],[人数]]="","",VLOOKUP(心斎橋MアンドM4000円[[#This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8" s="16" t="str">
        <f>IFERROR(($M$3*心斎橋MアンドM3500円[[#This Row],[人数]])-心斎橋MアンドM3500円[[#This Row],[単価合計]]-(心斎橋MアンドM3500円[[#This Row],[キャンセル人数]]*$B$2),"")</f>
        <v/>
      </c>
      <c r="S1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8" s="15"/>
      <c r="U18" s="16" t="str">
        <f>IF(心斎橋MアンドM3500円[[#This Row],[人数]]="","",VLOOKUP(心斎橋MアンドM3500円[[#This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19" s="16" t="str">
        <f>IFERROR(($B$3*心斎橋MアンドM4000円[[#This Row],[人数]])-心斎橋MアンドM4000円[[#This Row],[単価合計]]-(心斎橋MアンドM4000円[[#This Row],[キャンセル人数]]*$B$2),"")</f>
        <v/>
      </c>
      <c r="H1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19" s="15"/>
      <c r="J19" s="16" t="str">
        <f>IF(心斎橋MアンドM4000円[[#This Row],[人数]]="","",VLOOKUP(心斎橋MアンドM4000円[[#This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19" s="16" t="str">
        <f>IFERROR(($M$3*心斎橋MアンドM3500円[[#This Row],[人数]])-心斎橋MアンドM3500円[[#This Row],[単価合計]]-(心斎橋MアンドM3500円[[#This Row],[キャンセル人数]]*$B$2),"")</f>
        <v/>
      </c>
      <c r="S1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19" s="15"/>
      <c r="U19" s="16" t="str">
        <f>IF(心斎橋MアンドM3500円[[#This Row],[人数]]="","",VLOOKUP(心斎橋MアンドM3500円[[#This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0" s="16" t="str">
        <f>IFERROR(($B$3*心斎橋MアンドM4000円[[#This Row],[人数]])-心斎橋MアンドM4000円[[#This Row],[単価合計]]-(心斎橋MアンドM4000円[[#This Row],[キャンセル人数]]*$B$2),"")</f>
        <v/>
      </c>
      <c r="H2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0" s="15"/>
      <c r="J20" s="16" t="str">
        <f>IF(心斎橋MアンドM4000円[[#This Row],[人数]]="","",VLOOKUP(心斎橋MアンドM4000円[[#This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0" s="16" t="str">
        <f>IFERROR(($M$3*心斎橋MアンドM3500円[[#This Row],[人数]])-心斎橋MアンドM3500円[[#This Row],[単価合計]]-(心斎橋MアンドM3500円[[#This Row],[キャンセル人数]]*$B$2),"")</f>
        <v/>
      </c>
      <c r="S2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0" s="15"/>
      <c r="U20" s="16" t="str">
        <f>IF(心斎橋MアンドM3500円[[#This Row],[人数]]="","",VLOOKUP(心斎橋MアンドM3500円[[#This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1" s="16" t="str">
        <f>IFERROR(($B$3*心斎橋MアンドM4000円[[#This Row],[人数]])-心斎橋MアンドM4000円[[#This Row],[単価合計]]-(心斎橋MアンドM4000円[[#This Row],[キャンセル人数]]*$B$2),"")</f>
        <v/>
      </c>
      <c r="H2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1" s="15"/>
      <c r="J21" s="16" t="str">
        <f>IF(心斎橋MアンドM4000円[[#This Row],[人数]]="","",VLOOKUP(心斎橋MアンドM4000円[[#This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1" s="16" t="str">
        <f>IFERROR(($M$3*心斎橋MアンドM3500円[[#This Row],[人数]])-心斎橋MアンドM3500円[[#This Row],[単価合計]]-(心斎橋MアンドM3500円[[#This Row],[キャンセル人数]]*$B$2),"")</f>
        <v/>
      </c>
      <c r="S2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1" s="15"/>
      <c r="U21" s="16" t="str">
        <f>IF(心斎橋MアンドM3500円[[#This Row],[人数]]="","",VLOOKUP(心斎橋MアンドM3500円[[#This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2" s="16" t="str">
        <f>IFERROR(($B$3*心斎橋MアンドM4000円[[#This Row],[人数]])-心斎橋MアンドM4000円[[#This Row],[単価合計]]-(心斎橋MアンドM4000円[[#This Row],[キャンセル人数]]*$B$2),"")</f>
        <v/>
      </c>
      <c r="H2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2" s="15"/>
      <c r="J22" s="16" t="str">
        <f>IF(心斎橋MアンドM4000円[[#This Row],[人数]]="","",VLOOKUP(心斎橋MアンドM4000円[[#This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2" s="16" t="str">
        <f>IFERROR(($M$3*心斎橋MアンドM3500円[[#This Row],[人数]])-心斎橋MアンドM3500円[[#This Row],[単価合計]]-(心斎橋MアンドM3500円[[#This Row],[キャンセル人数]]*$B$2),"")</f>
        <v/>
      </c>
      <c r="S2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2" s="15"/>
      <c r="U22" s="16" t="str">
        <f>IF(心斎橋MアンドM3500円[[#This Row],[人数]]="","",VLOOKUP(心斎橋MアンドM3500円[[#This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3" s="16" t="str">
        <f>IFERROR(($B$3*心斎橋MアンドM4000円[[#This Row],[人数]])-心斎橋MアンドM4000円[[#This Row],[単価合計]]-(心斎橋MアンドM4000円[[#This Row],[キャンセル人数]]*$B$2),"")</f>
        <v/>
      </c>
      <c r="H2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3" s="15"/>
      <c r="J23" s="16" t="str">
        <f>IF(心斎橋MアンドM4000円[[#This Row],[人数]]="","",VLOOKUP(心斎橋MアンドM4000円[[#This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3" s="16" t="str">
        <f>IFERROR(($M$3*心斎橋MアンドM3500円[[#This Row],[人数]])-心斎橋MアンドM3500円[[#This Row],[単価合計]]-(心斎橋MアンドM3500円[[#This Row],[キャンセル人数]]*$B$2),"")</f>
        <v/>
      </c>
      <c r="S2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3" s="15"/>
      <c r="U23" s="16" t="str">
        <f>IF(心斎橋MアンドM3500円[[#This Row],[人数]]="","",VLOOKUP(心斎橋MアンドM3500円[[#This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4" s="16" t="str">
        <f>IFERROR(($B$3*心斎橋MアンドM4000円[[#This Row],[人数]])-心斎橋MアンドM4000円[[#This Row],[単価合計]]-(心斎橋MアンドM4000円[[#This Row],[キャンセル人数]]*$B$2),"")</f>
        <v/>
      </c>
      <c r="H2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4" s="15"/>
      <c r="J24" s="16" t="str">
        <f>IF(心斎橋MアンドM4000円[[#This Row],[人数]]="","",VLOOKUP(心斎橋MアンドM4000円[[#This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4" s="16" t="str">
        <f>IFERROR(($M$3*心斎橋MアンドM3500円[[#This Row],[人数]])-心斎橋MアンドM3500円[[#This Row],[単価合計]]-(心斎橋MアンドM3500円[[#This Row],[キャンセル人数]]*$B$2),"")</f>
        <v/>
      </c>
      <c r="S2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4" s="15"/>
      <c r="U24" s="16" t="str">
        <f>IF(心斎橋MアンドM3500円[[#This Row],[人数]]="","",VLOOKUP(心斎橋MアンドM3500円[[#This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5" s="16" t="str">
        <f>IFERROR(($B$3*心斎橋MアンドM4000円[[#This Row],[人数]])-心斎橋MアンドM4000円[[#This Row],[単価合計]]-(心斎橋MアンドM4000円[[#This Row],[キャンセル人数]]*$B$2),"")</f>
        <v/>
      </c>
      <c r="H2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5" s="15"/>
      <c r="J25" s="16" t="str">
        <f>IF(心斎橋MアンドM4000円[[#This Row],[人数]]="","",VLOOKUP(心斎橋MアンドM4000円[[#This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5" s="16" t="str">
        <f>IFERROR(($M$3*心斎橋MアンドM3500円[[#This Row],[人数]])-心斎橋MアンドM3500円[[#This Row],[単価合計]]-(心斎橋MアンドM3500円[[#This Row],[キャンセル人数]]*$B$2),"")</f>
        <v/>
      </c>
      <c r="S2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5" s="15"/>
      <c r="U25" s="16" t="str">
        <f>IF(心斎橋MアンドM3500円[[#This Row],[人数]]="","",VLOOKUP(心斎橋MアンドM3500円[[#This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6" s="16" t="str">
        <f>IFERROR(($B$3*心斎橋MアンドM4000円[[#This Row],[人数]])-心斎橋MアンドM4000円[[#This Row],[単価合計]]-(心斎橋MアンドM4000円[[#This Row],[キャンセル人数]]*$B$2),"")</f>
        <v/>
      </c>
      <c r="H26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6" s="15"/>
      <c r="J26" s="16" t="str">
        <f>IF(心斎橋MアンドM4000円[[#This Row],[人数]]="","",VLOOKUP(心斎橋MアンドM4000円[[#This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6" s="16" t="str">
        <f>IFERROR(($M$3*心斎橋MアンドM3500円[[#This Row],[人数]])-心斎橋MアンドM3500円[[#This Row],[単価合計]]-(心斎橋MアンドM3500円[[#This Row],[キャンセル人数]]*$B$2),"")</f>
        <v/>
      </c>
      <c r="S26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6" s="15"/>
      <c r="U26" s="16" t="str">
        <f>IF(心斎橋MアンドM3500円[[#This Row],[人数]]="","",VLOOKUP(心斎橋MアンドM3500円[[#This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7" s="16" t="str">
        <f>IFERROR(($B$3*心斎橋MアンドM4000円[[#This Row],[人数]])-心斎橋MアンドM4000円[[#This Row],[単価合計]]-(心斎橋MアンドM4000円[[#This Row],[キャンセル人数]]*$B$2),"")</f>
        <v/>
      </c>
      <c r="H27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7" s="15"/>
      <c r="J27" s="16" t="str">
        <f>IF(心斎橋MアンドM4000円[[#This Row],[人数]]="","",VLOOKUP(心斎橋MアンドM4000円[[#This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7" s="16" t="str">
        <f>IFERROR(($M$3*心斎橋MアンドM3500円[[#This Row],[人数]])-心斎橋MアンドM3500円[[#This Row],[単価合計]]-(心斎橋MアンドM3500円[[#This Row],[キャンセル人数]]*$B$2),"")</f>
        <v/>
      </c>
      <c r="S27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7" s="15"/>
      <c r="U27" s="16" t="str">
        <f>IF(心斎橋MアンドM3500円[[#This Row],[人数]]="","",VLOOKUP(心斎橋MアンドM3500円[[#This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8" s="16" t="str">
        <f>IFERROR(($B$3*心斎橋MアンドM4000円[[#This Row],[人数]])-心斎橋MアンドM4000円[[#This Row],[単価合計]]-(心斎橋MアンドM4000円[[#This Row],[キャンセル人数]]*$B$2),"")</f>
        <v/>
      </c>
      <c r="H28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8" s="15"/>
      <c r="J28" s="16" t="str">
        <f>IF(心斎橋MアンドM4000円[[#This Row],[人数]]="","",VLOOKUP(心斎橋MアンドM4000円[[#This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8" s="16" t="str">
        <f>IFERROR(($M$3*心斎橋MアンドM3500円[[#This Row],[人数]])-心斎橋MアンドM3500円[[#This Row],[単価合計]]-(心斎橋MアンドM3500円[[#This Row],[キャンセル人数]]*$B$2),"")</f>
        <v/>
      </c>
      <c r="S28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8" s="15"/>
      <c r="U28" s="16" t="str">
        <f>IF(心斎橋MアンドM3500円[[#This Row],[人数]]="","",VLOOKUP(心斎橋MアンドM3500円[[#This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29" s="16" t="str">
        <f>IFERROR(($B$3*心斎橋MアンドM4000円[[#This Row],[人数]])-心斎橋MアンドM4000円[[#This Row],[単価合計]]-(心斎橋MアンドM4000円[[#This Row],[キャンセル人数]]*$B$2),"")</f>
        <v/>
      </c>
      <c r="H29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29" s="15"/>
      <c r="J29" s="16" t="str">
        <f>IF(心斎橋MアンドM4000円[[#This Row],[人数]]="","",VLOOKUP(心斎橋MアンドM4000円[[#This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29" s="16" t="str">
        <f>IFERROR(($M$3*心斎橋MアンドM3500円[[#This Row],[人数]])-心斎橋MアンドM3500円[[#This Row],[単価合計]]-(心斎橋MアンドM3500円[[#This Row],[キャンセル人数]]*$B$2),"")</f>
        <v/>
      </c>
      <c r="S29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29" s="15"/>
      <c r="U29" s="16" t="str">
        <f>IF(心斎橋MアンドM3500円[[#This Row],[人数]]="","",VLOOKUP(心斎橋MアンドM3500円[[#This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0" s="16" t="str">
        <f>IFERROR(($B$3*心斎橋MアンドM4000円[[#This Row],[人数]])-心斎橋MアンドM4000円[[#This Row],[単価合計]]-(心斎橋MアンドM4000円[[#This Row],[キャンセル人数]]*$B$2),"")</f>
        <v/>
      </c>
      <c r="H30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0" s="15"/>
      <c r="J30" s="16" t="str">
        <f>IF(心斎橋MアンドM4000円[[#This Row],[人数]]="","",VLOOKUP(心斎橋MアンドM4000円[[#This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0" s="16" t="str">
        <f>IFERROR(($M$3*心斎橋MアンドM3500円[[#This Row],[人数]])-心斎橋MアンドM3500円[[#This Row],[単価合計]]-(心斎橋MアンドM3500円[[#This Row],[キャンセル人数]]*$B$2),"")</f>
        <v/>
      </c>
      <c r="S30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0" s="15"/>
      <c r="U30" s="16" t="str">
        <f>IF(心斎橋MアンドM3500円[[#This Row],[人数]]="","",VLOOKUP(心斎橋MアンドM3500円[[#This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1" s="16" t="str">
        <f>IFERROR(($B$3*心斎橋MアンドM4000円[[#This Row],[人数]])-心斎橋MアンドM4000円[[#This Row],[単価合計]]-(心斎橋MアンドM4000円[[#This Row],[キャンセル人数]]*$B$2),"")</f>
        <v/>
      </c>
      <c r="H31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1" s="15"/>
      <c r="J31" s="16" t="str">
        <f>IF(心斎橋MアンドM4000円[[#This Row],[人数]]="","",VLOOKUP(心斎橋MアンドM4000円[[#This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1" s="16" t="str">
        <f>IFERROR(($M$3*心斎橋MアンドM3500円[[#This Row],[人数]])-心斎橋MアンドM3500円[[#This Row],[単価合計]]-(心斎橋MアンドM3500円[[#This Row],[キャンセル人数]]*$B$2),"")</f>
        <v/>
      </c>
      <c r="S31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1" s="15"/>
      <c r="U31" s="16" t="str">
        <f>IF(心斎橋MアンドM3500円[[#This Row],[人数]]="","",VLOOKUP(心斎橋MアンドM3500円[[#This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2" s="16" t="str">
        <f>IFERROR(($B$3*心斎橋MアンドM4000円[[#This Row],[人数]])-心斎橋MアンドM4000円[[#This Row],[単価合計]]-(心斎橋MアンドM4000円[[#This Row],[キャンセル人数]]*$B$2),"")</f>
        <v/>
      </c>
      <c r="H32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2" s="15"/>
      <c r="J32" s="16" t="str">
        <f>IF(心斎橋MアンドM4000円[[#This Row],[人数]]="","",VLOOKUP(心斎橋MアンドM4000円[[#This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2" s="16" t="str">
        <f>IFERROR(($M$3*心斎橋MアンドM3500円[[#This Row],[人数]])-心斎橋MアンドM3500円[[#This Row],[単価合計]]-(心斎橋MアンドM3500円[[#This Row],[キャンセル人数]]*$B$2),"")</f>
        <v/>
      </c>
      <c r="S32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2" s="15"/>
      <c r="U32" s="16" t="str">
        <f>IF(心斎橋MアンドM3500円[[#This Row],[人数]]="","",VLOOKUP(心斎橋MアンドM3500円[[#This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3" s="16" t="str">
        <f>IFERROR(($B$3*心斎橋MアンドM4000円[[#This Row],[人数]])-心斎橋MアンドM4000円[[#This Row],[単価合計]]-(心斎橋MアンドM4000円[[#This Row],[キャンセル人数]]*$B$2),"")</f>
        <v/>
      </c>
      <c r="H33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3" s="15"/>
      <c r="J33" s="16" t="str">
        <f>IF(心斎橋MアンドM4000円[[#This Row],[人数]]="","",VLOOKUP(心斎橋MアンドM4000円[[#This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3" s="16" t="str">
        <f>IFERROR(($M$3*心斎橋MアンドM3500円[[#This Row],[人数]])-心斎橋MアンドM3500円[[#This Row],[単価合計]]-(心斎橋MアンドM3500円[[#This Row],[キャンセル人数]]*$B$2),"")</f>
        <v/>
      </c>
      <c r="S33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3" s="15"/>
      <c r="U33" s="16" t="str">
        <f>IF(心斎橋MアンドM3500円[[#This Row],[人数]]="","",VLOOKUP(心斎橋MアンドM3500円[[#This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4" s="16" t="str">
        <f>IFERROR(($B$3*心斎橋MアンドM4000円[[#This Row],[人数]])-心斎橋MアンドM4000円[[#This Row],[単価合計]]-(心斎橋MアンドM4000円[[#This Row],[キャンセル人数]]*$B$2),"")</f>
        <v/>
      </c>
      <c r="H34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4" s="15"/>
      <c r="J34" s="16" t="str">
        <f>IF(心斎橋MアンドM4000円[[#This Row],[人数]]="","",VLOOKUP(心斎橋MアンドM4000円[[#This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4" s="16" t="str">
        <f>IFERROR(($M$3*心斎橋MアンドM3500円[[#This Row],[人数]])-心斎橋MアンドM3500円[[#This Row],[単価合計]]-(心斎橋MアンドM3500円[[#This Row],[キャンセル人数]]*$B$2),"")</f>
        <v/>
      </c>
      <c r="S34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4" s="15"/>
      <c r="U34" s="16" t="str">
        <f>IF(心斎橋MアンドM3500円[[#This Row],[人数]]="","",VLOOKUP(心斎橋MアンドM3500円[[#This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5"/>
      <c r="E35" s="19"/>
      <c r="F35" s="16" t="str">
        <f>IF(心斎橋MアンドM4000円[[#This Row],[人数]]="","",IF(心斎橋MアンドM4000円[[#This Row],[人数]]&lt;=7,$B$1*心斎橋MアンドM4000円[[#This Row],[人数]],$B$1*心斎橋MアンドM4000円[[#This Row],[人数]]-心斎橋MアンドM4000円[[#This Row],[幹事無料]]))</f>
        <v/>
      </c>
      <c r="G35" s="16" t="str">
        <f>IFERROR(($B$3*心斎橋MアンドM4000円[[#This Row],[人数]])-心斎橋MアンドM4000円[[#This Row],[単価合計]]-(心斎橋MアンドM4000円[[#This Row],[キャンセル人数]]*$B$2),"")</f>
        <v/>
      </c>
      <c r="H35" s="16" t="str">
        <f>IF(心斎橋MアンドM4000円[[#This Row],[人数]]=0,"",IF(心斎橋MアンドM4000円[[#This Row],[人数]]&lt;=7,"",IF(心斎橋MアンドM4000円[[#This Row],[人数]]&lt;=15,$B$1,IF(心斎橋MアンドM4000円[[#This Row],[人数]]&lt;=23,$B$1*2,IF(心斎橋MアンドM4000円[[#This Row],[人数]]&lt;=31,$B$1*3,IF(心斎橋MアンドM4000円[[#This Row],[人数]]&lt;=39,$B$1*4,""))))))</f>
        <v/>
      </c>
      <c r="I35" s="19"/>
      <c r="J35" s="16" t="str">
        <f>IF(心斎橋MアンドM4000円[[#This Row],[人数]]="","",VLOOKUP(心斎橋MアンドM4000円[[#This Row],[人数]],バック金額②[#All],2,TRUE))</f>
        <v/>
      </c>
      <c r="L35" s="63">
        <f t="shared" si="1"/>
        <v>44865</v>
      </c>
      <c r="M35" s="17"/>
      <c r="N35" s="18"/>
      <c r="O35" s="15"/>
      <c r="P35" s="19"/>
      <c r="Q35" s="16" t="str">
        <f>IF(心斎橋MアンドM3500円[[#This Row],[人数]]="","",IF(心斎橋MアンドM3500円[[#This Row],[人数]]&lt;=7,$B$1*心斎橋MアンドM3500円[[#This Row],[人数]],$B$1*心斎橋MアンドM3500円[[#This Row],[人数]]-心斎橋MアンドM3500円[[#This Row],[幹事無料]]))</f>
        <v/>
      </c>
      <c r="R35" s="16" t="str">
        <f>IFERROR(($M$3*心斎橋MアンドM3500円[[#This Row],[人数]])-心斎橋MアンドM3500円[[#This Row],[単価合計]]-(心斎橋MアンドM3500円[[#This Row],[キャンセル人数]]*$B$2),"")</f>
        <v/>
      </c>
      <c r="S35" s="16" t="str">
        <f>IF(心斎橋MアンドM3500円[[#This Row],[人数]]=0,"",IF(心斎橋MアンドM3500円[[#This Row],[人数]]&lt;=7,"",IF(心斎橋MアンドM3500円[[#This Row],[人数]]&lt;=15,$B$1,IF(心斎橋MアンドM3500円[[#This Row],[人数]]&lt;=23,$B$1*2,IF(心斎橋MアンドM3500円[[#This Row],[人数]]&lt;=31,$B$1*3,IF(心斎橋MアンドM3500円[[#This Row],[人数]]&lt;=39,$B$1*4,""))))))</f>
        <v/>
      </c>
      <c r="T35" s="19"/>
      <c r="U35" s="16" t="str">
        <f>IF(心斎橋MアンドM3500円[[#This Row],[人数]]="","",VLOOKUP(心斎橋MアンドM3500円[[#This Row],[人数]],バック金額②[#All],2,TRUE))</f>
        <v/>
      </c>
    </row>
    <row r="36" spans="1:21">
      <c r="A36" s="69" t="s">
        <v>323</v>
      </c>
      <c r="B36" s="16">
        <f>SUM(心斎橋MアンドM4000円[[#All],[件数]])</f>
        <v>0</v>
      </c>
      <c r="C36" s="6"/>
      <c r="D36" s="16">
        <f>SUM(心斎橋MアンドM4000円[[#All],[人数]])</f>
        <v>0</v>
      </c>
      <c r="E36" s="16">
        <f>SUM(心斎橋MアンドM4000円[[#All],[Aパターン]])</f>
        <v>0</v>
      </c>
      <c r="F36" s="16">
        <f>SUM(心斎橋MアンドM4000円[[#All],[単価合計]])</f>
        <v>0</v>
      </c>
      <c r="G36" s="16">
        <f>SUM(心斎橋MアンドM4000円[[#All],[ゆうき取りに行く]])</f>
        <v>0</v>
      </c>
      <c r="H36" s="16"/>
      <c r="I36" s="16"/>
      <c r="J36" s="16">
        <f>SUM(心斎橋MアンドM4000円[[#All],[イベンターへ]])</f>
        <v>0</v>
      </c>
      <c r="L36" s="71" t="s">
        <v>323</v>
      </c>
      <c r="M36" s="16">
        <f>SUM(心斎橋MアンドM3500円[[#All],[件数]])</f>
        <v>0</v>
      </c>
      <c r="N36" s="6"/>
      <c r="O36" s="16">
        <f>SUM(心斎橋MアンドM3500円[[#All],[人数]])</f>
        <v>0</v>
      </c>
      <c r="P36" s="16">
        <f>SUM(心斎橋MアンドM3500円[[#All],[Aパターン]])</f>
        <v>0</v>
      </c>
      <c r="Q36" s="16">
        <f>SUM(心斎橋MアンドM3500円[[#All],[単価合計]])</f>
        <v>0</v>
      </c>
      <c r="R36" s="16">
        <f>SUM(心斎橋MアンドM3500円[[#All],[ゆうき取りに行く]])</f>
        <v>0</v>
      </c>
      <c r="S36" s="16"/>
      <c r="T36" s="16"/>
      <c r="U36" s="16">
        <f>SUM(心斎橋MアンドM3500円[[#All],[イベンターへ]])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A757C-376C-4B26-BAF4-C1AB808A5878}">
  <sheetPr codeName="Sheet17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5" s="42" t="str">
        <f>IFERROR(($B$3*心斎橋CSB4000円[[#This Row],[人数]])-心斎橋CSB4000円[[#This Row],[単価合計]]-(心斎橋CSB4000円[[#This Row],[キャンセル人数]]*$B$2),"")</f>
        <v/>
      </c>
      <c r="H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5" s="15"/>
      <c r="J5" s="42" t="str">
        <f>IF(心斎橋CSB4000円[[#This Row],[人数]]="","",VLOOKUP(心斎橋CSB4000円[[#This Row],[人数]],バック金額②[#All],2,TRUE)-(心斎橋CSB4000円[[#This Row],[キャンセル人数]]*$B$2))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5" s="42" t="str">
        <f>IFERROR(($M$3*心斎橋CSB3500円[[#This Row],[人数]])-心斎橋CSB3500円[[#This Row],[単価合計]]-(心斎橋CSB3500円[[#This Row],[キャンセル人数]]*$B$2),"")</f>
        <v/>
      </c>
      <c r="S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5" s="15"/>
      <c r="U5" s="42" t="str">
        <f>IF(心斎橋CSB3500円[[#This Row],[人数]]="","",VLOOKUP(心斎橋CSB3500円[[#This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6" s="42" t="str">
        <f>IFERROR(($B$3*心斎橋CSB4000円[[#This Row],[人数]])-心斎橋CSB4000円[[#This Row],[単価合計]]-(心斎橋CSB4000円[[#This Row],[キャンセル人数]]*$B$2),"")</f>
        <v/>
      </c>
      <c r="H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6" s="15"/>
      <c r="J6" s="42" t="str">
        <f>IF(心斎橋CSB4000円[[#This Row],[人数]]="","",VLOOKUP(心斎橋CSB4000円[[#This Row],[人数]],バック金額②[#All],2,TRUE)-(心斎橋CSB4000円[[#This Row],[キャンセル人数]]*$B$2))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6" s="42" t="str">
        <f>IFERROR(($M$3*心斎橋CSB3500円[[#This Row],[人数]])-心斎橋CSB3500円[[#This Row],[単価合計]]-(心斎橋CSB3500円[[#This Row],[キャンセル人数]]*$B$2),"")</f>
        <v/>
      </c>
      <c r="S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6" s="15"/>
      <c r="U6" s="42" t="str">
        <f>IF(心斎橋CSB3500円[[#This Row],[人数]]="","",VLOOKUP(心斎橋CSB3500円[[#This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7" s="42" t="str">
        <f>IFERROR(($B$3*心斎橋CSB4000円[[#This Row],[人数]])-心斎橋CSB4000円[[#This Row],[単価合計]]-(心斎橋CSB4000円[[#This Row],[キャンセル人数]]*$B$2),"")</f>
        <v/>
      </c>
      <c r="H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7" s="15"/>
      <c r="J7" s="42" t="str">
        <f>IF(心斎橋CSB4000円[[#This Row],[人数]]="","",VLOOKUP(心斎橋CSB4000円[[#This Row],[人数]],バック金額②[#All],2,TRUE)-(心斎橋CSB4000円[[#This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7" s="42" t="str">
        <f>IFERROR(($M$3*心斎橋CSB3500円[[#This Row],[人数]])-心斎橋CSB3500円[[#This Row],[単価合計]]-(心斎橋CSB3500円[[#This Row],[キャンセル人数]]*$B$2),"")</f>
        <v/>
      </c>
      <c r="S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7" s="15"/>
      <c r="U7" s="42" t="str">
        <f>IF(心斎橋CSB3500円[[#This Row],[人数]]="","",VLOOKUP(心斎橋CSB3500円[[#This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8" s="42" t="str">
        <f>IFERROR(($B$3*心斎橋CSB4000円[[#This Row],[人数]])-心斎橋CSB4000円[[#This Row],[単価合計]]-(心斎橋CSB4000円[[#This Row],[キャンセル人数]]*$B$2),"")</f>
        <v/>
      </c>
      <c r="H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8" s="15"/>
      <c r="J8" s="42" t="str">
        <f>IF(心斎橋CSB4000円[[#This Row],[人数]]="","",VLOOKUP(心斎橋CSB4000円[[#This Row],[人数]],バック金額②[#All],2,TRUE)-(心斎橋CSB4000円[[#This Row],[キャンセル人数]]*$B$2))</f>
        <v/>
      </c>
      <c r="L8" s="63">
        <f t="shared" si="1"/>
        <v>44838</v>
      </c>
      <c r="M8" s="13"/>
      <c r="N8" s="14"/>
      <c r="O8" s="15"/>
      <c r="P8" s="15"/>
      <c r="Q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8" s="42" t="str">
        <f>IFERROR(($M$3*心斎橋CSB3500円[[#This Row],[人数]])-心斎橋CSB3500円[[#This Row],[単価合計]]-(心斎橋CSB3500円[[#This Row],[キャンセル人数]]*$B$2),"")</f>
        <v/>
      </c>
      <c r="S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8" s="15"/>
      <c r="U8" s="42" t="str">
        <f>IF(心斎橋CSB3500円[[#This Row],[人数]]="","",VLOOKUP(心斎橋CSB3500円[[#This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9" s="42" t="str">
        <f>IFERROR(($B$3*心斎橋CSB4000円[[#This Row],[人数]])-心斎橋CSB4000円[[#This Row],[単価合計]]-(心斎橋CSB4000円[[#This Row],[キャンセル人数]]*$B$2),"")</f>
        <v/>
      </c>
      <c r="H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9" s="15"/>
      <c r="J9" s="42" t="str">
        <f>IF(心斎橋CSB4000円[[#This Row],[人数]]="","",VLOOKUP(心斎橋CSB4000円[[#This Row],[人数]],バック金額②[#All],2,TRUE)-(心斎橋CSB4000円[[#This Row],[キャンセル人数]]*$B$2))</f>
        <v/>
      </c>
      <c r="L9" s="63">
        <f t="shared" si="1"/>
        <v>44839</v>
      </c>
      <c r="M9" s="13"/>
      <c r="N9" s="14"/>
      <c r="O9" s="15"/>
      <c r="P9" s="15"/>
      <c r="Q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9" s="42" t="str">
        <f>IFERROR(($M$3*心斎橋CSB3500円[[#This Row],[人数]])-心斎橋CSB3500円[[#This Row],[単価合計]]-(心斎橋CSB3500円[[#This Row],[キャンセル人数]]*$B$2),"")</f>
        <v/>
      </c>
      <c r="S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9" s="15"/>
      <c r="U9" s="42" t="str">
        <f>IF(心斎橋CSB3500円[[#This Row],[人数]]="","",VLOOKUP(心斎橋CSB3500円[[#This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0" s="42" t="str">
        <f>IFERROR(($B$3*心斎橋CSB4000円[[#This Row],[人数]])-心斎橋CSB4000円[[#This Row],[単価合計]]-(心斎橋CSB4000円[[#This Row],[キャンセル人数]]*$B$2),"")</f>
        <v/>
      </c>
      <c r="H1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0" s="15"/>
      <c r="J10" s="42" t="str">
        <f>IF(心斎橋CSB4000円[[#This Row],[人数]]="","",VLOOKUP(心斎橋CSB4000円[[#This Row],[人数]],バック金額②[#All],2,TRUE)-(心斎橋CSB4000円[[#This Row],[キャンセル人数]]*$B$2))</f>
        <v/>
      </c>
      <c r="L10" s="63">
        <f t="shared" si="1"/>
        <v>44840</v>
      </c>
      <c r="M10" s="13"/>
      <c r="N10" s="14"/>
      <c r="O10" s="15"/>
      <c r="P10" s="15"/>
      <c r="Q1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0" s="42" t="str">
        <f>IFERROR(($M$3*心斎橋CSB3500円[[#This Row],[人数]])-心斎橋CSB3500円[[#This Row],[単価合計]]-(心斎橋CSB3500円[[#This Row],[キャンセル人数]]*$B$2),"")</f>
        <v/>
      </c>
      <c r="S1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0" s="15"/>
      <c r="U10" s="42" t="str">
        <f>IF(心斎橋CSB3500円[[#This Row],[人数]]="","",VLOOKUP(心斎橋CSB3500円[[#This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1" s="42" t="str">
        <f>IFERROR(($B$3*心斎橋CSB4000円[[#This Row],[人数]])-心斎橋CSB4000円[[#This Row],[単価合計]]-(心斎橋CSB4000円[[#This Row],[キャンセル人数]]*$B$2),"")</f>
        <v/>
      </c>
      <c r="H1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1" s="15"/>
      <c r="J11" s="42" t="str">
        <f>IF(心斎橋CSB4000円[[#This Row],[人数]]="","",VLOOKUP(心斎橋CSB4000円[[#This Row],[人数]],バック金額②[#All],2,TRUE)-(心斎橋CSB4000円[[#This Row],[キャンセル人数]]*$B$2))</f>
        <v/>
      </c>
      <c r="L11" s="63">
        <f t="shared" si="1"/>
        <v>44841</v>
      </c>
      <c r="M11" s="13"/>
      <c r="N11" s="14"/>
      <c r="O11" s="15"/>
      <c r="P11" s="15"/>
      <c r="Q1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1" s="42" t="str">
        <f>IFERROR(($M$3*心斎橋CSB3500円[[#This Row],[人数]])-心斎橋CSB3500円[[#This Row],[単価合計]]-(心斎橋CSB3500円[[#This Row],[キャンセル人数]]*$B$2),"")</f>
        <v/>
      </c>
      <c r="S1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1" s="15"/>
      <c r="U11" s="42" t="str">
        <f>IF(心斎橋CSB3500円[[#This Row],[人数]]="","",VLOOKUP(心斎橋CSB3500円[[#This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2" s="42" t="str">
        <f>IFERROR(($B$3*心斎橋CSB4000円[[#This Row],[人数]])-心斎橋CSB4000円[[#This Row],[単価合計]]-(心斎橋CSB4000円[[#This Row],[キャンセル人数]]*$B$2),"")</f>
        <v/>
      </c>
      <c r="H1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2" s="15"/>
      <c r="J12" s="42" t="str">
        <f>IF(心斎橋CSB4000円[[#This Row],[人数]]="","",VLOOKUP(心斎橋CSB4000円[[#This Row],[人数]],バック金額②[#All],2,TRUE)-(心斎橋CSB4000円[[#This Row],[キャンセル人数]]*$B$2))</f>
        <v/>
      </c>
      <c r="L12" s="63">
        <f t="shared" si="1"/>
        <v>44842</v>
      </c>
      <c r="M12" s="13"/>
      <c r="N12" s="14"/>
      <c r="O12" s="15"/>
      <c r="P12" s="15"/>
      <c r="Q1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2" s="42" t="str">
        <f>IFERROR(($M$3*心斎橋CSB3500円[[#This Row],[人数]])-心斎橋CSB3500円[[#This Row],[単価合計]]-(心斎橋CSB3500円[[#This Row],[キャンセル人数]]*$B$2),"")</f>
        <v/>
      </c>
      <c r="S1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2" s="15"/>
      <c r="U12" s="42" t="str">
        <f>IF(心斎橋CSB3500円[[#This Row],[人数]]="","",VLOOKUP(心斎橋CSB3500円[[#This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3" s="42" t="str">
        <f>IFERROR(($B$3*心斎橋CSB4000円[[#This Row],[人数]])-心斎橋CSB4000円[[#This Row],[単価合計]]-(心斎橋CSB4000円[[#This Row],[キャンセル人数]]*$B$2),"")</f>
        <v/>
      </c>
      <c r="H1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3" s="15"/>
      <c r="J13" s="42" t="str">
        <f>IF(心斎橋CSB4000円[[#This Row],[人数]]="","",VLOOKUP(心斎橋CSB4000円[[#This Row],[人数]],バック金額②[#All],2,TRUE)-(心斎橋CSB4000円[[#This Row],[キャンセル人数]]*$B$2))</f>
        <v/>
      </c>
      <c r="L13" s="63">
        <f t="shared" si="1"/>
        <v>44843</v>
      </c>
      <c r="M13" s="13"/>
      <c r="N13" s="14"/>
      <c r="O13" s="15"/>
      <c r="P13" s="15"/>
      <c r="Q1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3" s="42" t="str">
        <f>IFERROR(($M$3*心斎橋CSB3500円[[#This Row],[人数]])-心斎橋CSB3500円[[#This Row],[単価合計]]-(心斎橋CSB3500円[[#This Row],[キャンセル人数]]*$B$2),"")</f>
        <v/>
      </c>
      <c r="S1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3" s="15"/>
      <c r="U13" s="42" t="str">
        <f>IF(心斎橋CSB3500円[[#This Row],[人数]]="","",VLOOKUP(心斎橋CSB3500円[[#This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4" s="42" t="str">
        <f>IFERROR(($B$3*心斎橋CSB4000円[[#This Row],[人数]])-心斎橋CSB4000円[[#This Row],[単価合計]]-(心斎橋CSB4000円[[#This Row],[キャンセル人数]]*$B$2),"")</f>
        <v/>
      </c>
      <c r="H1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4" s="15"/>
      <c r="J14" s="42" t="str">
        <f>IF(心斎橋CSB4000円[[#This Row],[人数]]="","",VLOOKUP(心斎橋CSB4000円[[#This Row],[人数]],バック金額②[#All],2,TRUE)-(心斎橋CSB4000円[[#This Row],[キャンセル人数]]*$B$2))</f>
        <v/>
      </c>
      <c r="L14" s="63">
        <f t="shared" si="1"/>
        <v>44844</v>
      </c>
      <c r="M14" s="13"/>
      <c r="N14" s="14"/>
      <c r="O14" s="15"/>
      <c r="P14" s="15"/>
      <c r="Q1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4" s="42" t="str">
        <f>IFERROR(($M$3*心斎橋CSB3500円[[#This Row],[人数]])-心斎橋CSB3500円[[#This Row],[単価合計]]-(心斎橋CSB3500円[[#This Row],[キャンセル人数]]*$B$2),"")</f>
        <v/>
      </c>
      <c r="S1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4" s="15"/>
      <c r="U14" s="42" t="str">
        <f>IF(心斎橋CSB3500円[[#This Row],[人数]]="","",VLOOKUP(心斎橋CSB3500円[[#This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5" s="42" t="str">
        <f>IFERROR(($B$3*心斎橋CSB4000円[[#This Row],[人数]])-心斎橋CSB4000円[[#This Row],[単価合計]]-(心斎橋CSB4000円[[#This Row],[キャンセル人数]]*$B$2),"")</f>
        <v/>
      </c>
      <c r="H1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5" s="15"/>
      <c r="J15" s="42" t="str">
        <f>IF(心斎橋CSB4000円[[#This Row],[人数]]="","",VLOOKUP(心斎橋CSB4000円[[#This Row],[人数]],バック金額②[#All],2,TRUE)-(心斎橋CSB4000円[[#This Row],[キャンセル人数]]*$B$2))</f>
        <v/>
      </c>
      <c r="L15" s="63">
        <f t="shared" si="1"/>
        <v>44845</v>
      </c>
      <c r="M15" s="13"/>
      <c r="N15" s="14"/>
      <c r="O15" s="15"/>
      <c r="P15" s="15"/>
      <c r="Q1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5" s="42" t="str">
        <f>IFERROR(($M$3*心斎橋CSB3500円[[#This Row],[人数]])-心斎橋CSB3500円[[#This Row],[単価合計]]-(心斎橋CSB3500円[[#This Row],[キャンセル人数]]*$B$2),"")</f>
        <v/>
      </c>
      <c r="S1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5" s="15"/>
      <c r="U15" s="42" t="str">
        <f>IF(心斎橋CSB3500円[[#This Row],[人数]]="","",VLOOKUP(心斎橋CSB3500円[[#This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6" s="42" t="str">
        <f>IFERROR(($B$3*心斎橋CSB4000円[[#This Row],[人数]])-心斎橋CSB4000円[[#This Row],[単価合計]]-(心斎橋CSB4000円[[#This Row],[キャンセル人数]]*$B$2),"")</f>
        <v/>
      </c>
      <c r="H1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6" s="15"/>
      <c r="J16" s="42" t="str">
        <f>IF(心斎橋CSB4000円[[#This Row],[人数]]="","",VLOOKUP(心斎橋CSB4000円[[#This Row],[人数]],バック金額②[#All],2,TRUE)-(心斎橋CSB4000円[[#This Row],[キャンセル人数]]*$B$2))</f>
        <v/>
      </c>
      <c r="L16" s="63">
        <f t="shared" si="1"/>
        <v>44846</v>
      </c>
      <c r="M16" s="13"/>
      <c r="N16" s="14"/>
      <c r="O16" s="15"/>
      <c r="P16" s="15"/>
      <c r="Q1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6" s="42" t="str">
        <f>IFERROR(($M$3*心斎橋CSB3500円[[#This Row],[人数]])-心斎橋CSB3500円[[#This Row],[単価合計]]-(心斎橋CSB3500円[[#This Row],[キャンセル人数]]*$B$2),"")</f>
        <v/>
      </c>
      <c r="S1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6" s="15"/>
      <c r="U16" s="42" t="str">
        <f>IF(心斎橋CSB3500円[[#This Row],[人数]]="","",VLOOKUP(心斎橋CSB3500円[[#This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7" s="42" t="str">
        <f>IFERROR(($B$3*心斎橋CSB4000円[[#This Row],[人数]])-心斎橋CSB4000円[[#This Row],[単価合計]]-(心斎橋CSB4000円[[#This Row],[キャンセル人数]]*$B$2),"")</f>
        <v/>
      </c>
      <c r="H1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7" s="15"/>
      <c r="J17" s="42" t="str">
        <f>IF(心斎橋CSB4000円[[#This Row],[人数]]="","",VLOOKUP(心斎橋CSB4000円[[#This Row],[人数]],バック金額②[#All],2,TRUE)-(心斎橋CSB4000円[[#This Row],[キャンセル人数]]*$B$2))</f>
        <v/>
      </c>
      <c r="L17" s="63">
        <f t="shared" si="1"/>
        <v>44847</v>
      </c>
      <c r="M17" s="13"/>
      <c r="N17" s="14"/>
      <c r="O17" s="15"/>
      <c r="P17" s="15"/>
      <c r="Q1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7" s="42" t="str">
        <f>IFERROR(($M$3*心斎橋CSB3500円[[#This Row],[人数]])-心斎橋CSB3500円[[#This Row],[単価合計]]-(心斎橋CSB3500円[[#This Row],[キャンセル人数]]*$B$2),"")</f>
        <v/>
      </c>
      <c r="S1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7" s="15"/>
      <c r="U17" s="42" t="str">
        <f>IF(心斎橋CSB3500円[[#This Row],[人数]]="","",VLOOKUP(心斎橋CSB3500円[[#This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8" s="42" t="str">
        <f>IFERROR(($B$3*心斎橋CSB4000円[[#This Row],[人数]])-心斎橋CSB4000円[[#This Row],[単価合計]]-(心斎橋CSB4000円[[#This Row],[キャンセル人数]]*$B$2),"")</f>
        <v/>
      </c>
      <c r="H1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8" s="15"/>
      <c r="J18" s="42" t="str">
        <f>IF(心斎橋CSB4000円[[#This Row],[人数]]="","",VLOOKUP(心斎橋CSB4000円[[#This Row],[人数]],バック金額②[#All],2,TRUE)-(心斎橋CSB4000円[[#This Row],[キャンセル人数]]*$B$2))</f>
        <v/>
      </c>
      <c r="L18" s="63">
        <f t="shared" si="1"/>
        <v>44848</v>
      </c>
      <c r="M18" s="13"/>
      <c r="N18" s="14"/>
      <c r="O18" s="15"/>
      <c r="P18" s="15"/>
      <c r="Q1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8" s="42" t="str">
        <f>IFERROR(($M$3*心斎橋CSB3500円[[#This Row],[人数]])-心斎橋CSB3500円[[#This Row],[単価合計]]-(心斎橋CSB3500円[[#This Row],[キャンセル人数]]*$B$2),"")</f>
        <v/>
      </c>
      <c r="S1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8" s="15"/>
      <c r="U18" s="42" t="str">
        <f>IF(心斎橋CSB3500円[[#This Row],[人数]]="","",VLOOKUP(心斎橋CSB3500円[[#This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19" s="42" t="str">
        <f>IFERROR(($B$3*心斎橋CSB4000円[[#This Row],[人数]])-心斎橋CSB4000円[[#This Row],[単価合計]]-(心斎橋CSB4000円[[#This Row],[キャンセル人数]]*$B$2),"")</f>
        <v/>
      </c>
      <c r="H1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19" s="15"/>
      <c r="J19" s="42" t="str">
        <f>IF(心斎橋CSB4000円[[#This Row],[人数]]="","",VLOOKUP(心斎橋CSB4000円[[#This Row],[人数]],バック金額②[#All],2,TRUE)-(心斎橋CSB4000円[[#This Row],[キャンセル人数]]*$B$2))</f>
        <v/>
      </c>
      <c r="L19" s="63">
        <f t="shared" si="1"/>
        <v>44849</v>
      </c>
      <c r="M19" s="13"/>
      <c r="N19" s="14"/>
      <c r="O19" s="15"/>
      <c r="P19" s="15"/>
      <c r="Q1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19" s="42" t="str">
        <f>IFERROR(($M$3*心斎橋CSB3500円[[#This Row],[人数]])-心斎橋CSB3500円[[#This Row],[単価合計]]-(心斎橋CSB3500円[[#This Row],[キャンセル人数]]*$B$2),"")</f>
        <v/>
      </c>
      <c r="S1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19" s="15"/>
      <c r="U19" s="42" t="str">
        <f>IF(心斎橋CSB3500円[[#This Row],[人数]]="","",VLOOKUP(心斎橋CSB3500円[[#This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0" s="42" t="str">
        <f>IFERROR(($B$3*心斎橋CSB4000円[[#This Row],[人数]])-心斎橋CSB4000円[[#This Row],[単価合計]]-(心斎橋CSB4000円[[#This Row],[キャンセル人数]]*$B$2),"")</f>
        <v/>
      </c>
      <c r="H2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0" s="15"/>
      <c r="J20" s="42" t="str">
        <f>IF(心斎橋CSB4000円[[#This Row],[人数]]="","",VLOOKUP(心斎橋CSB4000円[[#This Row],[人数]],バック金額②[#All],2,TRUE)-(心斎橋CSB4000円[[#This Row],[キャンセル人数]]*$B$2))</f>
        <v/>
      </c>
      <c r="L20" s="63">
        <f t="shared" si="1"/>
        <v>44850</v>
      </c>
      <c r="M20" s="13"/>
      <c r="N20" s="14"/>
      <c r="O20" s="15"/>
      <c r="P20" s="15"/>
      <c r="Q2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0" s="42" t="str">
        <f>IFERROR(($M$3*心斎橋CSB3500円[[#This Row],[人数]])-心斎橋CSB3500円[[#This Row],[単価合計]]-(心斎橋CSB3500円[[#This Row],[キャンセル人数]]*$B$2),"")</f>
        <v/>
      </c>
      <c r="S2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0" s="15"/>
      <c r="U20" s="42" t="str">
        <f>IF(心斎橋CSB3500円[[#This Row],[人数]]="","",VLOOKUP(心斎橋CSB3500円[[#This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1" s="42" t="str">
        <f>IFERROR(($B$3*心斎橋CSB4000円[[#This Row],[人数]])-心斎橋CSB4000円[[#This Row],[単価合計]]-(心斎橋CSB4000円[[#This Row],[キャンセル人数]]*$B$2),"")</f>
        <v/>
      </c>
      <c r="H2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1" s="15"/>
      <c r="J21" s="42" t="str">
        <f>IF(心斎橋CSB4000円[[#This Row],[人数]]="","",VLOOKUP(心斎橋CSB4000円[[#This Row],[人数]],バック金額②[#All],2,TRUE)-(心斎橋CSB4000円[[#This Row],[キャンセル人数]]*$B$2))</f>
        <v/>
      </c>
      <c r="L21" s="63">
        <f t="shared" si="1"/>
        <v>44851</v>
      </c>
      <c r="M21" s="13"/>
      <c r="N21" s="14"/>
      <c r="O21" s="15"/>
      <c r="P21" s="15"/>
      <c r="Q2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1" s="42" t="str">
        <f>IFERROR(($M$3*心斎橋CSB3500円[[#This Row],[人数]])-心斎橋CSB3500円[[#This Row],[単価合計]]-(心斎橋CSB3500円[[#This Row],[キャンセル人数]]*$B$2),"")</f>
        <v/>
      </c>
      <c r="S2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1" s="15"/>
      <c r="U21" s="42" t="str">
        <f>IF(心斎橋CSB3500円[[#This Row],[人数]]="","",VLOOKUP(心斎橋CSB3500円[[#This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2" s="42" t="str">
        <f>IFERROR(($B$3*心斎橋CSB4000円[[#This Row],[人数]])-心斎橋CSB4000円[[#This Row],[単価合計]]-(心斎橋CSB4000円[[#This Row],[キャンセル人数]]*$B$2),"")</f>
        <v/>
      </c>
      <c r="H2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2" s="15"/>
      <c r="J22" s="42" t="str">
        <f>IF(心斎橋CSB4000円[[#This Row],[人数]]="","",VLOOKUP(心斎橋CSB4000円[[#This Row],[人数]],バック金額②[#All],2,TRUE)-(心斎橋CSB4000円[[#This Row],[キャンセル人数]]*$B$2))</f>
        <v/>
      </c>
      <c r="L22" s="63">
        <f t="shared" si="1"/>
        <v>44852</v>
      </c>
      <c r="M22" s="13"/>
      <c r="N22" s="14"/>
      <c r="O22" s="15"/>
      <c r="P22" s="15"/>
      <c r="Q2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2" s="42" t="str">
        <f>IFERROR(($M$3*心斎橋CSB3500円[[#This Row],[人数]])-心斎橋CSB3500円[[#This Row],[単価合計]]-(心斎橋CSB3500円[[#This Row],[キャンセル人数]]*$B$2),"")</f>
        <v/>
      </c>
      <c r="S2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2" s="15"/>
      <c r="U22" s="42" t="str">
        <f>IF(心斎橋CSB3500円[[#This Row],[人数]]="","",VLOOKUP(心斎橋CSB3500円[[#This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3" s="42" t="str">
        <f>IFERROR(($B$3*心斎橋CSB4000円[[#This Row],[人数]])-心斎橋CSB4000円[[#This Row],[単価合計]]-(心斎橋CSB4000円[[#This Row],[キャンセル人数]]*$B$2),"")</f>
        <v/>
      </c>
      <c r="H2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3" s="15"/>
      <c r="J23" s="42" t="str">
        <f>IF(心斎橋CSB4000円[[#This Row],[人数]]="","",VLOOKUP(心斎橋CSB4000円[[#This Row],[人数]],バック金額②[#All],2,TRUE)-(心斎橋CSB4000円[[#This Row],[キャンセル人数]]*$B$2))</f>
        <v/>
      </c>
      <c r="L23" s="63">
        <f t="shared" si="1"/>
        <v>44853</v>
      </c>
      <c r="M23" s="13"/>
      <c r="N23" s="14"/>
      <c r="O23" s="15"/>
      <c r="P23" s="15"/>
      <c r="Q2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3" s="42" t="str">
        <f>IFERROR(($M$3*心斎橋CSB3500円[[#This Row],[人数]])-心斎橋CSB3500円[[#This Row],[単価合計]]-(心斎橋CSB3500円[[#This Row],[キャンセル人数]]*$B$2),"")</f>
        <v/>
      </c>
      <c r="S2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3" s="15"/>
      <c r="U23" s="42" t="str">
        <f>IF(心斎橋CSB3500円[[#This Row],[人数]]="","",VLOOKUP(心斎橋CSB3500円[[#This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4" s="42" t="str">
        <f>IFERROR(($B$3*心斎橋CSB4000円[[#This Row],[人数]])-心斎橋CSB4000円[[#This Row],[単価合計]]-(心斎橋CSB4000円[[#This Row],[キャンセル人数]]*$B$2),"")</f>
        <v/>
      </c>
      <c r="H2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4" s="15"/>
      <c r="J24" s="42" t="str">
        <f>IF(心斎橋CSB4000円[[#This Row],[人数]]="","",VLOOKUP(心斎橋CSB4000円[[#This Row],[人数]],バック金額②[#All],2,TRUE)-(心斎橋CSB4000円[[#This Row],[キャンセル人数]]*$B$2))</f>
        <v/>
      </c>
      <c r="L24" s="63">
        <f t="shared" si="1"/>
        <v>44854</v>
      </c>
      <c r="M24" s="13"/>
      <c r="N24" s="14"/>
      <c r="O24" s="15"/>
      <c r="P24" s="15"/>
      <c r="Q2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4" s="42" t="str">
        <f>IFERROR(($M$3*心斎橋CSB3500円[[#This Row],[人数]])-心斎橋CSB3500円[[#This Row],[単価合計]]-(心斎橋CSB3500円[[#This Row],[キャンセル人数]]*$B$2),"")</f>
        <v/>
      </c>
      <c r="S2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4" s="15"/>
      <c r="U24" s="42" t="str">
        <f>IF(心斎橋CSB3500円[[#This Row],[人数]]="","",VLOOKUP(心斎橋CSB3500円[[#This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5" s="42" t="str">
        <f>IFERROR(($B$3*心斎橋CSB4000円[[#This Row],[人数]])-心斎橋CSB4000円[[#This Row],[単価合計]]-(心斎橋CSB4000円[[#This Row],[キャンセル人数]]*$B$2),"")</f>
        <v/>
      </c>
      <c r="H2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5" s="15"/>
      <c r="J25" s="42" t="str">
        <f>IF(心斎橋CSB4000円[[#This Row],[人数]]="","",VLOOKUP(心斎橋CSB4000円[[#This Row],[人数]],バック金額②[#All],2,TRUE)-(心斎橋CSB4000円[[#This Row],[キャンセル人数]]*$B$2))</f>
        <v/>
      </c>
      <c r="L25" s="63">
        <f t="shared" si="1"/>
        <v>44855</v>
      </c>
      <c r="M25" s="13"/>
      <c r="N25" s="14"/>
      <c r="O25" s="15"/>
      <c r="P25" s="15"/>
      <c r="Q2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5" s="42" t="str">
        <f>IFERROR(($M$3*心斎橋CSB3500円[[#This Row],[人数]])-心斎橋CSB3500円[[#This Row],[単価合計]]-(心斎橋CSB3500円[[#This Row],[キャンセル人数]]*$B$2),"")</f>
        <v/>
      </c>
      <c r="S2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5" s="15"/>
      <c r="U25" s="42" t="str">
        <f>IF(心斎橋CSB3500円[[#This Row],[人数]]="","",VLOOKUP(心斎橋CSB3500円[[#This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6" s="42" t="str">
        <f>IFERROR(($B$3*心斎橋CSB4000円[[#This Row],[人数]])-心斎橋CSB4000円[[#This Row],[単価合計]]-(心斎橋CSB4000円[[#This Row],[キャンセル人数]]*$B$2),"")</f>
        <v/>
      </c>
      <c r="H26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6" s="15"/>
      <c r="J26" s="42" t="str">
        <f>IF(心斎橋CSB4000円[[#This Row],[人数]]="","",VLOOKUP(心斎橋CSB4000円[[#This Row],[人数]],バック金額②[#All],2,TRUE)-(心斎橋CSB4000円[[#This Row],[キャンセル人数]]*$B$2))</f>
        <v/>
      </c>
      <c r="L26" s="63">
        <f t="shared" si="1"/>
        <v>44856</v>
      </c>
      <c r="M26" s="13"/>
      <c r="N26" s="14"/>
      <c r="O26" s="15"/>
      <c r="P26" s="15"/>
      <c r="Q26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6" s="42" t="str">
        <f>IFERROR(($M$3*心斎橋CSB3500円[[#This Row],[人数]])-心斎橋CSB3500円[[#This Row],[単価合計]]-(心斎橋CSB3500円[[#This Row],[キャンセル人数]]*$B$2),"")</f>
        <v/>
      </c>
      <c r="S26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6" s="15"/>
      <c r="U26" s="42" t="str">
        <f>IF(心斎橋CSB3500円[[#This Row],[人数]]="","",VLOOKUP(心斎橋CSB3500円[[#This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7" s="42" t="str">
        <f>IFERROR(($B$3*心斎橋CSB4000円[[#This Row],[人数]])-心斎橋CSB4000円[[#This Row],[単価合計]]-(心斎橋CSB4000円[[#This Row],[キャンセル人数]]*$B$2),"")</f>
        <v/>
      </c>
      <c r="H27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7" s="15"/>
      <c r="J27" s="42" t="str">
        <f>IF(心斎橋CSB4000円[[#This Row],[人数]]="","",VLOOKUP(心斎橋CSB4000円[[#This Row],[人数]],バック金額②[#All],2,TRUE)-(心斎橋CSB4000円[[#This Row],[キャンセル人数]]*$B$2))</f>
        <v/>
      </c>
      <c r="L27" s="63">
        <f t="shared" si="1"/>
        <v>44857</v>
      </c>
      <c r="M27" s="13"/>
      <c r="N27" s="14"/>
      <c r="O27" s="15"/>
      <c r="P27" s="15"/>
      <c r="Q27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7" s="42" t="str">
        <f>IFERROR(($M$3*心斎橋CSB3500円[[#This Row],[人数]])-心斎橋CSB3500円[[#This Row],[単価合計]]-(心斎橋CSB3500円[[#This Row],[キャンセル人数]]*$B$2),"")</f>
        <v/>
      </c>
      <c r="S27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7" s="15"/>
      <c r="U27" s="42" t="str">
        <f>IF(心斎橋CSB3500円[[#This Row],[人数]]="","",VLOOKUP(心斎橋CSB3500円[[#This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8" s="42" t="str">
        <f>IFERROR(($B$3*心斎橋CSB4000円[[#This Row],[人数]])-心斎橋CSB4000円[[#This Row],[単価合計]]-(心斎橋CSB4000円[[#This Row],[キャンセル人数]]*$B$2),"")</f>
        <v/>
      </c>
      <c r="H28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8" s="15"/>
      <c r="J28" s="42" t="str">
        <f>IF(心斎橋CSB4000円[[#This Row],[人数]]="","",VLOOKUP(心斎橋CSB4000円[[#This Row],[人数]],バック金額②[#All],2,TRUE)-(心斎橋CSB4000円[[#This Row],[キャンセル人数]]*$B$2))</f>
        <v/>
      </c>
      <c r="L28" s="63">
        <f t="shared" si="1"/>
        <v>44858</v>
      </c>
      <c r="M28" s="13"/>
      <c r="N28" s="14"/>
      <c r="O28" s="15"/>
      <c r="P28" s="15"/>
      <c r="Q28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8" s="42" t="str">
        <f>IFERROR(($M$3*心斎橋CSB3500円[[#This Row],[人数]])-心斎橋CSB3500円[[#This Row],[単価合計]]-(心斎橋CSB3500円[[#This Row],[キャンセル人数]]*$B$2),"")</f>
        <v/>
      </c>
      <c r="S28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8" s="15"/>
      <c r="U28" s="42" t="str">
        <f>IF(心斎橋CSB3500円[[#This Row],[人数]]="","",VLOOKUP(心斎橋CSB3500円[[#This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29" s="42" t="str">
        <f>IFERROR(($B$3*心斎橋CSB4000円[[#This Row],[人数]])-心斎橋CSB4000円[[#This Row],[単価合計]]-(心斎橋CSB4000円[[#This Row],[キャンセル人数]]*$B$2),"")</f>
        <v/>
      </c>
      <c r="H29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29" s="15"/>
      <c r="J29" s="42" t="str">
        <f>IF(心斎橋CSB4000円[[#This Row],[人数]]="","",VLOOKUP(心斎橋CSB4000円[[#This Row],[人数]],バック金額②[#All],2,TRUE)-(心斎橋CSB4000円[[#This Row],[キャンセル人数]]*$B$2))</f>
        <v/>
      </c>
      <c r="L29" s="63">
        <f t="shared" si="1"/>
        <v>44859</v>
      </c>
      <c r="M29" s="13"/>
      <c r="N29" s="14"/>
      <c r="O29" s="15"/>
      <c r="P29" s="15"/>
      <c r="Q29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29" s="42" t="str">
        <f>IFERROR(($M$3*心斎橋CSB3500円[[#This Row],[人数]])-心斎橋CSB3500円[[#This Row],[単価合計]]-(心斎橋CSB3500円[[#This Row],[キャンセル人数]]*$B$2),"")</f>
        <v/>
      </c>
      <c r="S29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29" s="15"/>
      <c r="U29" s="42" t="str">
        <f>IF(心斎橋CSB3500円[[#This Row],[人数]]="","",VLOOKUP(心斎橋CSB3500円[[#This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0" s="42" t="str">
        <f>IFERROR(($B$3*心斎橋CSB4000円[[#This Row],[人数]])-心斎橋CSB4000円[[#This Row],[単価合計]]-(心斎橋CSB4000円[[#This Row],[キャンセル人数]]*$B$2),"")</f>
        <v/>
      </c>
      <c r="H30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0" s="15"/>
      <c r="J30" s="42" t="str">
        <f>IF(心斎橋CSB4000円[[#This Row],[人数]]="","",VLOOKUP(心斎橋CSB4000円[[#This Row],[人数]],バック金額②[#All],2,TRUE)-(心斎橋CSB4000円[[#This Row],[キャンセル人数]]*$B$2))</f>
        <v/>
      </c>
      <c r="L30" s="63">
        <f t="shared" si="1"/>
        <v>44860</v>
      </c>
      <c r="M30" s="13"/>
      <c r="N30" s="14"/>
      <c r="O30" s="15"/>
      <c r="P30" s="15"/>
      <c r="Q30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0" s="42" t="str">
        <f>IFERROR(($M$3*心斎橋CSB3500円[[#This Row],[人数]])-心斎橋CSB3500円[[#This Row],[単価合計]]-(心斎橋CSB3500円[[#This Row],[キャンセル人数]]*$B$2),"")</f>
        <v/>
      </c>
      <c r="S30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0" s="15"/>
      <c r="U30" s="42" t="str">
        <f>IF(心斎橋CSB3500円[[#This Row],[人数]]="","",VLOOKUP(心斎橋CSB3500円[[#This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1" s="42" t="str">
        <f>IFERROR(($B$3*心斎橋CSB4000円[[#This Row],[人数]])-心斎橋CSB4000円[[#This Row],[単価合計]]-(心斎橋CSB4000円[[#This Row],[キャンセル人数]]*$B$2),"")</f>
        <v/>
      </c>
      <c r="H31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1" s="15"/>
      <c r="J31" s="42" t="str">
        <f>IF(心斎橋CSB4000円[[#This Row],[人数]]="","",VLOOKUP(心斎橋CSB4000円[[#This Row],[人数]],バック金額②[#All],2,TRUE)-(心斎橋CSB4000円[[#This Row],[キャンセル人数]]*$B$2))</f>
        <v/>
      </c>
      <c r="L31" s="63">
        <f t="shared" si="1"/>
        <v>44861</v>
      </c>
      <c r="M31" s="13"/>
      <c r="N31" s="14"/>
      <c r="O31" s="15"/>
      <c r="P31" s="15"/>
      <c r="Q31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1" s="42" t="str">
        <f>IFERROR(($M$3*心斎橋CSB3500円[[#This Row],[人数]])-心斎橋CSB3500円[[#This Row],[単価合計]]-(心斎橋CSB3500円[[#This Row],[キャンセル人数]]*$B$2),"")</f>
        <v/>
      </c>
      <c r="S31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1" s="15"/>
      <c r="U31" s="42" t="str">
        <f>IF(心斎橋CSB3500円[[#This Row],[人数]]="","",VLOOKUP(心斎橋CSB3500円[[#This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2" s="42" t="str">
        <f>IFERROR(($B$3*心斎橋CSB4000円[[#This Row],[人数]])-心斎橋CSB4000円[[#This Row],[単価合計]]-(心斎橋CSB4000円[[#This Row],[キャンセル人数]]*$B$2),"")</f>
        <v/>
      </c>
      <c r="H32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2" s="15"/>
      <c r="J32" s="42" t="str">
        <f>IF(心斎橋CSB4000円[[#This Row],[人数]]="","",VLOOKUP(心斎橋CSB4000円[[#This Row],[人数]],バック金額②[#All],2,TRUE)-(心斎橋CSB4000円[[#This Row],[キャンセル人数]]*$B$2))</f>
        <v/>
      </c>
      <c r="L32" s="63">
        <f t="shared" si="1"/>
        <v>44862</v>
      </c>
      <c r="M32" s="13"/>
      <c r="N32" s="14"/>
      <c r="O32" s="15"/>
      <c r="P32" s="15"/>
      <c r="Q32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2" s="42" t="str">
        <f>IFERROR(($M$3*心斎橋CSB3500円[[#This Row],[人数]])-心斎橋CSB3500円[[#This Row],[単価合計]]-(心斎橋CSB3500円[[#This Row],[キャンセル人数]]*$B$2),"")</f>
        <v/>
      </c>
      <c r="S32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2" s="15"/>
      <c r="U32" s="42" t="str">
        <f>IF(心斎橋CSB3500円[[#This Row],[人数]]="","",VLOOKUP(心斎橋CSB3500円[[#This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3" s="42" t="str">
        <f>IFERROR(($B$3*心斎橋CSB4000円[[#This Row],[人数]])-心斎橋CSB4000円[[#This Row],[単価合計]]-(心斎橋CSB4000円[[#This Row],[キャンセル人数]]*$B$2),"")</f>
        <v/>
      </c>
      <c r="H33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3" s="15"/>
      <c r="J33" s="42" t="str">
        <f>IF(心斎橋CSB4000円[[#This Row],[人数]]="","",VLOOKUP(心斎橋CSB4000円[[#This Row],[人数]],バック金額②[#All],2,TRUE)-(心斎橋CSB4000円[[#This Row],[キャンセル人数]]*$B$2))</f>
        <v/>
      </c>
      <c r="L33" s="63">
        <f t="shared" si="1"/>
        <v>44863</v>
      </c>
      <c r="M33" s="13"/>
      <c r="N33" s="14"/>
      <c r="O33" s="15"/>
      <c r="P33" s="15"/>
      <c r="Q33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3" s="42" t="str">
        <f>IFERROR(($M$3*心斎橋CSB3500円[[#This Row],[人数]])-心斎橋CSB3500円[[#This Row],[単価合計]]-(心斎橋CSB3500円[[#This Row],[キャンセル人数]]*$B$2),"")</f>
        <v/>
      </c>
      <c r="S33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3" s="15"/>
      <c r="U33" s="42" t="str">
        <f>IF(心斎橋CSB3500円[[#This Row],[人数]]="","",VLOOKUP(心斎橋CSB3500円[[#This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4" s="42" t="str">
        <f>IFERROR(($B$3*心斎橋CSB4000円[[#This Row],[人数]])-心斎橋CSB4000円[[#This Row],[単価合計]]-(心斎橋CSB4000円[[#This Row],[キャンセル人数]]*$B$2),"")</f>
        <v/>
      </c>
      <c r="H34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4" s="15"/>
      <c r="J34" s="42" t="str">
        <f>IF(心斎橋CSB4000円[[#This Row],[人数]]="","",VLOOKUP(心斎橋CSB4000円[[#This Row],[人数]],バック金額②[#All],2,TRUE)-(心斎橋CSB4000円[[#This Row],[キャンセル人数]]*$B$2))</f>
        <v/>
      </c>
      <c r="L34" s="63">
        <f t="shared" si="1"/>
        <v>44864</v>
      </c>
      <c r="M34" s="13"/>
      <c r="N34" s="14"/>
      <c r="O34" s="15"/>
      <c r="P34" s="15"/>
      <c r="Q34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4" s="42" t="str">
        <f>IFERROR(($M$3*心斎橋CSB3500円[[#This Row],[人数]])-心斎橋CSB3500円[[#This Row],[単価合計]]-(心斎橋CSB3500円[[#This Row],[キャンセル人数]]*$B$2),"")</f>
        <v/>
      </c>
      <c r="S34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4" s="15"/>
      <c r="U34" s="42" t="str">
        <f>IF(心斎橋CSB3500円[[#This Row],[人数]]="","",VLOOKUP(心斎橋CSB3500円[[#This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5"/>
      <c r="E35" s="19"/>
      <c r="F35" s="42" t="str">
        <f>IF(心斎橋CSB4000円[[#This Row],[人数]]="","",IF(心斎橋CSB4000円[[#This Row],[人数]]&lt;=7,$B$1*心斎橋CSB4000円[[#This Row],[人数]],$B$1*心斎橋CSB4000円[[#This Row],[人数]]-心斎橋CSB4000円[[#This Row],[幹事無料]]))</f>
        <v/>
      </c>
      <c r="G35" s="42" t="str">
        <f>IFERROR(($B$3*心斎橋CSB4000円[[#This Row],[人数]])-心斎橋CSB4000円[[#This Row],[単価合計]]-(心斎橋CSB4000円[[#This Row],[キャンセル人数]]*$B$2),"")</f>
        <v/>
      </c>
      <c r="H35" s="42" t="str">
        <f>IF(心斎橋CSB4000円[[#This Row],[人数]]=0,"",IF(心斎橋CSB4000円[[#This Row],[人数]]&lt;=7,"",IF(心斎橋CSB4000円[[#This Row],[人数]]&lt;=15,$B$1,IF(心斎橋CSB4000円[[#This Row],[人数]]&lt;=23,$B$1*2,IF(心斎橋CSB4000円[[#This Row],[人数]]&lt;=31,$B$1*3,IF(心斎橋CSB4000円[[#This Row],[人数]]&lt;=39,$B$1*4,""))))))</f>
        <v/>
      </c>
      <c r="I35" s="19"/>
      <c r="J35" s="42" t="str">
        <f>IF(心斎橋CSB4000円[[#This Row],[人数]]="","",VLOOKUP(心斎橋CSB4000円[[#This Row],[人数]],バック金額②[#All],2,TRUE)-(心斎橋CSB4000円[[#This Row],[キャンセル人数]]*$B$2))</f>
        <v/>
      </c>
      <c r="L35" s="63">
        <f t="shared" si="1"/>
        <v>44865</v>
      </c>
      <c r="M35" s="17"/>
      <c r="N35" s="18"/>
      <c r="O35" s="15"/>
      <c r="P35" s="19"/>
      <c r="Q35" s="42" t="str">
        <f>IF(心斎橋CSB3500円[[#This Row],[人数]]="","",IF(心斎橋CSB3500円[[#This Row],[人数]]&lt;=7,$B$1*心斎橋CSB3500円[[#This Row],[人数]],$B$1*心斎橋CSB3500円[[#This Row],[人数]]-心斎橋CSB3500円[[#This Row],[幹事無料]]))</f>
        <v/>
      </c>
      <c r="R35" s="42" t="str">
        <f>IFERROR(($M$3*心斎橋CSB3500円[[#This Row],[人数]])-心斎橋CSB3500円[[#This Row],[単価合計]]-(心斎橋CSB3500円[[#This Row],[キャンセル人数]]*$B$2),"")</f>
        <v/>
      </c>
      <c r="S35" s="42" t="str">
        <f>IF(心斎橋CSB3500円[[#This Row],[人数]]=0,"",IF(心斎橋CSB3500円[[#This Row],[人数]]&lt;=7,"",IF(心斎橋CSB3500円[[#This Row],[人数]]&lt;=15,$B$1,IF(心斎橋CSB3500円[[#This Row],[人数]]&lt;=23,$B$1*2,IF(心斎橋CSB3500円[[#This Row],[人数]]&lt;=31,$B$1*3,IF(心斎橋CSB3500円[[#This Row],[人数]]&lt;=39,$B$1*4,""))))))</f>
        <v/>
      </c>
      <c r="T35" s="19"/>
      <c r="U35" s="42" t="str">
        <f>IF(心斎橋CSB3500円[[#This Row],[人数]]="","",VLOOKUP(心斎橋CSB3500円[[#This Row],[人数]],バック金額②[#All],2,TRUE))</f>
        <v/>
      </c>
    </row>
    <row r="36" spans="1:21">
      <c r="A36" s="69" t="s">
        <v>323</v>
      </c>
      <c r="B36" s="16">
        <f>SUM(心斎橋CSB4000円[[#All],[件数]])</f>
        <v>0</v>
      </c>
      <c r="C36" s="6"/>
      <c r="D36" s="16">
        <f>SUM(心斎橋CSB4000円[[#All],[人数]])</f>
        <v>0</v>
      </c>
      <c r="E36" s="16">
        <f>SUM(心斎橋CSB4000円[[#All],[Aパターン]])</f>
        <v>0</v>
      </c>
      <c r="F36" s="16">
        <f>SUM(心斎橋CSB4000円[[#All],[単価合計]])</f>
        <v>0</v>
      </c>
      <c r="G36" s="16">
        <f>SUM(心斎橋CSB4000円[[#All],[ゆうき取りに行く]])</f>
        <v>0</v>
      </c>
      <c r="H36" s="16"/>
      <c r="I36" s="16"/>
      <c r="J36" s="16">
        <f>SUM(心斎橋CSB4000円[[#All],[イベンターへ]])</f>
        <v>0</v>
      </c>
      <c r="L36" s="69" t="s">
        <v>323</v>
      </c>
      <c r="M36" s="16">
        <f>SUM(心斎橋CSB3500円[[#All],[件数]])</f>
        <v>0</v>
      </c>
      <c r="N36" s="6"/>
      <c r="O36" s="16">
        <f>SUM(心斎橋CSB3500円[[#All],[人数]])</f>
        <v>0</v>
      </c>
      <c r="P36" s="16">
        <f>SUM(心斎橋CSB3500円[[#All],[Aパターン]])</f>
        <v>0</v>
      </c>
      <c r="Q36" s="16">
        <f>SUM(心斎橋CSB3500円[[#All],[単価合計]])</f>
        <v>0</v>
      </c>
      <c r="R36" s="16">
        <f>SUM(心斎橋CSB3500円[[#All],[ゆうき取りに行く]])</f>
        <v>0</v>
      </c>
      <c r="S36" s="16"/>
      <c r="T36" s="16"/>
      <c r="U36" s="16">
        <f>SUM(心斎橋CSB3500円[[#All],[イベンターへ]])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75D7-16EE-44C7-8B99-DFD20C22BCFB}">
  <sheetPr codeName="Sheet18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1.33203125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2.664062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1.33203125" style="8" bestFit="1" customWidth="1"/>
    <col min="13" max="13" width="6.33203125" style="8" customWidth="1"/>
    <col min="14" max="14" width="9.6640625" style="8" customWidth="1"/>
    <col min="15" max="15" width="6.33203125" style="8" customWidth="1"/>
    <col min="16" max="16" width="12.6640625" style="8" bestFit="1" customWidth="1"/>
    <col min="17" max="17" width="11.6640625" style="8" bestFit="1" customWidth="1"/>
    <col min="18" max="18" width="15.6640625" style="8" bestFit="1" customWidth="1"/>
    <col min="19" max="20" width="15.6640625" style="8" customWidth="1"/>
    <col min="21" max="21" width="12" style="8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252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5" s="16" t="str">
        <f>IFERROR(($B$3*難波煙4000円[[#This Row],[人数]])-難波煙4000円[[#This Row],[単価合計]]-(難波煙4000円[[#This Row],[キャンセル人数]]*$B$2),"")</f>
        <v/>
      </c>
      <c r="H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5" s="15"/>
      <c r="J5" s="16" t="str">
        <f>IF(難波煙4000円[[#This Row],[人数]]="","",VLOOKUP(難波煙4000円[[#This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5" s="16" t="str">
        <f>IFERROR(($M$3*難波煙3500円[[#This Row],[人数]])-難波煙3500円[[#This Row],[単価合計]]-(難波煙3500円[[#This Row],[キャンセル人数]]*$B$2),"")</f>
        <v/>
      </c>
      <c r="S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5" s="15"/>
      <c r="U5" s="16" t="str">
        <f>IF(難波煙3500円[[#This Row],[人数]]="","",VLOOKUP(難波煙3500円[[#This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6" s="16" t="str">
        <f>IFERROR(($B$3*難波煙4000円[[#This Row],[人数]])-難波煙4000円[[#This Row],[単価合計]]-(難波煙4000円[[#This Row],[キャンセル人数]]*$B$2),"")</f>
        <v/>
      </c>
      <c r="H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6" s="15"/>
      <c r="J6" s="16" t="str">
        <f>IF(難波煙4000円[[#This Row],[人数]]="","",VLOOKUP(難波煙4000円[[#This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6" s="16" t="str">
        <f>IFERROR(($M$3*難波煙3500円[[#This Row],[人数]])-難波煙3500円[[#This Row],[単価合計]]-(難波煙3500円[[#This Row],[キャンセル人数]]*$B$2),"")</f>
        <v/>
      </c>
      <c r="S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6" s="15"/>
      <c r="U6" s="16" t="str">
        <f>IF(難波煙3500円[[#This Row],[人数]]="","",VLOOKUP(難波煙3500円[[#This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7" s="16" t="str">
        <f>IFERROR(($B$3*難波煙4000円[[#This Row],[人数]])-難波煙4000円[[#This Row],[単価合計]]-(難波煙4000円[[#This Row],[キャンセル人数]]*$B$2),"")</f>
        <v/>
      </c>
      <c r="H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7" s="15"/>
      <c r="J7" s="16" t="str">
        <f>IF(難波煙4000円[[#This Row],[人数]]="","",VLOOKUP(難波煙4000円[[#This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7" s="16" t="str">
        <f>IFERROR(($M$3*難波煙3500円[[#This Row],[人数]])-難波煙3500円[[#This Row],[単価合計]]-(難波煙3500円[[#This Row],[キャンセル人数]]*$B$2),"")</f>
        <v/>
      </c>
      <c r="S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7" s="15"/>
      <c r="U7" s="16" t="str">
        <f>IF(難波煙3500円[[#This Row],[人数]]="","",VLOOKUP(難波煙3500円[[#This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8" s="16" t="str">
        <f>IFERROR(($B$3*難波煙4000円[[#This Row],[人数]])-難波煙4000円[[#This Row],[単価合計]]-(難波煙4000円[[#This Row],[キャンセル人数]]*$B$2),"")</f>
        <v/>
      </c>
      <c r="H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8" s="15"/>
      <c r="J8" s="16" t="str">
        <f>IF(難波煙4000円[[#This Row],[人数]]="","",VLOOKUP(難波煙4000円[[#This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8" s="16" t="str">
        <f>IFERROR(($M$3*難波煙3500円[[#This Row],[人数]])-難波煙3500円[[#This Row],[単価合計]]-(難波煙3500円[[#This Row],[キャンセル人数]]*$B$2),"")</f>
        <v/>
      </c>
      <c r="S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8" s="15"/>
      <c r="U8" s="16" t="str">
        <f>IF(難波煙3500円[[#This Row],[人数]]="","",VLOOKUP(難波煙3500円[[#This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9" s="16" t="str">
        <f>IFERROR(($B$3*難波煙4000円[[#This Row],[人数]])-難波煙4000円[[#This Row],[単価合計]]-(難波煙4000円[[#This Row],[キャンセル人数]]*$B$2),"")</f>
        <v/>
      </c>
      <c r="H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9" s="15"/>
      <c r="J9" s="16" t="str">
        <f>IF(難波煙4000円[[#This Row],[人数]]="","",VLOOKUP(難波煙4000円[[#This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9" s="16" t="str">
        <f>IFERROR(($M$3*難波煙3500円[[#This Row],[人数]])-難波煙3500円[[#This Row],[単価合計]]-(難波煙3500円[[#This Row],[キャンセル人数]]*$B$2),"")</f>
        <v/>
      </c>
      <c r="S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9" s="15"/>
      <c r="U9" s="16" t="str">
        <f>IF(難波煙3500円[[#This Row],[人数]]="","",VLOOKUP(難波煙3500円[[#This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0" s="16" t="str">
        <f>IFERROR(($B$3*難波煙4000円[[#This Row],[人数]])-難波煙4000円[[#This Row],[単価合計]]-(難波煙4000円[[#This Row],[キャンセル人数]]*$B$2),"")</f>
        <v/>
      </c>
      <c r="H1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0" s="15"/>
      <c r="J10" s="16" t="str">
        <f>IF(難波煙4000円[[#This Row],[人数]]="","",VLOOKUP(難波煙4000円[[#This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0" s="16" t="str">
        <f>IFERROR(($M$3*難波煙3500円[[#This Row],[人数]])-難波煙3500円[[#This Row],[単価合計]]-(難波煙3500円[[#This Row],[キャンセル人数]]*$B$2),"")</f>
        <v/>
      </c>
      <c r="S1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0" s="15"/>
      <c r="U10" s="16" t="str">
        <f>IF(難波煙3500円[[#This Row],[人数]]="","",VLOOKUP(難波煙3500円[[#This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1" s="16" t="str">
        <f>IFERROR(($B$3*難波煙4000円[[#This Row],[人数]])-難波煙4000円[[#This Row],[単価合計]]-(難波煙4000円[[#This Row],[キャンセル人数]]*$B$2),"")</f>
        <v/>
      </c>
      <c r="H1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1" s="15"/>
      <c r="J11" s="16" t="str">
        <f>IF(難波煙4000円[[#This Row],[人数]]="","",VLOOKUP(難波煙4000円[[#This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1" s="16" t="str">
        <f>IFERROR(($M$3*難波煙3500円[[#This Row],[人数]])-難波煙3500円[[#This Row],[単価合計]]-(難波煙3500円[[#This Row],[キャンセル人数]]*$B$2),"")</f>
        <v/>
      </c>
      <c r="S1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1" s="15"/>
      <c r="U11" s="16" t="str">
        <f>IF(難波煙3500円[[#This Row],[人数]]="","",VLOOKUP(難波煙3500円[[#This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2" s="16" t="str">
        <f>IFERROR(($B$3*難波煙4000円[[#This Row],[人数]])-難波煙4000円[[#This Row],[単価合計]]-(難波煙4000円[[#This Row],[キャンセル人数]]*$B$2),"")</f>
        <v/>
      </c>
      <c r="H1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2" s="15"/>
      <c r="J12" s="16" t="str">
        <f>IF(難波煙4000円[[#This Row],[人数]]="","",VLOOKUP(難波煙4000円[[#This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2" s="16" t="str">
        <f>IFERROR(($M$3*難波煙3500円[[#This Row],[人数]])-難波煙3500円[[#This Row],[単価合計]]-(難波煙3500円[[#This Row],[キャンセル人数]]*$B$2),"")</f>
        <v/>
      </c>
      <c r="S1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2" s="15"/>
      <c r="U12" s="16" t="str">
        <f>IF(難波煙3500円[[#This Row],[人数]]="","",VLOOKUP(難波煙3500円[[#This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3" s="16" t="str">
        <f>IFERROR(($B$3*難波煙4000円[[#This Row],[人数]])-難波煙4000円[[#This Row],[単価合計]]-(難波煙4000円[[#This Row],[キャンセル人数]]*$B$2),"")</f>
        <v/>
      </c>
      <c r="H1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3" s="15"/>
      <c r="J13" s="16" t="str">
        <f>IF(難波煙4000円[[#This Row],[人数]]="","",VLOOKUP(難波煙4000円[[#This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3" s="16" t="str">
        <f>IFERROR(($M$3*難波煙3500円[[#This Row],[人数]])-難波煙3500円[[#This Row],[単価合計]]-(難波煙3500円[[#This Row],[キャンセル人数]]*$B$2),"")</f>
        <v/>
      </c>
      <c r="S1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3" s="15"/>
      <c r="U13" s="16" t="str">
        <f>IF(難波煙3500円[[#This Row],[人数]]="","",VLOOKUP(難波煙3500円[[#This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4" s="16" t="str">
        <f>IFERROR(($B$3*難波煙4000円[[#This Row],[人数]])-難波煙4000円[[#This Row],[単価合計]]-(難波煙4000円[[#This Row],[キャンセル人数]]*$B$2),"")</f>
        <v/>
      </c>
      <c r="H1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4" s="15"/>
      <c r="J14" s="16" t="str">
        <f>IF(難波煙4000円[[#This Row],[人数]]="","",VLOOKUP(難波煙4000円[[#This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4" s="16" t="str">
        <f>IFERROR(($M$3*難波煙3500円[[#This Row],[人数]])-難波煙3500円[[#This Row],[単価合計]]-(難波煙3500円[[#This Row],[キャンセル人数]]*$B$2),"")</f>
        <v/>
      </c>
      <c r="S1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4" s="15"/>
      <c r="U14" s="16" t="str">
        <f>IF(難波煙3500円[[#This Row],[人数]]="","",VLOOKUP(難波煙3500円[[#This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5" s="16" t="str">
        <f>IFERROR(($B$3*難波煙4000円[[#This Row],[人数]])-難波煙4000円[[#This Row],[単価合計]]-(難波煙4000円[[#This Row],[キャンセル人数]]*$B$2),"")</f>
        <v/>
      </c>
      <c r="H1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5" s="15"/>
      <c r="J15" s="16" t="str">
        <f>IF(難波煙4000円[[#This Row],[人数]]="","",VLOOKUP(難波煙4000円[[#This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5" s="16" t="str">
        <f>IFERROR(($M$3*難波煙3500円[[#This Row],[人数]])-難波煙3500円[[#This Row],[単価合計]]-(難波煙3500円[[#This Row],[キャンセル人数]]*$B$2),"")</f>
        <v/>
      </c>
      <c r="S1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5" s="15"/>
      <c r="U15" s="16" t="str">
        <f>IF(難波煙3500円[[#This Row],[人数]]="","",VLOOKUP(難波煙3500円[[#This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6" s="16" t="str">
        <f>IFERROR(($B$3*難波煙4000円[[#This Row],[人数]])-難波煙4000円[[#This Row],[単価合計]]-(難波煙4000円[[#This Row],[キャンセル人数]]*$B$2),"")</f>
        <v/>
      </c>
      <c r="H1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6" s="15"/>
      <c r="J16" s="16" t="str">
        <f>IF(難波煙4000円[[#This Row],[人数]]="","",VLOOKUP(難波煙4000円[[#This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6" s="16" t="str">
        <f>IFERROR(($M$3*難波煙3500円[[#This Row],[人数]])-難波煙3500円[[#This Row],[単価合計]]-(難波煙3500円[[#This Row],[キャンセル人数]]*$B$2),"")</f>
        <v/>
      </c>
      <c r="S1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6" s="15"/>
      <c r="U16" s="16" t="str">
        <f>IF(難波煙3500円[[#This Row],[人数]]="","",VLOOKUP(難波煙3500円[[#This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7" s="16" t="str">
        <f>IFERROR(($B$3*難波煙4000円[[#This Row],[人数]])-難波煙4000円[[#This Row],[単価合計]]-(難波煙4000円[[#This Row],[キャンセル人数]]*$B$2),"")</f>
        <v/>
      </c>
      <c r="H1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7" s="15"/>
      <c r="J17" s="16" t="str">
        <f>IF(難波煙4000円[[#This Row],[人数]]="","",VLOOKUP(難波煙4000円[[#This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7" s="16" t="str">
        <f>IFERROR(($M$3*難波煙3500円[[#This Row],[人数]])-難波煙3500円[[#This Row],[単価合計]]-(難波煙3500円[[#This Row],[キャンセル人数]]*$B$2),"")</f>
        <v/>
      </c>
      <c r="S1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7" s="15"/>
      <c r="U17" s="16" t="str">
        <f>IF(難波煙3500円[[#This Row],[人数]]="","",VLOOKUP(難波煙3500円[[#This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8" s="16" t="str">
        <f>IFERROR(($B$3*難波煙4000円[[#This Row],[人数]])-難波煙4000円[[#This Row],[単価合計]]-(難波煙4000円[[#This Row],[キャンセル人数]]*$B$2),"")</f>
        <v/>
      </c>
      <c r="H1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8" s="15"/>
      <c r="J18" s="16" t="str">
        <f>IF(難波煙4000円[[#This Row],[人数]]="","",VLOOKUP(難波煙4000円[[#This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8" s="16" t="str">
        <f>IFERROR(($M$3*難波煙3500円[[#This Row],[人数]])-難波煙3500円[[#This Row],[単価合計]]-(難波煙3500円[[#This Row],[キャンセル人数]]*$B$2),"")</f>
        <v/>
      </c>
      <c r="S1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8" s="15"/>
      <c r="U18" s="16" t="str">
        <f>IF(難波煙3500円[[#This Row],[人数]]="","",VLOOKUP(難波煙3500円[[#This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19" s="16" t="str">
        <f>IFERROR(($B$3*難波煙4000円[[#This Row],[人数]])-難波煙4000円[[#This Row],[単価合計]]-(難波煙4000円[[#This Row],[キャンセル人数]]*$B$2),"")</f>
        <v/>
      </c>
      <c r="H1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19" s="15"/>
      <c r="J19" s="16" t="str">
        <f>IF(難波煙4000円[[#This Row],[人数]]="","",VLOOKUP(難波煙4000円[[#This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19" s="16" t="str">
        <f>IFERROR(($M$3*難波煙3500円[[#This Row],[人数]])-難波煙3500円[[#This Row],[単価合計]]-(難波煙3500円[[#This Row],[キャンセル人数]]*$B$2),"")</f>
        <v/>
      </c>
      <c r="S1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19" s="15"/>
      <c r="U19" s="16" t="str">
        <f>IF(難波煙3500円[[#This Row],[人数]]="","",VLOOKUP(難波煙3500円[[#This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0" s="16" t="str">
        <f>IFERROR(($B$3*難波煙4000円[[#This Row],[人数]])-難波煙4000円[[#This Row],[単価合計]]-(難波煙4000円[[#This Row],[キャンセル人数]]*$B$2),"")</f>
        <v/>
      </c>
      <c r="H2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0" s="15"/>
      <c r="J20" s="16" t="str">
        <f>IF(難波煙4000円[[#This Row],[人数]]="","",VLOOKUP(難波煙4000円[[#This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0" s="16" t="str">
        <f>IFERROR(($M$3*難波煙3500円[[#This Row],[人数]])-難波煙3500円[[#This Row],[単価合計]]-(難波煙3500円[[#This Row],[キャンセル人数]]*$B$2),"")</f>
        <v/>
      </c>
      <c r="S2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0" s="15"/>
      <c r="U20" s="16" t="str">
        <f>IF(難波煙3500円[[#This Row],[人数]]="","",VLOOKUP(難波煙3500円[[#This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1" s="16" t="str">
        <f>IFERROR(($B$3*難波煙4000円[[#This Row],[人数]])-難波煙4000円[[#This Row],[単価合計]]-(難波煙4000円[[#This Row],[キャンセル人数]]*$B$2),"")</f>
        <v/>
      </c>
      <c r="H2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1" s="15"/>
      <c r="J21" s="16" t="str">
        <f>IF(難波煙4000円[[#This Row],[人数]]="","",VLOOKUP(難波煙4000円[[#This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1" s="16" t="str">
        <f>IFERROR(($M$3*難波煙3500円[[#This Row],[人数]])-難波煙3500円[[#This Row],[単価合計]]-(難波煙3500円[[#This Row],[キャンセル人数]]*$B$2),"")</f>
        <v/>
      </c>
      <c r="S2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1" s="15"/>
      <c r="U21" s="16" t="str">
        <f>IF(難波煙3500円[[#This Row],[人数]]="","",VLOOKUP(難波煙3500円[[#This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2" s="16" t="str">
        <f>IFERROR(($B$3*難波煙4000円[[#This Row],[人数]])-難波煙4000円[[#This Row],[単価合計]]-(難波煙4000円[[#This Row],[キャンセル人数]]*$B$2),"")</f>
        <v/>
      </c>
      <c r="H2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2" s="15"/>
      <c r="J22" s="16" t="str">
        <f>IF(難波煙4000円[[#This Row],[人数]]="","",VLOOKUP(難波煙4000円[[#This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2" s="16" t="str">
        <f>IFERROR(($M$3*難波煙3500円[[#This Row],[人数]])-難波煙3500円[[#This Row],[単価合計]]-(難波煙3500円[[#This Row],[キャンセル人数]]*$B$2),"")</f>
        <v/>
      </c>
      <c r="S2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2" s="15"/>
      <c r="U22" s="16" t="str">
        <f>IF(難波煙3500円[[#This Row],[人数]]="","",VLOOKUP(難波煙3500円[[#This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3" s="16" t="str">
        <f>IFERROR(($B$3*難波煙4000円[[#This Row],[人数]])-難波煙4000円[[#This Row],[単価合計]]-(難波煙4000円[[#This Row],[キャンセル人数]]*$B$2),"")</f>
        <v/>
      </c>
      <c r="H2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3" s="15"/>
      <c r="J23" s="16" t="str">
        <f>IF(難波煙4000円[[#This Row],[人数]]="","",VLOOKUP(難波煙4000円[[#This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3" s="16" t="str">
        <f>IFERROR(($M$3*難波煙3500円[[#This Row],[人数]])-難波煙3500円[[#This Row],[単価合計]]-(難波煙3500円[[#This Row],[キャンセル人数]]*$B$2),"")</f>
        <v/>
      </c>
      <c r="S2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3" s="15"/>
      <c r="U23" s="16" t="str">
        <f>IF(難波煙3500円[[#This Row],[人数]]="","",VLOOKUP(難波煙3500円[[#This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4" s="16" t="str">
        <f>IFERROR(($B$3*難波煙4000円[[#This Row],[人数]])-難波煙4000円[[#This Row],[単価合計]]-(難波煙4000円[[#This Row],[キャンセル人数]]*$B$2),"")</f>
        <v/>
      </c>
      <c r="H2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4" s="15"/>
      <c r="J24" s="16" t="str">
        <f>IF(難波煙4000円[[#This Row],[人数]]="","",VLOOKUP(難波煙4000円[[#This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4" s="16" t="str">
        <f>IFERROR(($M$3*難波煙3500円[[#This Row],[人数]])-難波煙3500円[[#This Row],[単価合計]]-(難波煙3500円[[#This Row],[キャンセル人数]]*$B$2),"")</f>
        <v/>
      </c>
      <c r="S2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4" s="15"/>
      <c r="U24" s="16" t="str">
        <f>IF(難波煙3500円[[#This Row],[人数]]="","",VLOOKUP(難波煙3500円[[#This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5" s="16" t="str">
        <f>IFERROR(($B$3*難波煙4000円[[#This Row],[人数]])-難波煙4000円[[#This Row],[単価合計]]-(難波煙4000円[[#This Row],[キャンセル人数]]*$B$2),"")</f>
        <v/>
      </c>
      <c r="H2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5" s="15"/>
      <c r="J25" s="16" t="str">
        <f>IF(難波煙4000円[[#This Row],[人数]]="","",VLOOKUP(難波煙4000円[[#This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5" s="16" t="str">
        <f>IFERROR(($M$3*難波煙3500円[[#This Row],[人数]])-難波煙3500円[[#This Row],[単価合計]]-(難波煙3500円[[#This Row],[キャンセル人数]]*$B$2),"")</f>
        <v/>
      </c>
      <c r="S2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5" s="15"/>
      <c r="U25" s="16" t="str">
        <f>IF(難波煙3500円[[#This Row],[人数]]="","",VLOOKUP(難波煙3500円[[#This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6" s="16" t="str">
        <f>IFERROR(($B$3*難波煙4000円[[#This Row],[人数]])-難波煙4000円[[#This Row],[単価合計]]-(難波煙4000円[[#This Row],[キャンセル人数]]*$B$2),"")</f>
        <v/>
      </c>
      <c r="H26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6" s="15"/>
      <c r="J26" s="16" t="str">
        <f>IF(難波煙4000円[[#This Row],[人数]]="","",VLOOKUP(難波煙4000円[[#This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6" s="16" t="str">
        <f>IFERROR(($M$3*難波煙3500円[[#This Row],[人数]])-難波煙3500円[[#This Row],[単価合計]]-(難波煙3500円[[#This Row],[キャンセル人数]]*$B$2),"")</f>
        <v/>
      </c>
      <c r="S26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6" s="15"/>
      <c r="U26" s="16" t="str">
        <f>IF(難波煙3500円[[#This Row],[人数]]="","",VLOOKUP(難波煙3500円[[#This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7" s="16" t="str">
        <f>IFERROR(($B$3*難波煙4000円[[#This Row],[人数]])-難波煙4000円[[#This Row],[単価合計]]-(難波煙4000円[[#This Row],[キャンセル人数]]*$B$2),"")</f>
        <v/>
      </c>
      <c r="H27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7" s="15"/>
      <c r="J27" s="16" t="str">
        <f>IF(難波煙4000円[[#This Row],[人数]]="","",VLOOKUP(難波煙4000円[[#This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7" s="16" t="str">
        <f>IFERROR(($M$3*難波煙3500円[[#This Row],[人数]])-難波煙3500円[[#This Row],[単価合計]]-(難波煙3500円[[#This Row],[キャンセル人数]]*$B$2),"")</f>
        <v/>
      </c>
      <c r="S27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7" s="15"/>
      <c r="U27" s="16" t="str">
        <f>IF(難波煙3500円[[#This Row],[人数]]="","",VLOOKUP(難波煙3500円[[#This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8" s="16" t="str">
        <f>IFERROR(($B$3*難波煙4000円[[#This Row],[人数]])-難波煙4000円[[#This Row],[単価合計]]-(難波煙4000円[[#This Row],[キャンセル人数]]*$B$2),"")</f>
        <v/>
      </c>
      <c r="H28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8" s="15"/>
      <c r="J28" s="16" t="str">
        <f>IF(難波煙4000円[[#This Row],[人数]]="","",VLOOKUP(難波煙4000円[[#This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8" s="16" t="str">
        <f>IFERROR(($M$3*難波煙3500円[[#This Row],[人数]])-難波煙3500円[[#This Row],[単価合計]]-(難波煙3500円[[#This Row],[キャンセル人数]]*$B$2),"")</f>
        <v/>
      </c>
      <c r="S28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8" s="15"/>
      <c r="U28" s="16" t="str">
        <f>IF(難波煙3500円[[#This Row],[人数]]="","",VLOOKUP(難波煙3500円[[#This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29" s="16" t="str">
        <f>IFERROR(($B$3*難波煙4000円[[#This Row],[人数]])-難波煙4000円[[#This Row],[単価合計]]-(難波煙4000円[[#This Row],[キャンセル人数]]*$B$2),"")</f>
        <v/>
      </c>
      <c r="H29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29" s="15"/>
      <c r="J29" s="16" t="str">
        <f>IF(難波煙4000円[[#This Row],[人数]]="","",VLOOKUP(難波煙4000円[[#This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29" s="16" t="str">
        <f>IFERROR(($M$3*難波煙3500円[[#This Row],[人数]])-難波煙3500円[[#This Row],[単価合計]]-(難波煙3500円[[#This Row],[キャンセル人数]]*$B$2),"")</f>
        <v/>
      </c>
      <c r="S29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29" s="15"/>
      <c r="U29" s="16" t="str">
        <f>IF(難波煙3500円[[#This Row],[人数]]="","",VLOOKUP(難波煙3500円[[#This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0" s="16" t="str">
        <f>IFERROR(($B$3*難波煙4000円[[#This Row],[人数]])-難波煙4000円[[#This Row],[単価合計]]-(難波煙4000円[[#This Row],[キャンセル人数]]*$B$2),"")</f>
        <v/>
      </c>
      <c r="H30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0" s="15"/>
      <c r="J30" s="16" t="str">
        <f>IF(難波煙4000円[[#This Row],[人数]]="","",VLOOKUP(難波煙4000円[[#This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0" s="16" t="str">
        <f>IFERROR(($M$3*難波煙3500円[[#This Row],[人数]])-難波煙3500円[[#This Row],[単価合計]]-(難波煙3500円[[#This Row],[キャンセル人数]]*$B$2),"")</f>
        <v/>
      </c>
      <c r="S30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0" s="15"/>
      <c r="U30" s="16" t="str">
        <f>IF(難波煙3500円[[#This Row],[人数]]="","",VLOOKUP(難波煙3500円[[#This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1" s="16" t="str">
        <f>IFERROR(($B$3*難波煙4000円[[#This Row],[人数]])-難波煙4000円[[#This Row],[単価合計]]-(難波煙4000円[[#This Row],[キャンセル人数]]*$B$2),"")</f>
        <v/>
      </c>
      <c r="H31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1" s="15"/>
      <c r="J31" s="16" t="str">
        <f>IF(難波煙4000円[[#This Row],[人数]]="","",VLOOKUP(難波煙4000円[[#This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1" s="16" t="str">
        <f>IFERROR(($M$3*難波煙3500円[[#This Row],[人数]])-難波煙3500円[[#This Row],[単価合計]]-(難波煙3500円[[#This Row],[キャンセル人数]]*$B$2),"")</f>
        <v/>
      </c>
      <c r="S31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1" s="15"/>
      <c r="U31" s="16" t="str">
        <f>IF(難波煙3500円[[#This Row],[人数]]="","",VLOOKUP(難波煙3500円[[#This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2" s="16" t="str">
        <f>IFERROR(($B$3*難波煙4000円[[#This Row],[人数]])-難波煙4000円[[#This Row],[単価合計]]-(難波煙4000円[[#This Row],[キャンセル人数]]*$B$2),"")</f>
        <v/>
      </c>
      <c r="H32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2" s="15"/>
      <c r="J32" s="16" t="str">
        <f>IF(難波煙4000円[[#This Row],[人数]]="","",VLOOKUP(難波煙4000円[[#This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2" s="16" t="str">
        <f>IFERROR(($M$3*難波煙3500円[[#This Row],[人数]])-難波煙3500円[[#This Row],[単価合計]]-(難波煙3500円[[#This Row],[キャンセル人数]]*$B$2),"")</f>
        <v/>
      </c>
      <c r="S32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2" s="15"/>
      <c r="U32" s="16" t="str">
        <f>IF(難波煙3500円[[#This Row],[人数]]="","",VLOOKUP(難波煙3500円[[#This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3" s="16" t="str">
        <f>IFERROR(($B$3*難波煙4000円[[#This Row],[人数]])-難波煙4000円[[#This Row],[単価合計]]-(難波煙4000円[[#This Row],[キャンセル人数]]*$B$2),"")</f>
        <v/>
      </c>
      <c r="H33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3" s="15"/>
      <c r="J33" s="16" t="str">
        <f>IF(難波煙4000円[[#This Row],[人数]]="","",VLOOKUP(難波煙4000円[[#This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3" s="16" t="str">
        <f>IFERROR(($M$3*難波煙3500円[[#This Row],[人数]])-難波煙3500円[[#This Row],[単価合計]]-(難波煙3500円[[#This Row],[キャンセル人数]]*$B$2),"")</f>
        <v/>
      </c>
      <c r="S33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3" s="15"/>
      <c r="U33" s="16" t="str">
        <f>IF(難波煙3500円[[#This Row],[人数]]="","",VLOOKUP(難波煙3500円[[#This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4" s="16" t="str">
        <f>IFERROR(($B$3*難波煙4000円[[#This Row],[人数]])-難波煙4000円[[#This Row],[単価合計]]-(難波煙4000円[[#This Row],[キャンセル人数]]*$B$2),"")</f>
        <v/>
      </c>
      <c r="H34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4" s="15"/>
      <c r="J34" s="16" t="str">
        <f>IF(難波煙4000円[[#This Row],[人数]]="","",VLOOKUP(難波煙4000円[[#This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4" s="16" t="str">
        <f>IFERROR(($M$3*難波煙3500円[[#This Row],[人数]])-難波煙3500円[[#This Row],[単価合計]]-(難波煙3500円[[#This Row],[キャンセル人数]]*$B$2),"")</f>
        <v/>
      </c>
      <c r="S34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4" s="15"/>
      <c r="U34" s="16" t="str">
        <f>IF(難波煙3500円[[#This Row],[人数]]="","",VLOOKUP(難波煙3500円[[#This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IF(難波煙4000円[[#This Row],[人数]]="","",IF(難波煙4000円[[#This Row],[人数]]&lt;=7,$B$1*難波煙4000円[[#This Row],[人数]],$B$1*難波煙4000円[[#This Row],[人数]]-難波煙4000円[[#This Row],[幹事無料]]))</f>
        <v/>
      </c>
      <c r="G35" s="16" t="str">
        <f>IFERROR(($B$3*難波煙4000円[[#This Row],[人数]])-難波煙4000円[[#This Row],[単価合計]]-(難波煙4000円[[#This Row],[キャンセル人数]]*$B$2),"")</f>
        <v/>
      </c>
      <c r="H35" s="16" t="str">
        <f>IF(難波煙4000円[[#This Row],[人数]]=0,"",IF(難波煙4000円[[#This Row],[人数]]&lt;=7,"",IF(難波煙4000円[[#This Row],[人数]]&lt;=15,$B$1,IF(難波煙4000円[[#This Row],[人数]]&lt;=23,$B$1*2,IF(難波煙4000円[[#This Row],[人数]]&lt;=31,$B$1*3,IF(難波煙4000円[[#This Row],[人数]]&lt;=39,$B$1*4,""))))))</f>
        <v/>
      </c>
      <c r="I35" s="19"/>
      <c r="J35" s="16" t="str">
        <f>IF(難波煙4000円[[#This Row],[人数]]="","",VLOOKUP(難波煙4000円[[#This Row],[人数]],バック金額②[#All],2,TRUE))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IF(難波煙3500円[[#This Row],[人数]]="","",IF(難波煙3500円[[#This Row],[人数]]&lt;=7,$B$1*難波煙3500円[[#This Row],[人数]],$B$1*難波煙3500円[[#This Row],[人数]]-難波煙3500円[[#This Row],[幹事無料]]))</f>
        <v/>
      </c>
      <c r="R35" s="16" t="str">
        <f>IFERROR(($M$3*難波煙3500円[[#This Row],[人数]])-難波煙3500円[[#This Row],[単価合計]]-(難波煙3500円[[#This Row],[キャンセル人数]]*$B$2),"")</f>
        <v/>
      </c>
      <c r="S35" s="16" t="str">
        <f>IF(難波煙3500円[[#This Row],[人数]]=0,"",IF(難波煙3500円[[#This Row],[人数]]&lt;=7,"",IF(難波煙3500円[[#This Row],[人数]]&lt;=15,$B$1,IF(難波煙3500円[[#This Row],[人数]]&lt;=23,$B$1*2,IF(難波煙3500円[[#This Row],[人数]]&lt;=31,$B$1*3,IF(難波煙3500円[[#This Row],[人数]]&lt;=39,$B$1*4,""))))))</f>
        <v/>
      </c>
      <c r="T35" s="19"/>
      <c r="U35" s="16" t="str">
        <f>IF(難波煙3500円[[#This Row],[人数]]="","",VLOOKUP(難波煙3500円[[#This Row],[人数]],バック金額②[#All],2,TRUE))</f>
        <v/>
      </c>
    </row>
    <row r="36" spans="1:21">
      <c r="A36" s="64" t="s">
        <v>323</v>
      </c>
      <c r="B36" s="7">
        <f>SUM(難波煙4000円[[#All],[件数]])</f>
        <v>0</v>
      </c>
      <c r="C36" s="6"/>
      <c r="D36" s="7">
        <f>SUM(難波煙4000円[[#All],[人数]])</f>
        <v>0</v>
      </c>
      <c r="E36" s="7">
        <f>SUM(難波煙4000円[[#All],[Aパターン]])</f>
        <v>0</v>
      </c>
      <c r="F36" s="7">
        <f>SUM(難波煙4000円[[#All],[単価合計]])</f>
        <v>0</v>
      </c>
      <c r="G36" s="7">
        <f>SUM(難波煙4000円[[#All],[ゆうき取りに行く]])</f>
        <v>0</v>
      </c>
      <c r="H36" s="7"/>
      <c r="I36" s="7"/>
      <c r="J36" s="7">
        <f>SUM(難波煙4000円[[#All],[イベンターへ]])</f>
        <v>0</v>
      </c>
      <c r="L36" s="64" t="s">
        <v>323</v>
      </c>
      <c r="M36" s="7">
        <f>SUM(難波煙3500円[[#All],[件数]])</f>
        <v>0</v>
      </c>
      <c r="N36" s="6"/>
      <c r="O36" s="7">
        <f>SUM(難波煙3500円[[#All],[人数]])</f>
        <v>0</v>
      </c>
      <c r="P36" s="7">
        <f>SUM(難波煙3500円[[#All],[Aパターン]])</f>
        <v>0</v>
      </c>
      <c r="Q36" s="7">
        <f>SUM(難波煙3500円[[#All],[単価合計]])</f>
        <v>0</v>
      </c>
      <c r="R36" s="7">
        <f>SUM(難波煙3500円[[#All],[ゆうき取りに行く]])</f>
        <v>0</v>
      </c>
      <c r="S36" s="7"/>
      <c r="T36" s="7"/>
      <c r="U36" s="7">
        <f>SUM(難波煙3500円[[#All],[イベンターへ]])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F05C3-8A84-49E2-BBE2-3F782843B3E5}">
  <sheetPr codeName="Sheet20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5.5546875" style="8" customWidth="1"/>
    <col min="3" max="3" width="15.6640625" style="8" bestFit="1" customWidth="1"/>
    <col min="4" max="4" width="5.5546875" style="8" customWidth="1"/>
    <col min="5" max="5" width="12.6640625" style="8" bestFit="1" customWidth="1"/>
    <col min="6" max="6" width="9.332031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664062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  <c r="G2" s="93" t="s">
        <v>563</v>
      </c>
      <c r="H2" s="9">
        <f>$B$1*($D$36-$E$36)</f>
        <v>0</v>
      </c>
      <c r="L2" s="46" t="s">
        <v>516</v>
      </c>
      <c r="M2" s="8">
        <v>500</v>
      </c>
    </row>
    <row r="3" spans="1:21">
      <c r="A3" s="46" t="s">
        <v>376</v>
      </c>
      <c r="B3" s="8">
        <v>4000</v>
      </c>
      <c r="C3" s="46" t="s">
        <v>253</v>
      </c>
      <c r="L3" s="46" t="s">
        <v>376</v>
      </c>
      <c r="M3" s="8">
        <v>3500</v>
      </c>
    </row>
    <row r="4" spans="1:21">
      <c r="A4" s="20" t="s">
        <v>205</v>
      </c>
      <c r="B4" s="10" t="s">
        <v>236</v>
      </c>
      <c r="C4" s="11" t="s">
        <v>207</v>
      </c>
      <c r="D4" s="12" t="s">
        <v>237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5" s="16" t="str">
        <f>IFERROR(($B$3*三ノ宮多味庵4000[[#This Row],[人数]])-三ノ宮多味庵4000[[#This Row],[単価合計]]-(三ノ宮多味庵4000[[#This Row],[キャンセル人数]]*$B$2),"")</f>
        <v/>
      </c>
      <c r="H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5" s="15"/>
      <c r="J5" s="16" t="str">
        <f>IF(三ノ宮多味庵4000[[#This Row],[人数]]="","",VLOOKUP(三ノ宮多味庵4000[[#This Row],[人数]],バック金額②[#All],2,TRUE)-(三ノ宮多味庵4000[[#This Row],[キャンセル人数]]*$B$2))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5" s="16" t="str">
        <f>IFERROR(($M$3*三ノ宮多味庵3500[[#This Row],[人数]])-三ノ宮多味庵3500[[#This Row],[単価合計]]-(三ノ宮多味庵3500[[#This Row],[キャンセル人数]]*$B$2),"")</f>
        <v/>
      </c>
      <c r="S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5" s="15"/>
      <c r="U5" s="16" t="str">
        <f>IF(三ノ宮多味庵3500[[#This Row],[人数]]="","",VLOOKUP(三ノ宮多味庵3500[[#This Row],[人数]],バック金額②[#All],2,TRUE)-(三ノ宮多味庵3500[[#This Row],[人数]]*M2)-(三ノ宮多味庵3500[[#This Row],[キャンセル人数]]*$B$2))</f>
        <v/>
      </c>
    </row>
    <row r="6" spans="1:21">
      <c r="A6" s="63">
        <f t="shared" ref="A6:A35" si="0"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6" s="16" t="str">
        <f>IFERROR(($B$3*三ノ宮多味庵4000[[#This Row],[人数]])-三ノ宮多味庵4000[[#This Row],[単価合計]]-(三ノ宮多味庵4000[[#This Row],[キャンセル人数]]*$B$2),"")</f>
        <v/>
      </c>
      <c r="H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6" s="15"/>
      <c r="J6" s="16" t="str">
        <f>IF(三ノ宮多味庵4000[[#This Row],[人数]]="","",VLOOKUP(三ノ宮多味庵4000[[#This Row],[人数]],バック金額②[#All],2,TRUE)-(三ノ宮多味庵4000[[#This Row],[キャンセル人数]]*$B$2))</f>
        <v/>
      </c>
      <c r="L6" s="63">
        <f t="shared" ref="L6:L35" si="1"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6" s="16" t="str">
        <f>IFERROR(($M$3*三ノ宮多味庵3500[[#This Row],[人数]])-三ノ宮多味庵3500[[#This Row],[単価合計]]-(三ノ宮多味庵3500[[#This Row],[キャンセル人数]]*$B$2),"")</f>
        <v/>
      </c>
      <c r="S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6" s="15"/>
      <c r="U6" s="16" t="str">
        <f>IF(三ノ宮多味庵3500[[#This Row],[人数]]="","",VLOOKUP(三ノ宮多味庵3500[[#This Row],[人数]],バック金額②[#All],2,TRUE)-(三ノ宮多味庵3500[[#This Row],[人数]]*M3)-(三ノ宮多味庵3500[[#This Row],[キャンセル人数]]*$B$2))</f>
        <v/>
      </c>
    </row>
    <row r="7" spans="1:21">
      <c r="A7" s="63">
        <f t="shared" si="0"/>
        <v>44837</v>
      </c>
      <c r="B7" s="13"/>
      <c r="C7" s="14"/>
      <c r="D7" s="15"/>
      <c r="E7" s="15"/>
      <c r="F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7" s="16" t="str">
        <f>IFERROR(($B$3*三ノ宮多味庵4000[[#This Row],[人数]])-三ノ宮多味庵4000[[#This Row],[単価合計]]-(三ノ宮多味庵4000[[#This Row],[キャンセル人数]]*$B$2),"")</f>
        <v/>
      </c>
      <c r="H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7" s="15"/>
      <c r="J7" s="16" t="str">
        <f>IF(三ノ宮多味庵4000[[#This Row],[人数]]="","",VLOOKUP(三ノ宮多味庵4000[[#This Row],[人数]],バック金額②[#All],2,TRUE)-(三ノ宮多味庵4000[[#This Row],[キャンセル人数]]*$B$2))</f>
        <v/>
      </c>
      <c r="L7" s="63">
        <f t="shared" si="1"/>
        <v>44837</v>
      </c>
      <c r="M7" s="13"/>
      <c r="N7" s="14"/>
      <c r="O7" s="15"/>
      <c r="P7" s="15"/>
      <c r="Q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7" s="16" t="str">
        <f>IFERROR(($M$3*三ノ宮多味庵3500[[#This Row],[人数]])-三ノ宮多味庵3500[[#This Row],[単価合計]]-(三ノ宮多味庵3500[[#This Row],[キャンセル人数]]*$B$2),"")</f>
        <v/>
      </c>
      <c r="S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7" s="15"/>
      <c r="U7" s="16"/>
    </row>
    <row r="8" spans="1:21">
      <c r="A8" s="63">
        <f t="shared" si="0"/>
        <v>44838</v>
      </c>
      <c r="B8" s="13"/>
      <c r="C8" s="14"/>
      <c r="D8" s="15"/>
      <c r="E8" s="15"/>
      <c r="F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8" s="16" t="str">
        <f>IFERROR(($B$3*三ノ宮多味庵4000[[#This Row],[人数]])-三ノ宮多味庵4000[[#This Row],[単価合計]]-(三ノ宮多味庵4000[[#This Row],[キャンセル人数]]*$B$2),"")</f>
        <v/>
      </c>
      <c r="H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8" s="15"/>
      <c r="J8" s="16" t="str">
        <f>IF(三ノ宮多味庵4000[[#This Row],[人数]]="","",VLOOKUP(三ノ宮多味庵4000[[#This Row],[人数]],バック金額②[#All],2,TRUE)-(三ノ宮多味庵4000[[#This Row],[キャンセル人数]]*$B$2))</f>
        <v/>
      </c>
      <c r="L8" s="63">
        <f t="shared" si="1"/>
        <v>44838</v>
      </c>
      <c r="M8" s="13"/>
      <c r="N8" s="14"/>
      <c r="O8" s="15"/>
      <c r="P8" s="15"/>
      <c r="Q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8" s="16" t="str">
        <f>IFERROR(($M$3*三ノ宮多味庵3500[[#This Row],[人数]])-三ノ宮多味庵3500[[#This Row],[単価合計]]-(三ノ宮多味庵3500[[#This Row],[キャンセル人数]]*$B$2),"")</f>
        <v/>
      </c>
      <c r="S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8" s="15"/>
      <c r="U8" s="16" t="str">
        <f>IF(三ノ宮多味庵3500[[#This Row],[人数]]="","",VLOOKUP(三ノ宮多味庵3500[[#This Row],[人数]],バック金額②[#All],2,TRUE)-(三ノ宮多味庵3500[[#This Row],[人数]]*M5)-(三ノ宮多味庵3500[[#This Row],[キャンセル人数]]*$B$2))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9" s="16" t="str">
        <f>IFERROR(($B$3*三ノ宮多味庵4000[[#This Row],[人数]])-三ノ宮多味庵4000[[#This Row],[単価合計]]-(三ノ宮多味庵4000[[#This Row],[キャンセル人数]]*$B$2),"")</f>
        <v/>
      </c>
      <c r="H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9" s="15"/>
      <c r="J9" s="16" t="str">
        <f>IF(三ノ宮多味庵4000[[#This Row],[人数]]="","",VLOOKUP(三ノ宮多味庵4000[[#This Row],[人数]],バック金額②[#All],2,TRUE)-(三ノ宮多味庵4000[[#This Row],[キャンセル人数]]*$B$2))</f>
        <v/>
      </c>
      <c r="L9" s="63">
        <f t="shared" si="1"/>
        <v>44839</v>
      </c>
      <c r="M9" s="13"/>
      <c r="N9" s="14"/>
      <c r="O9" s="15"/>
      <c r="P9" s="15"/>
      <c r="Q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9" s="16" t="str">
        <f>IFERROR(($M$3*三ノ宮多味庵3500[[#This Row],[人数]])-三ノ宮多味庵3500[[#This Row],[単価合計]]-(三ノ宮多味庵3500[[#This Row],[キャンセル人数]]*$B$2),"")</f>
        <v/>
      </c>
      <c r="S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9" s="15"/>
      <c r="U9" s="16" t="str">
        <f>IF(三ノ宮多味庵3500[[#This Row],[人数]]="","",VLOOKUP(三ノ宮多味庵3500[[#This Row],[人数]],バック金額②[#All],2,TRUE)-(三ノ宮多味庵3500[[#This Row],[人数]]*M6)-(三ノ宮多味庵3500[[#This Row],[キャンセル人数]]*$B$2))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0" s="16" t="str">
        <f>IFERROR(($B$3*三ノ宮多味庵4000[[#This Row],[人数]])-三ノ宮多味庵4000[[#This Row],[単価合計]]-(三ノ宮多味庵4000[[#This Row],[キャンセル人数]]*$B$2),"")</f>
        <v/>
      </c>
      <c r="H1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0" s="15"/>
      <c r="J10" s="16" t="str">
        <f>IF(三ノ宮多味庵4000[[#This Row],[人数]]="","",VLOOKUP(三ノ宮多味庵4000[[#This Row],[人数]],バック金額②[#All],2,TRUE)-(三ノ宮多味庵4000[[#This Row],[キャンセル人数]]*$B$2))</f>
        <v/>
      </c>
      <c r="L10" s="63">
        <f t="shared" si="1"/>
        <v>44840</v>
      </c>
      <c r="M10" s="13"/>
      <c r="N10" s="14"/>
      <c r="O10" s="15"/>
      <c r="P10" s="15"/>
      <c r="Q1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0" s="16" t="str">
        <f>IFERROR(($M$3*三ノ宮多味庵3500[[#This Row],[人数]])-三ノ宮多味庵3500[[#This Row],[単価合計]]-(三ノ宮多味庵3500[[#This Row],[キャンセル人数]]*$B$2),"")</f>
        <v/>
      </c>
      <c r="S1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0" s="15"/>
      <c r="U10" s="16" t="str">
        <f>IF(三ノ宮多味庵3500[[#This Row],[人数]]="","",VLOOKUP(三ノ宮多味庵3500[[#This Row],[人数]],バック金額②[#All],2,TRUE)-(三ノ宮多味庵3500[[#This Row],[人数]]*M7)-(三ノ宮多味庵3500[[#This Row],[キャンセル人数]]*$B$2))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1" s="16" t="str">
        <f>IFERROR(($B$3*三ノ宮多味庵4000[[#This Row],[人数]])-三ノ宮多味庵4000[[#This Row],[単価合計]]-(三ノ宮多味庵4000[[#This Row],[キャンセル人数]]*$B$2),"")</f>
        <v/>
      </c>
      <c r="H1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1" s="15"/>
      <c r="J11" s="16" t="str">
        <f>IF(三ノ宮多味庵4000[[#This Row],[人数]]="","",VLOOKUP(三ノ宮多味庵4000[[#This Row],[人数]],バック金額②[#All],2,TRUE)-(三ノ宮多味庵4000[[#This Row],[キャンセル人数]]*$B$2))</f>
        <v/>
      </c>
      <c r="L11" s="63">
        <f t="shared" si="1"/>
        <v>44841</v>
      </c>
      <c r="M11" s="13"/>
      <c r="N11" s="14"/>
      <c r="O11" s="15"/>
      <c r="P11" s="15"/>
      <c r="Q1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1" s="16" t="str">
        <f>IFERROR(($M$3*三ノ宮多味庵3500[[#This Row],[人数]])-三ノ宮多味庵3500[[#This Row],[単価合計]]-(三ノ宮多味庵3500[[#This Row],[キャンセル人数]]*$B$2),"")</f>
        <v/>
      </c>
      <c r="S1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1" s="15"/>
      <c r="U11" s="16" t="str">
        <f>IF(三ノ宮多味庵3500[[#This Row],[人数]]="","",VLOOKUP(三ノ宮多味庵3500[[#This Row],[人数]],バック金額②[#All],2,TRUE)-(三ノ宮多味庵3500[[#This Row],[人数]]*M8)-(三ノ宮多味庵3500[[#This Row],[キャンセル人数]]*$B$2))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2" s="16" t="str">
        <f>IFERROR(($B$3*三ノ宮多味庵4000[[#This Row],[人数]])-三ノ宮多味庵4000[[#This Row],[単価合計]]-(三ノ宮多味庵4000[[#This Row],[キャンセル人数]]*$B$2),"")</f>
        <v/>
      </c>
      <c r="H1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2" s="15"/>
      <c r="J12" s="16" t="str">
        <f>IF(三ノ宮多味庵4000[[#This Row],[人数]]="","",VLOOKUP(三ノ宮多味庵4000[[#This Row],[人数]],バック金額②[#All],2,TRUE)-(三ノ宮多味庵4000[[#This Row],[キャンセル人数]]*$B$2))</f>
        <v/>
      </c>
      <c r="L12" s="63">
        <f t="shared" si="1"/>
        <v>44842</v>
      </c>
      <c r="M12" s="13"/>
      <c r="N12" s="14"/>
      <c r="O12" s="15"/>
      <c r="P12" s="15"/>
      <c r="Q1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2" s="16" t="str">
        <f>IFERROR(($M$3*三ノ宮多味庵3500[[#This Row],[人数]])-三ノ宮多味庵3500[[#This Row],[単価合計]]-(三ノ宮多味庵3500[[#This Row],[キャンセル人数]]*$B$2),"")</f>
        <v/>
      </c>
      <c r="S1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2" s="15"/>
      <c r="U12" s="16" t="str">
        <f>IF(三ノ宮多味庵3500[[#This Row],[人数]]="","",VLOOKUP(三ノ宮多味庵3500[[#This Row],[人数]],バック金額②[#All],2,TRUE)-(三ノ宮多味庵3500[[#This Row],[人数]]*M9)-(三ノ宮多味庵3500[[#This Row],[キャンセル人数]]*$B$2))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3" s="16" t="str">
        <f>IFERROR(($B$3*三ノ宮多味庵4000[[#This Row],[人数]])-三ノ宮多味庵4000[[#This Row],[単価合計]]-(三ノ宮多味庵4000[[#This Row],[キャンセル人数]]*$B$2),"")</f>
        <v/>
      </c>
      <c r="H1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3" s="15"/>
      <c r="J13" s="16" t="str">
        <f>IF(三ノ宮多味庵4000[[#This Row],[人数]]="","",VLOOKUP(三ノ宮多味庵4000[[#This Row],[人数]],バック金額②[#All],2,TRUE)-(三ノ宮多味庵4000[[#This Row],[キャンセル人数]]*$B$2))</f>
        <v/>
      </c>
      <c r="L13" s="63">
        <f t="shared" si="1"/>
        <v>44843</v>
      </c>
      <c r="M13" s="13"/>
      <c r="N13" s="14"/>
      <c r="O13" s="15"/>
      <c r="P13" s="15"/>
      <c r="Q1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3" s="16" t="str">
        <f>IFERROR(($M$3*三ノ宮多味庵3500[[#This Row],[人数]])-三ノ宮多味庵3500[[#This Row],[単価合計]]-(三ノ宮多味庵3500[[#This Row],[キャンセル人数]]*$B$2),"")</f>
        <v/>
      </c>
      <c r="S1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3" s="15"/>
      <c r="U13" s="16" t="str">
        <f>IF(三ノ宮多味庵3500[[#This Row],[人数]]="","",VLOOKUP(三ノ宮多味庵3500[[#This Row],[人数]],バック金額②[#All],2,TRUE)-(三ノ宮多味庵3500[[#This Row],[人数]]*M10)-(三ノ宮多味庵3500[[#This Row],[キャンセル人数]]*$B$2))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4" s="16" t="str">
        <f>IFERROR(($B$3*三ノ宮多味庵4000[[#This Row],[人数]])-三ノ宮多味庵4000[[#This Row],[単価合計]]-(三ノ宮多味庵4000[[#This Row],[キャンセル人数]]*$B$2),"")</f>
        <v/>
      </c>
      <c r="H1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4" s="15"/>
      <c r="J14" s="16" t="str">
        <f>IF(三ノ宮多味庵4000[[#This Row],[人数]]="","",VLOOKUP(三ノ宮多味庵4000[[#This Row],[人数]],バック金額②[#All],2,TRUE)-(三ノ宮多味庵4000[[#This Row],[キャンセル人数]]*$B$2))</f>
        <v/>
      </c>
      <c r="L14" s="63">
        <f t="shared" si="1"/>
        <v>44844</v>
      </c>
      <c r="M14" s="13"/>
      <c r="N14" s="14"/>
      <c r="O14" s="15"/>
      <c r="P14" s="15"/>
      <c r="Q1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4" s="16" t="str">
        <f>IFERROR(($M$3*三ノ宮多味庵3500[[#This Row],[人数]])-三ノ宮多味庵3500[[#This Row],[単価合計]]-(三ノ宮多味庵3500[[#This Row],[キャンセル人数]]*$B$2),"")</f>
        <v/>
      </c>
      <c r="S1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4" s="15"/>
      <c r="U14" s="16" t="str">
        <f>IF(三ノ宮多味庵3500[[#This Row],[人数]]="","",VLOOKUP(三ノ宮多味庵3500[[#This Row],[人数]],バック金額②[#All],2,TRUE)-(三ノ宮多味庵3500[[#This Row],[人数]]*M11)-(三ノ宮多味庵3500[[#This Row],[キャンセル人数]]*$B$2))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5" s="16" t="str">
        <f>IFERROR(($B$3*三ノ宮多味庵4000[[#This Row],[人数]])-三ノ宮多味庵4000[[#This Row],[単価合計]]-(三ノ宮多味庵4000[[#This Row],[キャンセル人数]]*$B$2),"")</f>
        <v/>
      </c>
      <c r="H1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5" s="15"/>
      <c r="J15" s="16" t="str">
        <f>IF(三ノ宮多味庵4000[[#This Row],[人数]]="","",VLOOKUP(三ノ宮多味庵4000[[#This Row],[人数]],バック金額②[#All],2,TRUE)-(三ノ宮多味庵4000[[#This Row],[キャンセル人数]]*$B$2))</f>
        <v/>
      </c>
      <c r="L15" s="63">
        <f t="shared" si="1"/>
        <v>44845</v>
      </c>
      <c r="M15" s="13"/>
      <c r="N15" s="14"/>
      <c r="O15" s="15"/>
      <c r="P15" s="15"/>
      <c r="Q1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5" s="16" t="str">
        <f>IFERROR(($M$3*三ノ宮多味庵3500[[#This Row],[人数]])-三ノ宮多味庵3500[[#This Row],[単価合計]]-(三ノ宮多味庵3500[[#This Row],[キャンセル人数]]*$B$2),"")</f>
        <v/>
      </c>
      <c r="S1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5" s="15"/>
      <c r="U15" s="16" t="str">
        <f>IF(三ノ宮多味庵3500[[#This Row],[人数]]="","",VLOOKUP(三ノ宮多味庵3500[[#This Row],[人数]],バック金額②[#All],2,TRUE)-(三ノ宮多味庵3500[[#This Row],[人数]]*M12)-(三ノ宮多味庵3500[[#This Row],[キャンセル人数]]*$B$2))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6" s="16" t="str">
        <f>IFERROR(($B$3*三ノ宮多味庵4000[[#This Row],[人数]])-三ノ宮多味庵4000[[#This Row],[単価合計]]-(三ノ宮多味庵4000[[#This Row],[キャンセル人数]]*$B$2),"")</f>
        <v/>
      </c>
      <c r="H1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6" s="15"/>
      <c r="J16" s="16" t="str">
        <f>IF(三ノ宮多味庵4000[[#This Row],[人数]]="","",VLOOKUP(三ノ宮多味庵4000[[#This Row],[人数]],バック金額②[#All],2,TRUE)-(三ノ宮多味庵4000[[#This Row],[キャンセル人数]]*$B$2))</f>
        <v/>
      </c>
      <c r="L16" s="63">
        <f t="shared" si="1"/>
        <v>44846</v>
      </c>
      <c r="M16" s="13"/>
      <c r="N16" s="14"/>
      <c r="O16" s="15"/>
      <c r="P16" s="15"/>
      <c r="Q1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6" s="16" t="str">
        <f>IFERROR(($M$3*三ノ宮多味庵3500[[#This Row],[人数]])-三ノ宮多味庵3500[[#This Row],[単価合計]]-(三ノ宮多味庵3500[[#This Row],[キャンセル人数]]*$B$2),"")</f>
        <v/>
      </c>
      <c r="S1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6" s="15"/>
      <c r="U16" s="16" t="str">
        <f>IF(三ノ宮多味庵3500[[#This Row],[人数]]="","",VLOOKUP(三ノ宮多味庵3500[[#This Row],[人数]],バック金額②[#All],2,TRUE)-(三ノ宮多味庵3500[[#This Row],[人数]]*M13)-(三ノ宮多味庵3500[[#This Row],[キャンセル人数]]*$B$2))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7" s="16" t="str">
        <f>IFERROR(($B$3*三ノ宮多味庵4000[[#This Row],[人数]])-三ノ宮多味庵4000[[#This Row],[単価合計]]-(三ノ宮多味庵4000[[#This Row],[キャンセル人数]]*$B$2),"")</f>
        <v/>
      </c>
      <c r="H1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7" s="15"/>
      <c r="J17" s="16" t="str">
        <f>IF(三ノ宮多味庵4000[[#This Row],[人数]]="","",VLOOKUP(三ノ宮多味庵4000[[#This Row],[人数]],バック金額②[#All],2,TRUE)-(三ノ宮多味庵4000[[#This Row],[キャンセル人数]]*$B$2))</f>
        <v/>
      </c>
      <c r="L17" s="63">
        <f t="shared" si="1"/>
        <v>44847</v>
      </c>
      <c r="M17" s="13"/>
      <c r="N17" s="14"/>
      <c r="O17" s="15"/>
      <c r="P17" s="15"/>
      <c r="Q1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7" s="16" t="str">
        <f>IFERROR(($M$3*三ノ宮多味庵3500[[#This Row],[人数]])-三ノ宮多味庵3500[[#This Row],[単価合計]]-(三ノ宮多味庵3500[[#This Row],[キャンセル人数]]*$B$2),"")</f>
        <v/>
      </c>
      <c r="S1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7" s="15"/>
      <c r="U17" s="16" t="str">
        <f>IF(三ノ宮多味庵3500[[#This Row],[人数]]="","",VLOOKUP(三ノ宮多味庵3500[[#This Row],[人数]],バック金額②[#All],2,TRUE)-(三ノ宮多味庵3500[[#This Row],[人数]]*M14)-(三ノ宮多味庵3500[[#This Row],[キャンセル人数]]*$B$2))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8" s="16" t="str">
        <f>IFERROR(($B$3*三ノ宮多味庵4000[[#This Row],[人数]])-三ノ宮多味庵4000[[#This Row],[単価合計]]-(三ノ宮多味庵4000[[#This Row],[キャンセル人数]]*$B$2),"")</f>
        <v/>
      </c>
      <c r="H1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8" s="15"/>
      <c r="J18" s="16" t="str">
        <f>IF(三ノ宮多味庵4000[[#This Row],[人数]]="","",VLOOKUP(三ノ宮多味庵4000[[#This Row],[人数]],バック金額②[#All],2,TRUE)-(三ノ宮多味庵4000[[#This Row],[キャンセル人数]]*$B$2))</f>
        <v/>
      </c>
      <c r="L18" s="63">
        <f t="shared" si="1"/>
        <v>44848</v>
      </c>
      <c r="M18" s="13"/>
      <c r="N18" s="14"/>
      <c r="O18" s="15"/>
      <c r="P18" s="15"/>
      <c r="Q1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8" s="16" t="str">
        <f>IFERROR(($M$3*三ノ宮多味庵3500[[#This Row],[人数]])-三ノ宮多味庵3500[[#This Row],[単価合計]]-(三ノ宮多味庵3500[[#This Row],[キャンセル人数]]*$B$2),"")</f>
        <v/>
      </c>
      <c r="S1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8" s="15"/>
      <c r="U18" s="16" t="str">
        <f>IF(三ノ宮多味庵3500[[#This Row],[人数]]="","",VLOOKUP(三ノ宮多味庵3500[[#This Row],[人数]],バック金額②[#All],2,TRUE)-(三ノ宮多味庵3500[[#This Row],[人数]]*M15)-(三ノ宮多味庵3500[[#This Row],[キャンセル人数]]*$B$2))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19" s="16" t="str">
        <f>IFERROR(($B$3*三ノ宮多味庵4000[[#This Row],[人数]])-三ノ宮多味庵4000[[#This Row],[単価合計]]-(三ノ宮多味庵4000[[#This Row],[キャンセル人数]]*$B$2),"")</f>
        <v/>
      </c>
      <c r="H1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19" s="15"/>
      <c r="J19" s="16" t="str">
        <f>IF(三ノ宮多味庵4000[[#This Row],[人数]]="","",VLOOKUP(三ノ宮多味庵4000[[#This Row],[人数]],バック金額②[#All],2,TRUE)-(三ノ宮多味庵4000[[#This Row],[キャンセル人数]]*$B$2))</f>
        <v/>
      </c>
      <c r="L19" s="63">
        <f t="shared" si="1"/>
        <v>44849</v>
      </c>
      <c r="M19" s="13"/>
      <c r="N19" s="14"/>
      <c r="O19" s="15"/>
      <c r="P19" s="15"/>
      <c r="Q1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19" s="16" t="str">
        <f>IFERROR(($M$3*三ノ宮多味庵3500[[#This Row],[人数]])-三ノ宮多味庵3500[[#This Row],[単価合計]]-(三ノ宮多味庵3500[[#This Row],[キャンセル人数]]*$B$2),"")</f>
        <v/>
      </c>
      <c r="S1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19" s="15"/>
      <c r="U19" s="16" t="str">
        <f>IF(三ノ宮多味庵3500[[#This Row],[人数]]="","",VLOOKUP(三ノ宮多味庵3500[[#This Row],[人数]],バック金額②[#All],2,TRUE)-(三ノ宮多味庵3500[[#This Row],[人数]]*M16)-(三ノ宮多味庵3500[[#This Row],[キャンセル人数]]*$B$2))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0" s="16" t="str">
        <f>IFERROR(($B$3*三ノ宮多味庵4000[[#This Row],[人数]])-三ノ宮多味庵4000[[#This Row],[単価合計]]-(三ノ宮多味庵4000[[#This Row],[キャンセル人数]]*$B$2),"")</f>
        <v/>
      </c>
      <c r="H2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0" s="15"/>
      <c r="J20" s="16" t="str">
        <f>IF(三ノ宮多味庵4000[[#This Row],[人数]]="","",VLOOKUP(三ノ宮多味庵4000[[#This Row],[人数]],バック金額②[#All],2,TRUE)-(三ノ宮多味庵4000[[#This Row],[キャンセル人数]]*$B$2))</f>
        <v/>
      </c>
      <c r="L20" s="63">
        <f t="shared" si="1"/>
        <v>44850</v>
      </c>
      <c r="M20" s="13"/>
      <c r="N20" s="14"/>
      <c r="O20" s="15"/>
      <c r="P20" s="15"/>
      <c r="Q2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0" s="16" t="str">
        <f>IFERROR(($M$3*三ノ宮多味庵3500[[#This Row],[人数]])-三ノ宮多味庵3500[[#This Row],[単価合計]]-(三ノ宮多味庵3500[[#This Row],[キャンセル人数]]*$B$2),"")</f>
        <v/>
      </c>
      <c r="S2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0" s="15"/>
      <c r="U20" s="16" t="str">
        <f>IF(三ノ宮多味庵3500[[#This Row],[人数]]="","",VLOOKUP(三ノ宮多味庵3500[[#This Row],[人数]],バック金額②[#All],2,TRUE)-(三ノ宮多味庵3500[[#This Row],[人数]]*M17)-(三ノ宮多味庵3500[[#This Row],[キャンセル人数]]*$B$2))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1" s="16" t="str">
        <f>IFERROR(($B$3*三ノ宮多味庵4000[[#This Row],[人数]])-三ノ宮多味庵4000[[#This Row],[単価合計]]-(三ノ宮多味庵4000[[#This Row],[キャンセル人数]]*$B$2),"")</f>
        <v/>
      </c>
      <c r="H2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1" s="15"/>
      <c r="J21" s="16" t="str">
        <f>IF(三ノ宮多味庵4000[[#This Row],[人数]]="","",VLOOKUP(三ノ宮多味庵4000[[#This Row],[人数]],バック金額②[#All],2,TRUE)-(三ノ宮多味庵4000[[#This Row],[キャンセル人数]]*$B$2))</f>
        <v/>
      </c>
      <c r="L21" s="63">
        <f t="shared" si="1"/>
        <v>44851</v>
      </c>
      <c r="M21" s="13"/>
      <c r="N21" s="14"/>
      <c r="O21" s="15"/>
      <c r="P21" s="15"/>
      <c r="Q2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1" s="16" t="str">
        <f>IFERROR(($M$3*三ノ宮多味庵3500[[#This Row],[人数]])-三ノ宮多味庵3500[[#This Row],[単価合計]]-(三ノ宮多味庵3500[[#This Row],[キャンセル人数]]*$B$2),"")</f>
        <v/>
      </c>
      <c r="S2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1" s="15"/>
      <c r="U21" s="16" t="str">
        <f>IF(三ノ宮多味庵3500[[#This Row],[人数]]="","",VLOOKUP(三ノ宮多味庵3500[[#This Row],[人数]],バック金額②[#All],2,TRUE)-(三ノ宮多味庵3500[[#This Row],[人数]]*M18)-(三ノ宮多味庵3500[[#This Row],[キャンセル人数]]*$B$2))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2" s="16" t="str">
        <f>IFERROR(($B$3*三ノ宮多味庵4000[[#This Row],[人数]])-三ノ宮多味庵4000[[#This Row],[単価合計]]-(三ノ宮多味庵4000[[#This Row],[キャンセル人数]]*$B$2),"")</f>
        <v/>
      </c>
      <c r="H2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2" s="15"/>
      <c r="J22" s="16" t="str">
        <f>IF(三ノ宮多味庵4000[[#This Row],[人数]]="","",VLOOKUP(三ノ宮多味庵4000[[#This Row],[人数]],バック金額②[#All],2,TRUE)-(三ノ宮多味庵4000[[#This Row],[キャンセル人数]]*$B$2))</f>
        <v/>
      </c>
      <c r="L22" s="63">
        <f t="shared" si="1"/>
        <v>44852</v>
      </c>
      <c r="M22" s="13"/>
      <c r="N22" s="14"/>
      <c r="O22" s="15"/>
      <c r="P22" s="15"/>
      <c r="Q2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2" s="16" t="str">
        <f>IFERROR(($M$3*三ノ宮多味庵3500[[#This Row],[人数]])-三ノ宮多味庵3500[[#This Row],[単価合計]]-(三ノ宮多味庵3500[[#This Row],[キャンセル人数]]*$B$2),"")</f>
        <v/>
      </c>
      <c r="S2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2" s="15"/>
      <c r="U22" s="16" t="str">
        <f>IF(三ノ宮多味庵3500[[#This Row],[人数]]="","",VLOOKUP(三ノ宮多味庵3500[[#This Row],[人数]],バック金額②[#All],2,TRUE)-(三ノ宮多味庵3500[[#This Row],[人数]]*M19)-(三ノ宮多味庵3500[[#This Row],[キャンセル人数]]*$B$2))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3" s="16" t="str">
        <f>IFERROR(($B$3*三ノ宮多味庵4000[[#This Row],[人数]])-三ノ宮多味庵4000[[#This Row],[単価合計]]-(三ノ宮多味庵4000[[#This Row],[キャンセル人数]]*$B$2),"")</f>
        <v/>
      </c>
      <c r="H2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3" s="15"/>
      <c r="J23" s="16" t="str">
        <f>IF(三ノ宮多味庵4000[[#This Row],[人数]]="","",VLOOKUP(三ノ宮多味庵4000[[#This Row],[人数]],バック金額②[#All],2,TRUE)-(三ノ宮多味庵4000[[#This Row],[キャンセル人数]]*$B$2))</f>
        <v/>
      </c>
      <c r="L23" s="63">
        <f t="shared" si="1"/>
        <v>44853</v>
      </c>
      <c r="M23" s="13"/>
      <c r="N23" s="14"/>
      <c r="O23" s="15"/>
      <c r="P23" s="15"/>
      <c r="Q2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3" s="16" t="str">
        <f>IFERROR(($M$3*三ノ宮多味庵3500[[#This Row],[人数]])-三ノ宮多味庵3500[[#This Row],[単価合計]]-(三ノ宮多味庵3500[[#This Row],[キャンセル人数]]*$B$2),"")</f>
        <v/>
      </c>
      <c r="S2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3" s="15"/>
      <c r="U23" s="16" t="str">
        <f>IF(三ノ宮多味庵3500[[#This Row],[人数]]="","",VLOOKUP(三ノ宮多味庵3500[[#This Row],[人数]],バック金額②[#All],2,TRUE)-(三ノ宮多味庵3500[[#This Row],[人数]]*M20)-(三ノ宮多味庵3500[[#This Row],[キャンセル人数]]*$B$2))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4" s="16" t="str">
        <f>IFERROR(($B$3*三ノ宮多味庵4000[[#This Row],[人数]])-三ノ宮多味庵4000[[#This Row],[単価合計]]-(三ノ宮多味庵4000[[#This Row],[キャンセル人数]]*$B$2),"")</f>
        <v/>
      </c>
      <c r="H2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4" s="15"/>
      <c r="J24" s="16" t="str">
        <f>IF(三ノ宮多味庵4000[[#This Row],[人数]]="","",VLOOKUP(三ノ宮多味庵4000[[#This Row],[人数]],バック金額②[#All],2,TRUE)-(三ノ宮多味庵4000[[#This Row],[キャンセル人数]]*$B$2))</f>
        <v/>
      </c>
      <c r="L24" s="63">
        <f t="shared" si="1"/>
        <v>44854</v>
      </c>
      <c r="M24" s="13"/>
      <c r="N24" s="14"/>
      <c r="O24" s="15"/>
      <c r="P24" s="15"/>
      <c r="Q2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4" s="16" t="str">
        <f>IFERROR(($M$3*三ノ宮多味庵3500[[#This Row],[人数]])-三ノ宮多味庵3500[[#This Row],[単価合計]]-(三ノ宮多味庵3500[[#This Row],[キャンセル人数]]*$B$2),"")</f>
        <v/>
      </c>
      <c r="S2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4" s="15"/>
      <c r="U24" s="16" t="str">
        <f>IF(三ノ宮多味庵3500[[#This Row],[人数]]="","",VLOOKUP(三ノ宮多味庵3500[[#This Row],[人数]],バック金額②[#All],2,TRUE)-(三ノ宮多味庵3500[[#This Row],[人数]]*M21)-(三ノ宮多味庵3500[[#This Row],[キャンセル人数]]*$B$2))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5" s="16" t="str">
        <f>IFERROR(($B$3*三ノ宮多味庵4000[[#This Row],[人数]])-三ノ宮多味庵4000[[#This Row],[単価合計]]-(三ノ宮多味庵4000[[#This Row],[キャンセル人数]]*$B$2),"")</f>
        <v/>
      </c>
      <c r="H2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5" s="15"/>
      <c r="J25" s="16" t="str">
        <f>IF(三ノ宮多味庵4000[[#This Row],[人数]]="","",VLOOKUP(三ノ宮多味庵4000[[#This Row],[人数]],バック金額②[#All],2,TRUE)-(三ノ宮多味庵4000[[#This Row],[キャンセル人数]]*$B$2))</f>
        <v/>
      </c>
      <c r="L25" s="63">
        <f t="shared" si="1"/>
        <v>44855</v>
      </c>
      <c r="M25" s="13"/>
      <c r="N25" s="14"/>
      <c r="O25" s="15"/>
      <c r="P25" s="15"/>
      <c r="Q2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5" s="16" t="str">
        <f>IFERROR(($M$3*三ノ宮多味庵3500[[#This Row],[人数]])-三ノ宮多味庵3500[[#This Row],[単価合計]]-(三ノ宮多味庵3500[[#This Row],[キャンセル人数]]*$B$2),"")</f>
        <v/>
      </c>
      <c r="S2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5" s="15"/>
      <c r="U25" s="16" t="str">
        <f>IF(三ノ宮多味庵3500[[#This Row],[人数]]="","",VLOOKUP(三ノ宮多味庵3500[[#This Row],[人数]],バック金額②[#All],2,TRUE)-(三ノ宮多味庵3500[[#This Row],[人数]]*M22)-(三ノ宮多味庵3500[[#This Row],[キャンセル人数]]*$B$2))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6" s="16" t="str">
        <f>IFERROR(($B$3*三ノ宮多味庵4000[[#This Row],[人数]])-三ノ宮多味庵4000[[#This Row],[単価合計]]-(三ノ宮多味庵4000[[#This Row],[キャンセル人数]]*$B$2),"")</f>
        <v/>
      </c>
      <c r="H26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6" s="15"/>
      <c r="J26" s="16" t="str">
        <f>IF(三ノ宮多味庵4000[[#This Row],[人数]]="","",VLOOKUP(三ノ宮多味庵4000[[#This Row],[人数]],バック金額②[#All],2,TRUE)-(三ノ宮多味庵4000[[#This Row],[キャンセル人数]]*$B$2))</f>
        <v/>
      </c>
      <c r="L26" s="63">
        <f t="shared" si="1"/>
        <v>44856</v>
      </c>
      <c r="M26" s="13"/>
      <c r="N26" s="14"/>
      <c r="O26" s="15"/>
      <c r="P26" s="15"/>
      <c r="Q26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6" s="16" t="str">
        <f>IFERROR(($M$3*三ノ宮多味庵3500[[#This Row],[人数]])-三ノ宮多味庵3500[[#This Row],[単価合計]]-(三ノ宮多味庵3500[[#This Row],[キャンセル人数]]*$B$2),"")</f>
        <v/>
      </c>
      <c r="S26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6" s="15"/>
      <c r="U26" s="16" t="str">
        <f>IF(三ノ宮多味庵3500[[#This Row],[人数]]="","",VLOOKUP(三ノ宮多味庵3500[[#This Row],[人数]],バック金額②[#All],2,TRUE)-(三ノ宮多味庵3500[[#This Row],[人数]]*M23)-(三ノ宮多味庵3500[[#This Row],[キャンセル人数]]*$B$2))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7" s="16" t="str">
        <f>IFERROR(($B$3*三ノ宮多味庵4000[[#This Row],[人数]])-三ノ宮多味庵4000[[#This Row],[単価合計]]-(三ノ宮多味庵4000[[#This Row],[キャンセル人数]]*$B$2),"")</f>
        <v/>
      </c>
      <c r="H27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7" s="15"/>
      <c r="J27" s="16" t="str">
        <f>IF(三ノ宮多味庵4000[[#This Row],[人数]]="","",VLOOKUP(三ノ宮多味庵4000[[#This Row],[人数]],バック金額②[#All],2,TRUE)-(三ノ宮多味庵4000[[#This Row],[キャンセル人数]]*$B$2))</f>
        <v/>
      </c>
      <c r="L27" s="63">
        <f t="shared" si="1"/>
        <v>44857</v>
      </c>
      <c r="M27" s="13"/>
      <c r="N27" s="14"/>
      <c r="O27" s="15"/>
      <c r="P27" s="15"/>
      <c r="Q27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7" s="16" t="str">
        <f>IFERROR(($M$3*三ノ宮多味庵3500[[#This Row],[人数]])-三ノ宮多味庵3500[[#This Row],[単価合計]]-(三ノ宮多味庵3500[[#This Row],[キャンセル人数]]*$B$2),"")</f>
        <v/>
      </c>
      <c r="S27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7" s="15"/>
      <c r="U27" s="16" t="str">
        <f>IF(三ノ宮多味庵3500[[#This Row],[人数]]="","",VLOOKUP(三ノ宮多味庵3500[[#This Row],[人数]],バック金額②[#All],2,TRUE)-(三ノ宮多味庵3500[[#This Row],[人数]]*M24)-(三ノ宮多味庵3500[[#This Row],[キャンセル人数]]*$B$2))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8" s="16" t="str">
        <f>IFERROR(($B$3*三ノ宮多味庵4000[[#This Row],[人数]])-三ノ宮多味庵4000[[#This Row],[単価合計]]-(三ノ宮多味庵4000[[#This Row],[キャンセル人数]]*$B$2),"")</f>
        <v/>
      </c>
      <c r="H28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8" s="15"/>
      <c r="J28" s="16" t="str">
        <f>IF(三ノ宮多味庵4000[[#This Row],[人数]]="","",VLOOKUP(三ノ宮多味庵4000[[#This Row],[人数]],バック金額②[#All],2,TRUE)-(三ノ宮多味庵4000[[#This Row],[キャンセル人数]]*$B$2))</f>
        <v/>
      </c>
      <c r="L28" s="63">
        <f t="shared" si="1"/>
        <v>44858</v>
      </c>
      <c r="M28" s="13"/>
      <c r="N28" s="14"/>
      <c r="O28" s="15"/>
      <c r="P28" s="15"/>
      <c r="Q28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8" s="16" t="str">
        <f>IFERROR(($M$3*三ノ宮多味庵3500[[#This Row],[人数]])-三ノ宮多味庵3500[[#This Row],[単価合計]]-(三ノ宮多味庵3500[[#This Row],[キャンセル人数]]*$B$2),"")</f>
        <v/>
      </c>
      <c r="S28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8" s="15"/>
      <c r="U28" s="16" t="str">
        <f>IF(三ノ宮多味庵3500[[#This Row],[人数]]="","",VLOOKUP(三ノ宮多味庵3500[[#This Row],[人数]],バック金額②[#All],2,TRUE)-(三ノ宮多味庵3500[[#This Row],[人数]]*M25)-(三ノ宮多味庵3500[[#This Row],[キャンセル人数]]*$B$2))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29" s="16" t="str">
        <f>IFERROR(($B$3*三ノ宮多味庵4000[[#This Row],[人数]])-三ノ宮多味庵4000[[#This Row],[単価合計]]-(三ノ宮多味庵4000[[#This Row],[キャンセル人数]]*$B$2),"")</f>
        <v/>
      </c>
      <c r="H29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29" s="15"/>
      <c r="J29" s="16" t="str">
        <f>IF(三ノ宮多味庵4000[[#This Row],[人数]]="","",VLOOKUP(三ノ宮多味庵4000[[#This Row],[人数]],バック金額②[#All],2,TRUE)-(三ノ宮多味庵4000[[#This Row],[キャンセル人数]]*$B$2))</f>
        <v/>
      </c>
      <c r="L29" s="63">
        <f t="shared" si="1"/>
        <v>44859</v>
      </c>
      <c r="M29" s="13"/>
      <c r="N29" s="14"/>
      <c r="O29" s="15"/>
      <c r="P29" s="15"/>
      <c r="Q29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29" s="16" t="str">
        <f>IFERROR(($M$3*三ノ宮多味庵3500[[#This Row],[人数]])-三ノ宮多味庵3500[[#This Row],[単価合計]]-(三ノ宮多味庵3500[[#This Row],[キャンセル人数]]*$B$2),"")</f>
        <v/>
      </c>
      <c r="S29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29" s="15"/>
      <c r="U29" s="16" t="str">
        <f>IF(三ノ宮多味庵3500[[#This Row],[人数]]="","",VLOOKUP(三ノ宮多味庵3500[[#This Row],[人数]],バック金額②[#All],2,TRUE)-(三ノ宮多味庵3500[[#This Row],[人数]]*M26)-(三ノ宮多味庵3500[[#This Row],[キャンセル人数]]*$B$2))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0" s="16" t="str">
        <f>IFERROR(($B$3*三ノ宮多味庵4000[[#This Row],[人数]])-三ノ宮多味庵4000[[#This Row],[単価合計]]-(三ノ宮多味庵4000[[#This Row],[キャンセル人数]]*$B$2),"")</f>
        <v/>
      </c>
      <c r="H30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0" s="15"/>
      <c r="J30" s="16" t="str">
        <f>IF(三ノ宮多味庵4000[[#This Row],[人数]]="","",VLOOKUP(三ノ宮多味庵4000[[#This Row],[人数]],バック金額②[#All],2,TRUE)-(三ノ宮多味庵4000[[#This Row],[キャンセル人数]]*$B$2))</f>
        <v/>
      </c>
      <c r="L30" s="63">
        <f t="shared" si="1"/>
        <v>44860</v>
      </c>
      <c r="M30" s="13"/>
      <c r="N30" s="14"/>
      <c r="O30" s="15"/>
      <c r="P30" s="15"/>
      <c r="Q30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0" s="16" t="str">
        <f>IFERROR(($M$3*三ノ宮多味庵3500[[#This Row],[人数]])-三ノ宮多味庵3500[[#This Row],[単価合計]]-(三ノ宮多味庵3500[[#This Row],[キャンセル人数]]*$B$2),"")</f>
        <v/>
      </c>
      <c r="S30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0" s="15"/>
      <c r="U30" s="16" t="str">
        <f>IF(三ノ宮多味庵3500[[#This Row],[人数]]="","",VLOOKUP(三ノ宮多味庵3500[[#This Row],[人数]],バック金額②[#All],2,TRUE)-(三ノ宮多味庵3500[[#This Row],[人数]]*M27)-(三ノ宮多味庵3500[[#This Row],[キャンセル人数]]*$B$2))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1" s="16" t="str">
        <f>IFERROR(($B$3*三ノ宮多味庵4000[[#This Row],[人数]])-三ノ宮多味庵4000[[#This Row],[単価合計]]-(三ノ宮多味庵4000[[#This Row],[キャンセル人数]]*$B$2),"")</f>
        <v/>
      </c>
      <c r="H31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1" s="15"/>
      <c r="J31" s="16" t="str">
        <f>IF(三ノ宮多味庵4000[[#This Row],[人数]]="","",VLOOKUP(三ノ宮多味庵4000[[#This Row],[人数]],バック金額②[#All],2,TRUE)-(三ノ宮多味庵4000[[#This Row],[キャンセル人数]]*$B$2))</f>
        <v/>
      </c>
      <c r="L31" s="63">
        <f t="shared" si="1"/>
        <v>44861</v>
      </c>
      <c r="M31" s="13"/>
      <c r="N31" s="14"/>
      <c r="O31" s="15"/>
      <c r="P31" s="15"/>
      <c r="Q31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1" s="16" t="str">
        <f>IFERROR(($M$3*三ノ宮多味庵3500[[#This Row],[人数]])-三ノ宮多味庵3500[[#This Row],[単価合計]]-(三ノ宮多味庵3500[[#This Row],[キャンセル人数]]*$B$2),"")</f>
        <v/>
      </c>
      <c r="S31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1" s="15"/>
      <c r="U31" s="16" t="str">
        <f>IF(三ノ宮多味庵3500[[#This Row],[人数]]="","",VLOOKUP(三ノ宮多味庵3500[[#This Row],[人数]],バック金額②[#All],2,TRUE)-(三ノ宮多味庵3500[[#This Row],[人数]]*M28)-(三ノ宮多味庵3500[[#This Row],[キャンセル人数]]*$B$2))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2" s="16" t="str">
        <f>IFERROR(($B$3*三ノ宮多味庵4000[[#This Row],[人数]])-三ノ宮多味庵4000[[#This Row],[単価合計]]-(三ノ宮多味庵4000[[#This Row],[キャンセル人数]]*$B$2),"")</f>
        <v/>
      </c>
      <c r="H32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2" s="15"/>
      <c r="J32" s="16" t="str">
        <f>IF(三ノ宮多味庵4000[[#This Row],[人数]]="","",VLOOKUP(三ノ宮多味庵4000[[#This Row],[人数]],バック金額②[#All],2,TRUE)-(三ノ宮多味庵4000[[#This Row],[キャンセル人数]]*$B$2))</f>
        <v/>
      </c>
      <c r="L32" s="63">
        <f t="shared" si="1"/>
        <v>44862</v>
      </c>
      <c r="M32" s="13"/>
      <c r="N32" s="14"/>
      <c r="O32" s="15"/>
      <c r="P32" s="15"/>
      <c r="Q32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2" s="16" t="str">
        <f>IFERROR(($M$3*三ノ宮多味庵3500[[#This Row],[人数]])-三ノ宮多味庵3500[[#This Row],[単価合計]]-(三ノ宮多味庵3500[[#This Row],[キャンセル人数]]*$B$2),"")</f>
        <v/>
      </c>
      <c r="S32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2" s="15"/>
      <c r="U32" s="16" t="str">
        <f>IF(三ノ宮多味庵3500[[#This Row],[人数]]="","",VLOOKUP(三ノ宮多味庵3500[[#This Row],[人数]],バック金額②[#All],2,TRUE)-(三ノ宮多味庵3500[[#This Row],[人数]]*M29)-(三ノ宮多味庵3500[[#This Row],[キャンセル人数]]*$B$2))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3" s="16" t="str">
        <f>IFERROR(($B$3*三ノ宮多味庵4000[[#This Row],[人数]])-三ノ宮多味庵4000[[#This Row],[単価合計]]-(三ノ宮多味庵4000[[#This Row],[キャンセル人数]]*$B$2),"")</f>
        <v/>
      </c>
      <c r="H33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3" s="15"/>
      <c r="J33" s="16" t="str">
        <f>IF(三ノ宮多味庵4000[[#This Row],[人数]]="","",VLOOKUP(三ノ宮多味庵4000[[#This Row],[人数]],バック金額②[#All],2,TRUE)-(三ノ宮多味庵4000[[#This Row],[キャンセル人数]]*$B$2))</f>
        <v/>
      </c>
      <c r="L33" s="63">
        <f t="shared" si="1"/>
        <v>44863</v>
      </c>
      <c r="M33" s="13"/>
      <c r="N33" s="14"/>
      <c r="O33" s="15"/>
      <c r="P33" s="15"/>
      <c r="Q33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3" s="16" t="str">
        <f>IFERROR(($M$3*三ノ宮多味庵3500[[#This Row],[人数]])-三ノ宮多味庵3500[[#This Row],[単価合計]]-(三ノ宮多味庵3500[[#This Row],[キャンセル人数]]*$B$2),"")</f>
        <v/>
      </c>
      <c r="S33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3" s="15"/>
      <c r="U33" s="16" t="str">
        <f>IF(三ノ宮多味庵3500[[#This Row],[人数]]="","",VLOOKUP(三ノ宮多味庵3500[[#This Row],[人数]],バック金額②[#All],2,TRUE)-(三ノ宮多味庵3500[[#This Row],[人数]]*M30)-(三ノ宮多味庵3500[[#This Row],[キャンセル人数]]*$B$2))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4" s="16" t="str">
        <f>IFERROR(($B$3*三ノ宮多味庵4000[[#This Row],[人数]])-三ノ宮多味庵4000[[#This Row],[単価合計]]-(三ノ宮多味庵4000[[#This Row],[キャンセル人数]]*$B$2),"")</f>
        <v/>
      </c>
      <c r="H34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4" s="15"/>
      <c r="J34" s="16" t="str">
        <f>IF(三ノ宮多味庵4000[[#This Row],[人数]]="","",VLOOKUP(三ノ宮多味庵4000[[#This Row],[人数]],バック金額②[#All],2,TRUE)-(三ノ宮多味庵4000[[#This Row],[キャンセル人数]]*$B$2))</f>
        <v/>
      </c>
      <c r="L34" s="63">
        <f t="shared" si="1"/>
        <v>44864</v>
      </c>
      <c r="M34" s="13"/>
      <c r="N34" s="14"/>
      <c r="O34" s="15"/>
      <c r="P34" s="15"/>
      <c r="Q34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4" s="16" t="str">
        <f>IFERROR(($M$3*三ノ宮多味庵3500[[#This Row],[人数]])-三ノ宮多味庵3500[[#This Row],[単価合計]]-(三ノ宮多味庵3500[[#This Row],[キャンセル人数]]*$B$2),"")</f>
        <v/>
      </c>
      <c r="S34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4" s="15"/>
      <c r="U34" s="16" t="str">
        <f>IF(三ノ宮多味庵3500[[#This Row],[人数]]="","",VLOOKUP(三ノ宮多味庵3500[[#This Row],[人数]],バック金額②[#All],2,TRUE)-(三ノ宮多味庵3500[[#This Row],[人数]]*M31)-(三ノ宮多味庵3500[[#This Row],[キャンセル人数]]*$B$2))</f>
        <v/>
      </c>
    </row>
    <row r="35" spans="1:21">
      <c r="A35" s="63">
        <f t="shared" si="0"/>
        <v>44865</v>
      </c>
      <c r="B35" s="13"/>
      <c r="C35" s="14"/>
      <c r="D35" s="15"/>
      <c r="E35" s="15"/>
      <c r="F35" s="16" t="str">
        <f>IF(三ノ宮多味庵4000[[#This Row],[人数]]="","",IF(三ノ宮多味庵4000[[#This Row],[人数]]&lt;=7,$B$1*三ノ宮多味庵4000[[#This Row],[人数]],$B$1*三ノ宮多味庵4000[[#This Row],[人数]]-三ノ宮多味庵4000[[#This Row],[幹事無料]]))</f>
        <v/>
      </c>
      <c r="G35" s="16" t="str">
        <f>IFERROR(($B$3*三ノ宮多味庵4000[[#This Row],[人数]])-三ノ宮多味庵4000[[#This Row],[単価合計]]-(三ノ宮多味庵4000[[#This Row],[キャンセル人数]]*$B$2),"")</f>
        <v/>
      </c>
      <c r="H35" s="16" t="str">
        <f>IF(三ノ宮多味庵4000[[#This Row],[人数]]=0,"",IF(三ノ宮多味庵4000[[#This Row],[人数]]&lt;=7,"",IF(三ノ宮多味庵4000[[#This Row],[人数]]&lt;=15,$B$1,IF(三ノ宮多味庵4000[[#This Row],[人数]]&lt;=23,$B$1*2,IF(三ノ宮多味庵4000[[#This Row],[人数]]&lt;=31,$B$1*3,IF(三ノ宮多味庵4000[[#This Row],[人数]]&lt;=39,$B$1*4,""))))))</f>
        <v/>
      </c>
      <c r="I35" s="15"/>
      <c r="J35" s="16" t="str">
        <f>IF(三ノ宮多味庵4000[[#This Row],[人数]]="","",VLOOKUP(三ノ宮多味庵4000[[#This Row],[人数]],バック金額②[#All],2,TRUE)-(三ノ宮多味庵4000[[#This Row],[キャンセル人数]]*$B$2))</f>
        <v/>
      </c>
      <c r="L35" s="63">
        <f t="shared" si="1"/>
        <v>44865</v>
      </c>
      <c r="M35" s="17"/>
      <c r="N35" s="18"/>
      <c r="O35" s="15"/>
      <c r="P35" s="19"/>
      <c r="Q35" s="16" t="str">
        <f>IF(三ノ宮多味庵3500[[#This Row],[人数]]="","",IF(三ノ宮多味庵3500[[#This Row],[人数]]&lt;=7,$B$1*三ノ宮多味庵3500[[#This Row],[人数]],$B$1*三ノ宮多味庵3500[[#This Row],[人数]]-三ノ宮多味庵3500[[#This Row],[幹事無料]]))</f>
        <v/>
      </c>
      <c r="R35" s="16" t="str">
        <f>IFERROR(($M$3*三ノ宮多味庵3500[[#This Row],[人数]])-三ノ宮多味庵3500[[#This Row],[単価合計]]-(三ノ宮多味庵3500[[#This Row],[キャンセル人数]]*$B$2),"")</f>
        <v/>
      </c>
      <c r="S35" s="16" t="str">
        <f>IF(三ノ宮多味庵3500[[#This Row],[人数]]=0,"",IF(三ノ宮多味庵3500[[#This Row],[人数]]&lt;=7,"",IF(三ノ宮多味庵3500[[#This Row],[人数]]&lt;=15,$B$1,IF(三ノ宮多味庵3500[[#This Row],[人数]]&lt;=23,$B$1*2,IF(三ノ宮多味庵3500[[#This Row],[人数]]&lt;=31,$B$1*3,IF(三ノ宮多味庵3500[[#This Row],[人数]]&lt;=39,$B$1*4,""))))))</f>
        <v/>
      </c>
      <c r="T35" s="15"/>
      <c r="U35" s="16" t="str">
        <f>IF(三ノ宮多味庵3500[[#This Row],[人数]]="","",VLOOKUP(三ノ宮多味庵3500[[#This Row],[人数]],バック金額②[#All],2,TRUE)-(三ノ宮多味庵3500[[#This Row],[人数]]*M32)-(三ノ宮多味庵3500[[#This Row],[キャンセル人数]]*$B$2))</f>
        <v/>
      </c>
    </row>
    <row r="36" spans="1:21">
      <c r="A36" s="6" t="s">
        <v>211</v>
      </c>
      <c r="B36" s="7">
        <f>SUM(三ノ宮多味庵4000[[#All],[件数]])</f>
        <v>0</v>
      </c>
      <c r="C36" s="6"/>
      <c r="D36" s="7">
        <f>SUM(三ノ宮多味庵4000[[#All],[人数]])</f>
        <v>0</v>
      </c>
      <c r="E36" s="7">
        <f>SUM(三ノ宮多味庵4000[[#All],[Aパターン]])</f>
        <v>0</v>
      </c>
      <c r="F36" s="7">
        <f>SUM(三ノ宮多味庵4000[[#All],[単価合計]])</f>
        <v>0</v>
      </c>
      <c r="G36" s="7">
        <f>SUM(三ノ宮多味庵4000[[#All],[ゆうき取りに行く]])</f>
        <v>0</v>
      </c>
      <c r="H36" s="7"/>
      <c r="I36" s="7"/>
      <c r="J36" s="7">
        <f>SUM(三ノ宮多味庵4000[[#All],[イベンターへ]])</f>
        <v>0</v>
      </c>
      <c r="L36" s="6" t="s">
        <v>211</v>
      </c>
      <c r="M36" s="7">
        <f>SUM(三ノ宮多味庵3500[[#All],[件数]])</f>
        <v>0</v>
      </c>
      <c r="N36" s="6"/>
      <c r="O36" s="7">
        <f>SUM(三ノ宮多味庵3500[[#All],[人数]])</f>
        <v>0</v>
      </c>
      <c r="P36" s="7">
        <f>SUM(三ノ宮多味庵3500[[#All],[Aパターン]])</f>
        <v>0</v>
      </c>
      <c r="Q36" s="7">
        <f>SUM(三ノ宮多味庵3500[[#All],[単価合計]])</f>
        <v>0</v>
      </c>
      <c r="R36" s="7">
        <f>SUM(三ノ宮多味庵3500[[#All],[ゆうき取りに行く]])</f>
        <v>0</v>
      </c>
      <c r="S36" s="7"/>
      <c r="T36" s="7"/>
      <c r="U36" s="7">
        <f>SUM(三ノ宮多味庵3500[[#All],[イベンターへ]])</f>
        <v>0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26935-B4FF-4C74-AE54-92F3AC1F48E8}">
  <sheetPr codeName="Sheet21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6640625" style="8" bestFit="1" customWidth="1"/>
    <col min="6" max="6" width="11.7773437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6640625" style="8" customWidth="1"/>
    <col min="15" max="15" width="6.33203125" style="8" customWidth="1"/>
    <col min="16" max="16" width="12.6640625" style="8" bestFit="1" customWidth="1"/>
    <col min="17" max="17" width="11.7773437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238</v>
      </c>
      <c r="L3" s="46" t="s">
        <v>376</v>
      </c>
      <c r="M3" s="8">
        <v>3500</v>
      </c>
    </row>
    <row r="4" spans="1:21">
      <c r="A4" s="20" t="s">
        <v>233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50"/>
      <c r="E5" s="50"/>
      <c r="F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5" s="50"/>
      <c r="J5" s="16" t="str">
        <f>IF(天王寺キャンパス4000円[[#This Row],[人数]]="","",VLOOKUP(天王寺キャンパス4000円[[#This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50"/>
      <c r="P5" s="15"/>
      <c r="Q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5" s="50"/>
      <c r="U5" s="16" t="str">
        <f>IF(天王寺キャンパス3500円[[#This Row],[人数]]="","",VLOOKUP(天王寺キャンパス3500円[[#This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6" s="15"/>
      <c r="J6" s="16" t="str">
        <f>IF(天王寺キャンパス4000円[[#This Row],[人数]]="","",VLOOKUP(天王寺キャンパス4000円[[#This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6" s="15"/>
      <c r="U6" s="16" t="str">
        <f>IF(天王寺キャンパス3500円[[#This Row],[人数]]="","",VLOOKUP(天王寺キャンパス3500円[[#This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50"/>
      <c r="E7" s="15"/>
      <c r="F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7" s="15"/>
      <c r="J7" s="16" t="str">
        <f>IF(天王寺キャンパス4000円[[#This Row],[人数]]="","",VLOOKUP(天王寺キャンパス4000円[[#This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50"/>
      <c r="P7" s="15"/>
      <c r="Q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7" s="15"/>
      <c r="U7" s="16" t="str">
        <f>IF(天王寺キャンパス3500円[[#This Row],[人数]]="","",VLOOKUP(天王寺キャンパス3500円[[#This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8" s="15"/>
      <c r="J8" s="16" t="str">
        <f>IF(天王寺キャンパス4000円[[#This Row],[人数]]="","",VLOOKUP(天王寺キャンパス4000円[[#This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8" s="15"/>
      <c r="U8" s="16" t="str">
        <f>IF(天王寺キャンパス3500円[[#This Row],[人数]]="","",VLOOKUP(天王寺キャンパス3500円[[#This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50"/>
      <c r="E9" s="15"/>
      <c r="F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9" s="15"/>
      <c r="J9" s="16" t="str">
        <f>IF(天王寺キャンパス4000円[[#This Row],[人数]]="","",VLOOKUP(天王寺キャンパス4000円[[#This Row],[人数]],バック金額②[#All],2,TRUE))</f>
        <v/>
      </c>
      <c r="L9" s="63">
        <f t="shared" si="1"/>
        <v>44839</v>
      </c>
      <c r="M9" s="13"/>
      <c r="N9" s="14"/>
      <c r="O9" s="50"/>
      <c r="P9" s="15"/>
      <c r="Q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9" s="15"/>
      <c r="U9" s="16" t="str">
        <f>IF(天王寺キャンパス3500円[[#This Row],[人数]]="","",VLOOKUP(天王寺キャンパス3500円[[#This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0" s="15"/>
      <c r="J10" s="16" t="str">
        <f>IF(天王寺キャンパス4000円[[#This Row],[人数]]="","",VLOOKUP(天王寺キャンパス4000円[[#This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0" s="15"/>
      <c r="U10" s="16" t="str">
        <f>IF(天王寺キャンパス3500円[[#This Row],[人数]]="","",VLOOKUP(天王寺キャンパス3500円[[#This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50"/>
      <c r="E11" s="15"/>
      <c r="F1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1" s="15"/>
      <c r="J11" s="16" t="str">
        <f>IF(天王寺キャンパス4000円[[#This Row],[人数]]="","",VLOOKUP(天王寺キャンパス4000円[[#This Row],[人数]],バック金額②[#All],2,TRUE))</f>
        <v/>
      </c>
      <c r="L11" s="63">
        <f t="shared" si="1"/>
        <v>44841</v>
      </c>
      <c r="M11" s="13"/>
      <c r="N11" s="14"/>
      <c r="O11" s="50"/>
      <c r="P11" s="15"/>
      <c r="Q1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1" s="15"/>
      <c r="U11" s="16" t="str">
        <f>IF(天王寺キャンパス3500円[[#This Row],[人数]]="","",VLOOKUP(天王寺キャンパス3500円[[#This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2" s="15"/>
      <c r="J12" s="16" t="str">
        <f>IF(天王寺キャンパス4000円[[#This Row],[人数]]="","",VLOOKUP(天王寺キャンパス4000円[[#This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2" s="15"/>
      <c r="U12" s="16" t="str">
        <f>IF(天王寺キャンパス3500円[[#This Row],[人数]]="","",VLOOKUP(天王寺キャンパス3500円[[#This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50"/>
      <c r="E13" s="15"/>
      <c r="F1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3" s="15"/>
      <c r="J13" s="16" t="str">
        <f>IF(天王寺キャンパス4000円[[#This Row],[人数]]="","",VLOOKUP(天王寺キャンパス4000円[[#This Row],[人数]],バック金額②[#All],2,TRUE))</f>
        <v/>
      </c>
      <c r="L13" s="63">
        <f t="shared" si="1"/>
        <v>44843</v>
      </c>
      <c r="M13" s="13"/>
      <c r="N13" s="14"/>
      <c r="O13" s="50"/>
      <c r="P13" s="15"/>
      <c r="Q1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3" s="15"/>
      <c r="U13" s="16" t="str">
        <f>IF(天王寺キャンパス3500円[[#This Row],[人数]]="","",VLOOKUP(天王寺キャンパス3500円[[#This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4" s="15"/>
      <c r="J14" s="16" t="str">
        <f>IF(天王寺キャンパス4000円[[#This Row],[人数]]="","",VLOOKUP(天王寺キャンパス4000円[[#This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4" s="15"/>
      <c r="U14" s="16" t="str">
        <f>IF(天王寺キャンパス3500円[[#This Row],[人数]]="","",VLOOKUP(天王寺キャンパス3500円[[#This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50"/>
      <c r="E15" s="15"/>
      <c r="F1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5" s="15"/>
      <c r="J15" s="16" t="str">
        <f>IF(天王寺キャンパス4000円[[#This Row],[人数]]="","",VLOOKUP(天王寺キャンパス4000円[[#This Row],[人数]],バック金額②[#All],2,TRUE))</f>
        <v/>
      </c>
      <c r="L15" s="63">
        <f t="shared" si="1"/>
        <v>44845</v>
      </c>
      <c r="M15" s="13"/>
      <c r="N15" s="14"/>
      <c r="O15" s="50"/>
      <c r="P15" s="15"/>
      <c r="Q1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5" s="15"/>
      <c r="U15" s="16" t="str">
        <f>IF(天王寺キャンパス3500円[[#This Row],[人数]]="","",VLOOKUP(天王寺キャンパス3500円[[#This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6" s="15"/>
      <c r="J16" s="16" t="str">
        <f>IF(天王寺キャンパス4000円[[#This Row],[人数]]="","",VLOOKUP(天王寺キャンパス4000円[[#This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6" s="15"/>
      <c r="U16" s="16" t="str">
        <f>IF(天王寺キャンパス3500円[[#This Row],[人数]]="","",VLOOKUP(天王寺キャンパス3500円[[#This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50"/>
      <c r="E17" s="15"/>
      <c r="F1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7" s="15"/>
      <c r="J17" s="16" t="str">
        <f>IF(天王寺キャンパス4000円[[#This Row],[人数]]="","",VLOOKUP(天王寺キャンパス4000円[[#This Row],[人数]],バック金額②[#All],2,TRUE))</f>
        <v/>
      </c>
      <c r="L17" s="63">
        <f t="shared" si="1"/>
        <v>44847</v>
      </c>
      <c r="M17" s="13"/>
      <c r="N17" s="14"/>
      <c r="O17" s="50"/>
      <c r="P17" s="15"/>
      <c r="Q1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7" s="15"/>
      <c r="U17" s="16" t="str">
        <f>IF(天王寺キャンパス3500円[[#This Row],[人数]]="","",VLOOKUP(天王寺キャンパス3500円[[#This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8" s="15"/>
      <c r="J18" s="16" t="str">
        <f>IF(天王寺キャンパス4000円[[#This Row],[人数]]="","",VLOOKUP(天王寺キャンパス4000円[[#This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8" s="15"/>
      <c r="U18" s="16" t="str">
        <f>IF(天王寺キャンパス3500円[[#This Row],[人数]]="","",VLOOKUP(天王寺キャンパス3500円[[#This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50"/>
      <c r="E19" s="15"/>
      <c r="F1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1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1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19" s="15"/>
      <c r="J19" s="16" t="str">
        <f>IF(天王寺キャンパス4000円[[#This Row],[人数]]="","",VLOOKUP(天王寺キャンパス4000円[[#This Row],[人数]],バック金額②[#All],2,TRUE))</f>
        <v/>
      </c>
      <c r="L19" s="63">
        <f t="shared" si="1"/>
        <v>44849</v>
      </c>
      <c r="M19" s="13"/>
      <c r="N19" s="14"/>
      <c r="O19" s="50"/>
      <c r="P19" s="15"/>
      <c r="Q1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1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1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19" s="15"/>
      <c r="U19" s="16" t="str">
        <f>IF(天王寺キャンパス3500円[[#This Row],[人数]]="","",VLOOKUP(天王寺キャンパス3500円[[#This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0" s="15"/>
      <c r="J20" s="16" t="str">
        <f>IF(天王寺キャンパス4000円[[#This Row],[人数]]="","",VLOOKUP(天王寺キャンパス4000円[[#This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0" s="15"/>
      <c r="U20" s="16" t="str">
        <f>IF(天王寺キャンパス3500円[[#This Row],[人数]]="","",VLOOKUP(天王寺キャンパス3500円[[#This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50"/>
      <c r="E21" s="15"/>
      <c r="F2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1" s="15"/>
      <c r="J21" s="16" t="str">
        <f>IF(天王寺キャンパス4000円[[#This Row],[人数]]="","",VLOOKUP(天王寺キャンパス4000円[[#This Row],[人数]],バック金額②[#All],2,TRUE))</f>
        <v/>
      </c>
      <c r="L21" s="63">
        <f t="shared" si="1"/>
        <v>44851</v>
      </c>
      <c r="M21" s="13"/>
      <c r="N21" s="14"/>
      <c r="O21" s="50"/>
      <c r="P21" s="15"/>
      <c r="Q2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1" s="15"/>
      <c r="U21" s="16" t="str">
        <f>IF(天王寺キャンパス3500円[[#This Row],[人数]]="","",VLOOKUP(天王寺キャンパス3500円[[#This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2" s="15"/>
      <c r="J22" s="16" t="str">
        <f>IF(天王寺キャンパス4000円[[#This Row],[人数]]="","",VLOOKUP(天王寺キャンパス4000円[[#This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2" s="15"/>
      <c r="U22" s="16" t="str">
        <f>IF(天王寺キャンパス3500円[[#This Row],[人数]]="","",VLOOKUP(天王寺キャンパス3500円[[#This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50"/>
      <c r="E23" s="15"/>
      <c r="F2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3" s="15"/>
      <c r="J23" s="16" t="str">
        <f>IF(天王寺キャンパス4000円[[#This Row],[人数]]="","",VLOOKUP(天王寺キャンパス4000円[[#This Row],[人数]],バック金額②[#All],2,TRUE))</f>
        <v/>
      </c>
      <c r="L23" s="63">
        <f t="shared" si="1"/>
        <v>44853</v>
      </c>
      <c r="M23" s="13"/>
      <c r="N23" s="14"/>
      <c r="O23" s="50"/>
      <c r="P23" s="15"/>
      <c r="Q2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3" s="15"/>
      <c r="U23" s="16" t="str">
        <f>IF(天王寺キャンパス3500円[[#This Row],[人数]]="","",VLOOKUP(天王寺キャンパス3500円[[#This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4" s="15"/>
      <c r="J24" s="16" t="str">
        <f>IF(天王寺キャンパス4000円[[#This Row],[人数]]="","",VLOOKUP(天王寺キャンパス4000円[[#This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4" s="15"/>
      <c r="U24" s="16" t="str">
        <f>IF(天王寺キャンパス3500円[[#This Row],[人数]]="","",VLOOKUP(天王寺キャンパス3500円[[#This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50"/>
      <c r="E25" s="15"/>
      <c r="F2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5" s="15"/>
      <c r="J25" s="16" t="str">
        <f>IF(天王寺キャンパス4000円[[#This Row],[人数]]="","",VLOOKUP(天王寺キャンパス4000円[[#This Row],[人数]],バック金額②[#All],2,TRUE))</f>
        <v/>
      </c>
      <c r="L25" s="63">
        <f t="shared" si="1"/>
        <v>44855</v>
      </c>
      <c r="M25" s="13"/>
      <c r="N25" s="14"/>
      <c r="O25" s="50"/>
      <c r="P25" s="15"/>
      <c r="Q2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5" s="15"/>
      <c r="U25" s="16" t="str">
        <f>IF(天王寺キャンパス3500円[[#This Row],[人数]]="","",VLOOKUP(天王寺キャンパス3500円[[#This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6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6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6" s="15"/>
      <c r="J26" s="16" t="str">
        <f>IF(天王寺キャンパス4000円[[#This Row],[人数]]="","",VLOOKUP(天王寺キャンパス4000円[[#This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6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6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6" s="15"/>
      <c r="U26" s="16" t="str">
        <f>IF(天王寺キャンパス3500円[[#This Row],[人数]]="","",VLOOKUP(天王寺キャンパス3500円[[#This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50"/>
      <c r="E27" s="15"/>
      <c r="F27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7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7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7" s="15"/>
      <c r="J27" s="16" t="str">
        <f>IF(天王寺キャンパス4000円[[#This Row],[人数]]="","",VLOOKUP(天王寺キャンパス4000円[[#This Row],[人数]],バック金額②[#All],2,TRUE))</f>
        <v/>
      </c>
      <c r="L27" s="63">
        <f t="shared" si="1"/>
        <v>44857</v>
      </c>
      <c r="M27" s="13"/>
      <c r="N27" s="14"/>
      <c r="O27" s="50"/>
      <c r="P27" s="15"/>
      <c r="Q27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7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7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7" s="15"/>
      <c r="U27" s="16" t="str">
        <f>IF(天王寺キャンパス3500円[[#This Row],[人数]]="","",VLOOKUP(天王寺キャンパス3500円[[#This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8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8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8" s="15"/>
      <c r="J28" s="16" t="str">
        <f>IF(天王寺キャンパス4000円[[#This Row],[人数]]="","",VLOOKUP(天王寺キャンパス4000円[[#This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8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8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8" s="15"/>
      <c r="U28" s="16" t="str">
        <f>IF(天王寺キャンパス3500円[[#This Row],[人数]]="","",VLOOKUP(天王寺キャンパス3500円[[#This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50"/>
      <c r="E29" s="15"/>
      <c r="F29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29" s="16" t="str">
        <f>IFERROR(($B$3*天王寺キャンパス4000円[[#This Row],[人数]])-天王寺キャンパス4000円[[#This Row],[単価合計]]-(天王寺キャンパス4000円[[#This Row],[キャンセル人数]]*$B$2),"")</f>
        <v/>
      </c>
      <c r="H29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29" s="15"/>
      <c r="J29" s="16" t="str">
        <f>IF(天王寺キャンパス4000円[[#This Row],[人数]]="","",VLOOKUP(天王寺キャンパス4000円[[#This Row],[人数]],バック金額②[#All],2,TRUE))</f>
        <v/>
      </c>
      <c r="L29" s="63">
        <f t="shared" si="1"/>
        <v>44859</v>
      </c>
      <c r="M29" s="13"/>
      <c r="N29" s="14"/>
      <c r="O29" s="50"/>
      <c r="P29" s="15"/>
      <c r="Q29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29" s="16" t="str">
        <f>IFERROR(($M$3*天王寺キャンパス3500円[[#This Row],[人数]])-天王寺キャンパス3500円[[#This Row],[単価合計]]-(天王寺キャンパス3500円[[#This Row],[キャンセル人数]]*$B$2),"")</f>
        <v/>
      </c>
      <c r="S29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29" s="15"/>
      <c r="U29" s="16" t="str">
        <f>IF(天王寺キャンパス3500円[[#This Row],[人数]]="","",VLOOKUP(天王寺キャンパス3500円[[#This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0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0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0" s="15"/>
      <c r="J30" s="16" t="str">
        <f>IF(天王寺キャンパス4000円[[#This Row],[人数]]="","",VLOOKUP(天王寺キャンパス4000円[[#This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0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0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0" s="15"/>
      <c r="U30" s="16" t="str">
        <f>IF(天王寺キャンパス3500円[[#This Row],[人数]]="","",VLOOKUP(天王寺キャンパス3500円[[#This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50"/>
      <c r="E31" s="15"/>
      <c r="F31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1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1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1" s="15"/>
      <c r="J31" s="16" t="str">
        <f>IF(天王寺キャンパス4000円[[#This Row],[人数]]="","",VLOOKUP(天王寺キャンパス4000円[[#This Row],[人数]],バック金額②[#All],2,TRUE))</f>
        <v/>
      </c>
      <c r="L31" s="63">
        <f t="shared" si="1"/>
        <v>44861</v>
      </c>
      <c r="M31" s="13"/>
      <c r="N31" s="14"/>
      <c r="O31" s="50"/>
      <c r="P31" s="15"/>
      <c r="Q31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1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1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1" s="15"/>
      <c r="U31" s="16" t="str">
        <f>IF(天王寺キャンパス3500円[[#This Row],[人数]]="","",VLOOKUP(天王寺キャンパス3500円[[#This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2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2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2" s="15"/>
      <c r="J32" s="16" t="str">
        <f>IF(天王寺キャンパス4000円[[#This Row],[人数]]="","",VLOOKUP(天王寺キャンパス4000円[[#This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2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2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2" s="15"/>
      <c r="U32" s="16" t="str">
        <f>IF(天王寺キャンパス3500円[[#This Row],[人数]]="","",VLOOKUP(天王寺キャンパス3500円[[#This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50"/>
      <c r="E33" s="15"/>
      <c r="F33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3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3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3" s="15"/>
      <c r="J33" s="16" t="str">
        <f>IF(天王寺キャンパス4000円[[#This Row],[人数]]="","",VLOOKUP(天王寺キャンパス4000円[[#This Row],[人数]],バック金額②[#All],2,TRUE))</f>
        <v/>
      </c>
      <c r="L33" s="63">
        <f t="shared" si="1"/>
        <v>44863</v>
      </c>
      <c r="M33" s="13"/>
      <c r="N33" s="14"/>
      <c r="O33" s="50"/>
      <c r="P33" s="15"/>
      <c r="Q33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3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3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3" s="15"/>
      <c r="U33" s="16" t="str">
        <f>IF(天王寺キャンパス3500円[[#This Row],[人数]]="","",VLOOKUP(天王寺キャンパス3500円[[#This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4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4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4" s="15"/>
      <c r="J34" s="16" t="str">
        <f>IF(天王寺キャンパス4000円[[#This Row],[人数]]="","",VLOOKUP(天王寺キャンパス4000円[[#This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4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4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4" s="15"/>
      <c r="U34" s="16" t="str">
        <f>IF(天王寺キャンパス3500円[[#This Row],[人数]]="","",VLOOKUP(天王寺キャンパス3500円[[#This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50"/>
      <c r="E35" s="19"/>
      <c r="F35" s="16" t="str">
        <f>IF(天王寺キャンパス4000円[[#This Row],[人数]]="","",IF(天王寺キャンパス4000円[[#This Row],[人数]]&lt;=7,$B$1*天王寺キャンパス4000円[[#This Row],[人数]],$B$1*天王寺キャンパス4000円[[#This Row],[人数]]-天王寺キャンパス4000円[[#This Row],[幹事無料]]))</f>
        <v/>
      </c>
      <c r="G35" s="16" t="str">
        <f>IFERROR(($B$3*天王寺キャンパス4000円[[#This Row],[人数]])-天王寺キャンパス4000円[[#This Row],[単価合計]]-(天王寺キャンパス4000円[[#This Row],[キャンセル人数]]*$B$2),"")</f>
        <v/>
      </c>
      <c r="H35" s="16" t="str">
        <f>IF(天王寺キャンパス4000円[[#This Row],[人数]]=0,"",IF(天王寺キャンパス4000円[[#This Row],[人数]]&lt;=7,"",IF(天王寺キャンパス4000円[[#This Row],[人数]]&lt;=15,$B$1,IF(天王寺キャンパス4000円[[#This Row],[人数]]&lt;=23,$B$1*2,IF(天王寺キャンパス4000円[[#This Row],[人数]]&lt;=31,$B$1*3,IF(天王寺キャンパス4000円[[#This Row],[人数]]&lt;=39,$B$1*4,""))))))</f>
        <v/>
      </c>
      <c r="I35" s="19"/>
      <c r="J35" s="16" t="str">
        <f>IF(天王寺キャンパス4000円[[#This Row],[人数]]="","",VLOOKUP(天王寺キャンパス4000円[[#This Row],[人数]],バック金額②[#All],2,TRUE))</f>
        <v/>
      </c>
      <c r="L35" s="63">
        <f t="shared" si="1"/>
        <v>44865</v>
      </c>
      <c r="M35" s="17"/>
      <c r="N35" s="18"/>
      <c r="O35" s="50"/>
      <c r="P35" s="19"/>
      <c r="Q35" s="16" t="str">
        <f>IF(天王寺キャンパス3500円[[#This Row],[人数]]="","",IF(天王寺キャンパス3500円[[#This Row],[人数]]&lt;=7,$B$1*天王寺キャンパス3500円[[#This Row],[人数]],$B$1*天王寺キャンパス3500円[[#This Row],[人数]]-天王寺キャンパス3500円[[#This Row],[幹事無料]]))</f>
        <v/>
      </c>
      <c r="R35" s="16" t="str">
        <f>IFERROR(($M$3*天王寺キャンパス3500円[[#This Row],[人数]])-天王寺キャンパス3500円[[#This Row],[単価合計]]-(天王寺キャンパス3500円[[#This Row],[キャンセル人数]]*$B$2),"")</f>
        <v/>
      </c>
      <c r="S35" s="16" t="str">
        <f>IF(天王寺キャンパス3500円[[#This Row],[人数]]=0,"",IF(天王寺キャンパス3500円[[#This Row],[人数]]&lt;=7,"",IF(天王寺キャンパス3500円[[#This Row],[人数]]&lt;=15,$B$1,IF(天王寺キャンパス3500円[[#This Row],[人数]]&lt;=23,$B$1*2,IF(天王寺キャンパス3500円[[#This Row],[人数]]&lt;=31,$B$1*3,IF(天王寺キャンパス3500円[[#This Row],[人数]]&lt;=39,$B$1*4,""))))))</f>
        <v/>
      </c>
      <c r="T35" s="19"/>
      <c r="U35" s="16" t="str">
        <f>IF(天王寺キャンパス3500円[[#This Row],[人数]]="","",VLOOKUP(天王寺キャンパス3500円[[#This Row],[人数]],バック金額②[#All],2,TRUE))</f>
        <v/>
      </c>
    </row>
    <row r="36" spans="1:21">
      <c r="A36" s="64" t="s">
        <v>323</v>
      </c>
      <c r="B36" s="7">
        <f>SUM(天王寺キャンパス4000円[[#All],[件数]])</f>
        <v>0</v>
      </c>
      <c r="C36" s="6"/>
      <c r="D36" s="7">
        <f>SUM(天王寺キャンパス4000円[[#All],[人数]])</f>
        <v>0</v>
      </c>
      <c r="E36" s="7">
        <f>SUM(天王寺キャンパス4000円[[#All],[Aパターン]])</f>
        <v>0</v>
      </c>
      <c r="F36" s="7">
        <f>SUM(天王寺キャンパス4000円[[#All],[単価合計]])</f>
        <v>0</v>
      </c>
      <c r="G36" s="7">
        <f>SUM(天王寺キャンパス4000円[[#All],[ゆうき取りに行く]])</f>
        <v>0</v>
      </c>
      <c r="H36" s="7"/>
      <c r="I36" s="7"/>
      <c r="J36" s="7">
        <f>SUM(天王寺キャンパス4000円[[#All],[イベンターへ]])</f>
        <v>0</v>
      </c>
      <c r="L36" s="64" t="s">
        <v>323</v>
      </c>
      <c r="M36" s="7">
        <f>SUM(天王寺キャンパス3500円[[#All],[件数]])</f>
        <v>0</v>
      </c>
      <c r="N36" s="6"/>
      <c r="O36" s="7">
        <f>SUM(天王寺キャンパス3500円[[#All],[人数]])</f>
        <v>0</v>
      </c>
      <c r="P36" s="7">
        <f>SUM(天王寺キャンパス3500円[[#All],[Aパターン]])</f>
        <v>0</v>
      </c>
      <c r="Q36" s="7">
        <f>SUM(天王寺キャンパス3500円[[#All],[単価合計]])</f>
        <v>0</v>
      </c>
      <c r="R36" s="7">
        <f>SUM(天王寺キャンパス3500円[[#All],[ゆうき取りに行く]])</f>
        <v>0</v>
      </c>
      <c r="S36" s="7"/>
      <c r="T36" s="7"/>
      <c r="U36" s="7">
        <f>SUM(天王寺キャンパス3500円[[#All],[イベンターへ]])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0CBC-5BAE-4872-BB06-903F02A21CAE}">
  <sheetPr codeName="Sheet33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2" style="8" bestFit="1" customWidth="1"/>
    <col min="2" max="2" width="6.33203125" style="8" customWidth="1"/>
    <col min="3" max="3" width="9.6640625" style="8" customWidth="1"/>
    <col min="4" max="4" width="6.33203125" style="8" customWidth="1"/>
    <col min="5" max="5" width="13" style="8" bestFit="1" customWidth="1"/>
    <col min="6" max="6" width="9.33203125" style="9" bestFit="1" customWidth="1"/>
    <col min="7" max="7" width="16.33203125" style="9" bestFit="1" customWidth="1"/>
    <col min="8" max="9" width="16.33203125" style="9" customWidth="1"/>
    <col min="10" max="10" width="12.33203125" style="9" bestFit="1" customWidth="1"/>
    <col min="11" max="11" width="11.5546875" style="8"/>
    <col min="12" max="12" width="22" style="8" bestFit="1" customWidth="1"/>
    <col min="13" max="13" width="6.5546875" style="8" customWidth="1"/>
    <col min="14" max="14" width="9.88671875" style="8" customWidth="1"/>
    <col min="15" max="15" width="6.5546875" style="8" customWidth="1"/>
    <col min="16" max="16" width="13" style="8" bestFit="1" customWidth="1"/>
    <col min="17" max="17" width="9.33203125" style="8" bestFit="1" customWidth="1"/>
    <col min="18" max="18" width="16.33203125" style="8" bestFit="1" customWidth="1"/>
    <col min="19" max="20" width="16.33203125" style="8" customWidth="1"/>
    <col min="21" max="21" width="12.33203125" style="8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251</v>
      </c>
      <c r="L3" s="46" t="s">
        <v>376</v>
      </c>
      <c r="M3" s="8">
        <v>3500</v>
      </c>
      <c r="Q3" s="9"/>
      <c r="R3" s="9"/>
      <c r="S3" s="9"/>
      <c r="T3" s="9"/>
      <c r="U3" s="9"/>
    </row>
    <row r="4" spans="1:21">
      <c r="A4" s="20" t="s">
        <v>205</v>
      </c>
      <c r="B4" s="10" t="s">
        <v>206</v>
      </c>
      <c r="C4" s="11" t="s">
        <v>232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232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5" s="42" t="str">
        <f>IFERROR(($B$3*心斎橋CSB4000円22[[#This Row],[人数]])-心斎橋CSB4000円22[[#This Row],[単価合計]]-(心斎橋CSB4000円22[[#This Row],[キャンセル人数]]*$B$2),"")</f>
        <v/>
      </c>
      <c r="H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5" s="15"/>
      <c r="J5" s="42" t="str">
        <f>IF(心斎橋CSB4000円22[[#This Row],[人数]]="","",VLOOKUP(心斎橋CSB4000円22[[#This Row],[人数]],バック金額②[#All],2,TRUE)-(心斎橋CSB4000円22[[#This Row],[キャンセル人数]]*$B$2))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5" s="42" t="str">
        <f>IFERROR(($M$3*心斎橋CSB3500円23[[#This Row],[人数]])-心斎橋CSB3500円23[[#This Row],[単価合計]]-(心斎橋CSB3500円23[[#This Row],[キャンセル人数]]*$B$2),"")</f>
        <v/>
      </c>
      <c r="S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5" s="15"/>
      <c r="U5" s="42" t="str">
        <f>IF(心斎橋CSB3500円23[[#This Row],[人数]]="","",VLOOKUP(心斎橋CSB3500円23[[#This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6" s="42" t="str">
        <f>IFERROR(($B$3*心斎橋CSB4000円22[[#This Row],[人数]])-心斎橋CSB4000円22[[#This Row],[単価合計]]-(心斎橋CSB4000円22[[#This Row],[キャンセル人数]]*$B$2),"")</f>
        <v/>
      </c>
      <c r="H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6" s="15"/>
      <c r="J6" s="42" t="str">
        <f>IF(心斎橋CSB4000円22[[#This Row],[人数]]="","",VLOOKUP(心斎橋CSB4000円22[[#This Row],[人数]],バック金額②[#All],2,TRUE)-(心斎橋CSB4000円22[[#This Row],[キャンセル人数]]*$B$2))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6" s="42" t="str">
        <f>IFERROR(($M$3*心斎橋CSB3500円23[[#This Row],[人数]])-心斎橋CSB3500円23[[#This Row],[単価合計]]-(心斎橋CSB3500円23[[#This Row],[キャンセル人数]]*$B$2),"")</f>
        <v/>
      </c>
      <c r="S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6" s="15"/>
      <c r="U6" s="42" t="str">
        <f>IF(心斎橋CSB3500円23[[#This Row],[人数]]="","",VLOOKUP(心斎橋CSB3500円23[[#This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7" s="42" t="str">
        <f>IFERROR(($B$3*心斎橋CSB4000円22[[#This Row],[人数]])-心斎橋CSB4000円22[[#This Row],[単価合計]]-(心斎橋CSB4000円22[[#This Row],[キャンセル人数]]*$B$2),"")</f>
        <v/>
      </c>
      <c r="H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7" s="15"/>
      <c r="J7" s="42" t="str">
        <f>IF(心斎橋CSB4000円22[[#This Row],[人数]]="","",VLOOKUP(心斎橋CSB4000円22[[#This Row],[人数]],バック金額②[#All],2,TRUE)-(心斎橋CSB4000円22[[#This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7" s="42" t="str">
        <f>IFERROR(($M$3*心斎橋CSB3500円23[[#This Row],[人数]])-心斎橋CSB3500円23[[#This Row],[単価合計]]-(心斎橋CSB3500円23[[#This Row],[キャンセル人数]]*$B$2),"")</f>
        <v/>
      </c>
      <c r="S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7" s="15"/>
      <c r="U7" s="42" t="str">
        <f>IF(心斎橋CSB3500円23[[#This Row],[人数]]="","",VLOOKUP(心斎橋CSB3500円23[[#This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8" s="42" t="str">
        <f>IFERROR(($B$3*心斎橋CSB4000円22[[#This Row],[人数]])-心斎橋CSB4000円22[[#This Row],[単価合計]]-(心斎橋CSB4000円22[[#This Row],[キャンセル人数]]*$B$2),"")</f>
        <v/>
      </c>
      <c r="H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8" s="15"/>
      <c r="J8" s="42" t="str">
        <f>IF(心斎橋CSB4000円22[[#This Row],[人数]]="","",VLOOKUP(心斎橋CSB4000円22[[#This Row],[人数]],バック金額②[#All],2,TRUE)-(心斎橋CSB4000円22[[#This Row],[キャンセル人数]]*$B$2))</f>
        <v/>
      </c>
      <c r="L8" s="63">
        <f t="shared" si="1"/>
        <v>44838</v>
      </c>
      <c r="M8" s="13"/>
      <c r="N8" s="14"/>
      <c r="O8" s="15"/>
      <c r="P8" s="15"/>
      <c r="Q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8" s="42" t="str">
        <f>IFERROR(($M$3*心斎橋CSB3500円23[[#This Row],[人数]])-心斎橋CSB3500円23[[#This Row],[単価合計]]-(心斎橋CSB3500円23[[#This Row],[キャンセル人数]]*$B$2),"")</f>
        <v/>
      </c>
      <c r="S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8" s="15"/>
      <c r="U8" s="42" t="str">
        <f>IF(心斎橋CSB3500円23[[#This Row],[人数]]="","",VLOOKUP(心斎橋CSB3500円23[[#This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9" s="42" t="str">
        <f>IFERROR(($B$3*心斎橋CSB4000円22[[#This Row],[人数]])-心斎橋CSB4000円22[[#This Row],[単価合計]]-(心斎橋CSB4000円22[[#This Row],[キャンセル人数]]*$B$2),"")</f>
        <v/>
      </c>
      <c r="H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9" s="15"/>
      <c r="J9" s="42" t="str">
        <f>IF(心斎橋CSB4000円22[[#This Row],[人数]]="","",VLOOKUP(心斎橋CSB4000円22[[#This Row],[人数]],バック金額②[#All],2,TRUE)-(心斎橋CSB4000円22[[#This Row],[キャンセル人数]]*$B$2))</f>
        <v/>
      </c>
      <c r="L9" s="63">
        <f t="shared" si="1"/>
        <v>44839</v>
      </c>
      <c r="M9" s="13"/>
      <c r="N9" s="14"/>
      <c r="O9" s="15"/>
      <c r="P9" s="15"/>
      <c r="Q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9" s="42" t="str">
        <f>IFERROR(($M$3*心斎橋CSB3500円23[[#This Row],[人数]])-心斎橋CSB3500円23[[#This Row],[単価合計]]-(心斎橋CSB3500円23[[#This Row],[キャンセル人数]]*$B$2),"")</f>
        <v/>
      </c>
      <c r="S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9" s="15"/>
      <c r="U9" s="42" t="str">
        <f>IF(心斎橋CSB3500円23[[#This Row],[人数]]="","",VLOOKUP(心斎橋CSB3500円23[[#This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0" s="42" t="str">
        <f>IFERROR(($B$3*心斎橋CSB4000円22[[#This Row],[人数]])-心斎橋CSB4000円22[[#This Row],[単価合計]]-(心斎橋CSB4000円22[[#This Row],[キャンセル人数]]*$B$2),"")</f>
        <v/>
      </c>
      <c r="H1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0" s="15"/>
      <c r="J10" s="42" t="str">
        <f>IF(心斎橋CSB4000円22[[#This Row],[人数]]="","",VLOOKUP(心斎橋CSB4000円22[[#This Row],[人数]],バック金額②[#All],2,TRUE)-(心斎橋CSB4000円22[[#This Row],[キャンセル人数]]*$B$2))</f>
        <v/>
      </c>
      <c r="L10" s="63">
        <f t="shared" si="1"/>
        <v>44840</v>
      </c>
      <c r="M10" s="13"/>
      <c r="N10" s="14"/>
      <c r="O10" s="15"/>
      <c r="P10" s="15"/>
      <c r="Q1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0" s="42" t="str">
        <f>IFERROR(($M$3*心斎橋CSB3500円23[[#This Row],[人数]])-心斎橋CSB3500円23[[#This Row],[単価合計]]-(心斎橋CSB3500円23[[#This Row],[キャンセル人数]]*$B$2),"")</f>
        <v/>
      </c>
      <c r="S1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0" s="15"/>
      <c r="U10" s="42" t="str">
        <f>IF(心斎橋CSB3500円23[[#This Row],[人数]]="","",VLOOKUP(心斎橋CSB3500円23[[#This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1" s="42" t="str">
        <f>IFERROR(($B$3*心斎橋CSB4000円22[[#This Row],[人数]])-心斎橋CSB4000円22[[#This Row],[単価合計]]-(心斎橋CSB4000円22[[#This Row],[キャンセル人数]]*$B$2),"")</f>
        <v/>
      </c>
      <c r="H1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1" s="15"/>
      <c r="J11" s="42" t="str">
        <f>IF(心斎橋CSB4000円22[[#This Row],[人数]]="","",VLOOKUP(心斎橋CSB4000円22[[#This Row],[人数]],バック金額②[#All],2,TRUE)-(心斎橋CSB4000円22[[#This Row],[キャンセル人数]]*$B$2))</f>
        <v/>
      </c>
      <c r="L11" s="63">
        <f t="shared" si="1"/>
        <v>44841</v>
      </c>
      <c r="M11" s="13"/>
      <c r="N11" s="14"/>
      <c r="O11" s="15"/>
      <c r="P11" s="15"/>
      <c r="Q1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1" s="42" t="str">
        <f>IFERROR(($M$3*心斎橋CSB3500円23[[#This Row],[人数]])-心斎橋CSB3500円23[[#This Row],[単価合計]]-(心斎橋CSB3500円23[[#This Row],[キャンセル人数]]*$B$2),"")</f>
        <v/>
      </c>
      <c r="S1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1" s="15"/>
      <c r="U11" s="42" t="str">
        <f>IF(心斎橋CSB3500円23[[#This Row],[人数]]="","",VLOOKUP(心斎橋CSB3500円23[[#This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2" s="42" t="str">
        <f>IFERROR(($B$3*心斎橋CSB4000円22[[#This Row],[人数]])-心斎橋CSB4000円22[[#This Row],[単価合計]]-(心斎橋CSB4000円22[[#This Row],[キャンセル人数]]*$B$2),"")</f>
        <v/>
      </c>
      <c r="H1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2" s="15"/>
      <c r="J12" s="42" t="str">
        <f>IF(心斎橋CSB4000円22[[#This Row],[人数]]="","",VLOOKUP(心斎橋CSB4000円22[[#This Row],[人数]],バック金額②[#All],2,TRUE)-(心斎橋CSB4000円22[[#This Row],[キャンセル人数]]*$B$2))</f>
        <v/>
      </c>
      <c r="L12" s="63">
        <f t="shared" si="1"/>
        <v>44842</v>
      </c>
      <c r="M12" s="13"/>
      <c r="N12" s="14"/>
      <c r="O12" s="15"/>
      <c r="P12" s="15"/>
      <c r="Q1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2" s="42" t="str">
        <f>IFERROR(($M$3*心斎橋CSB3500円23[[#This Row],[人数]])-心斎橋CSB3500円23[[#This Row],[単価合計]]-(心斎橋CSB3500円23[[#This Row],[キャンセル人数]]*$B$2),"")</f>
        <v/>
      </c>
      <c r="S1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2" s="15"/>
      <c r="U12" s="42" t="str">
        <f>IF(心斎橋CSB3500円23[[#This Row],[人数]]="","",VLOOKUP(心斎橋CSB3500円23[[#This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3" s="42" t="str">
        <f>IFERROR(($B$3*心斎橋CSB4000円22[[#This Row],[人数]])-心斎橋CSB4000円22[[#This Row],[単価合計]]-(心斎橋CSB4000円22[[#This Row],[キャンセル人数]]*$B$2),"")</f>
        <v/>
      </c>
      <c r="H1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3" s="15"/>
      <c r="J13" s="42" t="str">
        <f>IF(心斎橋CSB4000円22[[#This Row],[人数]]="","",VLOOKUP(心斎橋CSB4000円22[[#This Row],[人数]],バック金額②[#All],2,TRUE)-(心斎橋CSB4000円22[[#This Row],[キャンセル人数]]*$B$2))</f>
        <v/>
      </c>
      <c r="L13" s="63">
        <f t="shared" si="1"/>
        <v>44843</v>
      </c>
      <c r="M13" s="13"/>
      <c r="N13" s="14"/>
      <c r="O13" s="15"/>
      <c r="P13" s="15"/>
      <c r="Q1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3" s="42" t="str">
        <f>IFERROR(($M$3*心斎橋CSB3500円23[[#This Row],[人数]])-心斎橋CSB3500円23[[#This Row],[単価合計]]-(心斎橋CSB3500円23[[#This Row],[キャンセル人数]]*$B$2),"")</f>
        <v/>
      </c>
      <c r="S1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3" s="15"/>
      <c r="U13" s="42" t="str">
        <f>IF(心斎橋CSB3500円23[[#This Row],[人数]]="","",VLOOKUP(心斎橋CSB3500円23[[#This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4" s="42" t="str">
        <f>IFERROR(($B$3*心斎橋CSB4000円22[[#This Row],[人数]])-心斎橋CSB4000円22[[#This Row],[単価合計]]-(心斎橋CSB4000円22[[#This Row],[キャンセル人数]]*$B$2),"")</f>
        <v/>
      </c>
      <c r="H1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4" s="15"/>
      <c r="J14" s="42" t="str">
        <f>IF(心斎橋CSB4000円22[[#This Row],[人数]]="","",VLOOKUP(心斎橋CSB4000円22[[#This Row],[人数]],バック金額②[#All],2,TRUE)-(心斎橋CSB4000円22[[#This Row],[キャンセル人数]]*$B$2))</f>
        <v/>
      </c>
      <c r="L14" s="63">
        <f t="shared" si="1"/>
        <v>44844</v>
      </c>
      <c r="M14" s="13"/>
      <c r="N14" s="14"/>
      <c r="O14" s="15"/>
      <c r="P14" s="15"/>
      <c r="Q1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4" s="42" t="str">
        <f>IFERROR(($M$3*心斎橋CSB3500円23[[#This Row],[人数]])-心斎橋CSB3500円23[[#This Row],[単価合計]]-(心斎橋CSB3500円23[[#This Row],[キャンセル人数]]*$B$2),"")</f>
        <v/>
      </c>
      <c r="S1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4" s="15"/>
      <c r="U14" s="42" t="str">
        <f>IF(心斎橋CSB3500円23[[#This Row],[人数]]="","",VLOOKUP(心斎橋CSB3500円23[[#This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5" s="42" t="str">
        <f>IFERROR(($B$3*心斎橋CSB4000円22[[#This Row],[人数]])-心斎橋CSB4000円22[[#This Row],[単価合計]]-(心斎橋CSB4000円22[[#This Row],[キャンセル人数]]*$B$2),"")</f>
        <v/>
      </c>
      <c r="H1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5" s="15"/>
      <c r="J15" s="42" t="str">
        <f>IF(心斎橋CSB4000円22[[#This Row],[人数]]="","",VLOOKUP(心斎橋CSB4000円22[[#This Row],[人数]],バック金額②[#All],2,TRUE)-(心斎橋CSB4000円22[[#This Row],[キャンセル人数]]*$B$2))</f>
        <v/>
      </c>
      <c r="L15" s="63">
        <f t="shared" si="1"/>
        <v>44845</v>
      </c>
      <c r="M15" s="13"/>
      <c r="N15" s="14"/>
      <c r="O15" s="15"/>
      <c r="P15" s="15"/>
      <c r="Q1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5" s="42" t="str">
        <f>IFERROR(($M$3*心斎橋CSB3500円23[[#This Row],[人数]])-心斎橋CSB3500円23[[#This Row],[単価合計]]-(心斎橋CSB3500円23[[#This Row],[キャンセル人数]]*$B$2),"")</f>
        <v/>
      </c>
      <c r="S1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5" s="15"/>
      <c r="U15" s="42" t="str">
        <f>IF(心斎橋CSB3500円23[[#This Row],[人数]]="","",VLOOKUP(心斎橋CSB3500円23[[#This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6" s="42" t="str">
        <f>IFERROR(($B$3*心斎橋CSB4000円22[[#This Row],[人数]])-心斎橋CSB4000円22[[#This Row],[単価合計]]-(心斎橋CSB4000円22[[#This Row],[キャンセル人数]]*$B$2),"")</f>
        <v/>
      </c>
      <c r="H1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6" s="15"/>
      <c r="J16" s="42" t="str">
        <f>IF(心斎橋CSB4000円22[[#This Row],[人数]]="","",VLOOKUP(心斎橋CSB4000円22[[#This Row],[人数]],バック金額②[#All],2,TRUE)-(心斎橋CSB4000円22[[#This Row],[キャンセル人数]]*$B$2))</f>
        <v/>
      </c>
      <c r="L16" s="63">
        <f t="shared" si="1"/>
        <v>44846</v>
      </c>
      <c r="M16" s="13"/>
      <c r="N16" s="14"/>
      <c r="O16" s="15"/>
      <c r="P16" s="15"/>
      <c r="Q1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6" s="42" t="str">
        <f>IFERROR(($M$3*心斎橋CSB3500円23[[#This Row],[人数]])-心斎橋CSB3500円23[[#This Row],[単価合計]]-(心斎橋CSB3500円23[[#This Row],[キャンセル人数]]*$B$2),"")</f>
        <v/>
      </c>
      <c r="S1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6" s="15"/>
      <c r="U16" s="42" t="str">
        <f>IF(心斎橋CSB3500円23[[#This Row],[人数]]="","",VLOOKUP(心斎橋CSB3500円23[[#This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7" s="42" t="str">
        <f>IFERROR(($B$3*心斎橋CSB4000円22[[#This Row],[人数]])-心斎橋CSB4000円22[[#This Row],[単価合計]]-(心斎橋CSB4000円22[[#This Row],[キャンセル人数]]*$B$2),"")</f>
        <v/>
      </c>
      <c r="H1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7" s="15"/>
      <c r="J17" s="42" t="str">
        <f>IF(心斎橋CSB4000円22[[#This Row],[人数]]="","",VLOOKUP(心斎橋CSB4000円22[[#This Row],[人数]],バック金額②[#All],2,TRUE)-(心斎橋CSB4000円22[[#This Row],[キャンセル人数]]*$B$2))</f>
        <v/>
      </c>
      <c r="L17" s="63">
        <f t="shared" si="1"/>
        <v>44847</v>
      </c>
      <c r="M17" s="13"/>
      <c r="N17" s="14"/>
      <c r="O17" s="15"/>
      <c r="P17" s="15"/>
      <c r="Q1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7" s="42" t="str">
        <f>IFERROR(($M$3*心斎橋CSB3500円23[[#This Row],[人数]])-心斎橋CSB3500円23[[#This Row],[単価合計]]-(心斎橋CSB3500円23[[#This Row],[キャンセル人数]]*$B$2),"")</f>
        <v/>
      </c>
      <c r="S1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7" s="15"/>
      <c r="U17" s="42" t="str">
        <f>IF(心斎橋CSB3500円23[[#This Row],[人数]]="","",VLOOKUP(心斎橋CSB3500円23[[#This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8" s="42" t="str">
        <f>IFERROR(($B$3*心斎橋CSB4000円22[[#This Row],[人数]])-心斎橋CSB4000円22[[#This Row],[単価合計]]-(心斎橋CSB4000円22[[#This Row],[キャンセル人数]]*$B$2),"")</f>
        <v/>
      </c>
      <c r="H1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8" s="15"/>
      <c r="J18" s="42" t="str">
        <f>IF(心斎橋CSB4000円22[[#This Row],[人数]]="","",VLOOKUP(心斎橋CSB4000円22[[#This Row],[人数]],バック金額②[#All],2,TRUE)-(心斎橋CSB4000円22[[#This Row],[キャンセル人数]]*$B$2))</f>
        <v/>
      </c>
      <c r="L18" s="63">
        <f t="shared" si="1"/>
        <v>44848</v>
      </c>
      <c r="M18" s="13"/>
      <c r="N18" s="14"/>
      <c r="O18" s="15"/>
      <c r="P18" s="15"/>
      <c r="Q1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8" s="42" t="str">
        <f>IFERROR(($M$3*心斎橋CSB3500円23[[#This Row],[人数]])-心斎橋CSB3500円23[[#This Row],[単価合計]]-(心斎橋CSB3500円23[[#This Row],[キャンセル人数]]*$B$2),"")</f>
        <v/>
      </c>
      <c r="S1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8" s="15"/>
      <c r="U18" s="42" t="str">
        <f>IF(心斎橋CSB3500円23[[#This Row],[人数]]="","",VLOOKUP(心斎橋CSB3500円23[[#This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19" s="42" t="str">
        <f>IFERROR(($B$3*心斎橋CSB4000円22[[#This Row],[人数]])-心斎橋CSB4000円22[[#This Row],[単価合計]]-(心斎橋CSB4000円22[[#This Row],[キャンセル人数]]*$B$2),"")</f>
        <v/>
      </c>
      <c r="H1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19" s="15"/>
      <c r="J19" s="42" t="str">
        <f>IF(心斎橋CSB4000円22[[#This Row],[人数]]="","",VLOOKUP(心斎橋CSB4000円22[[#This Row],[人数]],バック金額②[#All],2,TRUE)-(心斎橋CSB4000円22[[#This Row],[キャンセル人数]]*$B$2))</f>
        <v/>
      </c>
      <c r="L19" s="63">
        <f t="shared" si="1"/>
        <v>44849</v>
      </c>
      <c r="M19" s="13"/>
      <c r="N19" s="14"/>
      <c r="O19" s="15"/>
      <c r="P19" s="15"/>
      <c r="Q1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19" s="42" t="str">
        <f>IFERROR(($M$3*心斎橋CSB3500円23[[#This Row],[人数]])-心斎橋CSB3500円23[[#This Row],[単価合計]]-(心斎橋CSB3500円23[[#This Row],[キャンセル人数]]*$B$2),"")</f>
        <v/>
      </c>
      <c r="S1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19" s="15"/>
      <c r="U19" s="42" t="str">
        <f>IF(心斎橋CSB3500円23[[#This Row],[人数]]="","",VLOOKUP(心斎橋CSB3500円23[[#This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0" s="42" t="str">
        <f>IFERROR(($B$3*心斎橋CSB4000円22[[#This Row],[人数]])-心斎橋CSB4000円22[[#This Row],[単価合計]]-(心斎橋CSB4000円22[[#This Row],[キャンセル人数]]*$B$2),"")</f>
        <v/>
      </c>
      <c r="H2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0" s="15"/>
      <c r="J20" s="42" t="str">
        <f>IF(心斎橋CSB4000円22[[#This Row],[人数]]="","",VLOOKUP(心斎橋CSB4000円22[[#This Row],[人数]],バック金額②[#All],2,TRUE)-(心斎橋CSB4000円22[[#This Row],[キャンセル人数]]*$B$2))</f>
        <v/>
      </c>
      <c r="L20" s="63">
        <f t="shared" si="1"/>
        <v>44850</v>
      </c>
      <c r="M20" s="13"/>
      <c r="N20" s="14"/>
      <c r="O20" s="15"/>
      <c r="P20" s="15"/>
      <c r="Q2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0" s="42" t="str">
        <f>IFERROR(($M$3*心斎橋CSB3500円23[[#This Row],[人数]])-心斎橋CSB3500円23[[#This Row],[単価合計]]-(心斎橋CSB3500円23[[#This Row],[キャンセル人数]]*$B$2),"")</f>
        <v/>
      </c>
      <c r="S2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0" s="15"/>
      <c r="U20" s="42" t="str">
        <f>IF(心斎橋CSB3500円23[[#This Row],[人数]]="","",VLOOKUP(心斎橋CSB3500円23[[#This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1" s="42" t="str">
        <f>IFERROR(($B$3*心斎橋CSB4000円22[[#This Row],[人数]])-心斎橋CSB4000円22[[#This Row],[単価合計]]-(心斎橋CSB4000円22[[#This Row],[キャンセル人数]]*$B$2),"")</f>
        <v/>
      </c>
      <c r="H2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1" s="15"/>
      <c r="J21" s="42" t="str">
        <f>IF(心斎橋CSB4000円22[[#This Row],[人数]]="","",VLOOKUP(心斎橋CSB4000円22[[#This Row],[人数]],バック金額②[#All],2,TRUE)-(心斎橋CSB4000円22[[#This Row],[キャンセル人数]]*$B$2))</f>
        <v/>
      </c>
      <c r="L21" s="63">
        <f t="shared" si="1"/>
        <v>44851</v>
      </c>
      <c r="M21" s="13"/>
      <c r="N21" s="14"/>
      <c r="O21" s="15"/>
      <c r="P21" s="15"/>
      <c r="Q2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1" s="42" t="str">
        <f>IFERROR(($M$3*心斎橋CSB3500円23[[#This Row],[人数]])-心斎橋CSB3500円23[[#This Row],[単価合計]]-(心斎橋CSB3500円23[[#This Row],[キャンセル人数]]*$B$2),"")</f>
        <v/>
      </c>
      <c r="S2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1" s="15"/>
      <c r="U21" s="42" t="str">
        <f>IF(心斎橋CSB3500円23[[#This Row],[人数]]="","",VLOOKUP(心斎橋CSB3500円23[[#This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2" s="42" t="str">
        <f>IFERROR(($B$3*心斎橋CSB4000円22[[#This Row],[人数]])-心斎橋CSB4000円22[[#This Row],[単価合計]]-(心斎橋CSB4000円22[[#This Row],[キャンセル人数]]*$B$2),"")</f>
        <v/>
      </c>
      <c r="H2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2" s="15"/>
      <c r="J22" s="42" t="str">
        <f>IF(心斎橋CSB4000円22[[#This Row],[人数]]="","",VLOOKUP(心斎橋CSB4000円22[[#This Row],[人数]],バック金額②[#All],2,TRUE)-(心斎橋CSB4000円22[[#This Row],[キャンセル人数]]*$B$2))</f>
        <v/>
      </c>
      <c r="L22" s="63">
        <f t="shared" si="1"/>
        <v>44852</v>
      </c>
      <c r="M22" s="13"/>
      <c r="N22" s="14"/>
      <c r="O22" s="15"/>
      <c r="P22" s="15"/>
      <c r="Q2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2" s="42" t="str">
        <f>IFERROR(($M$3*心斎橋CSB3500円23[[#This Row],[人数]])-心斎橋CSB3500円23[[#This Row],[単価合計]]-(心斎橋CSB3500円23[[#This Row],[キャンセル人数]]*$B$2),"")</f>
        <v/>
      </c>
      <c r="S2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2" s="15"/>
      <c r="U22" s="42" t="str">
        <f>IF(心斎橋CSB3500円23[[#This Row],[人数]]="","",VLOOKUP(心斎橋CSB3500円23[[#This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3" s="42" t="str">
        <f>IFERROR(($B$3*心斎橋CSB4000円22[[#This Row],[人数]])-心斎橋CSB4000円22[[#This Row],[単価合計]]-(心斎橋CSB4000円22[[#This Row],[キャンセル人数]]*$B$2),"")</f>
        <v/>
      </c>
      <c r="H2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3" s="15"/>
      <c r="J23" s="42" t="str">
        <f>IF(心斎橋CSB4000円22[[#This Row],[人数]]="","",VLOOKUP(心斎橋CSB4000円22[[#This Row],[人数]],バック金額②[#All],2,TRUE)-(心斎橋CSB4000円22[[#This Row],[キャンセル人数]]*$B$2))</f>
        <v/>
      </c>
      <c r="L23" s="63">
        <f t="shared" si="1"/>
        <v>44853</v>
      </c>
      <c r="M23" s="13"/>
      <c r="N23" s="14"/>
      <c r="O23" s="15"/>
      <c r="P23" s="15"/>
      <c r="Q2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3" s="42" t="str">
        <f>IFERROR(($M$3*心斎橋CSB3500円23[[#This Row],[人数]])-心斎橋CSB3500円23[[#This Row],[単価合計]]-(心斎橋CSB3500円23[[#This Row],[キャンセル人数]]*$B$2),"")</f>
        <v/>
      </c>
      <c r="S2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3" s="15"/>
      <c r="U23" s="42" t="str">
        <f>IF(心斎橋CSB3500円23[[#This Row],[人数]]="","",VLOOKUP(心斎橋CSB3500円23[[#This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4" s="42" t="str">
        <f>IFERROR(($B$3*心斎橋CSB4000円22[[#This Row],[人数]])-心斎橋CSB4000円22[[#This Row],[単価合計]]-(心斎橋CSB4000円22[[#This Row],[キャンセル人数]]*$B$2),"")</f>
        <v/>
      </c>
      <c r="H2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4" s="15"/>
      <c r="J24" s="42" t="str">
        <f>IF(心斎橋CSB4000円22[[#This Row],[人数]]="","",VLOOKUP(心斎橋CSB4000円22[[#This Row],[人数]],バック金額②[#All],2,TRUE)-(心斎橋CSB4000円22[[#This Row],[キャンセル人数]]*$B$2))</f>
        <v/>
      </c>
      <c r="L24" s="63">
        <f t="shared" si="1"/>
        <v>44854</v>
      </c>
      <c r="M24" s="13"/>
      <c r="N24" s="14"/>
      <c r="O24" s="15"/>
      <c r="P24" s="15"/>
      <c r="Q2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4" s="42" t="str">
        <f>IFERROR(($M$3*心斎橋CSB3500円23[[#This Row],[人数]])-心斎橋CSB3500円23[[#This Row],[単価合計]]-(心斎橋CSB3500円23[[#This Row],[キャンセル人数]]*$B$2),"")</f>
        <v/>
      </c>
      <c r="S2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4" s="15"/>
      <c r="U24" s="42" t="str">
        <f>IF(心斎橋CSB3500円23[[#This Row],[人数]]="","",VLOOKUP(心斎橋CSB3500円23[[#This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5" s="42" t="str">
        <f>IFERROR(($B$3*心斎橋CSB4000円22[[#This Row],[人数]])-心斎橋CSB4000円22[[#This Row],[単価合計]]-(心斎橋CSB4000円22[[#This Row],[キャンセル人数]]*$B$2),"")</f>
        <v/>
      </c>
      <c r="H2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5" s="15"/>
      <c r="J25" s="42" t="str">
        <f>IF(心斎橋CSB4000円22[[#This Row],[人数]]="","",VLOOKUP(心斎橋CSB4000円22[[#This Row],[人数]],バック金額②[#All],2,TRUE)-(心斎橋CSB4000円22[[#This Row],[キャンセル人数]]*$B$2))</f>
        <v/>
      </c>
      <c r="L25" s="63">
        <f t="shared" si="1"/>
        <v>44855</v>
      </c>
      <c r="M25" s="13"/>
      <c r="N25" s="14"/>
      <c r="O25" s="15"/>
      <c r="P25" s="15"/>
      <c r="Q2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5" s="42" t="str">
        <f>IFERROR(($M$3*心斎橋CSB3500円23[[#This Row],[人数]])-心斎橋CSB3500円23[[#This Row],[単価合計]]-(心斎橋CSB3500円23[[#This Row],[キャンセル人数]]*$B$2),"")</f>
        <v/>
      </c>
      <c r="S2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5" s="15"/>
      <c r="U25" s="42" t="str">
        <f>IF(心斎橋CSB3500円23[[#This Row],[人数]]="","",VLOOKUP(心斎橋CSB3500円23[[#This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6" s="42" t="str">
        <f>IFERROR(($B$3*心斎橋CSB4000円22[[#This Row],[人数]])-心斎橋CSB4000円22[[#This Row],[単価合計]]-(心斎橋CSB4000円22[[#This Row],[キャンセル人数]]*$B$2),"")</f>
        <v/>
      </c>
      <c r="H26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6" s="15"/>
      <c r="J26" s="42" t="str">
        <f>IF(心斎橋CSB4000円22[[#This Row],[人数]]="","",VLOOKUP(心斎橋CSB4000円22[[#This Row],[人数]],バック金額②[#All],2,TRUE)-(心斎橋CSB4000円22[[#This Row],[キャンセル人数]]*$B$2))</f>
        <v/>
      </c>
      <c r="L26" s="63">
        <f t="shared" si="1"/>
        <v>44856</v>
      </c>
      <c r="M26" s="13"/>
      <c r="N26" s="14"/>
      <c r="O26" s="15"/>
      <c r="P26" s="15"/>
      <c r="Q26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6" s="42" t="str">
        <f>IFERROR(($M$3*心斎橋CSB3500円23[[#This Row],[人数]])-心斎橋CSB3500円23[[#This Row],[単価合計]]-(心斎橋CSB3500円23[[#This Row],[キャンセル人数]]*$B$2),"")</f>
        <v/>
      </c>
      <c r="S26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6" s="15"/>
      <c r="U26" s="42" t="str">
        <f>IF(心斎橋CSB3500円23[[#This Row],[人数]]="","",VLOOKUP(心斎橋CSB3500円23[[#This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7" s="42" t="str">
        <f>IFERROR(($B$3*心斎橋CSB4000円22[[#This Row],[人数]])-心斎橋CSB4000円22[[#This Row],[単価合計]]-(心斎橋CSB4000円22[[#This Row],[キャンセル人数]]*$B$2),"")</f>
        <v/>
      </c>
      <c r="H27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7" s="15"/>
      <c r="J27" s="42" t="str">
        <f>IF(心斎橋CSB4000円22[[#This Row],[人数]]="","",VLOOKUP(心斎橋CSB4000円22[[#This Row],[人数]],バック金額②[#All],2,TRUE)-(心斎橋CSB4000円22[[#This Row],[キャンセル人数]]*$B$2))</f>
        <v/>
      </c>
      <c r="L27" s="63">
        <f t="shared" si="1"/>
        <v>44857</v>
      </c>
      <c r="M27" s="13"/>
      <c r="N27" s="14"/>
      <c r="O27" s="15"/>
      <c r="P27" s="15"/>
      <c r="Q27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7" s="42" t="str">
        <f>IFERROR(($M$3*心斎橋CSB3500円23[[#This Row],[人数]])-心斎橋CSB3500円23[[#This Row],[単価合計]]-(心斎橋CSB3500円23[[#This Row],[キャンセル人数]]*$B$2),"")</f>
        <v/>
      </c>
      <c r="S27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7" s="15"/>
      <c r="U27" s="42" t="str">
        <f>IF(心斎橋CSB3500円23[[#This Row],[人数]]="","",VLOOKUP(心斎橋CSB3500円23[[#This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8" s="42" t="str">
        <f>IFERROR(($B$3*心斎橋CSB4000円22[[#This Row],[人数]])-心斎橋CSB4000円22[[#This Row],[単価合計]]-(心斎橋CSB4000円22[[#This Row],[キャンセル人数]]*$B$2),"")</f>
        <v/>
      </c>
      <c r="H28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8" s="15"/>
      <c r="J28" s="42" t="str">
        <f>IF(心斎橋CSB4000円22[[#This Row],[人数]]="","",VLOOKUP(心斎橋CSB4000円22[[#This Row],[人数]],バック金額②[#All],2,TRUE)-(心斎橋CSB4000円22[[#This Row],[キャンセル人数]]*$B$2))</f>
        <v/>
      </c>
      <c r="L28" s="63">
        <f t="shared" si="1"/>
        <v>44858</v>
      </c>
      <c r="M28" s="13"/>
      <c r="N28" s="14"/>
      <c r="O28" s="15"/>
      <c r="P28" s="15"/>
      <c r="Q28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8" s="42" t="str">
        <f>IFERROR(($M$3*心斎橋CSB3500円23[[#This Row],[人数]])-心斎橋CSB3500円23[[#This Row],[単価合計]]-(心斎橋CSB3500円23[[#This Row],[キャンセル人数]]*$B$2),"")</f>
        <v/>
      </c>
      <c r="S28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8" s="15"/>
      <c r="U28" s="42" t="str">
        <f>IF(心斎橋CSB3500円23[[#This Row],[人数]]="","",VLOOKUP(心斎橋CSB3500円23[[#This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29" s="42" t="str">
        <f>IFERROR(($B$3*心斎橋CSB4000円22[[#This Row],[人数]])-心斎橋CSB4000円22[[#This Row],[単価合計]]-(心斎橋CSB4000円22[[#This Row],[キャンセル人数]]*$B$2),"")</f>
        <v/>
      </c>
      <c r="H29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29" s="15"/>
      <c r="J29" s="42" t="str">
        <f>IF(心斎橋CSB4000円22[[#This Row],[人数]]="","",VLOOKUP(心斎橋CSB4000円22[[#This Row],[人数]],バック金額②[#All],2,TRUE)-(心斎橋CSB4000円22[[#This Row],[キャンセル人数]]*$B$2))</f>
        <v/>
      </c>
      <c r="L29" s="63">
        <f t="shared" si="1"/>
        <v>44859</v>
      </c>
      <c r="M29" s="13"/>
      <c r="N29" s="14"/>
      <c r="O29" s="15"/>
      <c r="P29" s="15"/>
      <c r="Q29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29" s="42" t="str">
        <f>IFERROR(($M$3*心斎橋CSB3500円23[[#This Row],[人数]])-心斎橋CSB3500円23[[#This Row],[単価合計]]-(心斎橋CSB3500円23[[#This Row],[キャンセル人数]]*$B$2),"")</f>
        <v/>
      </c>
      <c r="S29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29" s="15"/>
      <c r="U29" s="42" t="str">
        <f>IF(心斎橋CSB3500円23[[#This Row],[人数]]="","",VLOOKUP(心斎橋CSB3500円23[[#This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0" s="42" t="str">
        <f>IFERROR(($B$3*心斎橋CSB4000円22[[#This Row],[人数]])-心斎橋CSB4000円22[[#This Row],[単価合計]]-(心斎橋CSB4000円22[[#This Row],[キャンセル人数]]*$B$2),"")</f>
        <v/>
      </c>
      <c r="H30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0" s="15"/>
      <c r="J30" s="42" t="str">
        <f>IF(心斎橋CSB4000円22[[#This Row],[人数]]="","",VLOOKUP(心斎橋CSB4000円22[[#This Row],[人数]],バック金額②[#All],2,TRUE)-(心斎橋CSB4000円22[[#This Row],[キャンセル人数]]*$B$2))</f>
        <v/>
      </c>
      <c r="L30" s="63">
        <f t="shared" si="1"/>
        <v>44860</v>
      </c>
      <c r="M30" s="13"/>
      <c r="N30" s="14"/>
      <c r="O30" s="15"/>
      <c r="P30" s="15"/>
      <c r="Q30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0" s="42" t="str">
        <f>IFERROR(($M$3*心斎橋CSB3500円23[[#This Row],[人数]])-心斎橋CSB3500円23[[#This Row],[単価合計]]-(心斎橋CSB3500円23[[#This Row],[キャンセル人数]]*$B$2),"")</f>
        <v/>
      </c>
      <c r="S30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0" s="15"/>
      <c r="U30" s="42" t="str">
        <f>IF(心斎橋CSB3500円23[[#This Row],[人数]]="","",VLOOKUP(心斎橋CSB3500円23[[#This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1" s="42" t="str">
        <f>IFERROR(($B$3*心斎橋CSB4000円22[[#This Row],[人数]])-心斎橋CSB4000円22[[#This Row],[単価合計]]-(心斎橋CSB4000円22[[#This Row],[キャンセル人数]]*$B$2),"")</f>
        <v/>
      </c>
      <c r="H31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1" s="15"/>
      <c r="J31" s="42" t="str">
        <f>IF(心斎橋CSB4000円22[[#This Row],[人数]]="","",VLOOKUP(心斎橋CSB4000円22[[#This Row],[人数]],バック金額②[#All],2,TRUE)-(心斎橋CSB4000円22[[#This Row],[キャンセル人数]]*$B$2))</f>
        <v/>
      </c>
      <c r="L31" s="63">
        <f t="shared" si="1"/>
        <v>44861</v>
      </c>
      <c r="M31" s="13"/>
      <c r="N31" s="14"/>
      <c r="O31" s="15"/>
      <c r="P31" s="15"/>
      <c r="Q31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1" s="42" t="str">
        <f>IFERROR(($M$3*心斎橋CSB3500円23[[#This Row],[人数]])-心斎橋CSB3500円23[[#This Row],[単価合計]]-(心斎橋CSB3500円23[[#This Row],[キャンセル人数]]*$B$2),"")</f>
        <v/>
      </c>
      <c r="S31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1" s="15"/>
      <c r="U31" s="42" t="str">
        <f>IF(心斎橋CSB3500円23[[#This Row],[人数]]="","",VLOOKUP(心斎橋CSB3500円23[[#This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2" s="42" t="str">
        <f>IFERROR(($B$3*心斎橋CSB4000円22[[#This Row],[人数]])-心斎橋CSB4000円22[[#This Row],[単価合計]]-(心斎橋CSB4000円22[[#This Row],[キャンセル人数]]*$B$2),"")</f>
        <v/>
      </c>
      <c r="H32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2" s="15"/>
      <c r="J32" s="42" t="str">
        <f>IF(心斎橋CSB4000円22[[#This Row],[人数]]="","",VLOOKUP(心斎橋CSB4000円22[[#This Row],[人数]],バック金額②[#All],2,TRUE)-(心斎橋CSB4000円22[[#This Row],[キャンセル人数]]*$B$2))</f>
        <v/>
      </c>
      <c r="L32" s="63">
        <f t="shared" si="1"/>
        <v>44862</v>
      </c>
      <c r="M32" s="13"/>
      <c r="N32" s="14"/>
      <c r="O32" s="15"/>
      <c r="P32" s="15"/>
      <c r="Q32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2" s="42" t="str">
        <f>IFERROR(($M$3*心斎橋CSB3500円23[[#This Row],[人数]])-心斎橋CSB3500円23[[#This Row],[単価合計]]-(心斎橋CSB3500円23[[#This Row],[キャンセル人数]]*$B$2),"")</f>
        <v/>
      </c>
      <c r="S32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2" s="15"/>
      <c r="U32" s="42" t="str">
        <f>IF(心斎橋CSB3500円23[[#This Row],[人数]]="","",VLOOKUP(心斎橋CSB3500円23[[#This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3" s="42" t="str">
        <f>IFERROR(($B$3*心斎橋CSB4000円22[[#This Row],[人数]])-心斎橋CSB4000円22[[#This Row],[単価合計]]-(心斎橋CSB4000円22[[#This Row],[キャンセル人数]]*$B$2),"")</f>
        <v/>
      </c>
      <c r="H33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3" s="15"/>
      <c r="J33" s="42" t="str">
        <f>IF(心斎橋CSB4000円22[[#This Row],[人数]]="","",VLOOKUP(心斎橋CSB4000円22[[#This Row],[人数]],バック金額②[#All],2,TRUE)-(心斎橋CSB4000円22[[#This Row],[キャンセル人数]]*$B$2))</f>
        <v/>
      </c>
      <c r="L33" s="63">
        <f t="shared" si="1"/>
        <v>44863</v>
      </c>
      <c r="M33" s="13"/>
      <c r="N33" s="14"/>
      <c r="O33" s="15"/>
      <c r="P33" s="15"/>
      <c r="Q33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3" s="42" t="str">
        <f>IFERROR(($M$3*心斎橋CSB3500円23[[#This Row],[人数]])-心斎橋CSB3500円23[[#This Row],[単価合計]]-(心斎橋CSB3500円23[[#This Row],[キャンセル人数]]*$B$2),"")</f>
        <v/>
      </c>
      <c r="S33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3" s="15"/>
      <c r="U33" s="42" t="str">
        <f>IF(心斎橋CSB3500円23[[#This Row],[人数]]="","",VLOOKUP(心斎橋CSB3500円23[[#This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4" s="42" t="str">
        <f>IFERROR(($B$3*心斎橋CSB4000円22[[#This Row],[人数]])-心斎橋CSB4000円22[[#This Row],[単価合計]]-(心斎橋CSB4000円22[[#This Row],[キャンセル人数]]*$B$2),"")</f>
        <v/>
      </c>
      <c r="H34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4" s="15"/>
      <c r="J34" s="42" t="str">
        <f>IF(心斎橋CSB4000円22[[#This Row],[人数]]="","",VLOOKUP(心斎橋CSB4000円22[[#This Row],[人数]],バック金額②[#All],2,TRUE)-(心斎橋CSB4000円22[[#This Row],[キャンセル人数]]*$B$2))</f>
        <v/>
      </c>
      <c r="L34" s="63">
        <f t="shared" si="1"/>
        <v>44864</v>
      </c>
      <c r="M34" s="13"/>
      <c r="N34" s="14"/>
      <c r="O34" s="15"/>
      <c r="P34" s="15"/>
      <c r="Q34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4" s="42" t="str">
        <f>IFERROR(($M$3*心斎橋CSB3500円23[[#This Row],[人数]])-心斎橋CSB3500円23[[#This Row],[単価合計]]-(心斎橋CSB3500円23[[#This Row],[キャンセル人数]]*$B$2),"")</f>
        <v/>
      </c>
      <c r="S34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4" s="15"/>
      <c r="U34" s="42" t="str">
        <f>IF(心斎橋CSB3500円23[[#This Row],[人数]]="","",VLOOKUP(心斎橋CSB3500円23[[#This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5"/>
      <c r="E35" s="19"/>
      <c r="F35" s="42" t="str">
        <f>IF(心斎橋CSB4000円22[[#This Row],[人数]]="","",IF(心斎橋CSB4000円22[[#This Row],[人数]]&lt;=7,$B$1*心斎橋CSB4000円22[[#This Row],[人数]],$B$1*心斎橋CSB4000円22[[#This Row],[人数]]-心斎橋CSB4000円22[[#This Row],[幹事無料]]))</f>
        <v/>
      </c>
      <c r="G35" s="42" t="str">
        <f>IFERROR(($B$3*心斎橋CSB4000円22[[#This Row],[人数]])-心斎橋CSB4000円22[[#This Row],[単価合計]]-(心斎橋CSB4000円22[[#This Row],[キャンセル人数]]*$B$2),"")</f>
        <v/>
      </c>
      <c r="H35" s="42" t="str">
        <f>IF(心斎橋CSB4000円22[[#This Row],[人数]]=0,"",IF(心斎橋CSB4000円22[[#This Row],[人数]]&lt;=7,"",IF(心斎橋CSB4000円22[[#This Row],[人数]]&lt;=15,$B$1,IF(心斎橋CSB4000円22[[#This Row],[人数]]&lt;=23,$B$1*2,IF(心斎橋CSB4000円22[[#This Row],[人数]]&lt;=31,$B$1*3,IF(心斎橋CSB4000円22[[#This Row],[人数]]&lt;=39,$B$1*4,""))))))</f>
        <v/>
      </c>
      <c r="I35" s="19"/>
      <c r="J35" s="42" t="str">
        <f>IF(心斎橋CSB4000円22[[#This Row],[人数]]="","",VLOOKUP(心斎橋CSB4000円22[[#This Row],[人数]],バック金額②[#All],2,TRUE)-(心斎橋CSB4000円22[[#This Row],[キャンセル人数]]*$B$2))</f>
        <v/>
      </c>
      <c r="L35" s="63">
        <f t="shared" si="1"/>
        <v>44865</v>
      </c>
      <c r="M35" s="17"/>
      <c r="N35" s="18"/>
      <c r="O35" s="15"/>
      <c r="P35" s="19"/>
      <c r="Q35" s="42" t="str">
        <f>IF(心斎橋CSB3500円23[[#This Row],[人数]]="","",IF(心斎橋CSB3500円23[[#This Row],[人数]]&lt;=7,$B$1*心斎橋CSB3500円23[[#This Row],[人数]],$B$1*心斎橋CSB3500円23[[#This Row],[人数]]-心斎橋CSB3500円23[[#This Row],[幹事無料]]))</f>
        <v/>
      </c>
      <c r="R35" s="42" t="str">
        <f>IFERROR(($M$3*心斎橋CSB3500円23[[#This Row],[人数]])-心斎橋CSB3500円23[[#This Row],[単価合計]]-(心斎橋CSB3500円23[[#This Row],[キャンセル人数]]*$B$2),"")</f>
        <v/>
      </c>
      <c r="S35" s="42" t="str">
        <f>IF(心斎橋CSB3500円23[[#This Row],[人数]]=0,"",IF(心斎橋CSB3500円23[[#This Row],[人数]]&lt;=7,"",IF(心斎橋CSB3500円23[[#This Row],[人数]]&lt;=15,$B$1,IF(心斎橋CSB3500円23[[#This Row],[人数]]&lt;=23,$B$1*2,IF(心斎橋CSB3500円23[[#This Row],[人数]]&lt;=31,$B$1*3,IF(心斎橋CSB3500円23[[#This Row],[人数]]&lt;=39,$B$1*4,""))))))</f>
        <v/>
      </c>
      <c r="T35" s="19"/>
      <c r="U35" s="42" t="str">
        <f>IF(心斎橋CSB3500円23[[#This Row],[人数]]="","",VLOOKUP(心斎橋CSB3500円23[[#This Row],[人数]],バック金額②[#All],2,TRUE))</f>
        <v/>
      </c>
    </row>
    <row r="36" spans="1:21">
      <c r="A36" s="69" t="s">
        <v>323</v>
      </c>
      <c r="B36" s="16">
        <f>SUM(心斎橋CSB4000円22[[#All],[件数]])</f>
        <v>0</v>
      </c>
      <c r="C36" s="6"/>
      <c r="D36" s="16">
        <f>SUM(心斎橋CSB4000円22[[#All],[人数]])</f>
        <v>0</v>
      </c>
      <c r="E36" s="16">
        <f>SUM(心斎橋CSB4000円22[[#All],[Aパターン]])</f>
        <v>0</v>
      </c>
      <c r="F36" s="16">
        <f>SUM(心斎橋CSB4000円22[[#All],[単価合計]])</f>
        <v>0</v>
      </c>
      <c r="G36" s="16">
        <f>SUM(心斎橋CSB4000円22[[#All],[ゆうき取りに行く]])</f>
        <v>0</v>
      </c>
      <c r="H36" s="16"/>
      <c r="I36" s="16"/>
      <c r="J36" s="16">
        <f>SUM(心斎橋CSB4000円22[[#All],[イベンターへ]])</f>
        <v>0</v>
      </c>
      <c r="L36" s="69" t="s">
        <v>323</v>
      </c>
      <c r="M36" s="16">
        <f>SUM(心斎橋CSB3500円23[[#All],[件数]])</f>
        <v>0</v>
      </c>
      <c r="N36" s="6"/>
      <c r="O36" s="16">
        <f>SUM(心斎橋CSB3500円23[[#All],[人数]])</f>
        <v>0</v>
      </c>
      <c r="P36" s="16">
        <f>SUM(心斎橋CSB3500円23[[#All],[Aパターン]])</f>
        <v>0</v>
      </c>
      <c r="Q36" s="16">
        <f>SUM(心斎橋CSB3500円23[[#All],[単価合計]])</f>
        <v>0</v>
      </c>
      <c r="R36" s="16">
        <f>SUM(心斎橋CSB3500円23[[#All],[ゆうき取りに行く]])</f>
        <v>0</v>
      </c>
      <c r="S36" s="16"/>
      <c r="T36" s="16"/>
      <c r="U36" s="16">
        <f>SUM(心斎橋CSB3500円23[[#All],[イベンターへ]])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DB96-DB39-406E-A251-08F69AB998D4}">
  <sheetPr codeName="Sheet22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6640625" style="8" customWidth="1"/>
    <col min="4" max="4" width="6.33203125" style="8" customWidth="1"/>
    <col min="5" max="5" width="12.88671875" style="8" bestFit="1" customWidth="1"/>
    <col min="6" max="6" width="12.332031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109375" style="8" customWidth="1"/>
    <col min="15" max="15" width="6.33203125" style="8" customWidth="1"/>
    <col min="16" max="16" width="12.88671875" style="8" bestFit="1" customWidth="1"/>
    <col min="17" max="17" width="12.332031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254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5" s="16" t="str">
        <f>IFERROR(($B$3*三ノ宮琥珀の泉4000円[[#This Row],[人数]])-三ノ宮琥珀の泉4000円[[#This Row],[単価合計]]-(三ノ宮琥珀の泉4000円[[#This Row],[キャンセル人数]]*$B$2),"")</f>
        <v/>
      </c>
      <c r="H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5" s="15"/>
      <c r="J5" s="16" t="str">
        <f>IF(三ノ宮琥珀の泉4000円[[#This Row],[人数]]="","",VLOOKUP(三ノ宮琥珀の泉4000円[[#This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5" s="16" t="str">
        <f>IFERROR(($M$3*三ノ宮琥珀の泉3500円[[#This Row],[人数]])-三ノ宮琥珀の泉3500円[[#This Row],[単価合計]]-(三ノ宮琥珀の泉3500円[[#This Row],[キャンセル人数]]*$B$2),"")</f>
        <v/>
      </c>
      <c r="S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5" s="15"/>
      <c r="U5" s="16" t="str">
        <f>IF(三ノ宮琥珀の泉3500円[[#This Row],[人数]]="","",VLOOKUP(三ノ宮琥珀の泉3500円[[#This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6" s="16" t="str">
        <f>IFERROR(($B$3*三ノ宮琥珀の泉4000円[[#This Row],[人数]])-三ノ宮琥珀の泉4000円[[#This Row],[単価合計]]-(三ノ宮琥珀の泉4000円[[#This Row],[キャンセル人数]]*$B$2),"")</f>
        <v/>
      </c>
      <c r="H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6" s="15"/>
      <c r="J6" s="16" t="str">
        <f>IF(三ノ宮琥珀の泉4000円[[#This Row],[人数]]="","",VLOOKUP(三ノ宮琥珀の泉4000円[[#This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6" s="16" t="str">
        <f>IFERROR(($M$3*三ノ宮琥珀の泉3500円[[#This Row],[人数]])-三ノ宮琥珀の泉3500円[[#This Row],[単価合計]]-(三ノ宮琥珀の泉3500円[[#This Row],[キャンセル人数]]*$B$2),"")</f>
        <v/>
      </c>
      <c r="S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6" s="15"/>
      <c r="U6" s="16" t="str">
        <f>IF(三ノ宮琥珀の泉3500円[[#This Row],[人数]]="","",VLOOKUP(三ノ宮琥珀の泉3500円[[#This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7" s="16" t="str">
        <f>IFERROR(($B$3*三ノ宮琥珀の泉4000円[[#This Row],[人数]])-三ノ宮琥珀の泉4000円[[#This Row],[単価合計]]-(三ノ宮琥珀の泉4000円[[#This Row],[キャンセル人数]]*$B$2),"")</f>
        <v/>
      </c>
      <c r="H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7" s="15"/>
      <c r="J7" s="16" t="str">
        <f>IF(三ノ宮琥珀の泉4000円[[#This Row],[人数]]="","",VLOOKUP(三ノ宮琥珀の泉4000円[[#This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7" s="16" t="str">
        <f>IFERROR(($M$3*三ノ宮琥珀の泉3500円[[#This Row],[人数]])-三ノ宮琥珀の泉3500円[[#This Row],[単価合計]]-(三ノ宮琥珀の泉3500円[[#This Row],[キャンセル人数]]*$B$2),"")</f>
        <v/>
      </c>
      <c r="S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7" s="15"/>
      <c r="U7" s="16" t="str">
        <f>IF(三ノ宮琥珀の泉3500円[[#This Row],[人数]]="","",VLOOKUP(三ノ宮琥珀の泉3500円[[#This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8" s="16" t="str">
        <f>IFERROR(($B$3*三ノ宮琥珀の泉4000円[[#This Row],[人数]])-三ノ宮琥珀の泉4000円[[#This Row],[単価合計]]-(三ノ宮琥珀の泉4000円[[#This Row],[キャンセル人数]]*$B$2),"")</f>
        <v/>
      </c>
      <c r="H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8" s="15"/>
      <c r="J8" s="16" t="str">
        <f>IF(三ノ宮琥珀の泉4000円[[#This Row],[人数]]="","",VLOOKUP(三ノ宮琥珀の泉4000円[[#This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8" s="16" t="str">
        <f>IFERROR(($M$3*三ノ宮琥珀の泉3500円[[#This Row],[人数]])-三ノ宮琥珀の泉3500円[[#This Row],[単価合計]]-(三ノ宮琥珀の泉3500円[[#This Row],[キャンセル人数]]*$B$2),"")</f>
        <v/>
      </c>
      <c r="S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8" s="15"/>
      <c r="U8" s="16" t="str">
        <f>IF(三ノ宮琥珀の泉3500円[[#This Row],[人数]]="","",VLOOKUP(三ノ宮琥珀の泉3500円[[#This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9" s="16" t="str">
        <f>IFERROR(($B$3*三ノ宮琥珀の泉4000円[[#This Row],[人数]])-三ノ宮琥珀の泉4000円[[#This Row],[単価合計]]-(三ノ宮琥珀の泉4000円[[#This Row],[キャンセル人数]]*$B$2),"")</f>
        <v/>
      </c>
      <c r="H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9" s="15"/>
      <c r="J9" s="16" t="str">
        <f>IF(三ノ宮琥珀の泉4000円[[#This Row],[人数]]="","",VLOOKUP(三ノ宮琥珀の泉4000円[[#This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9" s="16" t="str">
        <f>IFERROR(($M$3*三ノ宮琥珀の泉3500円[[#This Row],[人数]])-三ノ宮琥珀の泉3500円[[#This Row],[単価合計]]-(三ノ宮琥珀の泉3500円[[#This Row],[キャンセル人数]]*$B$2),"")</f>
        <v/>
      </c>
      <c r="S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9" s="15"/>
      <c r="U9" s="16" t="str">
        <f>IF(三ノ宮琥珀の泉3500円[[#This Row],[人数]]="","",VLOOKUP(三ノ宮琥珀の泉3500円[[#This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0" s="16" t="str">
        <f>IFERROR(($B$3*三ノ宮琥珀の泉4000円[[#This Row],[人数]])-三ノ宮琥珀の泉4000円[[#This Row],[単価合計]]-(三ノ宮琥珀の泉4000円[[#This Row],[キャンセル人数]]*$B$2),"")</f>
        <v/>
      </c>
      <c r="H1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0" s="15"/>
      <c r="J10" s="16" t="str">
        <f>IF(三ノ宮琥珀の泉4000円[[#This Row],[人数]]="","",VLOOKUP(三ノ宮琥珀の泉4000円[[#This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0" s="16" t="str">
        <f>IFERROR(($M$3*三ノ宮琥珀の泉3500円[[#This Row],[人数]])-三ノ宮琥珀の泉3500円[[#This Row],[単価合計]]-(三ノ宮琥珀の泉3500円[[#This Row],[キャンセル人数]]*$B$2),"")</f>
        <v/>
      </c>
      <c r="S1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0" s="15"/>
      <c r="U10" s="16" t="str">
        <f>IF(三ノ宮琥珀の泉3500円[[#This Row],[人数]]="","",VLOOKUP(三ノ宮琥珀の泉3500円[[#This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1" s="16" t="str">
        <f>IFERROR(($B$3*三ノ宮琥珀の泉4000円[[#This Row],[人数]])-三ノ宮琥珀の泉4000円[[#This Row],[単価合計]]-(三ノ宮琥珀の泉4000円[[#This Row],[キャンセル人数]]*$B$2),"")</f>
        <v/>
      </c>
      <c r="H1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1" s="15"/>
      <c r="J11" s="16" t="str">
        <f>IF(三ノ宮琥珀の泉4000円[[#This Row],[人数]]="","",VLOOKUP(三ノ宮琥珀の泉4000円[[#This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1" s="16" t="str">
        <f>IFERROR(($M$3*三ノ宮琥珀の泉3500円[[#This Row],[人数]])-三ノ宮琥珀の泉3500円[[#This Row],[単価合計]]-(三ノ宮琥珀の泉3500円[[#This Row],[キャンセル人数]]*$B$2),"")</f>
        <v/>
      </c>
      <c r="S1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1" s="15"/>
      <c r="U11" s="16" t="str">
        <f>IF(三ノ宮琥珀の泉3500円[[#This Row],[人数]]="","",VLOOKUP(三ノ宮琥珀の泉3500円[[#This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2" s="16" t="str">
        <f>IFERROR(($B$3*三ノ宮琥珀の泉4000円[[#This Row],[人数]])-三ノ宮琥珀の泉4000円[[#This Row],[単価合計]]-(三ノ宮琥珀の泉4000円[[#This Row],[キャンセル人数]]*$B$2),"")</f>
        <v/>
      </c>
      <c r="H1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2" s="15"/>
      <c r="J12" s="16" t="str">
        <f>IF(三ノ宮琥珀の泉4000円[[#This Row],[人数]]="","",VLOOKUP(三ノ宮琥珀の泉4000円[[#This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2" s="16" t="str">
        <f>IFERROR(($M$3*三ノ宮琥珀の泉3500円[[#This Row],[人数]])-三ノ宮琥珀の泉3500円[[#This Row],[単価合計]]-(三ノ宮琥珀の泉3500円[[#This Row],[キャンセル人数]]*$B$2),"")</f>
        <v/>
      </c>
      <c r="S1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2" s="15"/>
      <c r="U12" s="16" t="str">
        <f>IF(三ノ宮琥珀の泉3500円[[#This Row],[人数]]="","",VLOOKUP(三ノ宮琥珀の泉3500円[[#This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3" s="16" t="str">
        <f>IFERROR(($B$3*三ノ宮琥珀の泉4000円[[#This Row],[人数]])-三ノ宮琥珀の泉4000円[[#This Row],[単価合計]]-(三ノ宮琥珀の泉4000円[[#This Row],[キャンセル人数]]*$B$2),"")</f>
        <v/>
      </c>
      <c r="H1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3" s="15"/>
      <c r="J13" s="16" t="str">
        <f>IF(三ノ宮琥珀の泉4000円[[#This Row],[人数]]="","",VLOOKUP(三ノ宮琥珀の泉4000円[[#This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3" s="16" t="str">
        <f>IFERROR(($M$3*三ノ宮琥珀の泉3500円[[#This Row],[人数]])-三ノ宮琥珀の泉3500円[[#This Row],[単価合計]]-(三ノ宮琥珀の泉3500円[[#This Row],[キャンセル人数]]*$B$2),"")</f>
        <v/>
      </c>
      <c r="S1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3" s="15"/>
      <c r="U13" s="16" t="str">
        <f>IF(三ノ宮琥珀の泉3500円[[#This Row],[人数]]="","",VLOOKUP(三ノ宮琥珀の泉3500円[[#This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4" s="16" t="str">
        <f>IFERROR(($B$3*三ノ宮琥珀の泉4000円[[#This Row],[人数]])-三ノ宮琥珀の泉4000円[[#This Row],[単価合計]]-(三ノ宮琥珀の泉4000円[[#This Row],[キャンセル人数]]*$B$2),"")</f>
        <v/>
      </c>
      <c r="H1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4" s="15"/>
      <c r="J14" s="16" t="str">
        <f>IF(三ノ宮琥珀の泉4000円[[#This Row],[人数]]="","",VLOOKUP(三ノ宮琥珀の泉4000円[[#This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4" s="16" t="str">
        <f>IFERROR(($M$3*三ノ宮琥珀の泉3500円[[#This Row],[人数]])-三ノ宮琥珀の泉3500円[[#This Row],[単価合計]]-(三ノ宮琥珀の泉3500円[[#This Row],[キャンセル人数]]*$B$2),"")</f>
        <v/>
      </c>
      <c r="S1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4" s="15"/>
      <c r="U14" s="16" t="str">
        <f>IF(三ノ宮琥珀の泉3500円[[#This Row],[人数]]="","",VLOOKUP(三ノ宮琥珀の泉3500円[[#This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5" s="16" t="str">
        <f>IFERROR(($B$3*三ノ宮琥珀の泉4000円[[#This Row],[人数]])-三ノ宮琥珀の泉4000円[[#This Row],[単価合計]]-(三ノ宮琥珀の泉4000円[[#This Row],[キャンセル人数]]*$B$2),"")</f>
        <v/>
      </c>
      <c r="H1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5" s="15"/>
      <c r="J15" s="16" t="str">
        <f>IF(三ノ宮琥珀の泉4000円[[#This Row],[人数]]="","",VLOOKUP(三ノ宮琥珀の泉4000円[[#This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5" s="16" t="str">
        <f>IFERROR(($M$3*三ノ宮琥珀の泉3500円[[#This Row],[人数]])-三ノ宮琥珀の泉3500円[[#This Row],[単価合計]]-(三ノ宮琥珀の泉3500円[[#This Row],[キャンセル人数]]*$B$2),"")</f>
        <v/>
      </c>
      <c r="S1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5" s="15"/>
      <c r="U15" s="16" t="str">
        <f>IF(三ノ宮琥珀の泉3500円[[#This Row],[人数]]="","",VLOOKUP(三ノ宮琥珀の泉3500円[[#This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6" s="16" t="str">
        <f>IFERROR(($B$3*三ノ宮琥珀の泉4000円[[#This Row],[人数]])-三ノ宮琥珀の泉4000円[[#This Row],[単価合計]]-(三ノ宮琥珀の泉4000円[[#This Row],[キャンセル人数]]*$B$2),"")</f>
        <v/>
      </c>
      <c r="H1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6" s="15"/>
      <c r="J16" s="16" t="str">
        <f>IF(三ノ宮琥珀の泉4000円[[#This Row],[人数]]="","",VLOOKUP(三ノ宮琥珀の泉4000円[[#This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6" s="16" t="str">
        <f>IFERROR(($M$3*三ノ宮琥珀の泉3500円[[#This Row],[人数]])-三ノ宮琥珀の泉3500円[[#This Row],[単価合計]]-(三ノ宮琥珀の泉3500円[[#This Row],[キャンセル人数]]*$B$2),"")</f>
        <v/>
      </c>
      <c r="S1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6" s="15"/>
      <c r="U16" s="16" t="str">
        <f>IF(三ノ宮琥珀の泉3500円[[#This Row],[人数]]="","",VLOOKUP(三ノ宮琥珀の泉3500円[[#This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7" s="16" t="str">
        <f>IFERROR(($B$3*三ノ宮琥珀の泉4000円[[#This Row],[人数]])-三ノ宮琥珀の泉4000円[[#This Row],[単価合計]]-(三ノ宮琥珀の泉4000円[[#This Row],[キャンセル人数]]*$B$2),"")</f>
        <v/>
      </c>
      <c r="H1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7" s="15"/>
      <c r="J17" s="16" t="str">
        <f>IF(三ノ宮琥珀の泉4000円[[#This Row],[人数]]="","",VLOOKUP(三ノ宮琥珀の泉4000円[[#This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7" s="16" t="str">
        <f>IFERROR(($M$3*三ノ宮琥珀の泉3500円[[#This Row],[人数]])-三ノ宮琥珀の泉3500円[[#This Row],[単価合計]]-(三ノ宮琥珀の泉3500円[[#This Row],[キャンセル人数]]*$B$2),"")</f>
        <v/>
      </c>
      <c r="S1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7" s="15"/>
      <c r="U17" s="16" t="str">
        <f>IF(三ノ宮琥珀の泉3500円[[#This Row],[人数]]="","",VLOOKUP(三ノ宮琥珀の泉3500円[[#This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8" s="16" t="str">
        <f>IFERROR(($B$3*三ノ宮琥珀の泉4000円[[#This Row],[人数]])-三ノ宮琥珀の泉4000円[[#This Row],[単価合計]]-(三ノ宮琥珀の泉4000円[[#This Row],[キャンセル人数]]*$B$2),"")</f>
        <v/>
      </c>
      <c r="H1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8" s="15"/>
      <c r="J18" s="16" t="str">
        <f>IF(三ノ宮琥珀の泉4000円[[#This Row],[人数]]="","",VLOOKUP(三ノ宮琥珀の泉4000円[[#This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8" s="16" t="str">
        <f>IFERROR(($M$3*三ノ宮琥珀の泉3500円[[#This Row],[人数]])-三ノ宮琥珀の泉3500円[[#This Row],[単価合計]]-(三ノ宮琥珀の泉3500円[[#This Row],[キャンセル人数]]*$B$2),"")</f>
        <v/>
      </c>
      <c r="S1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8" s="15"/>
      <c r="U18" s="16" t="str">
        <f>IF(三ノ宮琥珀の泉3500円[[#This Row],[人数]]="","",VLOOKUP(三ノ宮琥珀の泉3500円[[#This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19" s="16" t="str">
        <f>IFERROR(($B$3*三ノ宮琥珀の泉4000円[[#This Row],[人数]])-三ノ宮琥珀の泉4000円[[#This Row],[単価合計]]-(三ノ宮琥珀の泉4000円[[#This Row],[キャンセル人数]]*$B$2),"")</f>
        <v/>
      </c>
      <c r="H1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19" s="15"/>
      <c r="J19" s="16" t="str">
        <f>IF(三ノ宮琥珀の泉4000円[[#This Row],[人数]]="","",VLOOKUP(三ノ宮琥珀の泉4000円[[#This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19" s="16" t="str">
        <f>IFERROR(($M$3*三ノ宮琥珀の泉3500円[[#This Row],[人数]])-三ノ宮琥珀の泉3500円[[#This Row],[単価合計]]-(三ノ宮琥珀の泉3500円[[#This Row],[キャンセル人数]]*$B$2),"")</f>
        <v/>
      </c>
      <c r="S1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19" s="15"/>
      <c r="U19" s="16" t="str">
        <f>IF(三ノ宮琥珀の泉3500円[[#This Row],[人数]]="","",VLOOKUP(三ノ宮琥珀の泉3500円[[#This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0" s="16" t="str">
        <f>IFERROR(($B$3*三ノ宮琥珀の泉4000円[[#This Row],[人数]])-三ノ宮琥珀の泉4000円[[#This Row],[単価合計]]-(三ノ宮琥珀の泉4000円[[#This Row],[キャンセル人数]]*$B$2),"")</f>
        <v/>
      </c>
      <c r="H2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0" s="15"/>
      <c r="J20" s="16" t="str">
        <f>IF(三ノ宮琥珀の泉4000円[[#This Row],[人数]]="","",VLOOKUP(三ノ宮琥珀の泉4000円[[#This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0" s="16" t="str">
        <f>IFERROR(($M$3*三ノ宮琥珀の泉3500円[[#This Row],[人数]])-三ノ宮琥珀の泉3500円[[#This Row],[単価合計]]-(三ノ宮琥珀の泉3500円[[#This Row],[キャンセル人数]]*$B$2),"")</f>
        <v/>
      </c>
      <c r="S2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0" s="15"/>
      <c r="U20" s="16" t="str">
        <f>IF(三ノ宮琥珀の泉3500円[[#This Row],[人数]]="","",VLOOKUP(三ノ宮琥珀の泉3500円[[#This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1" s="16" t="str">
        <f>IFERROR(($B$3*三ノ宮琥珀の泉4000円[[#This Row],[人数]])-三ノ宮琥珀の泉4000円[[#This Row],[単価合計]]-(三ノ宮琥珀の泉4000円[[#This Row],[キャンセル人数]]*$B$2),"")</f>
        <v/>
      </c>
      <c r="H2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1" s="15"/>
      <c r="J21" s="16" t="str">
        <f>IF(三ノ宮琥珀の泉4000円[[#This Row],[人数]]="","",VLOOKUP(三ノ宮琥珀の泉4000円[[#This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1" s="16" t="str">
        <f>IFERROR(($M$3*三ノ宮琥珀の泉3500円[[#This Row],[人数]])-三ノ宮琥珀の泉3500円[[#This Row],[単価合計]]-(三ノ宮琥珀の泉3500円[[#This Row],[キャンセル人数]]*$B$2),"")</f>
        <v/>
      </c>
      <c r="S2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1" s="15"/>
      <c r="U21" s="16" t="str">
        <f>IF(三ノ宮琥珀の泉3500円[[#This Row],[人数]]="","",VLOOKUP(三ノ宮琥珀の泉3500円[[#This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2" s="16" t="str">
        <f>IFERROR(($B$3*三ノ宮琥珀の泉4000円[[#This Row],[人数]])-三ノ宮琥珀の泉4000円[[#This Row],[単価合計]]-(三ノ宮琥珀の泉4000円[[#This Row],[キャンセル人数]]*$B$2),"")</f>
        <v/>
      </c>
      <c r="H2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2" s="15"/>
      <c r="J22" s="16" t="str">
        <f>IF(三ノ宮琥珀の泉4000円[[#This Row],[人数]]="","",VLOOKUP(三ノ宮琥珀の泉4000円[[#This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2" s="16" t="str">
        <f>IFERROR(($M$3*三ノ宮琥珀の泉3500円[[#This Row],[人数]])-三ノ宮琥珀の泉3500円[[#This Row],[単価合計]]-(三ノ宮琥珀の泉3500円[[#This Row],[キャンセル人数]]*$B$2),"")</f>
        <v/>
      </c>
      <c r="S2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2" s="15"/>
      <c r="U22" s="16" t="str">
        <f>IF(三ノ宮琥珀の泉3500円[[#This Row],[人数]]="","",VLOOKUP(三ノ宮琥珀の泉3500円[[#This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3" s="16" t="str">
        <f>IFERROR(($B$3*三ノ宮琥珀の泉4000円[[#This Row],[人数]])-三ノ宮琥珀の泉4000円[[#This Row],[単価合計]]-(三ノ宮琥珀の泉4000円[[#This Row],[キャンセル人数]]*$B$2),"")</f>
        <v/>
      </c>
      <c r="H2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3" s="15"/>
      <c r="J23" s="16" t="str">
        <f>IF(三ノ宮琥珀の泉4000円[[#This Row],[人数]]="","",VLOOKUP(三ノ宮琥珀の泉4000円[[#This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3" s="16" t="str">
        <f>IFERROR(($M$3*三ノ宮琥珀の泉3500円[[#This Row],[人数]])-三ノ宮琥珀の泉3500円[[#This Row],[単価合計]]-(三ノ宮琥珀の泉3500円[[#This Row],[キャンセル人数]]*$B$2),"")</f>
        <v/>
      </c>
      <c r="S2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3" s="15"/>
      <c r="U23" s="16" t="str">
        <f>IF(三ノ宮琥珀の泉3500円[[#This Row],[人数]]="","",VLOOKUP(三ノ宮琥珀の泉3500円[[#This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4" s="16" t="str">
        <f>IFERROR(($B$3*三ノ宮琥珀の泉4000円[[#This Row],[人数]])-三ノ宮琥珀の泉4000円[[#This Row],[単価合計]]-(三ノ宮琥珀の泉4000円[[#This Row],[キャンセル人数]]*$B$2),"")</f>
        <v/>
      </c>
      <c r="H2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4" s="15"/>
      <c r="J24" s="16" t="str">
        <f>IF(三ノ宮琥珀の泉4000円[[#This Row],[人数]]="","",VLOOKUP(三ノ宮琥珀の泉4000円[[#This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4" s="16" t="str">
        <f>IFERROR(($M$3*三ノ宮琥珀の泉3500円[[#This Row],[人数]])-三ノ宮琥珀の泉3500円[[#This Row],[単価合計]]-(三ノ宮琥珀の泉3500円[[#This Row],[キャンセル人数]]*$B$2),"")</f>
        <v/>
      </c>
      <c r="S2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4" s="15"/>
      <c r="U24" s="16" t="str">
        <f>IF(三ノ宮琥珀の泉3500円[[#This Row],[人数]]="","",VLOOKUP(三ノ宮琥珀の泉3500円[[#This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5" s="16" t="str">
        <f>IFERROR(($B$3*三ノ宮琥珀の泉4000円[[#This Row],[人数]])-三ノ宮琥珀の泉4000円[[#This Row],[単価合計]]-(三ノ宮琥珀の泉4000円[[#This Row],[キャンセル人数]]*$B$2),"")</f>
        <v/>
      </c>
      <c r="H2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5" s="15"/>
      <c r="J25" s="16" t="str">
        <f>IF(三ノ宮琥珀の泉4000円[[#This Row],[人数]]="","",VLOOKUP(三ノ宮琥珀の泉4000円[[#This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5" s="16" t="str">
        <f>IFERROR(($M$3*三ノ宮琥珀の泉3500円[[#This Row],[人数]])-三ノ宮琥珀の泉3500円[[#This Row],[単価合計]]-(三ノ宮琥珀の泉3500円[[#This Row],[キャンセル人数]]*$B$2),"")</f>
        <v/>
      </c>
      <c r="S2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5" s="15"/>
      <c r="U25" s="16" t="str">
        <f>IF(三ノ宮琥珀の泉3500円[[#This Row],[人数]]="","",VLOOKUP(三ノ宮琥珀の泉3500円[[#This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6" s="16" t="str">
        <f>IFERROR(($B$3*三ノ宮琥珀の泉4000円[[#This Row],[人数]])-三ノ宮琥珀の泉4000円[[#This Row],[単価合計]]-(三ノ宮琥珀の泉4000円[[#This Row],[キャンセル人数]]*$B$2),"")</f>
        <v/>
      </c>
      <c r="H26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6" s="15"/>
      <c r="J26" s="16" t="str">
        <f>IF(三ノ宮琥珀の泉4000円[[#This Row],[人数]]="","",VLOOKUP(三ノ宮琥珀の泉4000円[[#This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6" s="16" t="str">
        <f>IFERROR(($M$3*三ノ宮琥珀の泉3500円[[#This Row],[人数]])-三ノ宮琥珀の泉3500円[[#This Row],[単価合計]]-(三ノ宮琥珀の泉3500円[[#This Row],[キャンセル人数]]*$B$2),"")</f>
        <v/>
      </c>
      <c r="S26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6" s="15"/>
      <c r="U26" s="16" t="str">
        <f>IF(三ノ宮琥珀の泉3500円[[#This Row],[人数]]="","",VLOOKUP(三ノ宮琥珀の泉3500円[[#This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7" s="16" t="str">
        <f>IFERROR(($B$3*三ノ宮琥珀の泉4000円[[#This Row],[人数]])-三ノ宮琥珀の泉4000円[[#This Row],[単価合計]]-(三ノ宮琥珀の泉4000円[[#This Row],[キャンセル人数]]*$B$2),"")</f>
        <v/>
      </c>
      <c r="H27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7" s="15"/>
      <c r="J27" s="16" t="str">
        <f>IF(三ノ宮琥珀の泉4000円[[#This Row],[人数]]="","",VLOOKUP(三ノ宮琥珀の泉4000円[[#This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7" s="16" t="str">
        <f>IFERROR(($M$3*三ノ宮琥珀の泉3500円[[#This Row],[人数]])-三ノ宮琥珀の泉3500円[[#This Row],[単価合計]]-(三ノ宮琥珀の泉3500円[[#This Row],[キャンセル人数]]*$B$2),"")</f>
        <v/>
      </c>
      <c r="S27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7" s="15"/>
      <c r="U27" s="16" t="str">
        <f>IF(三ノ宮琥珀の泉3500円[[#This Row],[人数]]="","",VLOOKUP(三ノ宮琥珀の泉3500円[[#This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8" s="16" t="str">
        <f>IFERROR(($B$3*三ノ宮琥珀の泉4000円[[#This Row],[人数]])-三ノ宮琥珀の泉4000円[[#This Row],[単価合計]]-(三ノ宮琥珀の泉4000円[[#This Row],[キャンセル人数]]*$B$2),"")</f>
        <v/>
      </c>
      <c r="H28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8" s="15"/>
      <c r="J28" s="16" t="str">
        <f>IF(三ノ宮琥珀の泉4000円[[#This Row],[人数]]="","",VLOOKUP(三ノ宮琥珀の泉4000円[[#This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8" s="16" t="str">
        <f>IFERROR(($M$3*三ノ宮琥珀の泉3500円[[#This Row],[人数]])-三ノ宮琥珀の泉3500円[[#This Row],[単価合計]]-(三ノ宮琥珀の泉3500円[[#This Row],[キャンセル人数]]*$B$2),"")</f>
        <v/>
      </c>
      <c r="S28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8" s="15"/>
      <c r="U28" s="16" t="str">
        <f>IF(三ノ宮琥珀の泉3500円[[#This Row],[人数]]="","",VLOOKUP(三ノ宮琥珀の泉3500円[[#This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29" s="16" t="str">
        <f>IFERROR(($B$3*三ノ宮琥珀の泉4000円[[#This Row],[人数]])-三ノ宮琥珀の泉4000円[[#This Row],[単価合計]]-(三ノ宮琥珀の泉4000円[[#This Row],[キャンセル人数]]*$B$2),"")</f>
        <v/>
      </c>
      <c r="H29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29" s="15"/>
      <c r="J29" s="16" t="str">
        <f>IF(三ノ宮琥珀の泉4000円[[#This Row],[人数]]="","",VLOOKUP(三ノ宮琥珀の泉4000円[[#This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29" s="16" t="str">
        <f>IFERROR(($M$3*三ノ宮琥珀の泉3500円[[#This Row],[人数]])-三ノ宮琥珀の泉3500円[[#This Row],[単価合計]]-(三ノ宮琥珀の泉3500円[[#This Row],[キャンセル人数]]*$B$2),"")</f>
        <v/>
      </c>
      <c r="S29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29" s="15"/>
      <c r="U29" s="16" t="str">
        <f>IF(三ノ宮琥珀の泉3500円[[#This Row],[人数]]="","",VLOOKUP(三ノ宮琥珀の泉3500円[[#This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0" s="16" t="str">
        <f>IFERROR(($B$3*三ノ宮琥珀の泉4000円[[#This Row],[人数]])-三ノ宮琥珀の泉4000円[[#This Row],[単価合計]]-(三ノ宮琥珀の泉4000円[[#This Row],[キャンセル人数]]*$B$2),"")</f>
        <v/>
      </c>
      <c r="H30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0" s="15"/>
      <c r="J30" s="16" t="str">
        <f>IF(三ノ宮琥珀の泉4000円[[#This Row],[人数]]="","",VLOOKUP(三ノ宮琥珀の泉4000円[[#This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0" s="16" t="str">
        <f>IFERROR(($M$3*三ノ宮琥珀の泉3500円[[#This Row],[人数]])-三ノ宮琥珀の泉3500円[[#This Row],[単価合計]]-(三ノ宮琥珀の泉3500円[[#This Row],[キャンセル人数]]*$B$2),"")</f>
        <v/>
      </c>
      <c r="S30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0" s="15"/>
      <c r="U30" s="16" t="str">
        <f>IF(三ノ宮琥珀の泉3500円[[#This Row],[人数]]="","",VLOOKUP(三ノ宮琥珀の泉3500円[[#This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1" s="16" t="str">
        <f>IFERROR(($B$3*三ノ宮琥珀の泉4000円[[#This Row],[人数]])-三ノ宮琥珀の泉4000円[[#This Row],[単価合計]]-(三ノ宮琥珀の泉4000円[[#This Row],[キャンセル人数]]*$B$2),"")</f>
        <v/>
      </c>
      <c r="H31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1" s="15"/>
      <c r="J31" s="16" t="str">
        <f>IF(三ノ宮琥珀の泉4000円[[#This Row],[人数]]="","",VLOOKUP(三ノ宮琥珀の泉4000円[[#This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1" s="16" t="str">
        <f>IFERROR(($M$3*三ノ宮琥珀の泉3500円[[#This Row],[人数]])-三ノ宮琥珀の泉3500円[[#This Row],[単価合計]]-(三ノ宮琥珀の泉3500円[[#This Row],[キャンセル人数]]*$B$2),"")</f>
        <v/>
      </c>
      <c r="S31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1" s="15"/>
      <c r="U31" s="16" t="str">
        <f>IF(三ノ宮琥珀の泉3500円[[#This Row],[人数]]="","",VLOOKUP(三ノ宮琥珀の泉3500円[[#This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2" s="16" t="str">
        <f>IFERROR(($B$3*三ノ宮琥珀の泉4000円[[#This Row],[人数]])-三ノ宮琥珀の泉4000円[[#This Row],[単価合計]]-(三ノ宮琥珀の泉4000円[[#This Row],[キャンセル人数]]*$B$2),"")</f>
        <v/>
      </c>
      <c r="H32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2" s="15"/>
      <c r="J32" s="16" t="str">
        <f>IF(三ノ宮琥珀の泉4000円[[#This Row],[人数]]="","",VLOOKUP(三ノ宮琥珀の泉4000円[[#This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2" s="16" t="str">
        <f>IFERROR(($M$3*三ノ宮琥珀の泉3500円[[#This Row],[人数]])-三ノ宮琥珀の泉3500円[[#This Row],[単価合計]]-(三ノ宮琥珀の泉3500円[[#This Row],[キャンセル人数]]*$B$2),"")</f>
        <v/>
      </c>
      <c r="S32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2" s="15"/>
      <c r="U32" s="16" t="str">
        <f>IF(三ノ宮琥珀の泉3500円[[#This Row],[人数]]="","",VLOOKUP(三ノ宮琥珀の泉3500円[[#This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3" s="16" t="str">
        <f>IFERROR(($B$3*三ノ宮琥珀の泉4000円[[#This Row],[人数]])-三ノ宮琥珀の泉4000円[[#This Row],[単価合計]]-(三ノ宮琥珀の泉4000円[[#This Row],[キャンセル人数]]*$B$2),"")</f>
        <v/>
      </c>
      <c r="H33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3" s="15"/>
      <c r="J33" s="16" t="str">
        <f>IF(三ノ宮琥珀の泉4000円[[#This Row],[人数]]="","",VLOOKUP(三ノ宮琥珀の泉4000円[[#This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3" s="16" t="str">
        <f>IFERROR(($M$3*三ノ宮琥珀の泉3500円[[#This Row],[人数]])-三ノ宮琥珀の泉3500円[[#This Row],[単価合計]]-(三ノ宮琥珀の泉3500円[[#This Row],[キャンセル人数]]*$B$2),"")</f>
        <v/>
      </c>
      <c r="S33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3" s="15"/>
      <c r="U33" s="16" t="str">
        <f>IF(三ノ宮琥珀の泉3500円[[#This Row],[人数]]="","",VLOOKUP(三ノ宮琥珀の泉3500円[[#This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4" s="16" t="str">
        <f>IFERROR(($B$3*三ノ宮琥珀の泉4000円[[#This Row],[人数]])-三ノ宮琥珀の泉4000円[[#This Row],[単価合計]]-(三ノ宮琥珀の泉4000円[[#This Row],[キャンセル人数]]*$B$2),"")</f>
        <v/>
      </c>
      <c r="H34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4" s="15"/>
      <c r="J34" s="16" t="str">
        <f>IF(三ノ宮琥珀の泉4000円[[#This Row],[人数]]="","",VLOOKUP(三ノ宮琥珀の泉4000円[[#This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4" s="16" t="str">
        <f>IFERROR(($M$3*三ノ宮琥珀の泉3500円[[#This Row],[人数]])-三ノ宮琥珀の泉3500円[[#This Row],[単価合計]]-(三ノ宮琥珀の泉3500円[[#This Row],[キャンセル人数]]*$B$2),"")</f>
        <v/>
      </c>
      <c r="S34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4" s="15"/>
      <c r="U34" s="16" t="str">
        <f>IF(三ノ宮琥珀の泉3500円[[#This Row],[人数]]="","",VLOOKUP(三ノ宮琥珀の泉3500円[[#This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IF(三ノ宮琥珀の泉4000円[[#This Row],[人数]]="","",IF(三ノ宮琥珀の泉4000円[[#This Row],[人数]]&lt;=7,$B$1*三ノ宮琥珀の泉4000円[[#This Row],[人数]],$B$1*三ノ宮琥珀の泉4000円[[#This Row],[人数]]-三ノ宮琥珀の泉4000円[[#This Row],[幹事無料]]))</f>
        <v/>
      </c>
      <c r="G35" s="16" t="str">
        <f>IFERROR(($B$3*三ノ宮琥珀の泉4000円[[#This Row],[人数]])-三ノ宮琥珀の泉4000円[[#This Row],[単価合計]]-(三ノ宮琥珀の泉4000円[[#This Row],[キャンセル人数]]*$B$2),"")</f>
        <v/>
      </c>
      <c r="H35" s="16" t="str">
        <f>IF(三ノ宮琥珀の泉4000円[[#This Row],[人数]]=0,"",IF(三ノ宮琥珀の泉4000円[[#This Row],[人数]]&lt;=7,"",IF(三ノ宮琥珀の泉4000円[[#This Row],[人数]]&lt;=15,$B$1,IF(三ノ宮琥珀の泉4000円[[#This Row],[人数]]&lt;=23,$B$1*2,IF(三ノ宮琥珀の泉4000円[[#This Row],[人数]]&lt;=31,$B$1*3,IF(三ノ宮琥珀の泉4000円[[#This Row],[人数]]&lt;=39,$B$1*4,""))))))</f>
        <v/>
      </c>
      <c r="I35" s="19"/>
      <c r="J35" s="16" t="str">
        <f>IF(三ノ宮琥珀の泉4000円[[#This Row],[人数]]="","",VLOOKUP(三ノ宮琥珀の泉4000円[[#This Row],[人数]],バック金額②[#All],2,TRUE))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IF(三ノ宮琥珀の泉3500円[[#This Row],[人数]]="","",IF(三ノ宮琥珀の泉3500円[[#This Row],[人数]]&lt;=7,$B$1*三ノ宮琥珀の泉3500円[[#This Row],[人数]],$B$1*三ノ宮琥珀の泉3500円[[#This Row],[人数]]-三ノ宮琥珀の泉3500円[[#This Row],[幹事無料]]))</f>
        <v/>
      </c>
      <c r="R35" s="16" t="str">
        <f>IFERROR(($M$3*三ノ宮琥珀の泉3500円[[#This Row],[人数]])-三ノ宮琥珀の泉3500円[[#This Row],[単価合計]]-(三ノ宮琥珀の泉3500円[[#This Row],[キャンセル人数]]*$B$2),"")</f>
        <v/>
      </c>
      <c r="S35" s="16" t="str">
        <f>IF(三ノ宮琥珀の泉3500円[[#This Row],[人数]]=0,"",IF(三ノ宮琥珀の泉3500円[[#This Row],[人数]]&lt;=7,"",IF(三ノ宮琥珀の泉3500円[[#This Row],[人数]]&lt;=15,$B$1,IF(三ノ宮琥珀の泉3500円[[#This Row],[人数]]&lt;=23,$B$1*2,IF(三ノ宮琥珀の泉3500円[[#This Row],[人数]]&lt;=31,$B$1*3,IF(三ノ宮琥珀の泉3500円[[#This Row],[人数]]&lt;=39,$B$1*4,""))))))</f>
        <v/>
      </c>
      <c r="T35" s="19"/>
      <c r="U35" s="16" t="str">
        <f>IF(三ノ宮琥珀の泉3500円[[#This Row],[人数]]="","",VLOOKUP(三ノ宮琥珀の泉3500円[[#This Row],[人数]],バック金額②[#All],2,TRUE))</f>
        <v/>
      </c>
    </row>
    <row r="36" spans="1:21">
      <c r="A36" s="64" t="s">
        <v>323</v>
      </c>
      <c r="B36" s="7">
        <f>SUM(三ノ宮琥珀の泉4000円[[#All],[件数]])</f>
        <v>0</v>
      </c>
      <c r="C36" s="6"/>
      <c r="D36" s="7">
        <f>SUM(三ノ宮琥珀の泉4000円[[#All],[人数]])</f>
        <v>0</v>
      </c>
      <c r="E36" s="7">
        <f>SUM(三ノ宮琥珀の泉4000円[[#All],[Aパターン]])</f>
        <v>0</v>
      </c>
      <c r="F36" s="7">
        <f>SUM(三ノ宮琥珀の泉4000円[[#All],[単価合計]])</f>
        <v>0</v>
      </c>
      <c r="G36" s="7">
        <f>SUM(三ノ宮琥珀の泉4000円[[#All],[ゆうき取りに行く]])</f>
        <v>0</v>
      </c>
      <c r="H36" s="7"/>
      <c r="I36" s="7"/>
      <c r="J36" s="7">
        <f>SUM(三ノ宮琥珀の泉4000円[[#All],[イベンターへ]])</f>
        <v>0</v>
      </c>
      <c r="L36" s="64" t="s">
        <v>323</v>
      </c>
      <c r="M36" s="7">
        <f>SUM(三ノ宮琥珀の泉3500円[[#All],[件数]])</f>
        <v>0</v>
      </c>
      <c r="N36" s="6"/>
      <c r="O36" s="7">
        <f>SUM(三ノ宮琥珀の泉3500円[[#All],[人数]])</f>
        <v>0</v>
      </c>
      <c r="P36" s="7">
        <f>SUM(三ノ宮琥珀の泉3500円[[#All],[Aパターン]])</f>
        <v>0</v>
      </c>
      <c r="Q36" s="7">
        <f>SUM(三ノ宮琥珀の泉3500円[[#All],[単価合計]])</f>
        <v>0</v>
      </c>
      <c r="R36" s="7">
        <f>SUM(三ノ宮琥珀の泉3500円[[#All],[ゆうき取りに行く]])</f>
        <v>0</v>
      </c>
      <c r="S36" s="7"/>
      <c r="T36" s="7"/>
      <c r="U36" s="7">
        <f>SUM(三ノ宮琥珀の泉3500円[[#All],[イベンターへ]])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6577A-53F2-4C5F-A8AA-BA35B6D846EA}">
  <sheetPr codeName="Sheet23"/>
  <dimension ref="A1:U36"/>
  <sheetViews>
    <sheetView zoomScale="69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33203125" style="8" customWidth="1"/>
    <col min="4" max="4" width="6.33203125" style="8" customWidth="1"/>
    <col min="5" max="5" width="12.77734375" style="8" bestFit="1" customWidth="1"/>
    <col min="6" max="6" width="11.8867187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33203125" style="8" customWidth="1"/>
    <col min="15" max="15" width="6.33203125" style="8" customWidth="1"/>
    <col min="16" max="16" width="12.77734375" style="8" bestFit="1" customWidth="1"/>
    <col min="17" max="17" width="11.109375" style="9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255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5" s="16" t="str">
        <f>IFERROR(($B$3*三ノ宮旬家4000円[[#This Row],[人数]])-三ノ宮旬家4000円[[#This Row],[単価合計]]-(三ノ宮旬家4000円[[#This Row],[キャンセル人数]]*$B$2),"")</f>
        <v/>
      </c>
      <c r="H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5" s="15"/>
      <c r="J5" s="16" t="str">
        <f>IF(三ノ宮旬家4000円[[#This Row],[人数]]="","",VLOOKUP(三ノ宮旬家4000円[[#This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5" s="16" t="str">
        <f>IFERROR(($M$3*三ノ宮旬家3500円[[#This Row],[人数]])-三ノ宮旬家3500円[[#This Row],[単価合計]]-(三ノ宮旬家3500円[[#This Row],[キャンセル人数]]*$B$2),"")</f>
        <v/>
      </c>
      <c r="S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5" s="15"/>
      <c r="U5" s="16" t="str">
        <f>IF(三ノ宮旬家3500円[[#This Row],[人数]]="","",VLOOKUP(三ノ宮旬家3500円[[#This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6" s="16" t="str">
        <f>IFERROR(($B$3*三ノ宮旬家4000円[[#This Row],[人数]])-三ノ宮旬家4000円[[#This Row],[単価合計]]-(三ノ宮旬家4000円[[#This Row],[キャンセル人数]]*$B$2),"")</f>
        <v/>
      </c>
      <c r="H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6" s="15"/>
      <c r="J6" s="16" t="str">
        <f>IF(三ノ宮旬家4000円[[#This Row],[人数]]="","",VLOOKUP(三ノ宮旬家4000円[[#This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6" s="16" t="str">
        <f>IFERROR(($M$3*三ノ宮旬家3500円[[#This Row],[人数]])-三ノ宮旬家3500円[[#This Row],[単価合計]]-(三ノ宮旬家3500円[[#This Row],[キャンセル人数]]*$B$2),"")</f>
        <v/>
      </c>
      <c r="S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6" s="15"/>
      <c r="U6" s="16" t="str">
        <f>IF(三ノ宮旬家3500円[[#This Row],[人数]]="","",VLOOKUP(三ノ宮旬家3500円[[#This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7" s="16" t="str">
        <f>IFERROR(($B$3*三ノ宮旬家4000円[[#This Row],[人数]])-三ノ宮旬家4000円[[#This Row],[単価合計]]-(三ノ宮旬家4000円[[#This Row],[キャンセル人数]]*$B$2),"")</f>
        <v/>
      </c>
      <c r="H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7" s="15"/>
      <c r="J7" s="16" t="str">
        <f>IF(三ノ宮旬家4000円[[#This Row],[人数]]="","",VLOOKUP(三ノ宮旬家4000円[[#This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7" s="16" t="str">
        <f>IFERROR(($M$3*三ノ宮旬家3500円[[#This Row],[人数]])-三ノ宮旬家3500円[[#This Row],[単価合計]]-(三ノ宮旬家3500円[[#This Row],[キャンセル人数]]*$B$2),"")</f>
        <v/>
      </c>
      <c r="S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7" s="15"/>
      <c r="U7" s="16" t="str">
        <f>IF(三ノ宮旬家3500円[[#This Row],[人数]]="","",VLOOKUP(三ノ宮旬家3500円[[#This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8" s="16" t="str">
        <f>IFERROR(($B$3*三ノ宮旬家4000円[[#This Row],[人数]])-三ノ宮旬家4000円[[#This Row],[単価合計]]-(三ノ宮旬家4000円[[#This Row],[キャンセル人数]]*$B$2),"")</f>
        <v/>
      </c>
      <c r="H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8" s="15"/>
      <c r="J8" s="16" t="str">
        <f>IF(三ノ宮旬家4000円[[#This Row],[人数]]="","",VLOOKUP(三ノ宮旬家4000円[[#This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8" s="16" t="str">
        <f>IFERROR(($M$3*三ノ宮旬家3500円[[#This Row],[人数]])-三ノ宮旬家3500円[[#This Row],[単価合計]]-(三ノ宮旬家3500円[[#This Row],[キャンセル人数]]*$B$2),"")</f>
        <v/>
      </c>
      <c r="S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8" s="15"/>
      <c r="U8" s="16" t="str">
        <f>IF(三ノ宮旬家3500円[[#This Row],[人数]]="","",VLOOKUP(三ノ宮旬家3500円[[#This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9" s="16" t="str">
        <f>IFERROR(($B$3*三ノ宮旬家4000円[[#This Row],[人数]])-三ノ宮旬家4000円[[#This Row],[単価合計]]-(三ノ宮旬家4000円[[#This Row],[キャンセル人数]]*$B$2),"")</f>
        <v/>
      </c>
      <c r="H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9" s="15"/>
      <c r="J9" s="16" t="str">
        <f>IF(三ノ宮旬家4000円[[#This Row],[人数]]="","",VLOOKUP(三ノ宮旬家4000円[[#This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9" s="16" t="str">
        <f>IFERROR(($M$3*三ノ宮旬家3500円[[#This Row],[人数]])-三ノ宮旬家3500円[[#This Row],[単価合計]]-(三ノ宮旬家3500円[[#This Row],[キャンセル人数]]*$B$2),"")</f>
        <v/>
      </c>
      <c r="S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9" s="15"/>
      <c r="U9" s="16" t="str">
        <f>IF(三ノ宮旬家3500円[[#This Row],[人数]]="","",VLOOKUP(三ノ宮旬家3500円[[#This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0" s="16" t="str">
        <f>IFERROR(($B$3*三ノ宮旬家4000円[[#This Row],[人数]])-三ノ宮旬家4000円[[#This Row],[単価合計]]-(三ノ宮旬家4000円[[#This Row],[キャンセル人数]]*$B$2),"")</f>
        <v/>
      </c>
      <c r="H1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0" s="15"/>
      <c r="J10" s="16" t="str">
        <f>IF(三ノ宮旬家4000円[[#This Row],[人数]]="","",VLOOKUP(三ノ宮旬家4000円[[#This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0" s="16" t="str">
        <f>IFERROR(($M$3*三ノ宮旬家3500円[[#This Row],[人数]])-三ノ宮旬家3500円[[#This Row],[単価合計]]-(三ノ宮旬家3500円[[#This Row],[キャンセル人数]]*$B$2),"")</f>
        <v/>
      </c>
      <c r="S1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0" s="15"/>
      <c r="U10" s="16" t="str">
        <f>IF(三ノ宮旬家3500円[[#This Row],[人数]]="","",VLOOKUP(三ノ宮旬家3500円[[#This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1" s="16" t="str">
        <f>IFERROR(($B$3*三ノ宮旬家4000円[[#This Row],[人数]])-三ノ宮旬家4000円[[#This Row],[単価合計]]-(三ノ宮旬家4000円[[#This Row],[キャンセル人数]]*$B$2),"")</f>
        <v/>
      </c>
      <c r="H1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1" s="15"/>
      <c r="J11" s="16" t="str">
        <f>IF(三ノ宮旬家4000円[[#This Row],[人数]]="","",VLOOKUP(三ノ宮旬家4000円[[#This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1" s="16" t="str">
        <f>IFERROR(($M$3*三ノ宮旬家3500円[[#This Row],[人数]])-三ノ宮旬家3500円[[#This Row],[単価合計]]-(三ノ宮旬家3500円[[#This Row],[キャンセル人数]]*$B$2),"")</f>
        <v/>
      </c>
      <c r="S1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1" s="15"/>
      <c r="U11" s="16" t="str">
        <f>IF(三ノ宮旬家3500円[[#This Row],[人数]]="","",VLOOKUP(三ノ宮旬家3500円[[#This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2" s="16" t="str">
        <f>IFERROR(($B$3*三ノ宮旬家4000円[[#This Row],[人数]])-三ノ宮旬家4000円[[#This Row],[単価合計]]-(三ノ宮旬家4000円[[#This Row],[キャンセル人数]]*$B$2),"")</f>
        <v/>
      </c>
      <c r="H1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2" s="15"/>
      <c r="J12" s="16" t="str">
        <f>IF(三ノ宮旬家4000円[[#This Row],[人数]]="","",VLOOKUP(三ノ宮旬家4000円[[#This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2" s="16" t="str">
        <f>IFERROR(($M$3*三ノ宮旬家3500円[[#This Row],[人数]])-三ノ宮旬家3500円[[#This Row],[単価合計]]-(三ノ宮旬家3500円[[#This Row],[キャンセル人数]]*$B$2),"")</f>
        <v/>
      </c>
      <c r="S1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2" s="15"/>
      <c r="U12" s="16" t="str">
        <f>IF(三ノ宮旬家3500円[[#This Row],[人数]]="","",VLOOKUP(三ノ宮旬家3500円[[#This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3" s="16" t="str">
        <f>IFERROR(($B$3*三ノ宮旬家4000円[[#This Row],[人数]])-三ノ宮旬家4000円[[#This Row],[単価合計]]-(三ノ宮旬家4000円[[#This Row],[キャンセル人数]]*$B$2),"")</f>
        <v/>
      </c>
      <c r="H1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3" s="15"/>
      <c r="J13" s="16" t="str">
        <f>IF(三ノ宮旬家4000円[[#This Row],[人数]]="","",VLOOKUP(三ノ宮旬家4000円[[#This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3" s="16" t="str">
        <f>IFERROR(($M$3*三ノ宮旬家3500円[[#This Row],[人数]])-三ノ宮旬家3500円[[#This Row],[単価合計]]-(三ノ宮旬家3500円[[#This Row],[キャンセル人数]]*$B$2),"")</f>
        <v/>
      </c>
      <c r="S1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3" s="15"/>
      <c r="U13" s="16" t="str">
        <f>IF(三ノ宮旬家3500円[[#This Row],[人数]]="","",VLOOKUP(三ノ宮旬家3500円[[#This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4" s="16" t="str">
        <f>IFERROR(($B$3*三ノ宮旬家4000円[[#This Row],[人数]])-三ノ宮旬家4000円[[#This Row],[単価合計]]-(三ノ宮旬家4000円[[#This Row],[キャンセル人数]]*$B$2),"")</f>
        <v/>
      </c>
      <c r="H1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4" s="15"/>
      <c r="J14" s="16" t="str">
        <f>IF(三ノ宮旬家4000円[[#This Row],[人数]]="","",VLOOKUP(三ノ宮旬家4000円[[#This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4" s="16" t="str">
        <f>IFERROR(($M$3*三ノ宮旬家3500円[[#This Row],[人数]])-三ノ宮旬家3500円[[#This Row],[単価合計]]-(三ノ宮旬家3500円[[#This Row],[キャンセル人数]]*$B$2),"")</f>
        <v/>
      </c>
      <c r="S1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4" s="15"/>
      <c r="U14" s="16" t="str">
        <f>IF(三ノ宮旬家3500円[[#This Row],[人数]]="","",VLOOKUP(三ノ宮旬家3500円[[#This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5" s="16" t="str">
        <f>IFERROR(($B$3*三ノ宮旬家4000円[[#This Row],[人数]])-三ノ宮旬家4000円[[#This Row],[単価合計]]-(三ノ宮旬家4000円[[#This Row],[キャンセル人数]]*$B$2),"")</f>
        <v/>
      </c>
      <c r="H1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5" s="15"/>
      <c r="J15" s="16" t="str">
        <f>IF(三ノ宮旬家4000円[[#This Row],[人数]]="","",VLOOKUP(三ノ宮旬家4000円[[#This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5" s="16" t="str">
        <f>IFERROR(($M$3*三ノ宮旬家3500円[[#This Row],[人数]])-三ノ宮旬家3500円[[#This Row],[単価合計]]-(三ノ宮旬家3500円[[#This Row],[キャンセル人数]]*$B$2),"")</f>
        <v/>
      </c>
      <c r="S1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5" s="15"/>
      <c r="U15" s="16" t="str">
        <f>IF(三ノ宮旬家3500円[[#This Row],[人数]]="","",VLOOKUP(三ノ宮旬家3500円[[#This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6" s="16" t="str">
        <f>IFERROR(($B$3*三ノ宮旬家4000円[[#This Row],[人数]])-三ノ宮旬家4000円[[#This Row],[単価合計]]-(三ノ宮旬家4000円[[#This Row],[キャンセル人数]]*$B$2),"")</f>
        <v/>
      </c>
      <c r="H1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6" s="15"/>
      <c r="J16" s="16" t="str">
        <f>IF(三ノ宮旬家4000円[[#This Row],[人数]]="","",VLOOKUP(三ノ宮旬家4000円[[#This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6" s="16" t="str">
        <f>IFERROR(($M$3*三ノ宮旬家3500円[[#This Row],[人数]])-三ノ宮旬家3500円[[#This Row],[単価合計]]-(三ノ宮旬家3500円[[#This Row],[キャンセル人数]]*$B$2),"")</f>
        <v/>
      </c>
      <c r="S1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6" s="15"/>
      <c r="U16" s="16" t="str">
        <f>IF(三ノ宮旬家3500円[[#This Row],[人数]]="","",VLOOKUP(三ノ宮旬家3500円[[#This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7" s="16" t="str">
        <f>IFERROR(($B$3*三ノ宮旬家4000円[[#This Row],[人数]])-三ノ宮旬家4000円[[#This Row],[単価合計]]-(三ノ宮旬家4000円[[#This Row],[キャンセル人数]]*$B$2),"")</f>
        <v/>
      </c>
      <c r="H1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7" s="15"/>
      <c r="J17" s="16" t="str">
        <f>IF(三ノ宮旬家4000円[[#This Row],[人数]]="","",VLOOKUP(三ノ宮旬家4000円[[#This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7" s="16" t="str">
        <f>IFERROR(($M$3*三ノ宮旬家3500円[[#This Row],[人数]])-三ノ宮旬家3500円[[#This Row],[単価合計]]-(三ノ宮旬家3500円[[#This Row],[キャンセル人数]]*$B$2),"")</f>
        <v/>
      </c>
      <c r="S1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7" s="15"/>
      <c r="U17" s="16" t="str">
        <f>IF(三ノ宮旬家3500円[[#This Row],[人数]]="","",VLOOKUP(三ノ宮旬家3500円[[#This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8" s="16" t="str">
        <f>IFERROR(($B$3*三ノ宮旬家4000円[[#This Row],[人数]])-三ノ宮旬家4000円[[#This Row],[単価合計]]-(三ノ宮旬家4000円[[#This Row],[キャンセル人数]]*$B$2),"")</f>
        <v/>
      </c>
      <c r="H1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8" s="15"/>
      <c r="J18" s="16" t="str">
        <f>IF(三ノ宮旬家4000円[[#This Row],[人数]]="","",VLOOKUP(三ノ宮旬家4000円[[#This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8" s="16" t="str">
        <f>IFERROR(($M$3*三ノ宮旬家3500円[[#This Row],[人数]])-三ノ宮旬家3500円[[#This Row],[単価合計]]-(三ノ宮旬家3500円[[#This Row],[キャンセル人数]]*$B$2),"")</f>
        <v/>
      </c>
      <c r="S1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8" s="15"/>
      <c r="U18" s="16" t="str">
        <f>IF(三ノ宮旬家3500円[[#This Row],[人数]]="","",VLOOKUP(三ノ宮旬家3500円[[#This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19" s="16" t="str">
        <f>IFERROR(($B$3*三ノ宮旬家4000円[[#This Row],[人数]])-三ノ宮旬家4000円[[#This Row],[単価合計]]-(三ノ宮旬家4000円[[#This Row],[キャンセル人数]]*$B$2),"")</f>
        <v/>
      </c>
      <c r="H1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19" s="15"/>
      <c r="J19" s="16" t="str">
        <f>IF(三ノ宮旬家4000円[[#This Row],[人数]]="","",VLOOKUP(三ノ宮旬家4000円[[#This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19" s="16" t="str">
        <f>IFERROR(($M$3*三ノ宮旬家3500円[[#This Row],[人数]])-三ノ宮旬家3500円[[#This Row],[単価合計]]-(三ノ宮旬家3500円[[#This Row],[キャンセル人数]]*$B$2),"")</f>
        <v/>
      </c>
      <c r="S1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19" s="15"/>
      <c r="U19" s="16" t="str">
        <f>IF(三ノ宮旬家3500円[[#This Row],[人数]]="","",VLOOKUP(三ノ宮旬家3500円[[#This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0" s="16" t="str">
        <f>IFERROR(($B$3*三ノ宮旬家4000円[[#This Row],[人数]])-三ノ宮旬家4000円[[#This Row],[単価合計]]-(三ノ宮旬家4000円[[#This Row],[キャンセル人数]]*$B$2),"")</f>
        <v/>
      </c>
      <c r="H2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0" s="15"/>
      <c r="J20" s="16" t="str">
        <f>IF(三ノ宮旬家4000円[[#This Row],[人数]]="","",VLOOKUP(三ノ宮旬家4000円[[#This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0" s="16" t="str">
        <f>IFERROR(($M$3*三ノ宮旬家3500円[[#This Row],[人数]])-三ノ宮旬家3500円[[#This Row],[単価合計]]-(三ノ宮旬家3500円[[#This Row],[キャンセル人数]]*$B$2),"")</f>
        <v/>
      </c>
      <c r="S2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0" s="15"/>
      <c r="U20" s="16" t="str">
        <f>IF(三ノ宮旬家3500円[[#This Row],[人数]]="","",VLOOKUP(三ノ宮旬家3500円[[#This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1" s="16" t="str">
        <f>IFERROR(($B$3*三ノ宮旬家4000円[[#This Row],[人数]])-三ノ宮旬家4000円[[#This Row],[単価合計]]-(三ノ宮旬家4000円[[#This Row],[キャンセル人数]]*$B$2),"")</f>
        <v/>
      </c>
      <c r="H2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1" s="15"/>
      <c r="J21" s="16" t="str">
        <f>IF(三ノ宮旬家4000円[[#This Row],[人数]]="","",VLOOKUP(三ノ宮旬家4000円[[#This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1" s="16" t="str">
        <f>IFERROR(($M$3*三ノ宮旬家3500円[[#This Row],[人数]])-三ノ宮旬家3500円[[#This Row],[単価合計]]-(三ノ宮旬家3500円[[#This Row],[キャンセル人数]]*$B$2),"")</f>
        <v/>
      </c>
      <c r="S2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1" s="15"/>
      <c r="U21" s="16" t="str">
        <f>IF(三ノ宮旬家3500円[[#This Row],[人数]]="","",VLOOKUP(三ノ宮旬家3500円[[#This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2" s="16" t="str">
        <f>IFERROR(($B$3*三ノ宮旬家4000円[[#This Row],[人数]])-三ノ宮旬家4000円[[#This Row],[単価合計]]-(三ノ宮旬家4000円[[#This Row],[キャンセル人数]]*$B$2),"")</f>
        <v/>
      </c>
      <c r="H2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2" s="15"/>
      <c r="J22" s="16" t="str">
        <f>IF(三ノ宮旬家4000円[[#This Row],[人数]]="","",VLOOKUP(三ノ宮旬家4000円[[#This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2" s="16" t="str">
        <f>IFERROR(($M$3*三ノ宮旬家3500円[[#This Row],[人数]])-三ノ宮旬家3500円[[#This Row],[単価合計]]-(三ノ宮旬家3500円[[#This Row],[キャンセル人数]]*$B$2),"")</f>
        <v/>
      </c>
      <c r="S2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2" s="15"/>
      <c r="U22" s="16" t="str">
        <f>IF(三ノ宮旬家3500円[[#This Row],[人数]]="","",VLOOKUP(三ノ宮旬家3500円[[#This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3" s="16" t="str">
        <f>IFERROR(($B$3*三ノ宮旬家4000円[[#This Row],[人数]])-三ノ宮旬家4000円[[#This Row],[単価合計]]-(三ノ宮旬家4000円[[#This Row],[キャンセル人数]]*$B$2),"")</f>
        <v/>
      </c>
      <c r="H2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3" s="15"/>
      <c r="J23" s="16" t="str">
        <f>IF(三ノ宮旬家4000円[[#This Row],[人数]]="","",VLOOKUP(三ノ宮旬家4000円[[#This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3" s="16" t="str">
        <f>IFERROR(($M$3*三ノ宮旬家3500円[[#This Row],[人数]])-三ノ宮旬家3500円[[#This Row],[単価合計]]-(三ノ宮旬家3500円[[#This Row],[キャンセル人数]]*$B$2),"")</f>
        <v/>
      </c>
      <c r="S2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3" s="15"/>
      <c r="U23" s="16" t="str">
        <f>IF(三ノ宮旬家3500円[[#This Row],[人数]]="","",VLOOKUP(三ノ宮旬家3500円[[#This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4" s="16" t="str">
        <f>IFERROR(($B$3*三ノ宮旬家4000円[[#This Row],[人数]])-三ノ宮旬家4000円[[#This Row],[単価合計]]-(三ノ宮旬家4000円[[#This Row],[キャンセル人数]]*$B$2),"")</f>
        <v/>
      </c>
      <c r="H2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4" s="15"/>
      <c r="J24" s="16" t="str">
        <f>IF(三ノ宮旬家4000円[[#This Row],[人数]]="","",VLOOKUP(三ノ宮旬家4000円[[#This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4" s="16" t="str">
        <f>IFERROR(($M$3*三ノ宮旬家3500円[[#This Row],[人数]])-三ノ宮旬家3500円[[#This Row],[単価合計]]-(三ノ宮旬家3500円[[#This Row],[キャンセル人数]]*$B$2),"")</f>
        <v/>
      </c>
      <c r="S2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4" s="15"/>
      <c r="U24" s="16" t="str">
        <f>IF(三ノ宮旬家3500円[[#This Row],[人数]]="","",VLOOKUP(三ノ宮旬家3500円[[#This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5" s="16" t="str">
        <f>IFERROR(($B$3*三ノ宮旬家4000円[[#This Row],[人数]])-三ノ宮旬家4000円[[#This Row],[単価合計]]-(三ノ宮旬家4000円[[#This Row],[キャンセル人数]]*$B$2),"")</f>
        <v/>
      </c>
      <c r="H2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5" s="15"/>
      <c r="J25" s="16" t="str">
        <f>IF(三ノ宮旬家4000円[[#This Row],[人数]]="","",VLOOKUP(三ノ宮旬家4000円[[#This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5" s="16" t="str">
        <f>IFERROR(($M$3*三ノ宮旬家3500円[[#This Row],[人数]])-三ノ宮旬家3500円[[#This Row],[単価合計]]-(三ノ宮旬家3500円[[#This Row],[キャンセル人数]]*$B$2),"")</f>
        <v/>
      </c>
      <c r="S2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5" s="15"/>
      <c r="U25" s="16" t="str">
        <f>IF(三ノ宮旬家3500円[[#This Row],[人数]]="","",VLOOKUP(三ノ宮旬家3500円[[#This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6" s="16" t="str">
        <f>IFERROR(($B$3*三ノ宮旬家4000円[[#This Row],[人数]])-三ノ宮旬家4000円[[#This Row],[単価合計]]-(三ノ宮旬家4000円[[#This Row],[キャンセル人数]]*$B$2),"")</f>
        <v/>
      </c>
      <c r="H26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6" s="15"/>
      <c r="J26" s="16" t="str">
        <f>IF(三ノ宮旬家4000円[[#This Row],[人数]]="","",VLOOKUP(三ノ宮旬家4000円[[#This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6" s="16" t="str">
        <f>IFERROR(($M$3*三ノ宮旬家3500円[[#This Row],[人数]])-三ノ宮旬家3500円[[#This Row],[単価合計]]-(三ノ宮旬家3500円[[#This Row],[キャンセル人数]]*$B$2),"")</f>
        <v/>
      </c>
      <c r="S26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6" s="15"/>
      <c r="U26" s="16" t="str">
        <f>IF(三ノ宮旬家3500円[[#This Row],[人数]]="","",VLOOKUP(三ノ宮旬家3500円[[#This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7" s="16" t="str">
        <f>IFERROR(($B$3*三ノ宮旬家4000円[[#This Row],[人数]])-三ノ宮旬家4000円[[#This Row],[単価合計]]-(三ノ宮旬家4000円[[#This Row],[キャンセル人数]]*$B$2),"")</f>
        <v/>
      </c>
      <c r="H27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7" s="15"/>
      <c r="J27" s="16" t="str">
        <f>IF(三ノ宮旬家4000円[[#This Row],[人数]]="","",VLOOKUP(三ノ宮旬家4000円[[#This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7" s="16" t="str">
        <f>IFERROR(($M$3*三ノ宮旬家3500円[[#This Row],[人数]])-三ノ宮旬家3500円[[#This Row],[単価合計]]-(三ノ宮旬家3500円[[#This Row],[キャンセル人数]]*$B$2),"")</f>
        <v/>
      </c>
      <c r="S27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7" s="15"/>
      <c r="U27" s="16" t="str">
        <f>IF(三ノ宮旬家3500円[[#This Row],[人数]]="","",VLOOKUP(三ノ宮旬家3500円[[#This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8" s="16" t="str">
        <f>IFERROR(($B$3*三ノ宮旬家4000円[[#This Row],[人数]])-三ノ宮旬家4000円[[#This Row],[単価合計]]-(三ノ宮旬家4000円[[#This Row],[キャンセル人数]]*$B$2),"")</f>
        <v/>
      </c>
      <c r="H28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8" s="15"/>
      <c r="J28" s="16" t="str">
        <f>IF(三ノ宮旬家4000円[[#This Row],[人数]]="","",VLOOKUP(三ノ宮旬家4000円[[#This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8" s="16" t="str">
        <f>IFERROR(($M$3*三ノ宮旬家3500円[[#This Row],[人数]])-三ノ宮旬家3500円[[#This Row],[単価合計]]-(三ノ宮旬家3500円[[#This Row],[キャンセル人数]]*$B$2),"")</f>
        <v/>
      </c>
      <c r="S28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8" s="15"/>
      <c r="U28" s="16" t="str">
        <f>IF(三ノ宮旬家3500円[[#This Row],[人数]]="","",VLOOKUP(三ノ宮旬家3500円[[#This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29" s="16" t="str">
        <f>IFERROR(($B$3*三ノ宮旬家4000円[[#This Row],[人数]])-三ノ宮旬家4000円[[#This Row],[単価合計]]-(三ノ宮旬家4000円[[#This Row],[キャンセル人数]]*$B$2),"")</f>
        <v/>
      </c>
      <c r="H29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29" s="15"/>
      <c r="J29" s="16" t="str">
        <f>IF(三ノ宮旬家4000円[[#This Row],[人数]]="","",VLOOKUP(三ノ宮旬家4000円[[#This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29" s="16" t="str">
        <f>IFERROR(($M$3*三ノ宮旬家3500円[[#This Row],[人数]])-三ノ宮旬家3500円[[#This Row],[単価合計]]-(三ノ宮旬家3500円[[#This Row],[キャンセル人数]]*$B$2),"")</f>
        <v/>
      </c>
      <c r="S29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29" s="15"/>
      <c r="U29" s="16" t="str">
        <f>IF(三ノ宮旬家3500円[[#This Row],[人数]]="","",VLOOKUP(三ノ宮旬家3500円[[#This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0" s="16" t="str">
        <f>IFERROR(($B$3*三ノ宮旬家4000円[[#This Row],[人数]])-三ノ宮旬家4000円[[#This Row],[単価合計]]-(三ノ宮旬家4000円[[#This Row],[キャンセル人数]]*$B$2),"")</f>
        <v/>
      </c>
      <c r="H30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0" s="15"/>
      <c r="J30" s="16" t="str">
        <f>IF(三ノ宮旬家4000円[[#This Row],[人数]]="","",VLOOKUP(三ノ宮旬家4000円[[#This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0" s="16" t="str">
        <f>IFERROR(($M$3*三ノ宮旬家3500円[[#This Row],[人数]])-三ノ宮旬家3500円[[#This Row],[単価合計]]-(三ノ宮旬家3500円[[#This Row],[キャンセル人数]]*$B$2),"")</f>
        <v/>
      </c>
      <c r="S30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0" s="15"/>
      <c r="U30" s="16" t="str">
        <f>IF(三ノ宮旬家3500円[[#This Row],[人数]]="","",VLOOKUP(三ノ宮旬家3500円[[#This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1" s="16" t="str">
        <f>IFERROR(($B$3*三ノ宮旬家4000円[[#This Row],[人数]])-三ノ宮旬家4000円[[#This Row],[単価合計]]-(三ノ宮旬家4000円[[#This Row],[キャンセル人数]]*$B$2),"")</f>
        <v/>
      </c>
      <c r="H31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1" s="15"/>
      <c r="J31" s="16" t="str">
        <f>IF(三ノ宮旬家4000円[[#This Row],[人数]]="","",VLOOKUP(三ノ宮旬家4000円[[#This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1" s="16" t="str">
        <f>IFERROR(($M$3*三ノ宮旬家3500円[[#This Row],[人数]])-三ノ宮旬家3500円[[#This Row],[単価合計]]-(三ノ宮旬家3500円[[#This Row],[キャンセル人数]]*$B$2),"")</f>
        <v/>
      </c>
      <c r="S31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1" s="15"/>
      <c r="U31" s="16" t="str">
        <f>IF(三ノ宮旬家3500円[[#This Row],[人数]]="","",VLOOKUP(三ノ宮旬家3500円[[#This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2" s="16" t="str">
        <f>IFERROR(($B$3*三ノ宮旬家4000円[[#This Row],[人数]])-三ノ宮旬家4000円[[#This Row],[単価合計]]-(三ノ宮旬家4000円[[#This Row],[キャンセル人数]]*$B$2),"")</f>
        <v/>
      </c>
      <c r="H32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2" s="15"/>
      <c r="J32" s="16" t="str">
        <f>IF(三ノ宮旬家4000円[[#This Row],[人数]]="","",VLOOKUP(三ノ宮旬家4000円[[#This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2" s="16" t="str">
        <f>IFERROR(($M$3*三ノ宮旬家3500円[[#This Row],[人数]])-三ノ宮旬家3500円[[#This Row],[単価合計]]-(三ノ宮旬家3500円[[#This Row],[キャンセル人数]]*$B$2),"")</f>
        <v/>
      </c>
      <c r="S32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2" s="15"/>
      <c r="U32" s="16" t="str">
        <f>IF(三ノ宮旬家3500円[[#This Row],[人数]]="","",VLOOKUP(三ノ宮旬家3500円[[#This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3" s="16" t="str">
        <f>IFERROR(($B$3*三ノ宮旬家4000円[[#This Row],[人数]])-三ノ宮旬家4000円[[#This Row],[単価合計]]-(三ノ宮旬家4000円[[#This Row],[キャンセル人数]]*$B$2),"")</f>
        <v/>
      </c>
      <c r="H33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3" s="15"/>
      <c r="J33" s="16" t="str">
        <f>IF(三ノ宮旬家4000円[[#This Row],[人数]]="","",VLOOKUP(三ノ宮旬家4000円[[#This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3" s="16" t="str">
        <f>IFERROR(($M$3*三ノ宮旬家3500円[[#This Row],[人数]])-三ノ宮旬家3500円[[#This Row],[単価合計]]-(三ノ宮旬家3500円[[#This Row],[キャンセル人数]]*$B$2),"")</f>
        <v/>
      </c>
      <c r="S33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3" s="15"/>
      <c r="U33" s="16" t="str">
        <f>IF(三ノ宮旬家3500円[[#This Row],[人数]]="","",VLOOKUP(三ノ宮旬家3500円[[#This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4" s="16" t="str">
        <f>IFERROR(($B$3*三ノ宮旬家4000円[[#This Row],[人数]])-三ノ宮旬家4000円[[#This Row],[単価合計]]-(三ノ宮旬家4000円[[#This Row],[キャンセル人数]]*$B$2),"")</f>
        <v/>
      </c>
      <c r="H34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4" s="15"/>
      <c r="J34" s="16" t="str">
        <f>IF(三ノ宮旬家4000円[[#This Row],[人数]]="","",VLOOKUP(三ノ宮旬家4000円[[#This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4" s="16" t="str">
        <f>IFERROR(($M$3*三ノ宮旬家3500円[[#This Row],[人数]])-三ノ宮旬家3500円[[#This Row],[単価合計]]-(三ノ宮旬家3500円[[#This Row],[キャンセル人数]]*$B$2),"")</f>
        <v/>
      </c>
      <c r="S34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4" s="15"/>
      <c r="U34" s="16" t="str">
        <f>IF(三ノ宮旬家3500円[[#This Row],[人数]]="","",VLOOKUP(三ノ宮旬家3500円[[#This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IF(三ノ宮旬家4000円[[#This Row],[人数]]="","",IF(三ノ宮旬家4000円[[#This Row],[人数]]&lt;=7,$B$1*三ノ宮旬家4000円[[#This Row],[人数]],$B$1*三ノ宮旬家4000円[[#This Row],[人数]]-三ノ宮旬家4000円[[#This Row],[幹事無料]]))</f>
        <v/>
      </c>
      <c r="G35" s="16" t="str">
        <f>IFERROR(($B$3*三ノ宮旬家4000円[[#This Row],[人数]])-三ノ宮旬家4000円[[#This Row],[単価合計]]-(三ノ宮旬家4000円[[#This Row],[キャンセル人数]]*$B$2),"")</f>
        <v/>
      </c>
      <c r="H35" s="16" t="str">
        <f>IF(三ノ宮旬家4000円[[#This Row],[人数]]=0,"",IF(三ノ宮旬家4000円[[#This Row],[人数]]&lt;=7,"",IF(三ノ宮旬家4000円[[#This Row],[人数]]&lt;=15,$B$1,IF(三ノ宮旬家4000円[[#This Row],[人数]]&lt;=23,$B$1*2,IF(三ノ宮旬家4000円[[#This Row],[人数]]&lt;=31,$B$1*3,IF(三ノ宮旬家4000円[[#This Row],[人数]]&lt;=39,$B$1*4,""))))))</f>
        <v/>
      </c>
      <c r="I35" s="19"/>
      <c r="J35" s="16" t="str">
        <f>IF(三ノ宮旬家4000円[[#This Row],[人数]]="","",VLOOKUP(三ノ宮旬家4000円[[#This Row],[人数]],バック金額②[#All],2,TRUE))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IF(三ノ宮旬家3500円[[#This Row],[人数]]="","",IF(三ノ宮旬家3500円[[#This Row],[人数]]&lt;=7,$B$1*三ノ宮旬家3500円[[#This Row],[人数]],$B$1*三ノ宮旬家3500円[[#This Row],[人数]]-三ノ宮旬家3500円[[#This Row],[幹事無料]]))</f>
        <v/>
      </c>
      <c r="R35" s="16" t="str">
        <f>IFERROR(($M$3*三ノ宮旬家3500円[[#This Row],[人数]])-三ノ宮旬家3500円[[#This Row],[単価合計]]-(三ノ宮旬家3500円[[#This Row],[キャンセル人数]]*$B$2),"")</f>
        <v/>
      </c>
      <c r="S35" s="16" t="str">
        <f>IF(三ノ宮旬家3500円[[#This Row],[人数]]=0,"",IF(三ノ宮旬家3500円[[#This Row],[人数]]&lt;=7,"",IF(三ノ宮旬家3500円[[#This Row],[人数]]&lt;=15,$B$1,IF(三ノ宮旬家3500円[[#This Row],[人数]]&lt;=23,$B$1*2,IF(三ノ宮旬家3500円[[#This Row],[人数]]&lt;=31,$B$1*3,IF(三ノ宮旬家3500円[[#This Row],[人数]]&lt;=39,$B$1*4,""))))))</f>
        <v/>
      </c>
      <c r="T35" s="19"/>
      <c r="U35" s="16" t="str">
        <f>IF(三ノ宮旬家3500円[[#This Row],[人数]]="","",VLOOKUP(三ノ宮旬家3500円[[#This Row],[人数]],バック金額②[#All],2,TRUE))</f>
        <v/>
      </c>
    </row>
    <row r="36" spans="1:21">
      <c r="A36" s="64" t="s">
        <v>323</v>
      </c>
      <c r="B36" s="7">
        <f>SUM(三ノ宮旬家4000円[[#All],[件数]])</f>
        <v>0</v>
      </c>
      <c r="C36" s="6"/>
      <c r="D36" s="7">
        <f>SUM(三ノ宮旬家4000円[[#All],[人数]])</f>
        <v>0</v>
      </c>
      <c r="E36" s="7">
        <f>SUM(三ノ宮旬家4000円[[#All],[Aパターン]])</f>
        <v>0</v>
      </c>
      <c r="F36" s="7">
        <f>SUM(三ノ宮旬家4000円[[#All],[単価合計]])</f>
        <v>0</v>
      </c>
      <c r="G36" s="7">
        <f>SUM(三ノ宮旬家4000円[[#All],[ゆうき取りに行く]])</f>
        <v>0</v>
      </c>
      <c r="H36" s="7"/>
      <c r="I36" s="7"/>
      <c r="J36" s="7">
        <f>SUM(三ノ宮旬家4000円[[#All],[イベンターへ]])</f>
        <v>0</v>
      </c>
      <c r="L36" s="64" t="s">
        <v>323</v>
      </c>
      <c r="M36" s="7">
        <f>SUM(三ノ宮旬家3500円[[#All],[件数]])</f>
        <v>0</v>
      </c>
      <c r="N36" s="6"/>
      <c r="O36" s="7">
        <f>SUM(三ノ宮旬家3500円[[#All],[人数]])</f>
        <v>0</v>
      </c>
      <c r="P36" s="7">
        <f>SUM(三ノ宮旬家3500円[[#All],[Aパターン]])</f>
        <v>0</v>
      </c>
      <c r="Q36" s="7">
        <f>SUM(三ノ宮旬家3500円[[#All],[単価合計]])</f>
        <v>0</v>
      </c>
      <c r="R36" s="7">
        <f>SUM(三ノ宮旬家3500円[[#All],[ゆうき取りに行く]])</f>
        <v>0</v>
      </c>
      <c r="S36" s="7"/>
      <c r="T36" s="7"/>
      <c r="U36" s="7">
        <f>SUM(三ノ宮旬家3500円[[#All],[イベンターへ]])</f>
        <v>0</v>
      </c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39044-F293-4714-9FA2-51433450D95B}">
  <sheetPr codeName="Sheet24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6640625" style="8" bestFit="1" customWidth="1"/>
    <col min="6" max="6" width="12.33203125" style="9" bestFit="1" customWidth="1"/>
    <col min="7" max="7" width="19.88671875" style="9" customWidth="1"/>
    <col min="8" max="8" width="12.88671875" style="9" customWidth="1"/>
    <col min="9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6640625" style="8" customWidth="1"/>
    <col min="14" max="14" width="17.33203125" style="8" customWidth="1"/>
    <col min="15" max="15" width="6.6640625" style="8" customWidth="1"/>
    <col min="16" max="16" width="13.6640625" style="8" bestFit="1" customWidth="1"/>
    <col min="17" max="17" width="12.33203125" style="9" bestFit="1" customWidth="1"/>
    <col min="18" max="18" width="17.44140625" style="9" customWidth="1"/>
    <col min="19" max="19" width="12.33203125" style="9" bestFit="1" customWidth="1"/>
    <col min="20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2000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256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5" s="16" t="str">
        <f>IFERROR(($B$3*三ノ宮きさらぎ4000円[[#This Row],[人数]])-三ノ宮きさらぎ4000円[[#This Row],[単価合計]]-(三ノ宮きさらぎ4000円[[#This Row],[キャンセル人数]]*$B$2),"")</f>
        <v/>
      </c>
      <c r="H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5" s="15"/>
      <c r="J5" s="16" t="str">
        <f>IF(三ノ宮きさらぎ4000円[[#This Row],[人数]]="","",VLOOKUP(三ノ宮きさらぎ4000円[[#This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5" s="16" t="str">
        <f>IFERROR(($M$3*三ノ宮きさらぎ3500円[[#This Row],[人数]])-三ノ宮きさらぎ3500円[[#This Row],[単価合計]]-(三ノ宮きさらぎ3500円[[#This Row],[キャンセル人数]]*$B$2),"")</f>
        <v/>
      </c>
      <c r="S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5" s="15"/>
      <c r="U5" s="16" t="str">
        <f>IF(三ノ宮きさらぎ3500円[[#This Row],[人数]]="","",VLOOKUP(三ノ宮きさらぎ3500円[[#This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6" s="16" t="str">
        <f>IFERROR(($B$3*三ノ宮きさらぎ4000円[[#This Row],[人数]])-三ノ宮きさらぎ4000円[[#This Row],[単価合計]]-(三ノ宮きさらぎ4000円[[#This Row],[キャンセル人数]]*$B$2),"")</f>
        <v/>
      </c>
      <c r="H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6" s="15"/>
      <c r="J6" s="16" t="str">
        <f>IF(三ノ宮きさらぎ4000円[[#This Row],[人数]]="","",VLOOKUP(三ノ宮きさらぎ4000円[[#This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6" s="16" t="str">
        <f>IFERROR(($M$3*三ノ宮きさらぎ3500円[[#This Row],[人数]])-三ノ宮きさらぎ3500円[[#This Row],[単価合計]]-(三ノ宮きさらぎ3500円[[#This Row],[キャンセル人数]]*$B$2),"")</f>
        <v/>
      </c>
      <c r="S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6" s="15"/>
      <c r="U6" s="16" t="str">
        <f>IF(三ノ宮きさらぎ3500円[[#This Row],[人数]]="","",VLOOKUP(三ノ宮きさらぎ3500円[[#This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7" s="16" t="str">
        <f>IFERROR(($B$3*三ノ宮きさらぎ4000円[[#This Row],[人数]])-三ノ宮きさらぎ4000円[[#This Row],[単価合計]]-(三ノ宮きさらぎ4000円[[#This Row],[キャンセル人数]]*$B$2),"")</f>
        <v/>
      </c>
      <c r="H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7" s="15"/>
      <c r="J7" s="16" t="str">
        <f>IF(三ノ宮きさらぎ4000円[[#This Row],[人数]]="","",VLOOKUP(三ノ宮きさらぎ4000円[[#This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7" s="16" t="str">
        <f>IFERROR(($M$3*三ノ宮きさらぎ3500円[[#This Row],[人数]])-三ノ宮きさらぎ3500円[[#This Row],[単価合計]]-(三ノ宮きさらぎ3500円[[#This Row],[キャンセル人数]]*$B$2),"")</f>
        <v/>
      </c>
      <c r="S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7" s="15"/>
      <c r="U7" s="16" t="str">
        <f>IF(三ノ宮きさらぎ3500円[[#This Row],[人数]]="","",VLOOKUP(三ノ宮きさらぎ3500円[[#This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8" s="16" t="str">
        <f>IFERROR(($B$3*三ノ宮きさらぎ4000円[[#This Row],[人数]])-三ノ宮きさらぎ4000円[[#This Row],[単価合計]]-(三ノ宮きさらぎ4000円[[#This Row],[キャンセル人数]]*$B$2),"")</f>
        <v/>
      </c>
      <c r="H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8" s="15"/>
      <c r="J8" s="16" t="str">
        <f>IF(三ノ宮きさらぎ4000円[[#This Row],[人数]]="","",VLOOKUP(三ノ宮きさらぎ4000円[[#This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8" s="16" t="str">
        <f>IFERROR(($M$3*三ノ宮きさらぎ3500円[[#This Row],[人数]])-三ノ宮きさらぎ3500円[[#This Row],[単価合計]]-(三ノ宮きさらぎ3500円[[#This Row],[キャンセル人数]]*$B$2),"")</f>
        <v/>
      </c>
      <c r="S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8" s="15"/>
      <c r="U8" s="16" t="str">
        <f>IF(三ノ宮きさらぎ3500円[[#This Row],[人数]]="","",VLOOKUP(三ノ宮きさらぎ3500円[[#This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9" s="16" t="str">
        <f>IFERROR(($B$3*三ノ宮きさらぎ4000円[[#This Row],[人数]])-三ノ宮きさらぎ4000円[[#This Row],[単価合計]]-(三ノ宮きさらぎ4000円[[#This Row],[キャンセル人数]]*$B$2),"")</f>
        <v/>
      </c>
      <c r="H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9" s="15"/>
      <c r="J9" s="16" t="str">
        <f>IF(三ノ宮きさらぎ4000円[[#This Row],[人数]]="","",VLOOKUP(三ノ宮きさらぎ4000円[[#This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9" s="16" t="str">
        <f>IFERROR(($M$3*三ノ宮きさらぎ3500円[[#This Row],[人数]])-三ノ宮きさらぎ3500円[[#This Row],[単価合計]]-(三ノ宮きさらぎ3500円[[#This Row],[キャンセル人数]]*$B$2),"")</f>
        <v/>
      </c>
      <c r="S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9" s="15"/>
      <c r="U9" s="16" t="str">
        <f>IF(三ノ宮きさらぎ3500円[[#This Row],[人数]]="","",VLOOKUP(三ノ宮きさらぎ3500円[[#This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0" s="16" t="str">
        <f>IFERROR(($B$3*三ノ宮きさらぎ4000円[[#This Row],[人数]])-三ノ宮きさらぎ4000円[[#This Row],[単価合計]]-(三ノ宮きさらぎ4000円[[#This Row],[キャンセル人数]]*$B$2),"")</f>
        <v/>
      </c>
      <c r="H1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0" s="15"/>
      <c r="J10" s="16" t="str">
        <f>IF(三ノ宮きさらぎ4000円[[#This Row],[人数]]="","",VLOOKUP(三ノ宮きさらぎ4000円[[#This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0" s="16" t="str">
        <f>IFERROR(($M$3*三ノ宮きさらぎ3500円[[#This Row],[人数]])-三ノ宮きさらぎ3500円[[#This Row],[単価合計]]-(三ノ宮きさらぎ3500円[[#This Row],[キャンセル人数]]*$B$2),"")</f>
        <v/>
      </c>
      <c r="S1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0" s="15"/>
      <c r="U10" s="16" t="str">
        <f>IF(三ノ宮きさらぎ3500円[[#This Row],[人数]]="","",VLOOKUP(三ノ宮きさらぎ3500円[[#This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1" s="16" t="str">
        <f>IFERROR(($B$3*三ノ宮きさらぎ4000円[[#This Row],[人数]])-三ノ宮きさらぎ4000円[[#This Row],[単価合計]]-(三ノ宮きさらぎ4000円[[#This Row],[キャンセル人数]]*$B$2),"")</f>
        <v/>
      </c>
      <c r="H1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1" s="15"/>
      <c r="J11" s="16" t="str">
        <f>IF(三ノ宮きさらぎ4000円[[#This Row],[人数]]="","",VLOOKUP(三ノ宮きさらぎ4000円[[#This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1" s="16" t="str">
        <f>IFERROR(($M$3*三ノ宮きさらぎ3500円[[#This Row],[人数]])-三ノ宮きさらぎ3500円[[#This Row],[単価合計]]-(三ノ宮きさらぎ3500円[[#This Row],[キャンセル人数]]*$B$2),"")</f>
        <v/>
      </c>
      <c r="S1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1" s="15"/>
      <c r="U11" s="16" t="str">
        <f>IF(三ノ宮きさらぎ3500円[[#This Row],[人数]]="","",VLOOKUP(三ノ宮きさらぎ3500円[[#This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2" s="16" t="str">
        <f>IFERROR(($B$3*三ノ宮きさらぎ4000円[[#This Row],[人数]])-三ノ宮きさらぎ4000円[[#This Row],[単価合計]]-(三ノ宮きさらぎ4000円[[#This Row],[キャンセル人数]]*$B$2),"")</f>
        <v/>
      </c>
      <c r="H1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2" s="15"/>
      <c r="J12" s="16" t="str">
        <f>IF(三ノ宮きさらぎ4000円[[#This Row],[人数]]="","",VLOOKUP(三ノ宮きさらぎ4000円[[#This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2" s="16" t="str">
        <f>IFERROR(($M$3*三ノ宮きさらぎ3500円[[#This Row],[人数]])-三ノ宮きさらぎ3500円[[#This Row],[単価合計]]-(三ノ宮きさらぎ3500円[[#This Row],[キャンセル人数]]*$B$2),"")</f>
        <v/>
      </c>
      <c r="S1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2" s="15"/>
      <c r="U12" s="16" t="str">
        <f>IF(三ノ宮きさらぎ3500円[[#This Row],[人数]]="","",VLOOKUP(三ノ宮きさらぎ3500円[[#This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3" s="16" t="str">
        <f>IFERROR(($B$3*三ノ宮きさらぎ4000円[[#This Row],[人数]])-三ノ宮きさらぎ4000円[[#This Row],[単価合計]]-(三ノ宮きさらぎ4000円[[#This Row],[キャンセル人数]]*$B$2),"")</f>
        <v/>
      </c>
      <c r="H1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3" s="15"/>
      <c r="J13" s="16" t="str">
        <f>IF(三ノ宮きさらぎ4000円[[#This Row],[人数]]="","",VLOOKUP(三ノ宮きさらぎ4000円[[#This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3" s="16" t="str">
        <f>IFERROR(($M$3*三ノ宮きさらぎ3500円[[#This Row],[人数]])-三ノ宮きさらぎ3500円[[#This Row],[単価合計]]-(三ノ宮きさらぎ3500円[[#This Row],[キャンセル人数]]*$B$2),"")</f>
        <v/>
      </c>
      <c r="S1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3" s="15"/>
      <c r="U13" s="16" t="str">
        <f>IF(三ノ宮きさらぎ3500円[[#This Row],[人数]]="","",VLOOKUP(三ノ宮きさらぎ3500円[[#This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4" s="16" t="str">
        <f>IFERROR(($B$3*三ノ宮きさらぎ4000円[[#This Row],[人数]])-三ノ宮きさらぎ4000円[[#This Row],[単価合計]]-(三ノ宮きさらぎ4000円[[#This Row],[キャンセル人数]]*$B$2),"")</f>
        <v/>
      </c>
      <c r="H1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4" s="15"/>
      <c r="J14" s="16" t="str">
        <f>IF(三ノ宮きさらぎ4000円[[#This Row],[人数]]="","",VLOOKUP(三ノ宮きさらぎ4000円[[#This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4" s="16" t="str">
        <f>IFERROR(($M$3*三ノ宮きさらぎ3500円[[#This Row],[人数]])-三ノ宮きさらぎ3500円[[#This Row],[単価合計]]-(三ノ宮きさらぎ3500円[[#This Row],[キャンセル人数]]*$B$2),"")</f>
        <v/>
      </c>
      <c r="S1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4" s="15"/>
      <c r="U14" s="16" t="str">
        <f>IF(三ノ宮きさらぎ3500円[[#This Row],[人数]]="","",VLOOKUP(三ノ宮きさらぎ3500円[[#This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5" s="16" t="str">
        <f>IFERROR(($B$3*三ノ宮きさらぎ4000円[[#This Row],[人数]])-三ノ宮きさらぎ4000円[[#This Row],[単価合計]]-(三ノ宮きさらぎ4000円[[#This Row],[キャンセル人数]]*$B$2),"")</f>
        <v/>
      </c>
      <c r="H1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5" s="15"/>
      <c r="J15" s="16" t="str">
        <f>IF(三ノ宮きさらぎ4000円[[#This Row],[人数]]="","",VLOOKUP(三ノ宮きさらぎ4000円[[#This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5" s="16" t="str">
        <f>IFERROR(($M$3*三ノ宮きさらぎ3500円[[#This Row],[人数]])-三ノ宮きさらぎ3500円[[#This Row],[単価合計]]-(三ノ宮きさらぎ3500円[[#This Row],[キャンセル人数]]*$B$2),"")</f>
        <v/>
      </c>
      <c r="S1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5" s="15"/>
      <c r="U15" s="16" t="str">
        <f>IF(三ノ宮きさらぎ3500円[[#This Row],[人数]]="","",VLOOKUP(三ノ宮きさらぎ3500円[[#This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6" s="16" t="str">
        <f>IFERROR(($B$3*三ノ宮きさらぎ4000円[[#This Row],[人数]])-三ノ宮きさらぎ4000円[[#This Row],[単価合計]]-(三ノ宮きさらぎ4000円[[#This Row],[キャンセル人数]]*$B$2),"")</f>
        <v/>
      </c>
      <c r="H1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6" s="15"/>
      <c r="J16" s="16" t="str">
        <f>IF(三ノ宮きさらぎ4000円[[#This Row],[人数]]="","",VLOOKUP(三ノ宮きさらぎ4000円[[#This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6" s="16" t="str">
        <f>IFERROR(($M$3*三ノ宮きさらぎ3500円[[#This Row],[人数]])-三ノ宮きさらぎ3500円[[#This Row],[単価合計]]-(三ノ宮きさらぎ3500円[[#This Row],[キャンセル人数]]*$B$2),"")</f>
        <v/>
      </c>
      <c r="S1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6" s="15"/>
      <c r="U16" s="16" t="str">
        <f>IF(三ノ宮きさらぎ3500円[[#This Row],[人数]]="","",VLOOKUP(三ノ宮きさらぎ3500円[[#This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7" s="16" t="str">
        <f>IFERROR(($B$3*三ノ宮きさらぎ4000円[[#This Row],[人数]])-三ノ宮きさらぎ4000円[[#This Row],[単価合計]]-(三ノ宮きさらぎ4000円[[#This Row],[キャンセル人数]]*$B$2),"")</f>
        <v/>
      </c>
      <c r="H1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7" s="15"/>
      <c r="J17" s="16" t="str">
        <f>IF(三ノ宮きさらぎ4000円[[#This Row],[人数]]="","",VLOOKUP(三ノ宮きさらぎ4000円[[#This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7" s="16" t="str">
        <f>IFERROR(($M$3*三ノ宮きさらぎ3500円[[#This Row],[人数]])-三ノ宮きさらぎ3500円[[#This Row],[単価合計]]-(三ノ宮きさらぎ3500円[[#This Row],[キャンセル人数]]*$B$2),"")</f>
        <v/>
      </c>
      <c r="S1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7" s="15"/>
      <c r="U17" s="16" t="str">
        <f>IF(三ノ宮きさらぎ3500円[[#This Row],[人数]]="","",VLOOKUP(三ノ宮きさらぎ3500円[[#This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8" s="16" t="str">
        <f>IFERROR(($B$3*三ノ宮きさらぎ4000円[[#This Row],[人数]])-三ノ宮きさらぎ4000円[[#This Row],[単価合計]]-(三ノ宮きさらぎ4000円[[#This Row],[キャンセル人数]]*$B$2),"")</f>
        <v/>
      </c>
      <c r="H1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8" s="15"/>
      <c r="J18" s="16" t="str">
        <f>IF(三ノ宮きさらぎ4000円[[#This Row],[人数]]="","",VLOOKUP(三ノ宮きさらぎ4000円[[#This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8" s="16" t="str">
        <f>IFERROR(($M$3*三ノ宮きさらぎ3500円[[#This Row],[人数]])-三ノ宮きさらぎ3500円[[#This Row],[単価合計]]-(三ノ宮きさらぎ3500円[[#This Row],[キャンセル人数]]*$B$2),"")</f>
        <v/>
      </c>
      <c r="S1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8" s="15"/>
      <c r="U18" s="16" t="str">
        <f>IF(三ノ宮きさらぎ3500円[[#This Row],[人数]]="","",VLOOKUP(三ノ宮きさらぎ3500円[[#This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19" s="16" t="str">
        <f>IFERROR(($B$3*三ノ宮きさらぎ4000円[[#This Row],[人数]])-三ノ宮きさらぎ4000円[[#This Row],[単価合計]]-(三ノ宮きさらぎ4000円[[#This Row],[キャンセル人数]]*$B$2),"")</f>
        <v/>
      </c>
      <c r="H1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19" s="15"/>
      <c r="J19" s="16" t="str">
        <f>IF(三ノ宮きさらぎ4000円[[#This Row],[人数]]="","",VLOOKUP(三ノ宮きさらぎ4000円[[#This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19" s="16" t="str">
        <f>IFERROR(($M$3*三ノ宮きさらぎ3500円[[#This Row],[人数]])-三ノ宮きさらぎ3500円[[#This Row],[単価合計]]-(三ノ宮きさらぎ3500円[[#This Row],[キャンセル人数]]*$B$2),"")</f>
        <v/>
      </c>
      <c r="S1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19" s="15"/>
      <c r="U19" s="16" t="str">
        <f>IF(三ノ宮きさらぎ3500円[[#This Row],[人数]]="","",VLOOKUP(三ノ宮きさらぎ3500円[[#This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0" s="16" t="str">
        <f>IFERROR(($B$3*三ノ宮きさらぎ4000円[[#This Row],[人数]])-三ノ宮きさらぎ4000円[[#This Row],[単価合計]]-(三ノ宮きさらぎ4000円[[#This Row],[キャンセル人数]]*$B$2),"")</f>
        <v/>
      </c>
      <c r="H2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0" s="15"/>
      <c r="J20" s="16" t="str">
        <f>IF(三ノ宮きさらぎ4000円[[#This Row],[人数]]="","",VLOOKUP(三ノ宮きさらぎ4000円[[#This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0" s="16" t="str">
        <f>IFERROR(($M$3*三ノ宮きさらぎ3500円[[#This Row],[人数]])-三ノ宮きさらぎ3500円[[#This Row],[単価合計]]-(三ノ宮きさらぎ3500円[[#This Row],[キャンセル人数]]*$B$2),"")</f>
        <v/>
      </c>
      <c r="S2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0" s="15"/>
      <c r="U20" s="16" t="str">
        <f>IF(三ノ宮きさらぎ3500円[[#This Row],[人数]]="","",VLOOKUP(三ノ宮きさらぎ3500円[[#This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1" s="16" t="str">
        <f>IFERROR(($B$3*三ノ宮きさらぎ4000円[[#This Row],[人数]])-三ノ宮きさらぎ4000円[[#This Row],[単価合計]]-(三ノ宮きさらぎ4000円[[#This Row],[キャンセル人数]]*$B$2),"")</f>
        <v/>
      </c>
      <c r="H2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1" s="15"/>
      <c r="J21" s="16" t="str">
        <f>IF(三ノ宮きさらぎ4000円[[#This Row],[人数]]="","",VLOOKUP(三ノ宮きさらぎ4000円[[#This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1" s="16" t="str">
        <f>IFERROR(($M$3*三ノ宮きさらぎ3500円[[#This Row],[人数]])-三ノ宮きさらぎ3500円[[#This Row],[単価合計]]-(三ノ宮きさらぎ3500円[[#This Row],[キャンセル人数]]*$B$2),"")</f>
        <v/>
      </c>
      <c r="S2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1" s="15"/>
      <c r="U21" s="16" t="str">
        <f>IF(三ノ宮きさらぎ3500円[[#This Row],[人数]]="","",VLOOKUP(三ノ宮きさらぎ3500円[[#This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2" s="16" t="str">
        <f>IFERROR(($B$3*三ノ宮きさらぎ4000円[[#This Row],[人数]])-三ノ宮きさらぎ4000円[[#This Row],[単価合計]]-(三ノ宮きさらぎ4000円[[#This Row],[キャンセル人数]]*$B$2),"")</f>
        <v/>
      </c>
      <c r="H2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2" s="15"/>
      <c r="J22" s="16" t="str">
        <f>IF(三ノ宮きさらぎ4000円[[#This Row],[人数]]="","",VLOOKUP(三ノ宮きさらぎ4000円[[#This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2" s="16" t="str">
        <f>IFERROR(($M$3*三ノ宮きさらぎ3500円[[#This Row],[人数]])-三ノ宮きさらぎ3500円[[#This Row],[単価合計]]-(三ノ宮きさらぎ3500円[[#This Row],[キャンセル人数]]*$B$2),"")</f>
        <v/>
      </c>
      <c r="S2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2" s="15"/>
      <c r="U22" s="16" t="str">
        <f>IF(三ノ宮きさらぎ3500円[[#This Row],[人数]]="","",VLOOKUP(三ノ宮きさらぎ3500円[[#This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3" s="16" t="str">
        <f>IFERROR(($B$3*三ノ宮きさらぎ4000円[[#This Row],[人数]])-三ノ宮きさらぎ4000円[[#This Row],[単価合計]]-(三ノ宮きさらぎ4000円[[#This Row],[キャンセル人数]]*$B$2),"")</f>
        <v/>
      </c>
      <c r="H2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3" s="15"/>
      <c r="J23" s="16" t="str">
        <f>IF(三ノ宮きさらぎ4000円[[#This Row],[人数]]="","",VLOOKUP(三ノ宮きさらぎ4000円[[#This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3" s="16" t="str">
        <f>IFERROR(($M$3*三ノ宮きさらぎ3500円[[#This Row],[人数]])-三ノ宮きさらぎ3500円[[#This Row],[単価合計]]-(三ノ宮きさらぎ3500円[[#This Row],[キャンセル人数]]*$B$2),"")</f>
        <v/>
      </c>
      <c r="S2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3" s="15"/>
      <c r="U23" s="16" t="str">
        <f>IF(三ノ宮きさらぎ3500円[[#This Row],[人数]]="","",VLOOKUP(三ノ宮きさらぎ3500円[[#This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4" s="16" t="str">
        <f>IFERROR(($B$3*三ノ宮きさらぎ4000円[[#This Row],[人数]])-三ノ宮きさらぎ4000円[[#This Row],[単価合計]]-(三ノ宮きさらぎ4000円[[#This Row],[キャンセル人数]]*$B$2),"")</f>
        <v/>
      </c>
      <c r="H2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4" s="15"/>
      <c r="J24" s="16" t="str">
        <f>IF(三ノ宮きさらぎ4000円[[#This Row],[人数]]="","",VLOOKUP(三ノ宮きさらぎ4000円[[#This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4" s="16" t="str">
        <f>IFERROR(($M$3*三ノ宮きさらぎ3500円[[#This Row],[人数]])-三ノ宮きさらぎ3500円[[#This Row],[単価合計]]-(三ノ宮きさらぎ3500円[[#This Row],[キャンセル人数]]*$B$2),"")</f>
        <v/>
      </c>
      <c r="S2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4" s="15"/>
      <c r="U24" s="16" t="str">
        <f>IF(三ノ宮きさらぎ3500円[[#This Row],[人数]]="","",VLOOKUP(三ノ宮きさらぎ3500円[[#This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5" s="16" t="str">
        <f>IFERROR(($B$3*三ノ宮きさらぎ4000円[[#This Row],[人数]])-三ノ宮きさらぎ4000円[[#This Row],[単価合計]]-(三ノ宮きさらぎ4000円[[#This Row],[キャンセル人数]]*$B$2),"")</f>
        <v/>
      </c>
      <c r="H2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5" s="15"/>
      <c r="J25" s="16" t="str">
        <f>IF(三ノ宮きさらぎ4000円[[#This Row],[人数]]="","",VLOOKUP(三ノ宮きさらぎ4000円[[#This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5" s="16" t="str">
        <f>IFERROR(($M$3*三ノ宮きさらぎ3500円[[#This Row],[人数]])-三ノ宮きさらぎ3500円[[#This Row],[単価合計]]-(三ノ宮きさらぎ3500円[[#This Row],[キャンセル人数]]*$B$2),"")</f>
        <v/>
      </c>
      <c r="S2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5" s="15"/>
      <c r="U25" s="16" t="str">
        <f>IF(三ノ宮きさらぎ3500円[[#This Row],[人数]]="","",VLOOKUP(三ノ宮きさらぎ3500円[[#This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6" s="16" t="str">
        <f>IFERROR(($B$3*三ノ宮きさらぎ4000円[[#This Row],[人数]])-三ノ宮きさらぎ4000円[[#This Row],[単価合計]]-(三ノ宮きさらぎ4000円[[#This Row],[キャンセル人数]]*$B$2),"")</f>
        <v/>
      </c>
      <c r="H26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6" s="15"/>
      <c r="J26" s="16" t="str">
        <f>IF(三ノ宮きさらぎ4000円[[#This Row],[人数]]="","",VLOOKUP(三ノ宮きさらぎ4000円[[#This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6" s="16" t="str">
        <f>IFERROR(($M$3*三ノ宮きさらぎ3500円[[#This Row],[人数]])-三ノ宮きさらぎ3500円[[#This Row],[単価合計]]-(三ノ宮きさらぎ3500円[[#This Row],[キャンセル人数]]*$B$2),"")</f>
        <v/>
      </c>
      <c r="S26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6" s="15"/>
      <c r="U26" s="16" t="str">
        <f>IF(三ノ宮きさらぎ3500円[[#This Row],[人数]]="","",VLOOKUP(三ノ宮きさらぎ3500円[[#This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7" s="16" t="str">
        <f>IFERROR(($B$3*三ノ宮きさらぎ4000円[[#This Row],[人数]])-三ノ宮きさらぎ4000円[[#This Row],[単価合計]]-(三ノ宮きさらぎ4000円[[#This Row],[キャンセル人数]]*$B$2),"")</f>
        <v/>
      </c>
      <c r="H27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7" s="15"/>
      <c r="J27" s="16" t="str">
        <f>IF(三ノ宮きさらぎ4000円[[#This Row],[人数]]="","",VLOOKUP(三ノ宮きさらぎ4000円[[#This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7" s="16" t="str">
        <f>IFERROR(($M$3*三ノ宮きさらぎ3500円[[#This Row],[人数]])-三ノ宮きさらぎ3500円[[#This Row],[単価合計]]-(三ノ宮きさらぎ3500円[[#This Row],[キャンセル人数]]*$B$2),"")</f>
        <v/>
      </c>
      <c r="S27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7" s="15"/>
      <c r="U27" s="16" t="str">
        <f>IF(三ノ宮きさらぎ3500円[[#This Row],[人数]]="","",VLOOKUP(三ノ宮きさらぎ3500円[[#This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8" s="16" t="str">
        <f>IFERROR(($B$3*三ノ宮きさらぎ4000円[[#This Row],[人数]])-三ノ宮きさらぎ4000円[[#This Row],[単価合計]]-(三ノ宮きさらぎ4000円[[#This Row],[キャンセル人数]]*$B$2),"")</f>
        <v/>
      </c>
      <c r="H28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8" s="15"/>
      <c r="J28" s="16" t="str">
        <f>IF(三ノ宮きさらぎ4000円[[#This Row],[人数]]="","",VLOOKUP(三ノ宮きさらぎ4000円[[#This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8" s="16" t="str">
        <f>IFERROR(($M$3*三ノ宮きさらぎ3500円[[#This Row],[人数]])-三ノ宮きさらぎ3500円[[#This Row],[単価合計]]-(三ノ宮きさらぎ3500円[[#This Row],[キャンセル人数]]*$B$2),"")</f>
        <v/>
      </c>
      <c r="S28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8" s="15"/>
      <c r="U28" s="16" t="str">
        <f>IF(三ノ宮きさらぎ3500円[[#This Row],[人数]]="","",VLOOKUP(三ノ宮きさらぎ3500円[[#This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29" s="16" t="str">
        <f>IFERROR(($B$3*三ノ宮きさらぎ4000円[[#This Row],[人数]])-三ノ宮きさらぎ4000円[[#This Row],[単価合計]]-(三ノ宮きさらぎ4000円[[#This Row],[キャンセル人数]]*$B$2),"")</f>
        <v/>
      </c>
      <c r="H29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29" s="15"/>
      <c r="J29" s="16" t="str">
        <f>IF(三ノ宮きさらぎ4000円[[#This Row],[人数]]="","",VLOOKUP(三ノ宮きさらぎ4000円[[#This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29" s="16" t="str">
        <f>IFERROR(($M$3*三ノ宮きさらぎ3500円[[#This Row],[人数]])-三ノ宮きさらぎ3500円[[#This Row],[単価合計]]-(三ノ宮きさらぎ3500円[[#This Row],[キャンセル人数]]*$B$2),"")</f>
        <v/>
      </c>
      <c r="S29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29" s="15"/>
      <c r="U29" s="16" t="str">
        <f>IF(三ノ宮きさらぎ3500円[[#This Row],[人数]]="","",VLOOKUP(三ノ宮きさらぎ3500円[[#This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0" s="16" t="str">
        <f>IFERROR(($B$3*三ノ宮きさらぎ4000円[[#This Row],[人数]])-三ノ宮きさらぎ4000円[[#This Row],[単価合計]]-(三ノ宮きさらぎ4000円[[#This Row],[キャンセル人数]]*$B$2),"")</f>
        <v/>
      </c>
      <c r="H30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0" s="15"/>
      <c r="J30" s="16" t="str">
        <f>IF(三ノ宮きさらぎ4000円[[#This Row],[人数]]="","",VLOOKUP(三ノ宮きさらぎ4000円[[#This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0" s="16" t="str">
        <f>IFERROR(($M$3*三ノ宮きさらぎ3500円[[#This Row],[人数]])-三ノ宮きさらぎ3500円[[#This Row],[単価合計]]-(三ノ宮きさらぎ3500円[[#This Row],[キャンセル人数]]*$B$2),"")</f>
        <v/>
      </c>
      <c r="S30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0" s="15"/>
      <c r="U30" s="16" t="str">
        <f>IF(三ノ宮きさらぎ3500円[[#This Row],[人数]]="","",VLOOKUP(三ノ宮きさらぎ3500円[[#This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1" s="16" t="str">
        <f>IFERROR(($B$3*三ノ宮きさらぎ4000円[[#This Row],[人数]])-三ノ宮きさらぎ4000円[[#This Row],[単価合計]]-(三ノ宮きさらぎ4000円[[#This Row],[キャンセル人数]]*$B$2),"")</f>
        <v/>
      </c>
      <c r="H31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1" s="15"/>
      <c r="J31" s="16" t="str">
        <f>IF(三ノ宮きさらぎ4000円[[#This Row],[人数]]="","",VLOOKUP(三ノ宮きさらぎ4000円[[#This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1" s="16" t="str">
        <f>IFERROR(($M$3*三ノ宮きさらぎ3500円[[#This Row],[人数]])-三ノ宮きさらぎ3500円[[#This Row],[単価合計]]-(三ノ宮きさらぎ3500円[[#This Row],[キャンセル人数]]*$B$2),"")</f>
        <v/>
      </c>
      <c r="S31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1" s="15"/>
      <c r="U31" s="16" t="str">
        <f>IF(三ノ宮きさらぎ3500円[[#This Row],[人数]]="","",VLOOKUP(三ノ宮きさらぎ3500円[[#This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2" s="16" t="str">
        <f>IFERROR(($B$3*三ノ宮きさらぎ4000円[[#This Row],[人数]])-三ノ宮きさらぎ4000円[[#This Row],[単価合計]]-(三ノ宮きさらぎ4000円[[#This Row],[キャンセル人数]]*$B$2),"")</f>
        <v/>
      </c>
      <c r="H32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2" s="15"/>
      <c r="J32" s="16" t="str">
        <f>IF(三ノ宮きさらぎ4000円[[#This Row],[人数]]="","",VLOOKUP(三ノ宮きさらぎ4000円[[#This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2" s="16" t="str">
        <f>IFERROR(($M$3*三ノ宮きさらぎ3500円[[#This Row],[人数]])-三ノ宮きさらぎ3500円[[#This Row],[単価合計]]-(三ノ宮きさらぎ3500円[[#This Row],[キャンセル人数]]*$B$2),"")</f>
        <v/>
      </c>
      <c r="S32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2" s="15"/>
      <c r="U32" s="16" t="str">
        <f>IF(三ノ宮きさらぎ3500円[[#This Row],[人数]]="","",VLOOKUP(三ノ宮きさらぎ3500円[[#This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3" s="16" t="str">
        <f>IFERROR(($B$3*三ノ宮きさらぎ4000円[[#This Row],[人数]])-三ノ宮きさらぎ4000円[[#This Row],[単価合計]]-(三ノ宮きさらぎ4000円[[#This Row],[キャンセル人数]]*$B$2),"")</f>
        <v/>
      </c>
      <c r="H33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3" s="15"/>
      <c r="J33" s="16" t="str">
        <f>IF(三ノ宮きさらぎ4000円[[#This Row],[人数]]="","",VLOOKUP(三ノ宮きさらぎ4000円[[#This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3" s="16" t="str">
        <f>IFERROR(($M$3*三ノ宮きさらぎ3500円[[#This Row],[人数]])-三ノ宮きさらぎ3500円[[#This Row],[単価合計]]-(三ノ宮きさらぎ3500円[[#This Row],[キャンセル人数]]*$B$2),"")</f>
        <v/>
      </c>
      <c r="S33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3" s="15"/>
      <c r="U33" s="16" t="str">
        <f>IF(三ノ宮きさらぎ3500円[[#This Row],[人数]]="","",VLOOKUP(三ノ宮きさらぎ3500円[[#This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4" s="16" t="str">
        <f>IFERROR(($B$3*三ノ宮きさらぎ4000円[[#This Row],[人数]])-三ノ宮きさらぎ4000円[[#This Row],[単価合計]]-(三ノ宮きさらぎ4000円[[#This Row],[キャンセル人数]]*$B$2),"")</f>
        <v/>
      </c>
      <c r="H34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4" s="15"/>
      <c r="J34" s="16" t="str">
        <f>IF(三ノ宮きさらぎ4000円[[#This Row],[人数]]="","",VLOOKUP(三ノ宮きさらぎ4000円[[#This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4" s="16" t="str">
        <f>IFERROR(($M$3*三ノ宮きさらぎ3500円[[#This Row],[人数]])-三ノ宮きさらぎ3500円[[#This Row],[単価合計]]-(三ノ宮きさらぎ3500円[[#This Row],[キャンセル人数]]*$B$2),"")</f>
        <v/>
      </c>
      <c r="S34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4" s="15"/>
      <c r="U34" s="16" t="str">
        <f>IF(三ノ宮きさらぎ3500円[[#This Row],[人数]]="","",VLOOKUP(三ノ宮きさらぎ3500円[[#This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IF(三ノ宮きさらぎ4000円[[#This Row],[人数]]="","",IF(三ノ宮きさらぎ4000円[[#This Row],[人数]]&lt;=7,$B$1*三ノ宮きさらぎ4000円[[#This Row],[人数]],$B$1*三ノ宮きさらぎ4000円[[#This Row],[人数]]-三ノ宮きさらぎ4000円[[#This Row],[幹事無料]]))</f>
        <v/>
      </c>
      <c r="G35" s="16" t="str">
        <f>IFERROR(($B$3*三ノ宮きさらぎ4000円[[#This Row],[人数]])-三ノ宮きさらぎ4000円[[#This Row],[単価合計]]-(三ノ宮きさらぎ4000円[[#This Row],[キャンセル人数]]*$B$2),"")</f>
        <v/>
      </c>
      <c r="H35" s="16" t="str">
        <f>IF(三ノ宮きさらぎ4000円[[#This Row],[人数]]=0,"",IF(三ノ宮きさらぎ4000円[[#This Row],[人数]]&lt;=7,"",IF(三ノ宮きさらぎ4000円[[#This Row],[人数]]&lt;=15,$B$1,IF(三ノ宮きさらぎ4000円[[#This Row],[人数]]&lt;=23,$B$1*2,IF(三ノ宮きさらぎ4000円[[#This Row],[人数]]&lt;=31,$B$1*3,IF(三ノ宮きさらぎ4000円[[#This Row],[人数]]&lt;=39,$B$1*4,""))))))</f>
        <v/>
      </c>
      <c r="I35" s="19"/>
      <c r="J35" s="16" t="str">
        <f>IF(三ノ宮きさらぎ4000円[[#This Row],[人数]]="","",VLOOKUP(三ノ宮きさらぎ4000円[[#This Row],[人数]],バック金額②[#All],2,TRUE))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IF(三ノ宮きさらぎ3500円[[#This Row],[人数]]="","",IF(三ノ宮きさらぎ3500円[[#This Row],[人数]]&lt;=7,$B$1*三ノ宮きさらぎ3500円[[#This Row],[人数]],$B$1*三ノ宮きさらぎ3500円[[#This Row],[人数]]-三ノ宮きさらぎ3500円[[#This Row],[幹事無料]]))</f>
        <v/>
      </c>
      <c r="R35" s="16" t="str">
        <f>IFERROR(($M$3*三ノ宮きさらぎ3500円[[#This Row],[人数]])-三ノ宮きさらぎ3500円[[#This Row],[単価合計]]-(三ノ宮きさらぎ3500円[[#This Row],[キャンセル人数]]*$B$2),"")</f>
        <v/>
      </c>
      <c r="S35" s="16" t="str">
        <f>IF(三ノ宮きさらぎ3500円[[#This Row],[人数]]=0,"",IF(三ノ宮きさらぎ3500円[[#This Row],[人数]]&lt;=7,"",IF(三ノ宮きさらぎ3500円[[#This Row],[人数]]&lt;=15,$B$1,IF(三ノ宮きさらぎ3500円[[#This Row],[人数]]&lt;=23,$B$1*2,IF(三ノ宮きさらぎ3500円[[#This Row],[人数]]&lt;=31,$B$1*3,IF(三ノ宮きさらぎ3500円[[#This Row],[人数]]&lt;=39,$B$1*4,""))))))</f>
        <v/>
      </c>
      <c r="T35" s="19"/>
      <c r="U35" s="16" t="str">
        <f>IF(三ノ宮きさらぎ3500円[[#This Row],[人数]]="","",VLOOKUP(三ノ宮きさらぎ3500円[[#This Row],[人数]],バック金額②[#All],2,TRUE))</f>
        <v/>
      </c>
    </row>
    <row r="36" spans="1:21">
      <c r="A36" s="64" t="s">
        <v>323</v>
      </c>
      <c r="B36" s="7">
        <f>SUM(三ノ宮きさらぎ4000円[[#All],[件数]])</f>
        <v>0</v>
      </c>
      <c r="C36" s="6"/>
      <c r="D36" s="7">
        <f>SUM(三ノ宮きさらぎ4000円[[#All],[人数]])</f>
        <v>0</v>
      </c>
      <c r="E36" s="7">
        <f>SUM(三ノ宮きさらぎ4000円[[#All],[Aパターン]])</f>
        <v>0</v>
      </c>
      <c r="F36" s="7">
        <f>SUM(三ノ宮きさらぎ4000円[[#All],[単価合計]])</f>
        <v>0</v>
      </c>
      <c r="G36" s="7">
        <f>SUM(三ノ宮きさらぎ4000円[[#All],[ゆうき取りに行く]])</f>
        <v>0</v>
      </c>
      <c r="H36" s="7"/>
      <c r="I36" s="7"/>
      <c r="J36" s="7">
        <f>SUM(三ノ宮きさらぎ4000円[[#All],[イベンターへ]])</f>
        <v>0</v>
      </c>
      <c r="L36" s="64" t="s">
        <v>323</v>
      </c>
      <c r="M36" s="7">
        <f>SUM(三ノ宮きさらぎ3500円[[#All],[件数]])</f>
        <v>0</v>
      </c>
      <c r="N36" s="6"/>
      <c r="O36" s="7">
        <f>SUM(三ノ宮きさらぎ3500円[[#All],[人数]])</f>
        <v>0</v>
      </c>
      <c r="P36" s="7">
        <f>SUM(三ノ宮きさらぎ3500円[[#All],[Aパターン]])</f>
        <v>0</v>
      </c>
      <c r="Q36" s="7">
        <f>SUM(三ノ宮きさらぎ3500円[[#All],[単価合計]])</f>
        <v>0</v>
      </c>
      <c r="R36" s="7">
        <f>SUM(三ノ宮きさらぎ3500円[[#All],[ゆうき取りに行く]])</f>
        <v>0</v>
      </c>
      <c r="S36" s="7"/>
      <c r="T36" s="7"/>
      <c r="U36" s="7">
        <f>SUM(三ノ宮きさらぎ3500円[[#All],[イベンターへ]])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9AC1-C96F-4B33-91FE-78473409A597}">
  <sheetPr codeName="Sheet25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257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5" s="15"/>
      <c r="J5" s="16" t="str">
        <f>IF(三ノ宮肉バルしょうじ4000円[[#This Row],[人数]]="","",VLOOKUP(三ノ宮肉バルしょうじ4000円[[#This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5" s="15"/>
      <c r="U5" s="16" t="str">
        <f>IF(三ノ宮肉バルしょうじ3500円[[#This Row],[人数]]="","",VLOOKUP(三ノ宮肉バルしょうじ3500円[[#This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6" s="15"/>
      <c r="J6" s="16" t="str">
        <f>IF(三ノ宮肉バルしょうじ4000円[[#This Row],[人数]]="","",VLOOKUP(三ノ宮肉バルしょうじ4000円[[#This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6" s="15"/>
      <c r="U6" s="16" t="str">
        <f>IF(三ノ宮肉バルしょうじ3500円[[#This Row],[人数]]="","",VLOOKUP(三ノ宮肉バルしょうじ3500円[[#This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7" s="15"/>
      <c r="J7" s="16" t="str">
        <f>IF(三ノ宮肉バルしょうじ4000円[[#This Row],[人数]]="","",VLOOKUP(三ノ宮肉バルしょうじ4000円[[#This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7" s="15"/>
      <c r="U7" s="16" t="str">
        <f>IF(三ノ宮肉バルしょうじ3500円[[#This Row],[人数]]="","",VLOOKUP(三ノ宮肉バルしょうじ3500円[[#This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8" s="15"/>
      <c r="J8" s="16" t="str">
        <f>IF(三ノ宮肉バルしょうじ4000円[[#This Row],[人数]]="","",VLOOKUP(三ノ宮肉バルしょうじ4000円[[#This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8" s="15"/>
      <c r="U8" s="16" t="str">
        <f>IF(三ノ宮肉バルしょうじ3500円[[#This Row],[人数]]="","",VLOOKUP(三ノ宮肉バルしょうじ3500円[[#This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9" s="15"/>
      <c r="J9" s="16" t="str">
        <f>IF(三ノ宮肉バルしょうじ4000円[[#This Row],[人数]]="","",VLOOKUP(三ノ宮肉バルしょうじ4000円[[#This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9" s="15"/>
      <c r="U9" s="16" t="str">
        <f>IF(三ノ宮肉バルしょうじ3500円[[#This Row],[人数]]="","",VLOOKUP(三ノ宮肉バルしょうじ3500円[[#This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0" s="15"/>
      <c r="J10" s="16" t="str">
        <f>IF(三ノ宮肉バルしょうじ4000円[[#This Row],[人数]]="","",VLOOKUP(三ノ宮肉バルしょうじ4000円[[#This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0" s="15"/>
      <c r="U10" s="16" t="str">
        <f>IF(三ノ宮肉バルしょうじ3500円[[#This Row],[人数]]="","",VLOOKUP(三ノ宮肉バルしょうじ3500円[[#This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1" s="15"/>
      <c r="J11" s="16" t="str">
        <f>IF(三ノ宮肉バルしょうじ4000円[[#This Row],[人数]]="","",VLOOKUP(三ノ宮肉バルしょうじ4000円[[#This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1" s="15"/>
      <c r="U11" s="16" t="str">
        <f>IF(三ノ宮肉バルしょうじ3500円[[#This Row],[人数]]="","",VLOOKUP(三ノ宮肉バルしょうじ3500円[[#This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2" s="15"/>
      <c r="J12" s="16" t="str">
        <f>IF(三ノ宮肉バルしょうじ4000円[[#This Row],[人数]]="","",VLOOKUP(三ノ宮肉バルしょうじ4000円[[#This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2" s="15"/>
      <c r="U12" s="16" t="str">
        <f>IF(三ノ宮肉バルしょうじ3500円[[#This Row],[人数]]="","",VLOOKUP(三ノ宮肉バルしょうじ3500円[[#This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3" s="15"/>
      <c r="J13" s="16" t="str">
        <f>IF(三ノ宮肉バルしょうじ4000円[[#This Row],[人数]]="","",VLOOKUP(三ノ宮肉バルしょうじ4000円[[#This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3" s="15"/>
      <c r="U13" s="16" t="str">
        <f>IF(三ノ宮肉バルしょうじ3500円[[#This Row],[人数]]="","",VLOOKUP(三ノ宮肉バルしょうじ3500円[[#This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4" s="15"/>
      <c r="J14" s="16" t="str">
        <f>IF(三ノ宮肉バルしょうじ4000円[[#This Row],[人数]]="","",VLOOKUP(三ノ宮肉バルしょうじ4000円[[#This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4" s="15"/>
      <c r="U14" s="16" t="str">
        <f>IF(三ノ宮肉バルしょうじ3500円[[#This Row],[人数]]="","",VLOOKUP(三ノ宮肉バルしょうじ3500円[[#This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5" s="15"/>
      <c r="J15" s="16" t="str">
        <f>IF(三ノ宮肉バルしょうじ4000円[[#This Row],[人数]]="","",VLOOKUP(三ノ宮肉バルしょうじ4000円[[#This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5" s="15"/>
      <c r="U15" s="16" t="str">
        <f>IF(三ノ宮肉バルしょうじ3500円[[#This Row],[人数]]="","",VLOOKUP(三ノ宮肉バルしょうじ3500円[[#This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6" s="15"/>
      <c r="J16" s="16" t="str">
        <f>IF(三ノ宮肉バルしょうじ4000円[[#This Row],[人数]]="","",VLOOKUP(三ノ宮肉バルしょうじ4000円[[#This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6" s="15"/>
      <c r="U16" s="16" t="str">
        <f>IF(三ノ宮肉バルしょうじ3500円[[#This Row],[人数]]="","",VLOOKUP(三ノ宮肉バルしょうじ3500円[[#This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7" s="15"/>
      <c r="J17" s="16" t="str">
        <f>IF(三ノ宮肉バルしょうじ4000円[[#This Row],[人数]]="","",VLOOKUP(三ノ宮肉バルしょうじ4000円[[#This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7" s="15"/>
      <c r="U17" s="16" t="str">
        <f>IF(三ノ宮肉バルしょうじ3500円[[#This Row],[人数]]="","",VLOOKUP(三ノ宮肉バルしょうじ3500円[[#This Row],[人数]],バック金額②[#All],2,TRUE))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8" s="15"/>
      <c r="J18" s="16" t="str">
        <f>IF(三ノ宮肉バルしょうじ4000円[[#This Row],[人数]]="","",VLOOKUP(三ノ宮肉バルしょうじ4000円[[#This Row],[人数]],バック金額②[#All],2,TRUE))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8" s="15"/>
      <c r="U18" s="16" t="str">
        <f>IF(三ノ宮肉バルしょうじ3500円[[#This Row],[人数]]="","",VLOOKUP(三ノ宮肉バルしょうじ3500円[[#This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1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1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19" s="15"/>
      <c r="J19" s="16" t="str">
        <f>IF(三ノ宮肉バルしょうじ4000円[[#This Row],[人数]]="","",VLOOKUP(三ノ宮肉バルしょうじ4000円[[#This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1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1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19" s="15"/>
      <c r="U19" s="16" t="str">
        <f>IF(三ノ宮肉バルしょうじ3500円[[#This Row],[人数]]="","",VLOOKUP(三ノ宮肉バルしょうじ3500円[[#This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0" s="15"/>
      <c r="J20" s="16" t="str">
        <f>IF(三ノ宮肉バルしょうじ4000円[[#This Row],[人数]]="","",VLOOKUP(三ノ宮肉バルしょうじ4000円[[#This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0" s="15"/>
      <c r="U20" s="16" t="str">
        <f>IF(三ノ宮肉バルしょうじ3500円[[#This Row],[人数]]="","",VLOOKUP(三ノ宮肉バルしょうじ3500円[[#This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1" s="15"/>
      <c r="J21" s="16" t="str">
        <f>IF(三ノ宮肉バルしょうじ4000円[[#This Row],[人数]]="","",VLOOKUP(三ノ宮肉バルしょうじ4000円[[#This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1" s="15"/>
      <c r="U21" s="16" t="str">
        <f>IF(三ノ宮肉バルしょうじ3500円[[#This Row],[人数]]="","",VLOOKUP(三ノ宮肉バルしょうじ3500円[[#This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2" s="15"/>
      <c r="J22" s="16" t="str">
        <f>IF(三ノ宮肉バルしょうじ4000円[[#This Row],[人数]]="","",VLOOKUP(三ノ宮肉バルしょうじ4000円[[#This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2" s="15"/>
      <c r="U22" s="16" t="str">
        <f>IF(三ノ宮肉バルしょうじ3500円[[#This Row],[人数]]="","",VLOOKUP(三ノ宮肉バルしょうじ3500円[[#This Row],[人数]],バック金額②[#All],2,TRUE))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3" s="15"/>
      <c r="J23" s="16" t="str">
        <f>IF(三ノ宮肉バルしょうじ4000円[[#This Row],[人数]]="","",VLOOKUP(三ノ宮肉バルしょうじ4000円[[#This Row],[人数]],バック金額②[#All],2,TRUE))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3" s="15"/>
      <c r="U23" s="16" t="str">
        <f>IF(三ノ宮肉バルしょうじ3500円[[#This Row],[人数]]="","",VLOOKUP(三ノ宮肉バルしょうじ3500円[[#This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4" s="15"/>
      <c r="J24" s="16" t="str">
        <f>IF(三ノ宮肉バルしょうじ4000円[[#This Row],[人数]]="","",VLOOKUP(三ノ宮肉バルしょうじ4000円[[#This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4" s="15"/>
      <c r="U24" s="16" t="str">
        <f>IF(三ノ宮肉バルしょうじ3500円[[#This Row],[人数]]="","",VLOOKUP(三ノ宮肉バルしょうじ3500円[[#This Row],[人数]],バック金額②[#All],2,TRUE))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5" s="15"/>
      <c r="J25" s="16" t="str">
        <f>IF(三ノ宮肉バルしょうじ4000円[[#This Row],[人数]]="","",VLOOKUP(三ノ宮肉バルしょうじ4000円[[#This Row],[人数]],バック金額②[#All],2,TRUE))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5" s="15"/>
      <c r="U25" s="16" t="str">
        <f>IF(三ノ宮肉バルしょうじ3500円[[#This Row],[人数]]="","",VLOOKUP(三ノ宮肉バルしょうじ3500円[[#This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6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6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6" s="15"/>
      <c r="J26" s="16" t="str">
        <f>IF(三ノ宮肉バルしょうじ4000円[[#This Row],[人数]]="","",VLOOKUP(三ノ宮肉バルしょうじ4000円[[#This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6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6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6" s="15"/>
      <c r="U26" s="16" t="str">
        <f>IF(三ノ宮肉バルしょうじ3500円[[#This Row],[人数]]="","",VLOOKUP(三ノ宮肉バルしょうじ3500円[[#This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7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7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7" s="15"/>
      <c r="J27" s="16" t="str">
        <f>IF(三ノ宮肉バルしょうじ4000円[[#This Row],[人数]]="","",VLOOKUP(三ノ宮肉バルしょうじ4000円[[#This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7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7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7" s="15"/>
      <c r="U27" s="16" t="str">
        <f>IF(三ノ宮肉バルしょうじ3500円[[#This Row],[人数]]="","",VLOOKUP(三ノ宮肉バルしょうじ3500円[[#This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8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8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8" s="15"/>
      <c r="J28" s="16" t="str">
        <f>IF(三ノ宮肉バルしょうじ4000円[[#This Row],[人数]]="","",VLOOKUP(三ノ宮肉バルしょうじ4000円[[#This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8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8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8" s="15"/>
      <c r="U28" s="16" t="str">
        <f>IF(三ノ宮肉バルしょうじ3500円[[#This Row],[人数]]="","",VLOOKUP(三ノ宮肉バルしょうじ3500円[[#This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29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29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29" s="15"/>
      <c r="J29" s="16" t="str">
        <f>IF(三ノ宮肉バルしょうじ4000円[[#This Row],[人数]]="","",VLOOKUP(三ノ宮肉バルしょうじ4000円[[#This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29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29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29" s="15"/>
      <c r="U29" s="16" t="str">
        <f>IF(三ノ宮肉バルしょうじ3500円[[#This Row],[人数]]="","",VLOOKUP(三ノ宮肉バルしょうじ3500円[[#This Row],[人数]],バック金額②[#All],2,TRUE))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0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0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0" s="15"/>
      <c r="J30" s="16" t="str">
        <f>IF(三ノ宮肉バルしょうじ4000円[[#This Row],[人数]]="","",VLOOKUP(三ノ宮肉バルしょうじ4000円[[#This Row],[人数]],バック金額②[#All],2,TRUE))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0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0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0" s="15"/>
      <c r="U30" s="16" t="str">
        <f>IF(三ノ宮肉バルしょうじ3500円[[#This Row],[人数]]="","",VLOOKUP(三ノ宮肉バルしょうじ3500円[[#This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1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1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1" s="15"/>
      <c r="J31" s="16" t="str">
        <f>IF(三ノ宮肉バルしょうじ4000円[[#This Row],[人数]]="","",VLOOKUP(三ノ宮肉バルしょうじ4000円[[#This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1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1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1" s="15"/>
      <c r="U31" s="16" t="str">
        <f>IF(三ノ宮肉バルしょうじ3500円[[#This Row],[人数]]="","",VLOOKUP(三ノ宮肉バルしょうじ3500円[[#This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2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2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2" s="15"/>
      <c r="J32" s="16" t="str">
        <f>IF(三ノ宮肉バルしょうじ4000円[[#This Row],[人数]]="","",VLOOKUP(三ノ宮肉バルしょうじ4000円[[#This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2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2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2" s="15"/>
      <c r="U32" s="16" t="str">
        <f>IF(三ノ宮肉バルしょうじ3500円[[#This Row],[人数]]="","",VLOOKUP(三ノ宮肉バルしょうじ3500円[[#This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3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3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3" s="15"/>
      <c r="J33" s="16" t="str">
        <f>IF(三ノ宮肉バルしょうじ4000円[[#This Row],[人数]]="","",VLOOKUP(三ノ宮肉バルしょうじ4000円[[#This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3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3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3" s="15"/>
      <c r="U33" s="16" t="str">
        <f>IF(三ノ宮肉バルしょうじ3500円[[#This Row],[人数]]="","",VLOOKUP(三ノ宮肉バルしょうじ3500円[[#This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4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4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4" s="15"/>
      <c r="J34" s="16" t="str">
        <f>IF(三ノ宮肉バルしょうじ4000円[[#This Row],[人数]]="","",VLOOKUP(三ノ宮肉バルしょうじ4000円[[#This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4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4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4" s="15"/>
      <c r="U34" s="16" t="str">
        <f>IF(三ノ宮肉バルしょうじ3500円[[#This Row],[人数]]="","",VLOOKUP(三ノ宮肉バルしょうじ3500円[[#This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IF(三ノ宮肉バルしょうじ4000円[[#This Row],[人数]]="","",IF(三ノ宮肉バルしょうじ4000円[[#This Row],[人数]]&lt;=7,$B$1*三ノ宮肉バルしょうじ4000円[[#This Row],[人数]],$B$1*三ノ宮肉バルしょうじ4000円[[#This Row],[人数]]-三ノ宮肉バルしょうじ4000円[[#This Row],[幹事無料]]))</f>
        <v/>
      </c>
      <c r="G35" s="16" t="str">
        <f>IFERROR(($B$3*三ノ宮肉バルしょうじ4000円[[#This Row],[人数]])-三ノ宮肉バルしょうじ4000円[[#This Row],[単価合計]]-(三ノ宮肉バルしょうじ4000円[[#This Row],[キャンセル人数]]*$B$2),"")</f>
        <v/>
      </c>
      <c r="H35" s="16" t="str">
        <f>IF(三ノ宮肉バルしょうじ4000円[[#This Row],[人数]]=0,"",IF(三ノ宮肉バルしょうじ4000円[[#This Row],[人数]]&lt;=7,"",IF(三ノ宮肉バルしょうじ4000円[[#This Row],[人数]]&lt;=15,$B$1,IF(三ノ宮肉バルしょうじ4000円[[#This Row],[人数]]&lt;=23,$B$1*2,IF(三ノ宮肉バルしょうじ4000円[[#This Row],[人数]]&lt;=31,$B$1*3,IF(三ノ宮肉バルしょうじ4000円[[#This Row],[人数]]&lt;=39,$B$1*4,""))))))</f>
        <v/>
      </c>
      <c r="I35" s="19"/>
      <c r="J35" s="16" t="str">
        <f>IF(三ノ宮肉バルしょうじ4000円[[#This Row],[人数]]="","",VLOOKUP(三ノ宮肉バルしょうじ4000円[[#This Row],[人数]],バック金額②[#All],2,TRUE))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IF(三ノ宮肉バルしょうじ3500円[[#This Row],[人数]]="","",IF(三ノ宮肉バルしょうじ3500円[[#This Row],[人数]]&lt;=7,$B$1*三ノ宮肉バルしょうじ3500円[[#This Row],[人数]],$B$1*三ノ宮肉バルしょうじ3500円[[#This Row],[人数]]-三ノ宮肉バルしょうじ3500円[[#This Row],[幹事無料]]))</f>
        <v/>
      </c>
      <c r="R35" s="16" t="str">
        <f>IFERROR(($M$3*三ノ宮肉バルしょうじ3500円[[#This Row],[人数]])-三ノ宮肉バルしょうじ3500円[[#This Row],[単価合計]]-(三ノ宮肉バルしょうじ3500円[[#This Row],[キャンセル人数]]*$B$2),"")</f>
        <v/>
      </c>
      <c r="S35" s="16" t="str">
        <f>IF(三ノ宮肉バルしょうじ3500円[[#This Row],[人数]]=0,"",IF(三ノ宮肉バルしょうじ3500円[[#This Row],[人数]]&lt;=7,"",IF(三ノ宮肉バルしょうじ3500円[[#This Row],[人数]]&lt;=15,$B$1,IF(三ノ宮肉バルしょうじ3500円[[#This Row],[人数]]&lt;=23,$B$1*2,IF(三ノ宮肉バルしょうじ3500円[[#This Row],[人数]]&lt;=31,$B$1*3,IF(三ノ宮肉バルしょうじ3500円[[#This Row],[人数]]&lt;=39,$B$1*4,""))))))</f>
        <v/>
      </c>
      <c r="T35" s="19"/>
      <c r="U35" s="16" t="str">
        <f>IF(三ノ宮肉バルしょうじ3500円[[#This Row],[人数]]="","",VLOOKUP(三ノ宮肉バルしょうじ3500円[[#This Row],[人数]],バック金額②[#All],2,TRUE))</f>
        <v/>
      </c>
    </row>
    <row r="36" spans="1:21">
      <c r="A36" s="64" t="s">
        <v>323</v>
      </c>
      <c r="B36" s="7">
        <f>SUM(三ノ宮肉バルしょうじ4000円[[#All],[件数]])</f>
        <v>0</v>
      </c>
      <c r="C36" s="6"/>
      <c r="D36" s="7">
        <f>SUM(三ノ宮肉バルしょうじ4000円[[#All],[人数]])</f>
        <v>0</v>
      </c>
      <c r="E36" s="7">
        <f>SUM(三ノ宮肉バルしょうじ4000円[[#All],[Aパターン]])</f>
        <v>0</v>
      </c>
      <c r="F36" s="7">
        <f>SUM(三ノ宮肉バルしょうじ4000円[[#All],[単価合計]])</f>
        <v>0</v>
      </c>
      <c r="G36" s="7">
        <f>SUM(三ノ宮肉バルしょうじ4000円[[#All],[ゆうき取りに行く]])</f>
        <v>0</v>
      </c>
      <c r="H36" s="7"/>
      <c r="I36" s="7"/>
      <c r="J36" s="7">
        <f>SUM(三ノ宮肉バルしょうじ4000円[[#All],[イベンターへ]])</f>
        <v>0</v>
      </c>
      <c r="L36" s="64" t="s">
        <v>323</v>
      </c>
      <c r="M36" s="7">
        <f>SUM(三ノ宮肉バルしょうじ3500円[[#All],[件数]])</f>
        <v>0</v>
      </c>
      <c r="N36" s="6"/>
      <c r="O36" s="7">
        <f>SUM(三ノ宮肉バルしょうじ3500円[[#All],[人数]])</f>
        <v>0</v>
      </c>
      <c r="P36" s="7">
        <f>SUM(三ノ宮肉バルしょうじ3500円[[#All],[Aパターン]])</f>
        <v>0</v>
      </c>
      <c r="Q36" s="7">
        <f>SUM(三ノ宮肉バルしょうじ3500円[[#All],[単価合計]])</f>
        <v>0</v>
      </c>
      <c r="R36" s="7">
        <f>SUM(三ノ宮肉バルしょうじ3500円[[#All],[ゆうき取りに行く]])</f>
        <v>0</v>
      </c>
      <c r="S36" s="7"/>
      <c r="T36" s="7"/>
      <c r="U36" s="7">
        <f>SUM(三ノ宮肉バルしょうじ3500円[[#All],[イベンターへ]])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77CF-7226-4576-9B9C-1B1EAAAC3281}">
  <sheetPr codeName="Sheet36"/>
  <dimension ref="A1:U36"/>
  <sheetViews>
    <sheetView tabSelected="1" zoomScale="70" zoomScaleNormal="70" workbookViewId="0">
      <pane ySplit="4" topLeftCell="A5" activePane="bottomLeft" state="frozen"/>
      <selection pane="bottomLeft" activeCell="G36" sqref="G36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2.88671875" style="8" bestFit="1" customWidth="1"/>
    <col min="6" max="6" width="11.6640625" style="9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33203125" style="8" customWidth="1"/>
    <col min="14" max="14" width="16.5546875" style="8" customWidth="1"/>
    <col min="15" max="15" width="6.33203125" style="8" customWidth="1"/>
    <col min="16" max="16" width="12.88671875" style="8" bestFit="1" customWidth="1"/>
    <col min="17" max="17" width="11.6640625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  <c r="G1" s="93" t="s">
        <v>542</v>
      </c>
    </row>
    <row r="2" spans="1:21">
      <c r="A2" s="46" t="s">
        <v>372</v>
      </c>
      <c r="B2" s="8">
        <v>1300</v>
      </c>
      <c r="G2" s="93" t="s">
        <v>543</v>
      </c>
    </row>
    <row r="3" spans="1:21">
      <c r="A3" s="46" t="s">
        <v>376</v>
      </c>
      <c r="B3" s="8">
        <v>4000</v>
      </c>
      <c r="C3" s="46" t="s">
        <v>519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5" s="16" t="str">
        <f>IFERROR(($B$3*三ノ宮Barさんかく4000[[#This Row],[人数]])-三ノ宮Barさんかく4000[[#This Row],[単価合計]]-(三ノ宮Barさんかく4000[[#This Row],[キャンセル人数]]*$B$2),"")</f>
        <v/>
      </c>
      <c r="H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5" s="15"/>
      <c r="J5" s="16" t="str">
        <f>IF(三ノ宮Barさんかく4000[[#This Row],[人数]]="","",VLOOKUP(三ノ宮Barさんかく4000[[#This Row],[人数]],バック金額②[#All],2,TRUE))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5" s="16" t="str">
        <f>IFERROR(($M$3*三ノ宮Barさんかく3500[[#This Row],[人数]])-三ノ宮Barさんかく3500[[#This Row],[単価合計]]-(三ノ宮Barさんかく3500[[#This Row],[キャンセル人数]]*$B$2),"")</f>
        <v/>
      </c>
      <c r="S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5" s="15"/>
      <c r="U5" s="16" t="str">
        <f>IF(三ノ宮Barさんかく3500[[#This Row],[人数]]="","",VLOOKUP(三ノ宮Barさんかく3500[[#This Row],[人数]],バック金額②[#All],2,TRUE))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6" s="16" t="str">
        <f>IFERROR(($B$3*三ノ宮Barさんかく4000[[#This Row],[人数]])-三ノ宮Barさんかく4000[[#This Row],[単価合計]]-(三ノ宮Barさんかく4000[[#This Row],[キャンセル人数]]*$B$2),"")</f>
        <v/>
      </c>
      <c r="H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6" s="15"/>
      <c r="J6" s="16" t="str">
        <f>IF(三ノ宮Barさんかく4000[[#This Row],[人数]]="","",VLOOKUP(三ノ宮Barさんかく4000[[#This Row],[人数]],バック金額②[#All],2,TRUE))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6" s="16" t="str">
        <f>IFERROR(($M$3*三ノ宮Barさんかく3500[[#This Row],[人数]])-三ノ宮Barさんかく3500[[#This Row],[単価合計]]-(三ノ宮Barさんかく3500[[#This Row],[キャンセル人数]]*$B$2),"")</f>
        <v/>
      </c>
      <c r="S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6" s="15"/>
      <c r="U6" s="16" t="str">
        <f>IF(三ノ宮Barさんかく3500[[#This Row],[人数]]="","",VLOOKUP(三ノ宮Barさんかく3500[[#This Row],[人数]],バック金額②[#All],2,TRUE))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7" s="16" t="str">
        <f>IFERROR(($B$3*三ノ宮Barさんかく4000[[#This Row],[人数]])-三ノ宮Barさんかく4000[[#This Row],[単価合計]]-(三ノ宮Barさんかく4000[[#This Row],[キャンセル人数]]*$B$2),"")</f>
        <v/>
      </c>
      <c r="H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7" s="15"/>
      <c r="J7" s="16" t="str">
        <f>IF(三ノ宮Barさんかく4000[[#This Row],[人数]]="","",VLOOKUP(三ノ宮Barさんかく4000[[#This Row],[人数]],バック金額②[#All],2,TRUE))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7" s="16" t="str">
        <f>IFERROR(($M$3*三ノ宮Barさんかく3500[[#This Row],[人数]])-三ノ宮Barさんかく3500[[#This Row],[単価合計]]-(三ノ宮Barさんかく3500[[#This Row],[キャンセル人数]]*$B$2),"")</f>
        <v/>
      </c>
      <c r="S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7" s="15"/>
      <c r="U7" s="16" t="str">
        <f>IF(三ノ宮Barさんかく3500[[#This Row],[人数]]="","",VLOOKUP(三ノ宮Barさんかく3500[[#This Row],[人数]],バック金額②[#All],2,TRUE))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8" s="16" t="str">
        <f>IFERROR(($B$3*三ノ宮Barさんかく4000[[#This Row],[人数]])-三ノ宮Barさんかく4000[[#This Row],[単価合計]]-(三ノ宮Barさんかく4000[[#This Row],[キャンセル人数]]*$B$2),"")</f>
        <v/>
      </c>
      <c r="H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8" s="15"/>
      <c r="J8" s="16" t="str">
        <f>IF(三ノ宮Barさんかく4000[[#This Row],[人数]]="","",VLOOKUP(三ノ宮Barさんかく4000[[#This Row],[人数]],バック金額②[#All],2,TRUE))</f>
        <v/>
      </c>
      <c r="L8" s="63">
        <f t="shared" si="1"/>
        <v>44838</v>
      </c>
      <c r="M8" s="13"/>
      <c r="N8" s="14"/>
      <c r="O8" s="15"/>
      <c r="P8" s="15"/>
      <c r="Q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8" s="16" t="str">
        <f>IFERROR(($M$3*三ノ宮Barさんかく3500[[#This Row],[人数]])-三ノ宮Barさんかく3500[[#This Row],[単価合計]]-(三ノ宮Barさんかく3500[[#This Row],[キャンセル人数]]*$B$2),"")</f>
        <v/>
      </c>
      <c r="S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8" s="15"/>
      <c r="U8" s="16" t="str">
        <f>IF(三ノ宮Barさんかく3500[[#This Row],[人数]]="","",VLOOKUP(三ノ宮Barさんかく3500[[#This Row],[人数]],バック金額②[#All],2,TRUE))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9" s="16" t="str">
        <f>IFERROR(($B$3*三ノ宮Barさんかく4000[[#This Row],[人数]])-三ノ宮Barさんかく4000[[#This Row],[単価合計]]-(三ノ宮Barさんかく4000[[#This Row],[キャンセル人数]]*$B$2),"")</f>
        <v/>
      </c>
      <c r="H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9" s="15"/>
      <c r="J9" s="16" t="str">
        <f>IF(三ノ宮Barさんかく4000[[#This Row],[人数]]="","",VLOOKUP(三ノ宮Barさんかく4000[[#This Row],[人数]],バック金額②[#All],2,TRUE))</f>
        <v/>
      </c>
      <c r="L9" s="63">
        <f t="shared" si="1"/>
        <v>44839</v>
      </c>
      <c r="M9" s="13"/>
      <c r="N9" s="14"/>
      <c r="O9" s="15"/>
      <c r="P9" s="15"/>
      <c r="Q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9" s="16" t="str">
        <f>IFERROR(($M$3*三ノ宮Barさんかく3500[[#This Row],[人数]])-三ノ宮Barさんかく3500[[#This Row],[単価合計]]-(三ノ宮Barさんかく3500[[#This Row],[キャンセル人数]]*$B$2),"")</f>
        <v/>
      </c>
      <c r="S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9" s="15"/>
      <c r="U9" s="16" t="str">
        <f>IF(三ノ宮Barさんかく3500[[#This Row],[人数]]="","",VLOOKUP(三ノ宮Barさんかく3500[[#This Row],[人数]],バック金額②[#All],2,TRUE))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0" s="16" t="str">
        <f>IFERROR(($B$3*三ノ宮Barさんかく4000[[#This Row],[人数]])-三ノ宮Barさんかく4000[[#This Row],[単価合計]]-(三ノ宮Barさんかく4000[[#This Row],[キャンセル人数]]*$B$2),"")</f>
        <v/>
      </c>
      <c r="H1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0" s="15"/>
      <c r="J10" s="16" t="str">
        <f>IF(三ノ宮Barさんかく4000[[#This Row],[人数]]="","",VLOOKUP(三ノ宮Barさんかく4000[[#This Row],[人数]],バック金額②[#All],2,TRUE))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0" s="16" t="str">
        <f>IFERROR(($M$3*三ノ宮Barさんかく3500[[#This Row],[人数]])-三ノ宮Barさんかく3500[[#This Row],[単価合計]]-(三ノ宮Barさんかく3500[[#This Row],[キャンセル人数]]*$B$2),"")</f>
        <v/>
      </c>
      <c r="S1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0" s="15"/>
      <c r="U10" s="16" t="str">
        <f>IF(三ノ宮Barさんかく3500[[#This Row],[人数]]="","",VLOOKUP(三ノ宮Barさんかく3500[[#This Row],[人数]],バック金額②[#All],2,TRUE))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1" s="16" t="str">
        <f>IFERROR(($B$3*三ノ宮Barさんかく4000[[#This Row],[人数]])-三ノ宮Barさんかく4000[[#This Row],[単価合計]]-(三ノ宮Barさんかく4000[[#This Row],[キャンセル人数]]*$B$2),"")</f>
        <v/>
      </c>
      <c r="H1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1" s="15"/>
      <c r="J11" s="16" t="str">
        <f>IF(三ノ宮Barさんかく4000[[#This Row],[人数]]="","",VLOOKUP(三ノ宮Barさんかく4000[[#This Row],[人数]],バック金額②[#All],2,TRUE))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1" s="16" t="str">
        <f>IFERROR(($M$3*三ノ宮Barさんかく3500[[#This Row],[人数]])-三ノ宮Barさんかく3500[[#This Row],[単価合計]]-(三ノ宮Barさんかく3500[[#This Row],[キャンセル人数]]*$B$2),"")</f>
        <v/>
      </c>
      <c r="S1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1" s="15"/>
      <c r="U11" s="16" t="str">
        <f>IF(三ノ宮Barさんかく3500[[#This Row],[人数]]="","",VLOOKUP(三ノ宮Barさんかく3500[[#This Row],[人数]],バック金額②[#All],2,TRUE))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2" s="16" t="str">
        <f>IFERROR(($B$3*三ノ宮Barさんかく4000[[#This Row],[人数]])-三ノ宮Barさんかく4000[[#This Row],[単価合計]]-(三ノ宮Barさんかく4000[[#This Row],[キャンセル人数]]*$B$2),"")</f>
        <v/>
      </c>
      <c r="H1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2" s="15"/>
      <c r="J12" s="16" t="str">
        <f>IF(三ノ宮Barさんかく4000[[#This Row],[人数]]="","",VLOOKUP(三ノ宮Barさんかく4000[[#This Row],[人数]],バック金額②[#All],2,TRUE))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2" s="16" t="str">
        <f>IFERROR(($M$3*三ノ宮Barさんかく3500[[#This Row],[人数]])-三ノ宮Barさんかく3500[[#This Row],[単価合計]]-(三ノ宮Barさんかく3500[[#This Row],[キャンセル人数]]*$B$2),"")</f>
        <v/>
      </c>
      <c r="S1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2" s="15"/>
      <c r="U12" s="16" t="str">
        <f>IF(三ノ宮Barさんかく3500[[#This Row],[人数]]="","",VLOOKUP(三ノ宮Barさんかく3500[[#This Row],[人数]],バック金額②[#All],2,TRUE))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3" s="16" t="str">
        <f>IFERROR(($B$3*三ノ宮Barさんかく4000[[#This Row],[人数]])-三ノ宮Barさんかく4000[[#This Row],[単価合計]]-(三ノ宮Barさんかく4000[[#This Row],[キャンセル人数]]*$B$2),"")</f>
        <v/>
      </c>
      <c r="H1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3" s="15"/>
      <c r="J13" s="16" t="str">
        <f>IF(三ノ宮Barさんかく4000[[#This Row],[人数]]="","",VLOOKUP(三ノ宮Barさんかく4000[[#This Row],[人数]],バック金額②[#All],2,TRUE))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3" s="16" t="str">
        <f>IFERROR(($M$3*三ノ宮Barさんかく3500[[#This Row],[人数]])-三ノ宮Barさんかく3500[[#This Row],[単価合計]]-(三ノ宮Barさんかく3500[[#This Row],[キャンセル人数]]*$B$2),"")</f>
        <v/>
      </c>
      <c r="S1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3" s="15"/>
      <c r="U13" s="16" t="str">
        <f>IF(三ノ宮Barさんかく3500[[#This Row],[人数]]="","",VLOOKUP(三ノ宮Barさんかく3500[[#This Row],[人数]],バック金額②[#All],2,TRUE))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4" s="16" t="str">
        <f>IFERROR(($B$3*三ノ宮Barさんかく4000[[#This Row],[人数]])-三ノ宮Barさんかく4000[[#This Row],[単価合計]]-(三ノ宮Barさんかく4000[[#This Row],[キャンセル人数]]*$B$2),"")</f>
        <v/>
      </c>
      <c r="H1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4" s="15"/>
      <c r="J14" s="16" t="str">
        <f>IF(三ノ宮Barさんかく4000[[#This Row],[人数]]="","",VLOOKUP(三ノ宮Barさんかく4000[[#This Row],[人数]],バック金額②[#All],2,TRUE))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4" s="16" t="str">
        <f>IFERROR(($M$3*三ノ宮Barさんかく3500[[#This Row],[人数]])-三ノ宮Barさんかく3500[[#This Row],[単価合計]]-(三ノ宮Barさんかく3500[[#This Row],[キャンセル人数]]*$B$2),"")</f>
        <v/>
      </c>
      <c r="S1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4" s="15"/>
      <c r="U14" s="16" t="str">
        <f>IF(三ノ宮Barさんかく3500[[#This Row],[人数]]="","",VLOOKUP(三ノ宮Barさんかく3500[[#This Row],[人数]],バック金額②[#All],2,TRUE))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5" s="16" t="str">
        <f>IFERROR(($B$3*三ノ宮Barさんかく4000[[#This Row],[人数]])-三ノ宮Barさんかく4000[[#This Row],[単価合計]]-(三ノ宮Barさんかく4000[[#This Row],[キャンセル人数]]*$B$2),"")</f>
        <v/>
      </c>
      <c r="H1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5" s="15"/>
      <c r="J15" s="16" t="str">
        <f>IF(三ノ宮Barさんかく4000[[#This Row],[人数]]="","",VLOOKUP(三ノ宮Barさんかく4000[[#This Row],[人数]],バック金額②[#All],2,TRUE))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5" s="16" t="str">
        <f>IFERROR(($M$3*三ノ宮Barさんかく3500[[#This Row],[人数]])-三ノ宮Barさんかく3500[[#This Row],[単価合計]]-(三ノ宮Barさんかく3500[[#This Row],[キャンセル人数]]*$B$2),"")</f>
        <v/>
      </c>
      <c r="S1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5" s="15"/>
      <c r="U15" s="16" t="str">
        <f>IF(三ノ宮Barさんかく3500[[#This Row],[人数]]="","",VLOOKUP(三ノ宮Barさんかく3500[[#This Row],[人数]],バック金額②[#All],2,TRUE))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6" s="16" t="str">
        <f>IFERROR(($B$3*三ノ宮Barさんかく4000[[#This Row],[人数]])-三ノ宮Barさんかく4000[[#This Row],[単価合計]]-(三ノ宮Barさんかく4000[[#This Row],[キャンセル人数]]*$B$2),"")</f>
        <v/>
      </c>
      <c r="H1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6" s="15"/>
      <c r="J16" s="16" t="str">
        <f>IF(三ノ宮Barさんかく4000[[#This Row],[人数]]="","",VLOOKUP(三ノ宮Barさんかく4000[[#This Row],[人数]],バック金額②[#All],2,TRUE))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6" s="16" t="str">
        <f>IFERROR(($M$3*三ノ宮Barさんかく3500[[#This Row],[人数]])-三ノ宮Barさんかく3500[[#This Row],[単価合計]]-(三ノ宮Barさんかく3500[[#This Row],[キャンセル人数]]*$B$2),"")</f>
        <v/>
      </c>
      <c r="S1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6" s="15"/>
      <c r="U16" s="16" t="str">
        <f>IF(三ノ宮Barさんかく3500[[#This Row],[人数]]="","",VLOOKUP(三ノ宮Barさんかく3500[[#This Row],[人数]],バック金額②[#All],2,TRUE))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7" s="16" t="str">
        <f>IFERROR(($B$3*三ノ宮Barさんかく4000[[#This Row],[人数]])-三ノ宮Barさんかく4000[[#This Row],[単価合計]]-(三ノ宮Barさんかく4000[[#This Row],[キャンセル人数]]*$B$2),"")</f>
        <v/>
      </c>
      <c r="H1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7" s="15"/>
      <c r="J17" s="16" t="str">
        <f>IF(三ノ宮Barさんかく4000[[#This Row],[人数]]="","",VLOOKUP(三ノ宮Barさんかく4000[[#This Row],[人数]],バック金額②[#All],2,TRUE))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7" s="16" t="str">
        <f>IFERROR(($M$3*三ノ宮Barさんかく3500[[#This Row],[人数]])-三ノ宮Barさんかく3500[[#This Row],[単価合計]]-(三ノ宮Barさんかく3500[[#This Row],[キャンセル人数]]*$B$2),"")</f>
        <v/>
      </c>
      <c r="S1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7" s="15"/>
      <c r="U17" s="16" t="str">
        <f>IF(三ノ宮Barさんかく3500[[#This Row],[人数]]="","",VLOOKUP(三ノ宮Barさんかく3500[[#This Row],[人数]],バック金額②[#All],2,TRUE))</f>
        <v/>
      </c>
    </row>
    <row r="18" spans="1:21">
      <c r="A18" s="63">
        <f t="shared" si="0"/>
        <v>44848</v>
      </c>
      <c r="B18" s="13">
        <v>1</v>
      </c>
      <c r="C18" s="14">
        <v>0</v>
      </c>
      <c r="D18" s="15">
        <v>8</v>
      </c>
      <c r="E18" s="15">
        <v>1</v>
      </c>
      <c r="F18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18" s="16">
        <f>IFERROR(($B$3*三ノ宮Barさんかく4000[[#This Row],[人数]])-三ノ宮Barさんかく4000[[#This Row],[単価合計]]-(三ノ宮Barさんかく4000[[#This Row],[キャンセル人数]]*$B$2),"")</f>
        <v>14500</v>
      </c>
      <c r="H18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18" s="15"/>
      <c r="J18" s="16">
        <f>IF(三ノ宮Barさんかく4000[[#This Row],[人数]]="","",VLOOKUP(三ノ宮Barさんかく4000[[#This Row],[人数]],バック金額②[#All],2,TRUE))</f>
        <v>9000</v>
      </c>
      <c r="L18" s="63">
        <f t="shared" si="1"/>
        <v>44848</v>
      </c>
      <c r="M18" s="13"/>
      <c r="N18" s="14"/>
      <c r="O18" s="15"/>
      <c r="P18" s="15"/>
      <c r="Q1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8" s="16" t="str">
        <f>IFERROR(($M$3*三ノ宮Barさんかく3500[[#This Row],[人数]])-三ノ宮Barさんかく3500[[#This Row],[単価合計]]-(三ノ宮Barさんかく3500[[#This Row],[キャンセル人数]]*$B$2),"")</f>
        <v/>
      </c>
      <c r="S1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8" s="15"/>
      <c r="U18" s="16" t="str">
        <f>IF(三ノ宮Barさんかく3500[[#This Row],[人数]]="","",VLOOKUP(三ノ宮Barさんかく3500[[#This Row],[人数]],バック金額②[#All],2,TRUE))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19" s="16" t="str">
        <f>IFERROR(($B$3*三ノ宮Barさんかく4000[[#This Row],[人数]])-三ノ宮Barさんかく4000[[#This Row],[単価合計]]-(三ノ宮Barさんかく4000[[#This Row],[キャンセル人数]]*$B$2),"")</f>
        <v/>
      </c>
      <c r="H1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19" s="15"/>
      <c r="J19" s="16" t="str">
        <f>IF(三ノ宮Barさんかく4000[[#This Row],[人数]]="","",VLOOKUP(三ノ宮Barさんかく4000[[#This Row],[人数]],バック金額②[#All],2,TRUE))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19" s="16" t="str">
        <f>IFERROR(($M$3*三ノ宮Barさんかく3500[[#This Row],[人数]])-三ノ宮Barさんかく3500[[#This Row],[単価合計]]-(三ノ宮Barさんかく3500[[#This Row],[キャンセル人数]]*$B$2),"")</f>
        <v/>
      </c>
      <c r="S1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19" s="15"/>
      <c r="U19" s="16" t="str">
        <f>IF(三ノ宮Barさんかく3500[[#This Row],[人数]]="","",VLOOKUP(三ノ宮Barさんかく3500[[#This Row],[人数]],バック金額②[#All],2,TRUE))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0" s="16" t="str">
        <f>IFERROR(($B$3*三ノ宮Barさんかく4000[[#This Row],[人数]])-三ノ宮Barさんかく4000[[#This Row],[単価合計]]-(三ノ宮Barさんかく4000[[#This Row],[キャンセル人数]]*$B$2),"")</f>
        <v/>
      </c>
      <c r="H20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0" s="15"/>
      <c r="J20" s="16" t="str">
        <f>IF(三ノ宮Barさんかく4000[[#This Row],[人数]]="","",VLOOKUP(三ノ宮Barさんかく4000[[#This Row],[人数]],バック金額②[#All],2,TRUE))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0" s="16" t="str">
        <f>IFERROR(($M$3*三ノ宮Barさんかく3500[[#This Row],[人数]])-三ノ宮Barさんかく3500[[#This Row],[単価合計]]-(三ノ宮Barさんかく3500[[#This Row],[キャンセル人数]]*$B$2),"")</f>
        <v/>
      </c>
      <c r="S2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0" s="15"/>
      <c r="U20" s="16" t="str">
        <f>IF(三ノ宮Barさんかく3500[[#This Row],[人数]]="","",VLOOKUP(三ノ宮Barさんかく3500[[#This Row],[人数]],バック金額②[#All],2,TRUE))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1" s="16" t="str">
        <f>IFERROR(($B$3*三ノ宮Barさんかく4000[[#This Row],[人数]])-三ノ宮Barさんかく4000[[#This Row],[単価合計]]-(三ノ宮Barさんかく4000[[#This Row],[キャンセル人数]]*$B$2),"")</f>
        <v/>
      </c>
      <c r="H2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1" s="15"/>
      <c r="J21" s="16" t="str">
        <f>IF(三ノ宮Barさんかく4000[[#This Row],[人数]]="","",VLOOKUP(三ノ宮Barさんかく4000[[#This Row],[人数]],バック金額②[#All],2,TRUE))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1" s="16" t="str">
        <f>IFERROR(($M$3*三ノ宮Barさんかく3500[[#This Row],[人数]])-三ノ宮Barさんかく3500[[#This Row],[単価合計]]-(三ノ宮Barさんかく3500[[#This Row],[キャンセル人数]]*$B$2),"")</f>
        <v/>
      </c>
      <c r="S2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1" s="15"/>
      <c r="U21" s="16" t="str">
        <f>IF(三ノ宮Barさんかく3500[[#This Row],[人数]]="","",VLOOKUP(三ノ宮Barさんかく3500[[#This Row],[人数]],バック金額②[#All],2,TRUE))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2" s="16" t="str">
        <f>IFERROR(($B$3*三ノ宮Barさんかく4000[[#This Row],[人数]])-三ノ宮Barさんかく4000[[#This Row],[単価合計]]-(三ノ宮Barさんかく4000[[#This Row],[キャンセル人数]]*$B$2),"")</f>
        <v/>
      </c>
      <c r="H2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2" s="15"/>
      <c r="J22" s="16" t="str">
        <f>IF(三ノ宮Barさんかく4000[[#This Row],[人数]]="","",VLOOKUP(三ノ宮Barさんかく4000[[#This Row],[人数]],バック金額②[#All],2,TRUE))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2" s="16" t="str">
        <f>IFERROR(($M$3*三ノ宮Barさんかく3500[[#This Row],[人数]])-三ノ宮Barさんかく3500[[#This Row],[単価合計]]-(三ノ宮Barさんかく3500[[#This Row],[キャンセル人数]]*$B$2),"")</f>
        <v/>
      </c>
      <c r="S2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2" s="15"/>
      <c r="U22" s="16" t="str">
        <f>IF(三ノ宮Barさんかく3500[[#This Row],[人数]]="","",VLOOKUP(三ノ宮Barさんかく3500[[#This Row],[人数]],バック金額②[#All],2,TRUE))</f>
        <v/>
      </c>
    </row>
    <row r="23" spans="1:21">
      <c r="A23" s="63">
        <f t="shared" si="0"/>
        <v>44853</v>
      </c>
      <c r="B23" s="13">
        <v>1</v>
      </c>
      <c r="C23" s="14">
        <v>0</v>
      </c>
      <c r="D23" s="15">
        <v>6</v>
      </c>
      <c r="E23" s="15"/>
      <c r="F23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15000</v>
      </c>
      <c r="G23" s="16">
        <f>IFERROR(($B$3*三ノ宮Barさんかく4000[[#This Row],[人数]])-三ノ宮Barさんかく4000[[#This Row],[単価合計]]-(三ノ宮Barさんかく4000[[#This Row],[キャンセル人数]]*$B$2),"")</f>
        <v>9000</v>
      </c>
      <c r="H2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3" s="15"/>
      <c r="J23" s="16">
        <f>IF(三ノ宮Barさんかく4000[[#This Row],[人数]]="","",VLOOKUP(三ノ宮Barさんかく4000[[#This Row],[人数]],バック金額②[#All],2,TRUE))</f>
        <v>6000</v>
      </c>
      <c r="L23" s="63">
        <f t="shared" si="1"/>
        <v>44853</v>
      </c>
      <c r="M23" s="13"/>
      <c r="N23" s="14"/>
      <c r="O23" s="15"/>
      <c r="P23" s="15"/>
      <c r="Q2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3" s="16" t="str">
        <f>IFERROR(($M$3*三ノ宮Barさんかく3500[[#This Row],[人数]])-三ノ宮Barさんかく3500[[#This Row],[単価合計]]-(三ノ宮Barさんかく3500[[#This Row],[キャンセル人数]]*$B$2),"")</f>
        <v/>
      </c>
      <c r="S2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3" s="15"/>
      <c r="U23" s="16" t="str">
        <f>IF(三ノ宮Barさんかく3500[[#This Row],[人数]]="","",VLOOKUP(三ノ宮Barさんかく3500[[#This Row],[人数]],バック金額②[#All],2,TRUE))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4" s="16" t="str">
        <f>IFERROR(($B$3*三ノ宮Barさんかく4000[[#This Row],[人数]])-三ノ宮Barさんかく4000[[#This Row],[単価合計]]-(三ノ宮Barさんかく4000[[#This Row],[キャンセル人数]]*$B$2),"")</f>
        <v/>
      </c>
      <c r="H2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4" s="15"/>
      <c r="J24" s="16" t="str">
        <f>IF(三ノ宮Barさんかく4000[[#This Row],[人数]]="","",VLOOKUP(三ノ宮Barさんかく4000[[#This Row],[人数]],バック金額②[#All],2,TRUE))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4" s="16" t="str">
        <f>IFERROR(($M$3*三ノ宮Barさんかく3500[[#This Row],[人数]])-三ノ宮Barさんかく3500[[#This Row],[単価合計]]-(三ノ宮Barさんかく3500[[#This Row],[キャンセル人数]]*$B$2),"")</f>
        <v/>
      </c>
      <c r="S2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4" s="15"/>
      <c r="U24" s="16" t="str">
        <f>IF(三ノ宮Barさんかく3500[[#This Row],[人数]]="","",VLOOKUP(三ノ宮Barさんかく3500[[#This Row],[人数]],バック金額②[#All],2,TRUE))</f>
        <v/>
      </c>
    </row>
    <row r="25" spans="1:21">
      <c r="A25" s="63">
        <f t="shared" si="0"/>
        <v>44855</v>
      </c>
      <c r="B25" s="13">
        <v>1</v>
      </c>
      <c r="C25" s="14">
        <v>0</v>
      </c>
      <c r="D25" s="15">
        <v>8</v>
      </c>
      <c r="E25" s="15">
        <v>1</v>
      </c>
      <c r="F25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25" s="16">
        <f>IFERROR(($B$3*三ノ宮Barさんかく4000[[#This Row],[人数]])-三ノ宮Barさんかく4000[[#This Row],[単価合計]]-(三ノ宮Barさんかく4000[[#This Row],[キャンセル人数]]*$B$2),"")</f>
        <v>14500</v>
      </c>
      <c r="H25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25" s="15"/>
      <c r="J25" s="16">
        <f>IF(三ノ宮Barさんかく4000[[#This Row],[人数]]="","",VLOOKUP(三ノ宮Barさんかく4000[[#This Row],[人数]],バック金額②[#All],2,TRUE))</f>
        <v>9000</v>
      </c>
      <c r="L25" s="63">
        <f t="shared" si="1"/>
        <v>44855</v>
      </c>
      <c r="M25" s="13"/>
      <c r="N25" s="14"/>
      <c r="O25" s="15"/>
      <c r="P25" s="15"/>
      <c r="Q2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5" s="16" t="str">
        <f>IFERROR(($M$3*三ノ宮Barさんかく3500[[#This Row],[人数]])-三ノ宮Barさんかく3500[[#This Row],[単価合計]]-(三ノ宮Barさんかく3500[[#This Row],[キャンセル人数]]*$B$2),"")</f>
        <v/>
      </c>
      <c r="S2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5" s="15"/>
      <c r="U25" s="16" t="str">
        <f>IF(三ノ宮Barさんかく3500[[#This Row],[人数]]="","",VLOOKUP(三ノ宮Barさんかく3500[[#This Row],[人数]],バック金額②[#All],2,TRUE))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6" s="16" t="str">
        <f>IFERROR(($B$3*三ノ宮Barさんかく4000[[#This Row],[人数]])-三ノ宮Barさんかく4000[[#This Row],[単価合計]]-(三ノ宮Barさんかく4000[[#This Row],[キャンセル人数]]*$B$2),"")</f>
        <v/>
      </c>
      <c r="H26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6" s="15"/>
      <c r="J26" s="16" t="str">
        <f>IF(三ノ宮Barさんかく4000[[#This Row],[人数]]="","",VLOOKUP(三ノ宮Barさんかく4000[[#This Row],[人数]],バック金額②[#All],2,TRUE))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6" s="16" t="str">
        <f>IFERROR(($M$3*三ノ宮Barさんかく3500[[#This Row],[人数]])-三ノ宮Barさんかく3500[[#This Row],[単価合計]]-(三ノ宮Barさんかく3500[[#This Row],[キャンセル人数]]*$B$2),"")</f>
        <v/>
      </c>
      <c r="S26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6" s="15"/>
      <c r="U26" s="16" t="str">
        <f>IF(三ノ宮Barさんかく3500[[#This Row],[人数]]="","",VLOOKUP(三ノ宮Barさんかく3500[[#This Row],[人数]],バック金額②[#All],2,TRUE))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7" s="16" t="str">
        <f>IFERROR(($B$3*三ノ宮Barさんかく4000[[#This Row],[人数]])-三ノ宮Barさんかく4000[[#This Row],[単価合計]]-(三ノ宮Barさんかく4000[[#This Row],[キャンセル人数]]*$B$2),"")</f>
        <v/>
      </c>
      <c r="H27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7" s="15"/>
      <c r="J27" s="16" t="str">
        <f>IF(三ノ宮Barさんかく4000[[#This Row],[人数]]="","",VLOOKUP(三ノ宮Barさんかく4000[[#This Row],[人数]],バック金額②[#All],2,TRUE))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7" s="16" t="str">
        <f>IFERROR(($M$3*三ノ宮Barさんかく3500[[#This Row],[人数]])-三ノ宮Barさんかく3500[[#This Row],[単価合計]]-(三ノ宮Barさんかく3500[[#This Row],[キャンセル人数]]*$B$2),"")</f>
        <v/>
      </c>
      <c r="S27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7" s="15"/>
      <c r="U27" s="16" t="str">
        <f>IF(三ノ宮Barさんかく3500[[#This Row],[人数]]="","",VLOOKUP(三ノ宮Barさんかく3500[[#This Row],[人数]],バック金額②[#All],2,TRUE))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8" s="16" t="str">
        <f>IFERROR(($B$3*三ノ宮Barさんかく4000[[#This Row],[人数]])-三ノ宮Barさんかく4000[[#This Row],[単価合計]]-(三ノ宮Barさんかく4000[[#This Row],[キャンセル人数]]*$B$2),"")</f>
        <v/>
      </c>
      <c r="H28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8" s="15"/>
      <c r="J28" s="16" t="str">
        <f>IF(三ノ宮Barさんかく4000[[#This Row],[人数]]="","",VLOOKUP(三ノ宮Barさんかく4000[[#This Row],[人数]],バック金額②[#All],2,TRUE))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8" s="16" t="str">
        <f>IFERROR(($M$3*三ノ宮Barさんかく3500[[#This Row],[人数]])-三ノ宮Barさんかく3500[[#This Row],[単価合計]]-(三ノ宮Barさんかく3500[[#This Row],[キャンセル人数]]*$B$2),"")</f>
        <v/>
      </c>
      <c r="S28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8" s="15"/>
      <c r="U28" s="16" t="str">
        <f>IF(三ノ宮Barさんかく3500[[#This Row],[人数]]="","",VLOOKUP(三ノ宮Barさんかく3500[[#This Row],[人数]],バック金額②[#All],2,TRUE))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29" s="16" t="str">
        <f>IFERROR(($B$3*三ノ宮Barさんかく4000[[#This Row],[人数]])-三ノ宮Barさんかく4000[[#This Row],[単価合計]]-(三ノ宮Barさんかく4000[[#This Row],[キャンセル人数]]*$B$2),"")</f>
        <v/>
      </c>
      <c r="H29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29" s="15"/>
      <c r="J29" s="16" t="str">
        <f>IF(三ノ宮Barさんかく4000[[#This Row],[人数]]="","",VLOOKUP(三ノ宮Barさんかく4000[[#This Row],[人数]],バック金額②[#All],2,TRUE))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29" s="16" t="str">
        <f>IFERROR(($M$3*三ノ宮Barさんかく3500[[#This Row],[人数]])-三ノ宮Barさんかく3500[[#This Row],[単価合計]]-(三ノ宮Barさんかく3500[[#This Row],[キャンセル人数]]*$B$2),"")</f>
        <v/>
      </c>
      <c r="S29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29" s="15"/>
      <c r="U29" s="16" t="str">
        <f>IF(三ノ宮Barさんかく3500[[#This Row],[人数]]="","",VLOOKUP(三ノ宮Barさんかく3500[[#This Row],[人数]],バック金額②[#All],2,TRUE))</f>
        <v/>
      </c>
    </row>
    <row r="30" spans="1:21">
      <c r="A30" s="63">
        <f t="shared" si="0"/>
        <v>44860</v>
      </c>
      <c r="B30" s="13">
        <v>1</v>
      </c>
      <c r="C30" s="14">
        <v>0</v>
      </c>
      <c r="D30" s="15">
        <v>8</v>
      </c>
      <c r="E30" s="15">
        <v>1</v>
      </c>
      <c r="F30" s="16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>17500</v>
      </c>
      <c r="G30" s="16">
        <f>IFERROR(($B$3*三ノ宮Barさんかく4000[[#This Row],[人数]])-三ノ宮Barさんかく4000[[#This Row],[単価合計]]-(三ノ宮Barさんかく4000[[#This Row],[キャンセル人数]]*$B$2),"")</f>
        <v>14500</v>
      </c>
      <c r="H30" s="16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>2500</v>
      </c>
      <c r="I30" s="15"/>
      <c r="J30" s="16">
        <f>IF(三ノ宮Barさんかく4000[[#This Row],[人数]]="","",VLOOKUP(三ノ宮Barさんかく4000[[#This Row],[人数]],バック金額②[#All],2,TRUE))</f>
        <v>9000</v>
      </c>
      <c r="L30" s="63">
        <f t="shared" si="1"/>
        <v>44860</v>
      </c>
      <c r="M30" s="13"/>
      <c r="N30" s="14"/>
      <c r="O30" s="15"/>
      <c r="P30" s="15"/>
      <c r="Q30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0" s="16" t="str">
        <f>IFERROR(($M$3*三ノ宮Barさんかく3500[[#This Row],[人数]])-三ノ宮Barさんかく3500[[#This Row],[単価合計]]-(三ノ宮Barさんかく3500[[#This Row],[キャンセル人数]]*$B$2),"")</f>
        <v/>
      </c>
      <c r="S30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0" s="15"/>
      <c r="U30" s="16" t="str">
        <f>IF(三ノ宮Barさんかく3500[[#This Row],[人数]]="","",VLOOKUP(三ノ宮Barさんかく3500[[#This Row],[人数]],バック金額②[#All],2,TRUE))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1" s="16" t="str">
        <f>IFERROR(($B$3*三ノ宮Barさんかく4000[[#This Row],[人数]])-三ノ宮Barさんかく4000[[#This Row],[単価合計]]-(三ノ宮Barさんかく4000[[#This Row],[キャンセル人数]]*$B$2),"")</f>
        <v/>
      </c>
      <c r="H31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1" s="15"/>
      <c r="J31" s="16" t="str">
        <f>IF(三ノ宮Barさんかく4000[[#This Row],[人数]]="","",VLOOKUP(三ノ宮Barさんかく4000[[#This Row],[人数]],バック金額②[#All],2,TRUE))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1" s="16" t="str">
        <f>IFERROR(($M$3*三ノ宮Barさんかく3500[[#This Row],[人数]])-三ノ宮Barさんかく3500[[#This Row],[単価合計]]-(三ノ宮Barさんかく3500[[#This Row],[キャンセル人数]]*$B$2),"")</f>
        <v/>
      </c>
      <c r="S31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Row],[人数]]&lt;=63,$B$1*7,IF(三ノ宮Barさんかく3500[[#This Row],[人数]]&lt;=71,$B$1*8,""))))))))))</f>
        <v/>
      </c>
      <c r="T31" s="15"/>
      <c r="U31" s="16" t="str">
        <f>IF(三ノ宮Barさんかく3500[[#This Row],[人数]]="","",VLOOKUP(三ノ宮Barさんかく3500[[#This Row],[人数]],バック金額②[#All],2,TRUE))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2" s="16" t="str">
        <f>IFERROR(($B$3*三ノ宮Barさんかく4000[[#This Row],[人数]])-三ノ宮Barさんかく4000[[#This Row],[単価合計]]-(三ノ宮Barさんかく4000[[#This Row],[キャンセル人数]]*$B$2),"")</f>
        <v/>
      </c>
      <c r="H32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2" s="15"/>
      <c r="J32" s="16" t="str">
        <f>IF(三ノ宮Barさんかく4000[[#This Row],[人数]]="","",VLOOKUP(三ノ宮Barさんかく4000[[#This Row],[人数]],バック金額②[#All],2,TRUE))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2" s="16" t="str">
        <f>IFERROR(($M$3*三ノ宮Barさんかく3500[[#This Row],[人数]])-三ノ宮Barさんかく3500[[#This Row],[単価合計]]-(三ノ宮Barさんかく3500[[#This Row],[キャンセル人数]]*$B$2),"")</f>
        <v/>
      </c>
      <c r="S32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2" s="15"/>
      <c r="U32" s="16" t="str">
        <f>IF(三ノ宮Barさんかく3500[[#This Row],[人数]]="","",VLOOKUP(三ノ宮Barさんかく3500[[#This Row],[人数]],バック金額②[#All],2,TRUE))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3" s="16" t="str">
        <f>IFERROR(($B$3*三ノ宮Barさんかく4000[[#This Row],[人数]])-三ノ宮Barさんかく4000[[#This Row],[単価合計]]-(三ノ宮Barさんかく4000[[#This Row],[キャンセル人数]]*$B$2),"")</f>
        <v/>
      </c>
      <c r="H33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3" s="15"/>
      <c r="J33" s="16" t="str">
        <f>IF(三ノ宮Barさんかく4000[[#This Row],[人数]]="","",VLOOKUP(三ノ宮Barさんかく4000[[#This Row],[人数]],バック金額②[#All],2,TRUE))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3" s="16" t="str">
        <f>IFERROR(($M$3*三ノ宮Barさんかく3500[[#This Row],[人数]])-三ノ宮Barさんかく3500[[#This Row],[単価合計]]-(三ノ宮Barさんかく3500[[#This Row],[キャンセル人数]]*$B$2),"")</f>
        <v/>
      </c>
      <c r="S33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3" s="15"/>
      <c r="U33" s="16" t="str">
        <f>IF(三ノ宮Barさんかく3500[[#This Row],[人数]]="","",VLOOKUP(三ノ宮Barさんかく3500[[#This Row],[人数]],バック金額②[#All],2,TRUE))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4" s="16" t="str">
        <f>IFERROR(($B$3*三ノ宮Barさんかく4000[[#This Row],[人数]])-三ノ宮Barさんかく4000[[#This Row],[単価合計]]-(三ノ宮Barさんかく4000[[#This Row],[キャンセル人数]]*$B$2),"")</f>
        <v/>
      </c>
      <c r="H34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4" s="15"/>
      <c r="J34" s="16" t="str">
        <f>IF(三ノ宮Barさんかく4000[[#This Row],[人数]]="","",VLOOKUP(三ノ宮Barさんかく4000[[#This Row],[人数]],バック金額②[#All],2,TRUE))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4" s="16" t="str">
        <f>IFERROR(($M$3*三ノ宮Barさんかく3500[[#This Row],[人数]])-三ノ宮Barさんかく3500[[#This Row],[単価合計]]-(三ノ宮Barさんかく3500[[#This Row],[キャンセル人数]]*$B$2),"")</f>
        <v/>
      </c>
      <c r="S34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4" s="15"/>
      <c r="U34" s="16" t="str">
        <f>IF(三ノ宮Barさんかく3500[[#This Row],[人数]]="","",VLOOKUP(三ノ宮Barさんかく3500[[#This Row],[人数]],バック金額②[#All],2,TRUE))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IF(三ノ宮Barさんかく4000[[#This Row],[人数]]="","",IF(三ノ宮Barさんかく4000[[#This Row],[人数]]&lt;=7,$B$1*三ノ宮Barさんかく4000[[#This Row],[人数]],$B$1*三ノ宮Barさんかく4000[[#This Row],[人数]]-三ノ宮Barさんかく4000[[#This Row],[幹事無料]]))</f>
        <v/>
      </c>
      <c r="G35" s="16" t="str">
        <f>IFERROR(($B$3*三ノ宮Barさんかく4000[[#This Row],[人数]])-三ノ宮Barさんかく4000[[#This Row],[単価合計]]-(三ノ宮Barさんかく4000[[#This Row],[キャンセル人数]]*$B$2),"")</f>
        <v/>
      </c>
      <c r="H35" s="16" t="str">
        <f>IF(三ノ宮Barさんかく4000[[#This Row],[人数]]=0,"",IF(三ノ宮Barさんかく4000[[#This Row],[人数]]&lt;=7,"",IF(三ノ宮Barさんかく4000[[#This Row],[人数]]&lt;=15,$B$1,IF(三ノ宮Barさんかく4000[[#This Row],[人数]]&lt;=23,$B$1*2,IF(三ノ宮Barさんかく4000[[#This Row],[人数]]&lt;=31,$B$1*3,IF(三ノ宮Barさんかく4000[[#This Row],[人数]]&lt;=39,$B$1*4,IF(三ノ宮Barさんかく4000[[#This Row],[人数]]&lt;=47,$B$1*5,IF(三ノ宮Barさんかく4000[[#This Row],[人数]]&lt;=55,$B$1*6,IF(三ノ宮Barさんかく4000[[#This Row],[人数]]&lt;=62,$B$1*7,"")))))))))</f>
        <v/>
      </c>
      <c r="I35" s="19"/>
      <c r="J35" s="16" t="str">
        <f>IF(三ノ宮Barさんかく4000[[#This Row],[人数]]="","",VLOOKUP(三ノ宮Barさんかく4000[[#This Row],[人数]],バック金額②[#All],2,TRUE))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IF(三ノ宮Barさんかく3500[[#This Row],[人数]]="","",IF(三ノ宮Barさんかく3500[[#This Row],[人数]]&lt;=7,$B$1*三ノ宮Barさんかく3500[[#This Row],[人数]],$B$1*三ノ宮Barさんかく3500[[#This Row],[人数]]-三ノ宮Barさんかく3500[[#This Row],[幹事無料]]))</f>
        <v/>
      </c>
      <c r="R35" s="16" t="str">
        <f>IFERROR(($M$3*三ノ宮Barさんかく3500[[#This Row],[人数]])-三ノ宮Barさんかく3500[[#This Row],[単価合計]]-(三ノ宮Barさんかく3500[[#This Row],[キャンセル人数]]*$B$2),"")</f>
        <v/>
      </c>
      <c r="S35" s="16" t="str">
        <f>IF(三ノ宮Barさんかく3500[[#This Row],[人数]]=0,"",IF(三ノ宮Barさんかく3500[[#This Row],[人数]]&lt;=7,"",IF(三ノ宮Barさんかく3500[[#This Row],[人数]]&lt;=15,$B$1,IF(三ノ宮Barさんかく3500[[#This Row],[人数]]&lt;=23,$B$1*2,IF(三ノ宮Barさんかく3500[[#This Row],[人数]]&lt;=31,$B$1*3,IF(三ノ宮Barさんかく3500[[#This Row],[人数]]&lt;=39,$B$1*4,IF(三ノ宮Barさんかく3500[[#This Row],[人数]]&lt;=47,$B$1*5,IF(三ノ宮Barさんかく3500[[#This Row],[人数]]&lt;=55,$B$1*6,IF(三ノ宮Barさんかく3500[[#This Row],[人数]]&lt;=62,$B$1*7,"")))))))))</f>
        <v/>
      </c>
      <c r="T35" s="19"/>
      <c r="U35" s="16" t="str">
        <f>IF(三ノ宮Barさんかく3500[[#This Row],[人数]]="","",VLOOKUP(三ノ宮Barさんかく3500[[#This Row],[人数]],バック金額②[#All],2,TRUE))</f>
        <v/>
      </c>
    </row>
    <row r="36" spans="1:21">
      <c r="A36" s="64" t="s">
        <v>323</v>
      </c>
      <c r="B36" s="7">
        <f>SUM(三ノ宮Barさんかく4000[[#All],[件数]])</f>
        <v>4</v>
      </c>
      <c r="C36" s="6"/>
      <c r="D36" s="7">
        <f>SUM(三ノ宮Barさんかく4000[[#All],[人数]])</f>
        <v>30</v>
      </c>
      <c r="E36" s="7">
        <f>SUM(三ノ宮Barさんかく4000[[#All],[Aパターン]])</f>
        <v>3</v>
      </c>
      <c r="F36" s="7">
        <f>SUM(三ノ宮Barさんかく4000[[#All],[単価合計]])</f>
        <v>67500</v>
      </c>
      <c r="G36" s="7">
        <f>SUM(三ノ宮Barさんかく4000[[#All],[ゆうき取りに行く]])</f>
        <v>52500</v>
      </c>
      <c r="H36" s="7"/>
      <c r="I36" s="7"/>
      <c r="J36" s="7">
        <f>SUM(三ノ宮Barさんかく4000[[#All],[イベンターへ]])</f>
        <v>33000</v>
      </c>
      <c r="L36" s="64" t="s">
        <v>323</v>
      </c>
      <c r="M36" s="7">
        <f>SUM(三ノ宮Barさんかく3500[[#All],[件数]])</f>
        <v>0</v>
      </c>
      <c r="N36" s="6"/>
      <c r="O36" s="7">
        <f>SUM(三ノ宮Barさんかく3500[[#All],[人数]])</f>
        <v>0</v>
      </c>
      <c r="P36" s="7">
        <f>SUM(三ノ宮Barさんかく3500[[#All],[Aパターン]])</f>
        <v>0</v>
      </c>
      <c r="Q36" s="7">
        <f>SUM(三ノ宮Barさんかく3500[[#All],[単価合計]])</f>
        <v>0</v>
      </c>
      <c r="R36" s="7">
        <f>SUM(三ノ宮Barさんかく3500[[#All],[ゆうき取りに行く]])</f>
        <v>0</v>
      </c>
      <c r="S36" s="7"/>
      <c r="T36" s="7"/>
      <c r="U36" s="7">
        <f>SUM(三ノ宮Barさんかく3500[[#All],[イベンターへ]])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18F74-AEB6-40E8-A1C2-4CAD077D3AE5}">
  <sheetPr codeName="Sheet26"/>
  <dimension ref="A1:U36"/>
  <sheetViews>
    <sheetView zoomScale="70" zoomScaleNormal="70" workbookViewId="0">
      <pane ySplit="4" topLeftCell="A5" activePane="bottomLeft" state="frozen"/>
      <selection pane="bottomLeft" activeCell="A5" sqref="A5"/>
    </sheetView>
  </sheetViews>
  <sheetFormatPr defaultColWidth="11.5546875" defaultRowHeight="19.5"/>
  <cols>
    <col min="1" max="1" width="20.6640625" style="8" bestFit="1" customWidth="1"/>
    <col min="2" max="2" width="6.33203125" style="8" customWidth="1"/>
    <col min="3" max="3" width="16.5546875" style="8" customWidth="1"/>
    <col min="4" max="4" width="6.33203125" style="8" customWidth="1"/>
    <col min="5" max="5" width="13.109375" style="8" bestFit="1" customWidth="1"/>
    <col min="6" max="6" width="9" style="9" bestFit="1" customWidth="1"/>
    <col min="7" max="7" width="15.6640625" style="9" bestFit="1" customWidth="1"/>
    <col min="8" max="9" width="15.6640625" style="9" customWidth="1"/>
    <col min="10" max="10" width="12" style="9" bestFit="1" customWidth="1"/>
    <col min="11" max="11" width="11.5546875" style="8"/>
    <col min="12" max="12" width="20.6640625" style="8" bestFit="1" customWidth="1"/>
    <col min="13" max="13" width="6.5546875" style="8" customWidth="1"/>
    <col min="14" max="14" width="17.5546875" style="8" customWidth="1"/>
    <col min="15" max="15" width="6.5546875" style="8" customWidth="1"/>
    <col min="16" max="16" width="13.109375" style="8" bestFit="1" customWidth="1"/>
    <col min="17" max="17" width="9" style="9" bestFit="1" customWidth="1"/>
    <col min="18" max="18" width="15.6640625" style="9" bestFit="1" customWidth="1"/>
    <col min="19" max="20" width="15.6640625" style="9" customWidth="1"/>
    <col min="21" max="21" width="12" style="9" bestFit="1" customWidth="1"/>
    <col min="22" max="16384" width="11.5546875" style="8"/>
  </cols>
  <sheetData>
    <row r="1" spans="1:21">
      <c r="A1" s="46" t="s">
        <v>371</v>
      </c>
      <c r="B1" s="8">
        <v>2500</v>
      </c>
    </row>
    <row r="2" spans="1:21">
      <c r="A2" s="46" t="s">
        <v>372</v>
      </c>
      <c r="B2" s="8">
        <v>1300</v>
      </c>
    </row>
    <row r="3" spans="1:21">
      <c r="A3" s="46" t="s">
        <v>376</v>
      </c>
      <c r="B3" s="8">
        <v>4000</v>
      </c>
      <c r="C3" s="46" t="s">
        <v>258</v>
      </c>
      <c r="L3" s="46" t="s">
        <v>376</v>
      </c>
      <c r="M3" s="8">
        <v>3500</v>
      </c>
    </row>
    <row r="4" spans="1:21">
      <c r="A4" s="20" t="s">
        <v>205</v>
      </c>
      <c r="B4" s="10" t="s">
        <v>206</v>
      </c>
      <c r="C4" s="11" t="s">
        <v>207</v>
      </c>
      <c r="D4" s="12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20" t="s">
        <v>205</v>
      </c>
      <c r="M4" s="10" t="s">
        <v>206</v>
      </c>
      <c r="N4" s="11" t="s">
        <v>207</v>
      </c>
      <c r="O4" s="12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13"/>
      <c r="C5" s="14"/>
      <c r="D5" s="15"/>
      <c r="E5" s="15"/>
      <c r="F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5" s="16" t="str">
        <f>IFERROR(($B$3*京都パンプキ4000円[[#This Row],[人数]])-京都パンプキ4000円[[#This Row],[単価合計]]-(京都パンプキ4000円[[#This Row],[キャンセル人数]]*$B$2),"")</f>
        <v/>
      </c>
      <c r="H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5" s="15"/>
      <c r="J5" s="16" t="str">
        <f>IF(京都パンプキ4000円[[#This Row],[人数]]="","",VLOOKUP(京都パンプキ4000円[[#This Row],[人数]],バック金額①[#All],2,TRUE))</f>
        <v/>
      </c>
      <c r="L5" s="28">
        <f>IF(DAY(DATE(名前リスト!$N$1,名前リスト!$O$1,ROW()-4))=ROW()-4,DATE(名前リスト!$N$1,名前リスト!$O$1,ROW()-4),"")</f>
        <v>44835</v>
      </c>
      <c r="M5" s="13"/>
      <c r="N5" s="14"/>
      <c r="O5" s="15"/>
      <c r="P5" s="15"/>
      <c r="Q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5" s="16" t="str">
        <f>IFERROR(($M$3*京都パンプキ3500円[[#This Row],[人数]])-京都パンプキ3500円[[#This Row],[単価合計]]-(京都パンプキ3500円[[#This Row],[キャンセル人数]]*$B$2),"")</f>
        <v/>
      </c>
      <c r="S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5" s="15"/>
      <c r="U5" s="16" t="str">
        <f>IF(京都パンプキ3500円[[#This Row],[人数]]="","",VLOOKUP(京都パンプキ3500円[[#This Row],[人数]],バック金額①[#All],2,TRUE))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13"/>
      <c r="C6" s="14"/>
      <c r="D6" s="15"/>
      <c r="E6" s="15"/>
      <c r="F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6" s="16" t="str">
        <f>IFERROR(($B$3*京都パンプキ4000円[[#This Row],[人数]])-京都パンプキ4000円[[#This Row],[単価合計]]-(京都パンプキ4000円[[#This Row],[キャンセル人数]]*$B$2),"")</f>
        <v/>
      </c>
      <c r="H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6" s="15"/>
      <c r="J6" s="16" t="str">
        <f>IF(京都パンプキ4000円[[#This Row],[人数]]="","",VLOOKUP(京都パンプキ4000円[[#This Row],[人数]],バック金額①[#All],2,TRUE))</f>
        <v/>
      </c>
      <c r="L6" s="63">
        <f>IFERROR(IF(DATE(YEAR($A$5),MONTH($A$5),DAY($A$5))=DATE(YEAR(L5),MONTH(L5),DAY(L5+1)),"",DATE(YEAR(L5),MONTH(L5),DAY(L5+1))),"")</f>
        <v>44836</v>
      </c>
      <c r="M6" s="13"/>
      <c r="N6" s="14"/>
      <c r="O6" s="15"/>
      <c r="P6" s="15"/>
      <c r="Q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6" s="16" t="str">
        <f>IFERROR(($M$3*京都パンプキ3500円[[#This Row],[人数]])-京都パンプキ3500円[[#This Row],[単価合計]]-(京都パンプキ3500円[[#This Row],[キャンセル人数]]*$B$2),"")</f>
        <v/>
      </c>
      <c r="S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6" s="15"/>
      <c r="U6" s="16" t="str">
        <f>IF(京都パンプキ3500円[[#This Row],[人数]]="","",VLOOKUP(京都パンプキ3500円[[#This Row],[人数]],バック金額①[#All],2,TRUE))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13"/>
      <c r="C7" s="14"/>
      <c r="D7" s="15"/>
      <c r="E7" s="15"/>
      <c r="F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7" s="16" t="str">
        <f>IFERROR(($B$3*京都パンプキ4000円[[#This Row],[人数]])-京都パンプキ4000円[[#This Row],[単価合計]]-(京都パンプキ4000円[[#This Row],[キャンセル人数]]*$B$2),"")</f>
        <v/>
      </c>
      <c r="H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7" s="15"/>
      <c r="J7" s="16" t="str">
        <f>IF(京都パンプキ4000円[[#This Row],[人数]]="","",VLOOKUP(京都パンプキ4000円[[#This Row],[人数]],バック金額①[#All],2,TRUE))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13"/>
      <c r="N7" s="14"/>
      <c r="O7" s="15"/>
      <c r="P7" s="15"/>
      <c r="Q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7" s="16" t="str">
        <f>IFERROR(($M$3*京都パンプキ3500円[[#This Row],[人数]])-京都パンプキ3500円[[#This Row],[単価合計]]-(京都パンプキ3500円[[#This Row],[キャンセル人数]]*$B$2),"")</f>
        <v/>
      </c>
      <c r="S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7" s="15"/>
      <c r="U7" s="16" t="str">
        <f>IF(京都パンプキ3500円[[#This Row],[人数]]="","",VLOOKUP(京都パンプキ3500円[[#This Row],[人数]],バック金額①[#All],2,TRUE))</f>
        <v/>
      </c>
    </row>
    <row r="8" spans="1:21">
      <c r="A8" s="63">
        <f t="shared" si="0"/>
        <v>44838</v>
      </c>
      <c r="B8" s="13"/>
      <c r="C8" s="14"/>
      <c r="D8" s="15"/>
      <c r="E8" s="15"/>
      <c r="F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8" s="16" t="str">
        <f>IFERROR(($B$3*京都パンプキ4000円[[#This Row],[人数]])-京都パンプキ4000円[[#This Row],[単価合計]]-(京都パンプキ4000円[[#This Row],[キャンセル人数]]*$B$2),"")</f>
        <v/>
      </c>
      <c r="H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8" s="15"/>
      <c r="J8" s="16" t="str">
        <f>IF(京都パンプキ4000円[[#This Row],[人数]]="","",VLOOKUP(京都パンプキ4000円[[#This Row],[人数]],バック金額①[#All],2,TRUE))</f>
        <v/>
      </c>
      <c r="L8" s="63">
        <f t="shared" si="1"/>
        <v>44838</v>
      </c>
      <c r="M8" s="13"/>
      <c r="N8" s="14"/>
      <c r="O8" s="15"/>
      <c r="P8" s="15"/>
      <c r="Q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8" s="16" t="str">
        <f>IFERROR(($M$3*京都パンプキ3500円[[#This Row],[人数]])-京都パンプキ3500円[[#This Row],[単価合計]]-(京都パンプキ3500円[[#This Row],[キャンセル人数]]*$B$2),"")</f>
        <v/>
      </c>
      <c r="S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8" s="15"/>
      <c r="U8" s="16" t="str">
        <f>IF(京都パンプキ3500円[[#This Row],[人数]]="","",VLOOKUP(京都パンプキ3500円[[#This Row],[人数]],バック金額①[#All],2,TRUE))</f>
        <v/>
      </c>
    </row>
    <row r="9" spans="1:21">
      <c r="A9" s="63">
        <f t="shared" si="0"/>
        <v>44839</v>
      </c>
      <c r="B9" s="13"/>
      <c r="C9" s="14"/>
      <c r="D9" s="15"/>
      <c r="E9" s="15"/>
      <c r="F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9" s="16" t="str">
        <f>IFERROR(($B$3*京都パンプキ4000円[[#This Row],[人数]])-京都パンプキ4000円[[#This Row],[単価合計]]-(京都パンプキ4000円[[#This Row],[キャンセル人数]]*$B$2),"")</f>
        <v/>
      </c>
      <c r="H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9" s="15"/>
      <c r="J9" s="16" t="str">
        <f>IF(京都パンプキ4000円[[#This Row],[人数]]="","",VLOOKUP(京都パンプキ4000円[[#This Row],[人数]],バック金額①[#All],2,TRUE))</f>
        <v/>
      </c>
      <c r="L9" s="63">
        <f t="shared" si="1"/>
        <v>44839</v>
      </c>
      <c r="M9" s="13"/>
      <c r="N9" s="14"/>
      <c r="O9" s="15"/>
      <c r="P9" s="15"/>
      <c r="Q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9" s="16" t="str">
        <f>IFERROR(($M$3*京都パンプキ3500円[[#This Row],[人数]])-京都パンプキ3500円[[#This Row],[単価合計]]-(京都パンプキ3500円[[#This Row],[キャンセル人数]]*$B$2),"")</f>
        <v/>
      </c>
      <c r="S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9" s="15"/>
      <c r="U9" s="16" t="str">
        <f>IF(京都パンプキ3500円[[#This Row],[人数]]="","",VLOOKUP(京都パンプキ3500円[[#This Row],[人数]],バック金額①[#All],2,TRUE))</f>
        <v/>
      </c>
    </row>
    <row r="10" spans="1:21">
      <c r="A10" s="63">
        <f t="shared" si="0"/>
        <v>44840</v>
      </c>
      <c r="B10" s="13"/>
      <c r="C10" s="14"/>
      <c r="D10" s="15"/>
      <c r="E10" s="15"/>
      <c r="F1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0" s="16" t="str">
        <f>IFERROR(($B$3*京都パンプキ4000円[[#This Row],[人数]])-京都パンプキ4000円[[#This Row],[単価合計]]-(京都パンプキ4000円[[#This Row],[キャンセル人数]]*$B$2),"")</f>
        <v/>
      </c>
      <c r="H1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0" s="15"/>
      <c r="J10" s="16" t="str">
        <f>IF(京都パンプキ4000円[[#This Row],[人数]]="","",VLOOKUP(京都パンプキ4000円[[#This Row],[人数]],バック金額①[#All],2,TRUE))</f>
        <v/>
      </c>
      <c r="L10" s="63">
        <f t="shared" si="1"/>
        <v>44840</v>
      </c>
      <c r="M10" s="13"/>
      <c r="N10" s="14"/>
      <c r="O10" s="15"/>
      <c r="P10" s="15"/>
      <c r="Q1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0" s="16" t="str">
        <f>IFERROR(($M$3*京都パンプキ3500円[[#This Row],[人数]])-京都パンプキ3500円[[#This Row],[単価合計]]-(京都パンプキ3500円[[#This Row],[キャンセル人数]]*$B$2),"")</f>
        <v/>
      </c>
      <c r="S1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0" s="15"/>
      <c r="U10" s="16" t="str">
        <f>IF(京都パンプキ3500円[[#This Row],[人数]]="","",VLOOKUP(京都パンプキ3500円[[#This Row],[人数]],バック金額①[#All],2,TRUE))</f>
        <v/>
      </c>
    </row>
    <row r="11" spans="1:21">
      <c r="A11" s="63">
        <f t="shared" si="0"/>
        <v>44841</v>
      </c>
      <c r="B11" s="13"/>
      <c r="C11" s="14"/>
      <c r="D11" s="15"/>
      <c r="E11" s="15"/>
      <c r="F1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1" s="16" t="str">
        <f>IFERROR(($B$3*京都パンプキ4000円[[#This Row],[人数]])-京都パンプキ4000円[[#This Row],[単価合計]]-(京都パンプキ4000円[[#This Row],[キャンセル人数]]*$B$2),"")</f>
        <v/>
      </c>
      <c r="H1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1" s="15"/>
      <c r="J11" s="16" t="str">
        <f>IF(京都パンプキ4000円[[#This Row],[人数]]="","",VLOOKUP(京都パンプキ4000円[[#This Row],[人数]],バック金額①[#All],2,TRUE))</f>
        <v/>
      </c>
      <c r="L11" s="63">
        <f t="shared" si="1"/>
        <v>44841</v>
      </c>
      <c r="M11" s="13"/>
      <c r="N11" s="14"/>
      <c r="O11" s="15"/>
      <c r="P11" s="15"/>
      <c r="Q1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1" s="16" t="str">
        <f>IFERROR(($M$3*京都パンプキ3500円[[#This Row],[人数]])-京都パンプキ3500円[[#This Row],[単価合計]]-(京都パンプキ3500円[[#This Row],[キャンセル人数]]*$B$2),"")</f>
        <v/>
      </c>
      <c r="S1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1" s="15"/>
      <c r="U11" s="16" t="str">
        <f>IF(京都パンプキ3500円[[#This Row],[人数]]="","",VLOOKUP(京都パンプキ3500円[[#This Row],[人数]],バック金額①[#All],2,TRUE))</f>
        <v/>
      </c>
    </row>
    <row r="12" spans="1:21">
      <c r="A12" s="63">
        <f t="shared" si="0"/>
        <v>44842</v>
      </c>
      <c r="B12" s="13"/>
      <c r="C12" s="14"/>
      <c r="D12" s="15"/>
      <c r="E12" s="15"/>
      <c r="F1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2" s="16" t="str">
        <f>IFERROR(($B$3*京都パンプキ4000円[[#This Row],[人数]])-京都パンプキ4000円[[#This Row],[単価合計]]-(京都パンプキ4000円[[#This Row],[キャンセル人数]]*$B$2),"")</f>
        <v/>
      </c>
      <c r="H1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2" s="15"/>
      <c r="J12" s="16" t="str">
        <f>IF(京都パンプキ4000円[[#This Row],[人数]]="","",VLOOKUP(京都パンプキ4000円[[#This Row],[人数]],バック金額①[#All],2,TRUE))</f>
        <v/>
      </c>
      <c r="L12" s="63">
        <f t="shared" si="1"/>
        <v>44842</v>
      </c>
      <c r="M12" s="13"/>
      <c r="N12" s="14"/>
      <c r="O12" s="15"/>
      <c r="P12" s="15"/>
      <c r="Q1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2" s="16" t="str">
        <f>IFERROR(($M$3*京都パンプキ3500円[[#This Row],[人数]])-京都パンプキ3500円[[#This Row],[単価合計]]-(京都パンプキ3500円[[#This Row],[キャンセル人数]]*$B$2),"")</f>
        <v/>
      </c>
      <c r="S1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2" s="15"/>
      <c r="U12" s="16" t="str">
        <f>IF(京都パンプキ3500円[[#This Row],[人数]]="","",VLOOKUP(京都パンプキ3500円[[#This Row],[人数]],バック金額①[#All],2,TRUE))</f>
        <v/>
      </c>
    </row>
    <row r="13" spans="1:21">
      <c r="A13" s="63">
        <f t="shared" si="0"/>
        <v>44843</v>
      </c>
      <c r="B13" s="13"/>
      <c r="C13" s="14"/>
      <c r="D13" s="15"/>
      <c r="E13" s="15"/>
      <c r="F1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3" s="16" t="str">
        <f>IFERROR(($B$3*京都パンプキ4000円[[#This Row],[人数]])-京都パンプキ4000円[[#This Row],[単価合計]]-(京都パンプキ4000円[[#This Row],[キャンセル人数]]*$B$2),"")</f>
        <v/>
      </c>
      <c r="H1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3" s="15"/>
      <c r="J13" s="16" t="str">
        <f>IF(京都パンプキ4000円[[#This Row],[人数]]="","",VLOOKUP(京都パンプキ4000円[[#This Row],[人数]],バック金額①[#All],2,TRUE))</f>
        <v/>
      </c>
      <c r="L13" s="63">
        <f t="shared" si="1"/>
        <v>44843</v>
      </c>
      <c r="M13" s="13"/>
      <c r="N13" s="14"/>
      <c r="O13" s="15"/>
      <c r="P13" s="15"/>
      <c r="Q1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3" s="16" t="str">
        <f>IFERROR(($M$3*京都パンプキ3500円[[#This Row],[人数]])-京都パンプキ3500円[[#This Row],[単価合計]]-(京都パンプキ3500円[[#This Row],[キャンセル人数]]*$B$2),"")</f>
        <v/>
      </c>
      <c r="S1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3" s="15"/>
      <c r="U13" s="16" t="str">
        <f>IF(京都パンプキ3500円[[#This Row],[人数]]="","",VLOOKUP(京都パンプキ3500円[[#This Row],[人数]],バック金額①[#All],2,TRUE))</f>
        <v/>
      </c>
    </row>
    <row r="14" spans="1:21">
      <c r="A14" s="63">
        <f t="shared" si="0"/>
        <v>44844</v>
      </c>
      <c r="B14" s="13"/>
      <c r="C14" s="14"/>
      <c r="D14" s="15"/>
      <c r="E14" s="15"/>
      <c r="F1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4" s="16" t="str">
        <f>IFERROR(($B$3*京都パンプキ4000円[[#This Row],[人数]])-京都パンプキ4000円[[#This Row],[単価合計]]-(京都パンプキ4000円[[#This Row],[キャンセル人数]]*$B$2),"")</f>
        <v/>
      </c>
      <c r="H1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4" s="15"/>
      <c r="J14" s="16" t="str">
        <f>IF(京都パンプキ4000円[[#This Row],[人数]]="","",VLOOKUP(京都パンプキ4000円[[#This Row],[人数]],バック金額①[#All],2,TRUE))</f>
        <v/>
      </c>
      <c r="L14" s="63">
        <f t="shared" si="1"/>
        <v>44844</v>
      </c>
      <c r="M14" s="13"/>
      <c r="N14" s="14"/>
      <c r="O14" s="15"/>
      <c r="P14" s="15"/>
      <c r="Q1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4" s="16" t="str">
        <f>IFERROR(($M$3*京都パンプキ3500円[[#This Row],[人数]])-京都パンプキ3500円[[#This Row],[単価合計]]-(京都パンプキ3500円[[#This Row],[キャンセル人数]]*$B$2),"")</f>
        <v/>
      </c>
      <c r="S1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4" s="15"/>
      <c r="U14" s="16" t="str">
        <f>IF(京都パンプキ3500円[[#This Row],[人数]]="","",VLOOKUP(京都パンプキ3500円[[#This Row],[人数]],バック金額①[#All],2,TRUE))</f>
        <v/>
      </c>
    </row>
    <row r="15" spans="1:21">
      <c r="A15" s="63">
        <f t="shared" si="0"/>
        <v>44845</v>
      </c>
      <c r="B15" s="13"/>
      <c r="C15" s="14"/>
      <c r="D15" s="15"/>
      <c r="E15" s="15"/>
      <c r="F1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5" s="16" t="str">
        <f>IFERROR(($B$3*京都パンプキ4000円[[#This Row],[人数]])-京都パンプキ4000円[[#This Row],[単価合計]]-(京都パンプキ4000円[[#This Row],[キャンセル人数]]*$B$2),"")</f>
        <v/>
      </c>
      <c r="H1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5" s="15"/>
      <c r="J15" s="16" t="str">
        <f>IF(京都パンプキ4000円[[#This Row],[人数]]="","",VLOOKUP(京都パンプキ4000円[[#This Row],[人数]],バック金額①[#All],2,TRUE))</f>
        <v/>
      </c>
      <c r="L15" s="63">
        <f t="shared" si="1"/>
        <v>44845</v>
      </c>
      <c r="M15" s="13"/>
      <c r="N15" s="14"/>
      <c r="O15" s="15"/>
      <c r="P15" s="15"/>
      <c r="Q1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5" s="16" t="str">
        <f>IFERROR(($M$3*京都パンプキ3500円[[#This Row],[人数]])-京都パンプキ3500円[[#This Row],[単価合計]]-(京都パンプキ3500円[[#This Row],[キャンセル人数]]*$B$2),"")</f>
        <v/>
      </c>
      <c r="S1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5" s="15"/>
      <c r="U15" s="16" t="str">
        <f>IF(京都パンプキ3500円[[#This Row],[人数]]="","",VLOOKUP(京都パンプキ3500円[[#This Row],[人数]],バック金額①[#All],2,TRUE))</f>
        <v/>
      </c>
    </row>
    <row r="16" spans="1:21">
      <c r="A16" s="63">
        <f t="shared" si="0"/>
        <v>44846</v>
      </c>
      <c r="B16" s="13"/>
      <c r="C16" s="14"/>
      <c r="D16" s="15"/>
      <c r="E16" s="15"/>
      <c r="F1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6" s="16" t="str">
        <f>IFERROR(($B$3*京都パンプキ4000円[[#This Row],[人数]])-京都パンプキ4000円[[#This Row],[単価合計]]-(京都パンプキ4000円[[#This Row],[キャンセル人数]]*$B$2),"")</f>
        <v/>
      </c>
      <c r="H1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6" s="15"/>
      <c r="J16" s="16" t="str">
        <f>IF(京都パンプキ4000円[[#This Row],[人数]]="","",VLOOKUP(京都パンプキ4000円[[#This Row],[人数]],バック金額①[#All],2,TRUE))</f>
        <v/>
      </c>
      <c r="L16" s="63">
        <f t="shared" si="1"/>
        <v>44846</v>
      </c>
      <c r="M16" s="13"/>
      <c r="N16" s="14"/>
      <c r="O16" s="15"/>
      <c r="P16" s="15"/>
      <c r="Q1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6" s="16" t="str">
        <f>IFERROR(($M$3*京都パンプキ3500円[[#This Row],[人数]])-京都パンプキ3500円[[#This Row],[単価合計]]-(京都パンプキ3500円[[#This Row],[キャンセル人数]]*$B$2),"")</f>
        <v/>
      </c>
      <c r="S1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6" s="15"/>
      <c r="U16" s="16" t="str">
        <f>IF(京都パンプキ3500円[[#This Row],[人数]]="","",VLOOKUP(京都パンプキ3500円[[#This Row],[人数]],バック金額①[#All],2,TRUE))</f>
        <v/>
      </c>
    </row>
    <row r="17" spans="1:21">
      <c r="A17" s="63">
        <f t="shared" si="0"/>
        <v>44847</v>
      </c>
      <c r="B17" s="13"/>
      <c r="C17" s="14"/>
      <c r="D17" s="15"/>
      <c r="E17" s="15"/>
      <c r="F1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7" s="16" t="str">
        <f>IFERROR(($B$3*京都パンプキ4000円[[#This Row],[人数]])-京都パンプキ4000円[[#This Row],[単価合計]]-(京都パンプキ4000円[[#This Row],[キャンセル人数]]*$B$2),"")</f>
        <v/>
      </c>
      <c r="H1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7" s="15"/>
      <c r="J17" s="16" t="str">
        <f>IF(京都パンプキ4000円[[#This Row],[人数]]="","",VLOOKUP(京都パンプキ4000円[[#This Row],[人数]],バック金額①[#All],2,TRUE))</f>
        <v/>
      </c>
      <c r="L17" s="63">
        <f t="shared" si="1"/>
        <v>44847</v>
      </c>
      <c r="M17" s="13"/>
      <c r="N17" s="14"/>
      <c r="O17" s="15"/>
      <c r="P17" s="15"/>
      <c r="Q1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7" s="16" t="str">
        <f>IFERROR(($M$3*京都パンプキ3500円[[#This Row],[人数]])-京都パンプキ3500円[[#This Row],[単価合計]]-(京都パンプキ3500円[[#This Row],[キャンセル人数]]*$B$2),"")</f>
        <v/>
      </c>
      <c r="S1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7" s="15"/>
      <c r="U17" s="16" t="str">
        <f>IF(京都パンプキ3500円[[#This Row],[人数]]="","",VLOOKUP(京都パンプキ3500円[[#This Row],[人数]],バック金額①[#All],2,TRUE))</f>
        <v/>
      </c>
    </row>
    <row r="18" spans="1:21">
      <c r="A18" s="63">
        <f t="shared" si="0"/>
        <v>44848</v>
      </c>
      <c r="B18" s="13"/>
      <c r="C18" s="14"/>
      <c r="D18" s="15"/>
      <c r="E18" s="15"/>
      <c r="F1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8" s="16" t="str">
        <f>IFERROR(($B$3*京都パンプキ4000円[[#This Row],[人数]])-京都パンプキ4000円[[#This Row],[単価合計]]-(京都パンプキ4000円[[#This Row],[キャンセル人数]]*$B$2),"")</f>
        <v/>
      </c>
      <c r="H1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8" s="15"/>
      <c r="J18" s="16" t="str">
        <f>IF(京都パンプキ4000円[[#This Row],[人数]]="","",VLOOKUP(京都パンプキ4000円[[#This Row],[人数]],バック金額①[#All],2,TRUE))</f>
        <v/>
      </c>
      <c r="L18" s="63">
        <f t="shared" si="1"/>
        <v>44848</v>
      </c>
      <c r="M18" s="13"/>
      <c r="N18" s="14"/>
      <c r="O18" s="15"/>
      <c r="P18" s="15"/>
      <c r="Q1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8" s="16" t="str">
        <f>IFERROR(($M$3*京都パンプキ3500円[[#This Row],[人数]])-京都パンプキ3500円[[#This Row],[単価合計]]-(京都パンプキ3500円[[#This Row],[キャンセル人数]]*$B$2),"")</f>
        <v/>
      </c>
      <c r="S1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8" s="15"/>
      <c r="U18" s="16" t="str">
        <f>IF(京都パンプキ3500円[[#This Row],[人数]]="","",VLOOKUP(京都パンプキ3500円[[#This Row],[人数]],バック金額①[#All],2,TRUE))</f>
        <v/>
      </c>
    </row>
    <row r="19" spans="1:21">
      <c r="A19" s="63">
        <f t="shared" si="0"/>
        <v>44849</v>
      </c>
      <c r="B19" s="13"/>
      <c r="C19" s="14"/>
      <c r="D19" s="15"/>
      <c r="E19" s="15"/>
      <c r="F1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19" s="16" t="str">
        <f>IFERROR(($B$3*京都パンプキ4000円[[#This Row],[人数]])-京都パンプキ4000円[[#This Row],[単価合計]]-(京都パンプキ4000円[[#This Row],[キャンセル人数]]*$B$2),"")</f>
        <v/>
      </c>
      <c r="H1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19" s="15"/>
      <c r="J19" s="16" t="str">
        <f>IF(京都パンプキ4000円[[#This Row],[人数]]="","",VLOOKUP(京都パンプキ4000円[[#This Row],[人数]],バック金額①[#All],2,TRUE))</f>
        <v/>
      </c>
      <c r="L19" s="63">
        <f t="shared" si="1"/>
        <v>44849</v>
      </c>
      <c r="M19" s="13"/>
      <c r="N19" s="14"/>
      <c r="O19" s="15"/>
      <c r="P19" s="15"/>
      <c r="Q1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19" s="16" t="str">
        <f>IFERROR(($M$3*京都パンプキ3500円[[#This Row],[人数]])-京都パンプキ3500円[[#This Row],[単価合計]]-(京都パンプキ3500円[[#This Row],[キャンセル人数]]*$B$2),"")</f>
        <v/>
      </c>
      <c r="S1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19" s="15"/>
      <c r="U19" s="16" t="str">
        <f>IF(京都パンプキ3500円[[#This Row],[人数]]="","",VLOOKUP(京都パンプキ3500円[[#This Row],[人数]],バック金額①[#All],2,TRUE))</f>
        <v/>
      </c>
    </row>
    <row r="20" spans="1:21">
      <c r="A20" s="63">
        <f t="shared" si="0"/>
        <v>44850</v>
      </c>
      <c r="B20" s="13"/>
      <c r="C20" s="14"/>
      <c r="D20" s="15"/>
      <c r="E20" s="15"/>
      <c r="F2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0" s="16" t="str">
        <f>IFERROR(($B$3*京都パンプキ4000円[[#This Row],[人数]])-京都パンプキ4000円[[#This Row],[単価合計]]-(京都パンプキ4000円[[#This Row],[キャンセル人数]]*$B$2),"")</f>
        <v/>
      </c>
      <c r="H2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0" s="15"/>
      <c r="J20" s="16" t="str">
        <f>IF(京都パンプキ4000円[[#This Row],[人数]]="","",VLOOKUP(京都パンプキ4000円[[#This Row],[人数]],バック金額①[#All],2,TRUE))</f>
        <v/>
      </c>
      <c r="L20" s="63">
        <f t="shared" si="1"/>
        <v>44850</v>
      </c>
      <c r="M20" s="13"/>
      <c r="N20" s="14"/>
      <c r="O20" s="15"/>
      <c r="P20" s="15"/>
      <c r="Q2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0" s="16" t="str">
        <f>IFERROR(($M$3*京都パンプキ3500円[[#This Row],[人数]])-京都パンプキ3500円[[#This Row],[単価合計]]-(京都パンプキ3500円[[#This Row],[キャンセル人数]]*$B$2),"")</f>
        <v/>
      </c>
      <c r="S2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0" s="15"/>
      <c r="U20" s="16" t="str">
        <f>IF(京都パンプキ3500円[[#This Row],[人数]]="","",VLOOKUP(京都パンプキ3500円[[#This Row],[人数]],バック金額①[#All],2,TRUE))</f>
        <v/>
      </c>
    </row>
    <row r="21" spans="1:21">
      <c r="A21" s="63">
        <f t="shared" si="0"/>
        <v>44851</v>
      </c>
      <c r="B21" s="13"/>
      <c r="C21" s="14"/>
      <c r="D21" s="15"/>
      <c r="E21" s="15"/>
      <c r="F2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1" s="16" t="str">
        <f>IFERROR(($B$3*京都パンプキ4000円[[#This Row],[人数]])-京都パンプキ4000円[[#This Row],[単価合計]]-(京都パンプキ4000円[[#This Row],[キャンセル人数]]*$B$2),"")</f>
        <v/>
      </c>
      <c r="H2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1" s="15"/>
      <c r="J21" s="16" t="str">
        <f>IF(京都パンプキ4000円[[#This Row],[人数]]="","",VLOOKUP(京都パンプキ4000円[[#This Row],[人数]],バック金額①[#All],2,TRUE))</f>
        <v/>
      </c>
      <c r="L21" s="63">
        <f t="shared" si="1"/>
        <v>44851</v>
      </c>
      <c r="M21" s="13"/>
      <c r="N21" s="14"/>
      <c r="O21" s="15"/>
      <c r="P21" s="15"/>
      <c r="Q2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1" s="16" t="str">
        <f>IFERROR(($M$3*京都パンプキ3500円[[#This Row],[人数]])-京都パンプキ3500円[[#This Row],[単価合計]]-(京都パンプキ3500円[[#This Row],[キャンセル人数]]*$B$2),"")</f>
        <v/>
      </c>
      <c r="S2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1" s="15"/>
      <c r="U21" s="16" t="str">
        <f>IF(京都パンプキ3500円[[#This Row],[人数]]="","",VLOOKUP(京都パンプキ3500円[[#This Row],[人数]],バック金額①[#All],2,TRUE))</f>
        <v/>
      </c>
    </row>
    <row r="22" spans="1:21">
      <c r="A22" s="63">
        <f t="shared" si="0"/>
        <v>44852</v>
      </c>
      <c r="B22" s="13"/>
      <c r="C22" s="14"/>
      <c r="D22" s="15"/>
      <c r="E22" s="15"/>
      <c r="F2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2" s="16" t="str">
        <f>IFERROR(($B$3*京都パンプキ4000円[[#This Row],[人数]])-京都パンプキ4000円[[#This Row],[単価合計]]-(京都パンプキ4000円[[#This Row],[キャンセル人数]]*$B$2),"")</f>
        <v/>
      </c>
      <c r="H2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2" s="15"/>
      <c r="J22" s="16" t="str">
        <f>IF(京都パンプキ4000円[[#This Row],[人数]]="","",VLOOKUP(京都パンプキ4000円[[#This Row],[人数]],バック金額①[#All],2,TRUE))</f>
        <v/>
      </c>
      <c r="L22" s="63">
        <f t="shared" si="1"/>
        <v>44852</v>
      </c>
      <c r="M22" s="13"/>
      <c r="N22" s="14"/>
      <c r="O22" s="15"/>
      <c r="P22" s="15"/>
      <c r="Q2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2" s="16" t="str">
        <f>IFERROR(($M$3*京都パンプキ3500円[[#This Row],[人数]])-京都パンプキ3500円[[#This Row],[単価合計]]-(京都パンプキ3500円[[#This Row],[キャンセル人数]]*$B$2),"")</f>
        <v/>
      </c>
      <c r="S2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2" s="15"/>
      <c r="U22" s="16" t="str">
        <f>IF(京都パンプキ3500円[[#This Row],[人数]]="","",VLOOKUP(京都パンプキ3500円[[#This Row],[人数]],バック金額①[#All],2,TRUE))</f>
        <v/>
      </c>
    </row>
    <row r="23" spans="1:21">
      <c r="A23" s="63">
        <f t="shared" si="0"/>
        <v>44853</v>
      </c>
      <c r="B23" s="13"/>
      <c r="C23" s="14"/>
      <c r="D23" s="15"/>
      <c r="E23" s="15"/>
      <c r="F2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3" s="16" t="str">
        <f>IFERROR(($B$3*京都パンプキ4000円[[#This Row],[人数]])-京都パンプキ4000円[[#This Row],[単価合計]]-(京都パンプキ4000円[[#This Row],[キャンセル人数]]*$B$2),"")</f>
        <v/>
      </c>
      <c r="H2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3" s="15"/>
      <c r="J23" s="16" t="str">
        <f>IF(京都パンプキ4000円[[#This Row],[人数]]="","",VLOOKUP(京都パンプキ4000円[[#This Row],[人数]],バック金額①[#All],2,TRUE))</f>
        <v/>
      </c>
      <c r="L23" s="63">
        <f t="shared" si="1"/>
        <v>44853</v>
      </c>
      <c r="M23" s="13"/>
      <c r="N23" s="14"/>
      <c r="O23" s="15"/>
      <c r="P23" s="15"/>
      <c r="Q2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3" s="16" t="str">
        <f>IFERROR(($M$3*京都パンプキ3500円[[#This Row],[人数]])-京都パンプキ3500円[[#This Row],[単価合計]]-(京都パンプキ3500円[[#This Row],[キャンセル人数]]*$B$2),"")</f>
        <v/>
      </c>
      <c r="S2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3" s="15"/>
      <c r="U23" s="16" t="str">
        <f>IF(京都パンプキ3500円[[#This Row],[人数]]="","",VLOOKUP(京都パンプキ3500円[[#This Row],[人数]],バック金額①[#All],2,TRUE))</f>
        <v/>
      </c>
    </row>
    <row r="24" spans="1:21">
      <c r="A24" s="63">
        <f t="shared" si="0"/>
        <v>44854</v>
      </c>
      <c r="B24" s="13"/>
      <c r="C24" s="14"/>
      <c r="D24" s="15"/>
      <c r="E24" s="15"/>
      <c r="F2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4" s="16" t="str">
        <f>IFERROR(($B$3*京都パンプキ4000円[[#This Row],[人数]])-京都パンプキ4000円[[#This Row],[単価合計]]-(京都パンプキ4000円[[#This Row],[キャンセル人数]]*$B$2),"")</f>
        <v/>
      </c>
      <c r="H2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4" s="15"/>
      <c r="J24" s="16" t="str">
        <f>IF(京都パンプキ4000円[[#This Row],[人数]]="","",VLOOKUP(京都パンプキ4000円[[#This Row],[人数]],バック金額①[#All],2,TRUE))</f>
        <v/>
      </c>
      <c r="L24" s="63">
        <f t="shared" si="1"/>
        <v>44854</v>
      </c>
      <c r="M24" s="13"/>
      <c r="N24" s="14"/>
      <c r="O24" s="15"/>
      <c r="P24" s="15"/>
      <c r="Q2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4" s="16" t="str">
        <f>IFERROR(($M$3*京都パンプキ3500円[[#This Row],[人数]])-京都パンプキ3500円[[#This Row],[単価合計]]-(京都パンプキ3500円[[#This Row],[キャンセル人数]]*$B$2),"")</f>
        <v/>
      </c>
      <c r="S2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4" s="15"/>
      <c r="U24" s="16" t="str">
        <f>IF(京都パンプキ3500円[[#This Row],[人数]]="","",VLOOKUP(京都パンプキ3500円[[#This Row],[人数]],バック金額①[#All],2,TRUE))</f>
        <v/>
      </c>
    </row>
    <row r="25" spans="1:21">
      <c r="A25" s="63">
        <f t="shared" si="0"/>
        <v>44855</v>
      </c>
      <c r="B25" s="13"/>
      <c r="C25" s="14"/>
      <c r="D25" s="15"/>
      <c r="E25" s="15"/>
      <c r="F2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5" s="16" t="str">
        <f>IFERROR(($B$3*京都パンプキ4000円[[#This Row],[人数]])-京都パンプキ4000円[[#This Row],[単価合計]]-(京都パンプキ4000円[[#This Row],[キャンセル人数]]*$B$2),"")</f>
        <v/>
      </c>
      <c r="H2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5" s="15"/>
      <c r="J25" s="16" t="str">
        <f>IF(京都パンプキ4000円[[#This Row],[人数]]="","",VLOOKUP(京都パンプキ4000円[[#This Row],[人数]],バック金額①[#All],2,TRUE))</f>
        <v/>
      </c>
      <c r="L25" s="63">
        <f t="shared" si="1"/>
        <v>44855</v>
      </c>
      <c r="M25" s="13"/>
      <c r="N25" s="14"/>
      <c r="O25" s="15"/>
      <c r="P25" s="15"/>
      <c r="Q2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5" s="16" t="str">
        <f>IFERROR(($M$3*京都パンプキ3500円[[#This Row],[人数]])-京都パンプキ3500円[[#This Row],[単価合計]]-(京都パンプキ3500円[[#This Row],[キャンセル人数]]*$B$2),"")</f>
        <v/>
      </c>
      <c r="S2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5" s="15"/>
      <c r="U25" s="16" t="str">
        <f>IF(京都パンプキ3500円[[#This Row],[人数]]="","",VLOOKUP(京都パンプキ3500円[[#This Row],[人数]],バック金額①[#All],2,TRUE))</f>
        <v/>
      </c>
    </row>
    <row r="26" spans="1:21">
      <c r="A26" s="63">
        <f t="shared" si="0"/>
        <v>44856</v>
      </c>
      <c r="B26" s="13"/>
      <c r="C26" s="14"/>
      <c r="D26" s="15"/>
      <c r="E26" s="15"/>
      <c r="F26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6" s="16" t="str">
        <f>IFERROR(($B$3*京都パンプキ4000円[[#This Row],[人数]])-京都パンプキ4000円[[#This Row],[単価合計]]-(京都パンプキ4000円[[#This Row],[キャンセル人数]]*$B$2),"")</f>
        <v/>
      </c>
      <c r="H26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6" s="15"/>
      <c r="J26" s="16" t="str">
        <f>IF(京都パンプキ4000円[[#This Row],[人数]]="","",VLOOKUP(京都パンプキ4000円[[#This Row],[人数]],バック金額①[#All],2,TRUE))</f>
        <v/>
      </c>
      <c r="L26" s="63">
        <f t="shared" si="1"/>
        <v>44856</v>
      </c>
      <c r="M26" s="13"/>
      <c r="N26" s="14"/>
      <c r="O26" s="15"/>
      <c r="P26" s="15"/>
      <c r="Q26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6" s="16" t="str">
        <f>IFERROR(($M$3*京都パンプキ3500円[[#This Row],[人数]])-京都パンプキ3500円[[#This Row],[単価合計]]-(京都パンプキ3500円[[#This Row],[キャンセル人数]]*$B$2),"")</f>
        <v/>
      </c>
      <c r="S26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6" s="15"/>
      <c r="U26" s="16" t="str">
        <f>IF(京都パンプキ3500円[[#This Row],[人数]]="","",VLOOKUP(京都パンプキ3500円[[#This Row],[人数]],バック金額①[#All],2,TRUE))</f>
        <v/>
      </c>
    </row>
    <row r="27" spans="1:21">
      <c r="A27" s="63">
        <f t="shared" si="0"/>
        <v>44857</v>
      </c>
      <c r="B27" s="13"/>
      <c r="C27" s="14"/>
      <c r="D27" s="15"/>
      <c r="E27" s="15"/>
      <c r="F27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7" s="16" t="str">
        <f>IFERROR(($B$3*京都パンプキ4000円[[#This Row],[人数]])-京都パンプキ4000円[[#This Row],[単価合計]]-(京都パンプキ4000円[[#This Row],[キャンセル人数]]*$B$2),"")</f>
        <v/>
      </c>
      <c r="H27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7" s="15"/>
      <c r="J27" s="16" t="str">
        <f>IF(京都パンプキ4000円[[#This Row],[人数]]="","",VLOOKUP(京都パンプキ4000円[[#This Row],[人数]],バック金額①[#All],2,TRUE))</f>
        <v/>
      </c>
      <c r="L27" s="63">
        <f t="shared" si="1"/>
        <v>44857</v>
      </c>
      <c r="M27" s="13"/>
      <c r="N27" s="14"/>
      <c r="O27" s="15"/>
      <c r="P27" s="15"/>
      <c r="Q27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7" s="16" t="str">
        <f>IFERROR(($M$3*京都パンプキ3500円[[#This Row],[人数]])-京都パンプキ3500円[[#This Row],[単価合計]]-(京都パンプキ3500円[[#This Row],[キャンセル人数]]*$B$2),"")</f>
        <v/>
      </c>
      <c r="S27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7" s="15"/>
      <c r="U27" s="16" t="str">
        <f>IF(京都パンプキ3500円[[#This Row],[人数]]="","",VLOOKUP(京都パンプキ3500円[[#This Row],[人数]],バック金額①[#All],2,TRUE))</f>
        <v/>
      </c>
    </row>
    <row r="28" spans="1:21">
      <c r="A28" s="63">
        <f t="shared" si="0"/>
        <v>44858</v>
      </c>
      <c r="B28" s="13"/>
      <c r="C28" s="14"/>
      <c r="D28" s="15"/>
      <c r="E28" s="15"/>
      <c r="F28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8" s="16" t="str">
        <f>IFERROR(($B$3*京都パンプキ4000円[[#This Row],[人数]])-京都パンプキ4000円[[#This Row],[単価合計]]-(京都パンプキ4000円[[#This Row],[キャンセル人数]]*$B$2),"")</f>
        <v/>
      </c>
      <c r="H28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8" s="15"/>
      <c r="J28" s="16" t="str">
        <f>IF(京都パンプキ4000円[[#This Row],[人数]]="","",VLOOKUP(京都パンプキ4000円[[#This Row],[人数]],バック金額①[#All],2,TRUE))</f>
        <v/>
      </c>
      <c r="L28" s="63">
        <f t="shared" si="1"/>
        <v>44858</v>
      </c>
      <c r="M28" s="13"/>
      <c r="N28" s="14"/>
      <c r="O28" s="15"/>
      <c r="P28" s="15"/>
      <c r="Q28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8" s="16" t="str">
        <f>IFERROR(($M$3*京都パンプキ3500円[[#This Row],[人数]])-京都パンプキ3500円[[#This Row],[単価合計]]-(京都パンプキ3500円[[#This Row],[キャンセル人数]]*$B$2),"")</f>
        <v/>
      </c>
      <c r="S28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8" s="15"/>
      <c r="U28" s="16" t="str">
        <f>IF(京都パンプキ3500円[[#This Row],[人数]]="","",VLOOKUP(京都パンプキ3500円[[#This Row],[人数]],バック金額①[#All],2,TRUE))</f>
        <v/>
      </c>
    </row>
    <row r="29" spans="1:21">
      <c r="A29" s="63">
        <f t="shared" si="0"/>
        <v>44859</v>
      </c>
      <c r="B29" s="13"/>
      <c r="C29" s="14"/>
      <c r="D29" s="15"/>
      <c r="E29" s="15"/>
      <c r="F29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29" s="16" t="str">
        <f>IFERROR(($B$3*京都パンプキ4000円[[#This Row],[人数]])-京都パンプキ4000円[[#This Row],[単価合計]]-(京都パンプキ4000円[[#This Row],[キャンセル人数]]*$B$2),"")</f>
        <v/>
      </c>
      <c r="H29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29" s="15"/>
      <c r="J29" s="16" t="str">
        <f>IF(京都パンプキ4000円[[#This Row],[人数]]="","",VLOOKUP(京都パンプキ4000円[[#This Row],[人数]],バック金額①[#All],2,TRUE))</f>
        <v/>
      </c>
      <c r="L29" s="63">
        <f t="shared" si="1"/>
        <v>44859</v>
      </c>
      <c r="M29" s="13"/>
      <c r="N29" s="14"/>
      <c r="O29" s="15"/>
      <c r="P29" s="15"/>
      <c r="Q29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29" s="16" t="str">
        <f>IFERROR(($M$3*京都パンプキ3500円[[#This Row],[人数]])-京都パンプキ3500円[[#This Row],[単価合計]]-(京都パンプキ3500円[[#This Row],[キャンセル人数]]*$B$2),"")</f>
        <v/>
      </c>
      <c r="S29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29" s="15"/>
      <c r="U29" s="16" t="str">
        <f>IF(京都パンプキ3500円[[#This Row],[人数]]="","",VLOOKUP(京都パンプキ3500円[[#This Row],[人数]],バック金額①[#All],2,TRUE))</f>
        <v/>
      </c>
    </row>
    <row r="30" spans="1:21">
      <c r="A30" s="63">
        <f t="shared" si="0"/>
        <v>44860</v>
      </c>
      <c r="B30" s="13"/>
      <c r="C30" s="14"/>
      <c r="D30" s="15"/>
      <c r="E30" s="15"/>
      <c r="F30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0" s="16" t="str">
        <f>IFERROR(($B$3*京都パンプキ4000円[[#This Row],[人数]])-京都パンプキ4000円[[#This Row],[単価合計]]-(京都パンプキ4000円[[#This Row],[キャンセル人数]]*$B$2),"")</f>
        <v/>
      </c>
      <c r="H30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0" s="15"/>
      <c r="J30" s="16" t="str">
        <f>IF(京都パンプキ4000円[[#This Row],[人数]]="","",VLOOKUP(京都パンプキ4000円[[#This Row],[人数]],バック金額①[#All],2,TRUE))</f>
        <v/>
      </c>
      <c r="L30" s="63">
        <f t="shared" si="1"/>
        <v>44860</v>
      </c>
      <c r="M30" s="13"/>
      <c r="N30" s="14"/>
      <c r="O30" s="15"/>
      <c r="P30" s="15"/>
      <c r="Q30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0" s="16" t="str">
        <f>IFERROR(($M$3*京都パンプキ3500円[[#This Row],[人数]])-京都パンプキ3500円[[#This Row],[単価合計]]-(京都パンプキ3500円[[#This Row],[キャンセル人数]]*$B$2),"")</f>
        <v/>
      </c>
      <c r="S30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0" s="15"/>
      <c r="U30" s="16" t="str">
        <f>IF(京都パンプキ3500円[[#This Row],[人数]]="","",VLOOKUP(京都パンプキ3500円[[#This Row],[人数]],バック金額①[#All],2,TRUE))</f>
        <v/>
      </c>
    </row>
    <row r="31" spans="1:21">
      <c r="A31" s="63">
        <f t="shared" si="0"/>
        <v>44861</v>
      </c>
      <c r="B31" s="13"/>
      <c r="C31" s="14"/>
      <c r="D31" s="15"/>
      <c r="E31" s="15"/>
      <c r="F31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1" s="16" t="str">
        <f>IFERROR(($B$3*京都パンプキ4000円[[#This Row],[人数]])-京都パンプキ4000円[[#This Row],[単価合計]]-(京都パンプキ4000円[[#This Row],[キャンセル人数]]*$B$2),"")</f>
        <v/>
      </c>
      <c r="H31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1" s="15"/>
      <c r="J31" s="16" t="str">
        <f>IF(京都パンプキ4000円[[#This Row],[人数]]="","",VLOOKUP(京都パンプキ4000円[[#This Row],[人数]],バック金額①[#All],2,TRUE))</f>
        <v/>
      </c>
      <c r="L31" s="63">
        <f t="shared" si="1"/>
        <v>44861</v>
      </c>
      <c r="M31" s="13"/>
      <c r="N31" s="14"/>
      <c r="O31" s="15"/>
      <c r="P31" s="15"/>
      <c r="Q31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1" s="16" t="str">
        <f>IFERROR(($M$3*京都パンプキ3500円[[#This Row],[人数]])-京都パンプキ3500円[[#This Row],[単価合計]]-(京都パンプキ3500円[[#This Row],[キャンセル人数]]*$B$2),"")</f>
        <v/>
      </c>
      <c r="S31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1" s="15"/>
      <c r="U31" s="16" t="str">
        <f>IF(京都パンプキ3500円[[#This Row],[人数]]="","",VLOOKUP(京都パンプキ3500円[[#This Row],[人数]],バック金額①[#All],2,TRUE))</f>
        <v/>
      </c>
    </row>
    <row r="32" spans="1:21">
      <c r="A32" s="63">
        <f t="shared" si="0"/>
        <v>44862</v>
      </c>
      <c r="B32" s="13"/>
      <c r="C32" s="14"/>
      <c r="D32" s="15"/>
      <c r="E32" s="15"/>
      <c r="F32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2" s="16" t="str">
        <f>IFERROR(($B$3*京都パンプキ4000円[[#This Row],[人数]])-京都パンプキ4000円[[#This Row],[単価合計]]-(京都パンプキ4000円[[#This Row],[キャンセル人数]]*$B$2),"")</f>
        <v/>
      </c>
      <c r="H32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2" s="15"/>
      <c r="J32" s="16" t="str">
        <f>IF(京都パンプキ4000円[[#This Row],[人数]]="","",VLOOKUP(京都パンプキ4000円[[#This Row],[人数]],バック金額①[#All],2,TRUE))</f>
        <v/>
      </c>
      <c r="L32" s="63">
        <f t="shared" si="1"/>
        <v>44862</v>
      </c>
      <c r="M32" s="13"/>
      <c r="N32" s="14"/>
      <c r="O32" s="15"/>
      <c r="P32" s="15"/>
      <c r="Q32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2" s="16" t="str">
        <f>IFERROR(($M$3*京都パンプキ3500円[[#This Row],[人数]])-京都パンプキ3500円[[#This Row],[単価合計]]-(京都パンプキ3500円[[#This Row],[キャンセル人数]]*$B$2),"")</f>
        <v/>
      </c>
      <c r="S32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2" s="15"/>
      <c r="U32" s="16" t="str">
        <f>IF(京都パンプキ3500円[[#This Row],[人数]]="","",VLOOKUP(京都パンプキ3500円[[#This Row],[人数]],バック金額①[#All],2,TRUE))</f>
        <v/>
      </c>
    </row>
    <row r="33" spans="1:21">
      <c r="A33" s="63">
        <f t="shared" si="0"/>
        <v>44863</v>
      </c>
      <c r="B33" s="13"/>
      <c r="C33" s="14"/>
      <c r="D33" s="15"/>
      <c r="E33" s="15"/>
      <c r="F33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3" s="16" t="str">
        <f>IFERROR(($B$3*京都パンプキ4000円[[#This Row],[人数]])-京都パンプキ4000円[[#This Row],[単価合計]]-(京都パンプキ4000円[[#This Row],[キャンセル人数]]*$B$2),"")</f>
        <v/>
      </c>
      <c r="H33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3" s="15"/>
      <c r="J33" s="16" t="str">
        <f>IF(京都パンプキ4000円[[#This Row],[人数]]="","",VLOOKUP(京都パンプキ4000円[[#This Row],[人数]],バック金額①[#All],2,TRUE))</f>
        <v/>
      </c>
      <c r="L33" s="63">
        <f t="shared" si="1"/>
        <v>44863</v>
      </c>
      <c r="M33" s="13"/>
      <c r="N33" s="14"/>
      <c r="O33" s="15"/>
      <c r="P33" s="15"/>
      <c r="Q33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3" s="16" t="str">
        <f>IFERROR(($M$3*京都パンプキ3500円[[#This Row],[人数]])-京都パンプキ3500円[[#This Row],[単価合計]]-(京都パンプキ3500円[[#This Row],[キャンセル人数]]*$B$2),"")</f>
        <v/>
      </c>
      <c r="S33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3" s="15"/>
      <c r="U33" s="16" t="str">
        <f>IF(京都パンプキ3500円[[#This Row],[人数]]="","",VLOOKUP(京都パンプキ3500円[[#This Row],[人数]],バック金額①[#All],2,TRUE))</f>
        <v/>
      </c>
    </row>
    <row r="34" spans="1:21">
      <c r="A34" s="63">
        <f t="shared" si="0"/>
        <v>44864</v>
      </c>
      <c r="B34" s="13"/>
      <c r="C34" s="14"/>
      <c r="D34" s="15"/>
      <c r="E34" s="15"/>
      <c r="F34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4" s="16" t="str">
        <f>IFERROR(($B$3*京都パンプキ4000円[[#This Row],[人数]])-京都パンプキ4000円[[#This Row],[単価合計]]-(京都パンプキ4000円[[#This Row],[キャンセル人数]]*$B$2),"")</f>
        <v/>
      </c>
      <c r="H34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4" s="15"/>
      <c r="J34" s="16" t="str">
        <f>IF(京都パンプキ4000円[[#This Row],[人数]]="","",VLOOKUP(京都パンプキ4000円[[#This Row],[人数]],バック金額①[#All],2,TRUE))</f>
        <v/>
      </c>
      <c r="L34" s="63">
        <f t="shared" si="1"/>
        <v>44864</v>
      </c>
      <c r="M34" s="13"/>
      <c r="N34" s="14"/>
      <c r="O34" s="15"/>
      <c r="P34" s="15"/>
      <c r="Q34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4" s="16" t="str">
        <f>IFERROR(($M$3*京都パンプキ3500円[[#This Row],[人数]])-京都パンプキ3500円[[#This Row],[単価合計]]-(京都パンプキ3500円[[#This Row],[キャンセル人数]]*$B$2),"")</f>
        <v/>
      </c>
      <c r="S34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4" s="15"/>
      <c r="U34" s="16" t="str">
        <f>IF(京都パンプキ3500円[[#This Row],[人数]]="","",VLOOKUP(京都パンプキ3500円[[#This Row],[人数]],バック金額①[#All],2,TRUE))</f>
        <v/>
      </c>
    </row>
    <row r="35" spans="1:21">
      <c r="A35" s="63">
        <f t="shared" si="0"/>
        <v>44865</v>
      </c>
      <c r="B35" s="17"/>
      <c r="C35" s="18"/>
      <c r="D35" s="19"/>
      <c r="E35" s="19"/>
      <c r="F35" s="16" t="str">
        <f>IF(京都パンプキ4000円[[#This Row],[人数]]="","",IF(京都パンプキ4000円[[#This Row],[人数]]&lt;=7,$B$1*京都パンプキ4000円[[#This Row],[人数]],$B$1*京都パンプキ4000円[[#This Row],[人数]]-京都パンプキ4000円[[#This Row],[幹事無料]]))</f>
        <v/>
      </c>
      <c r="G35" s="16" t="str">
        <f>IFERROR(($B$3*京都パンプキ4000円[[#This Row],[人数]])-京都パンプキ4000円[[#This Row],[単価合計]]-(京都パンプキ4000円[[#This Row],[キャンセル人数]]*$B$2),"")</f>
        <v/>
      </c>
      <c r="H35" s="16" t="str">
        <f>IF(京都パンプキ4000円[[#This Row],[人数]]=0,"",IF(京都パンプキ4000円[[#This Row],[人数]]&lt;=7,"",IF(京都パンプキ4000円[[#This Row],[人数]]&lt;=15,$B$1,IF(京都パンプキ4000円[[#This Row],[人数]]&lt;=23,$B$1*2,IF(京都パンプキ4000円[[#This Row],[人数]]&lt;=31,$B$1*3,IF(京都パンプキ4000円[[#This Row],[人数]]&lt;=39,$B$1*4,""))))))</f>
        <v/>
      </c>
      <c r="I35" s="19"/>
      <c r="J35" s="16" t="str">
        <f>IF(京都パンプキ4000円[[#This Row],[人数]]="","",VLOOKUP(京都パンプキ4000円[[#This Row],[人数]],バック金額①[#All],2,TRUE))</f>
        <v/>
      </c>
      <c r="L35" s="63">
        <f t="shared" si="1"/>
        <v>44865</v>
      </c>
      <c r="M35" s="17"/>
      <c r="N35" s="18"/>
      <c r="O35" s="19"/>
      <c r="P35" s="19"/>
      <c r="Q35" s="16" t="str">
        <f>IF(京都パンプキ3500円[[#This Row],[人数]]="","",IF(京都パンプキ3500円[[#This Row],[人数]]&lt;=7,$B$1*京都パンプキ3500円[[#This Row],[人数]],$B$1*京都パンプキ3500円[[#This Row],[人数]]-京都パンプキ3500円[[#This Row],[幹事無料]]))</f>
        <v/>
      </c>
      <c r="R35" s="16" t="str">
        <f>IFERROR(($M$3*京都パンプキ3500円[[#This Row],[人数]])-京都パンプキ3500円[[#This Row],[単価合計]]-(京都パンプキ3500円[[#This Row],[キャンセル人数]]*$B$2),"")</f>
        <v/>
      </c>
      <c r="S35" s="16" t="str">
        <f>IF(京都パンプキ3500円[[#This Row],[人数]]=0,"",IF(京都パンプキ3500円[[#This Row],[人数]]&lt;=7,"",IF(京都パンプキ3500円[[#This Row],[人数]]&lt;=15,$B$1,IF(京都パンプキ3500円[[#This Row],[人数]]&lt;=23,$B$1*2,IF(京都パンプキ3500円[[#This Row],[人数]]&lt;=31,$B$1*3,IF(京都パンプキ3500円[[#This Row],[人数]]&lt;=39,$B$1*4,""))))))</f>
        <v/>
      </c>
      <c r="T35" s="19"/>
      <c r="U35" s="16" t="str">
        <f>IF(京都パンプキ3500円[[#This Row],[人数]]="","",VLOOKUP(京都パンプキ3500円[[#This Row],[人数]],バック金額①[#All],2,TRUE))</f>
        <v/>
      </c>
    </row>
    <row r="36" spans="1:21">
      <c r="A36" s="64" t="s">
        <v>323</v>
      </c>
      <c r="B36" s="7">
        <f>SUM(京都パンプキ4000円[[#All],[件数]])</f>
        <v>0</v>
      </c>
      <c r="C36" s="6"/>
      <c r="D36" s="7">
        <f>SUM(京都パンプキ4000円[[#All],[人数]])</f>
        <v>0</v>
      </c>
      <c r="E36" s="7">
        <f>SUM(京都パンプキ4000円[[#All],[Aパターン]])</f>
        <v>0</v>
      </c>
      <c r="F36" s="7">
        <f>SUM(京都パンプキ4000円[[#All],[単価合計]])</f>
        <v>0</v>
      </c>
      <c r="G36" s="7">
        <f>SUM(京都パンプキ4000円[[#All],[ゆうき取りに行く]])</f>
        <v>0</v>
      </c>
      <c r="H36" s="7"/>
      <c r="I36" s="7"/>
      <c r="J36" s="7">
        <f>SUM(京都パンプキ4000円[[#All],[イベンターへ]])</f>
        <v>0</v>
      </c>
      <c r="L36" s="64" t="s">
        <v>323</v>
      </c>
      <c r="M36" s="7">
        <f>SUM(京都パンプキ3500円[[#All],[件数]])</f>
        <v>0</v>
      </c>
      <c r="N36" s="6"/>
      <c r="O36" s="7">
        <f>SUM(京都パンプキ3500円[[#All],[人数]])</f>
        <v>0</v>
      </c>
      <c r="P36" s="7">
        <f>SUM(京都パンプキ3500円[[#All],[Aパターン]])</f>
        <v>0</v>
      </c>
      <c r="Q36" s="7">
        <f>SUM(京都パンプキ3500円[[#All],[単価合計]])</f>
        <v>0</v>
      </c>
      <c r="R36" s="7">
        <f>SUM(京都パンプキ3500円[[#All],[ゆうき取りに行く]])</f>
        <v>0</v>
      </c>
      <c r="S36" s="7"/>
      <c r="T36" s="7"/>
      <c r="U36" s="7">
        <f>SUM(京都パンプキ3500円[[#All],[イベンターへ]])</f>
        <v>0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戻る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6631E-B294-B941-B641-5EC242F225A3}">
  <sheetPr codeName="Sheet27"/>
  <dimension ref="A1:U36"/>
  <sheetViews>
    <sheetView zoomScale="70" zoomScaleNormal="70" workbookViewId="0">
      <pane ySplit="4" topLeftCell="A5" activePane="bottomLeft" state="frozen"/>
      <selection pane="bottomLeft" activeCell="L26" sqref="L26"/>
    </sheetView>
  </sheetViews>
  <sheetFormatPr defaultColWidth="10.6640625" defaultRowHeight="19.5"/>
  <cols>
    <col min="1" max="1" width="20.6640625" style="29" bestFit="1" customWidth="1"/>
    <col min="2" max="2" width="5.5546875" style="29" customWidth="1"/>
    <col min="3" max="3" width="15.6640625" style="29" bestFit="1" customWidth="1"/>
    <col min="4" max="4" width="8.33203125" style="29" bestFit="1" customWidth="1"/>
    <col min="5" max="5" width="13.21875" style="29" bestFit="1" customWidth="1"/>
    <col min="6" max="6" width="12" style="30" bestFit="1" customWidth="1"/>
    <col min="7" max="7" width="15.6640625" style="30" bestFit="1" customWidth="1"/>
    <col min="8" max="9" width="15.6640625" style="30" customWidth="1"/>
    <col min="10" max="10" width="12" style="30" bestFit="1" customWidth="1"/>
    <col min="11" max="11" width="10.6640625" style="29"/>
    <col min="12" max="12" width="20.6640625" style="29" bestFit="1" customWidth="1"/>
    <col min="13" max="13" width="6.33203125" style="29" customWidth="1"/>
    <col min="14" max="14" width="16.5546875" style="29" customWidth="1"/>
    <col min="15" max="15" width="6.33203125" style="29" customWidth="1"/>
    <col min="16" max="16" width="13.21875" style="29" bestFit="1" customWidth="1"/>
    <col min="17" max="17" width="11.44140625" style="30" bestFit="1" customWidth="1"/>
    <col min="18" max="18" width="15.6640625" style="30" bestFit="1" customWidth="1"/>
    <col min="19" max="20" width="15.6640625" style="30" customWidth="1"/>
    <col min="21" max="21" width="12" style="30" bestFit="1" customWidth="1"/>
    <col min="22" max="16384" width="10.6640625" style="29"/>
  </cols>
  <sheetData>
    <row r="1" spans="1:21">
      <c r="A1" s="46" t="s">
        <v>371</v>
      </c>
      <c r="B1" s="8">
        <v>2500</v>
      </c>
      <c r="K1" s="29" t="s">
        <v>510</v>
      </c>
    </row>
    <row r="2" spans="1:21">
      <c r="A2" s="46" t="s">
        <v>372</v>
      </c>
      <c r="B2" s="8">
        <v>1300</v>
      </c>
      <c r="L2" s="29" t="s">
        <v>515</v>
      </c>
      <c r="M2" s="29">
        <v>500</v>
      </c>
    </row>
    <row r="3" spans="1:21">
      <c r="A3" s="46" t="s">
        <v>376</v>
      </c>
      <c r="B3" s="8">
        <v>4000</v>
      </c>
      <c r="C3" s="29" t="s">
        <v>259</v>
      </c>
      <c r="L3" s="46" t="s">
        <v>376</v>
      </c>
      <c r="M3" s="8">
        <v>3500</v>
      </c>
    </row>
    <row r="4" spans="1:21">
      <c r="A4" s="32" t="s">
        <v>205</v>
      </c>
      <c r="B4" s="32" t="s">
        <v>206</v>
      </c>
      <c r="C4" s="31" t="s">
        <v>207</v>
      </c>
      <c r="D4" s="33" t="s">
        <v>208</v>
      </c>
      <c r="E4" s="98" t="s">
        <v>375</v>
      </c>
      <c r="F4" s="62" t="s">
        <v>373</v>
      </c>
      <c r="G4" s="51" t="s">
        <v>209</v>
      </c>
      <c r="H4" s="96" t="s">
        <v>369</v>
      </c>
      <c r="I4" s="96" t="s">
        <v>370</v>
      </c>
      <c r="J4" s="52" t="s">
        <v>210</v>
      </c>
      <c r="L4" s="32" t="s">
        <v>205</v>
      </c>
      <c r="M4" s="35" t="s">
        <v>206</v>
      </c>
      <c r="N4" s="36" t="s">
        <v>207</v>
      </c>
      <c r="O4" s="37" t="s">
        <v>208</v>
      </c>
      <c r="P4" s="98" t="s">
        <v>375</v>
      </c>
      <c r="Q4" s="62" t="s">
        <v>373</v>
      </c>
      <c r="R4" s="51" t="s">
        <v>209</v>
      </c>
      <c r="S4" s="96" t="s">
        <v>369</v>
      </c>
      <c r="T4" s="96" t="s">
        <v>370</v>
      </c>
      <c r="U4" s="52" t="s">
        <v>210</v>
      </c>
    </row>
    <row r="5" spans="1:21">
      <c r="A5" s="28">
        <f>IF(DAY(DATE(名前リスト!$N$1,名前リスト!$O$1,ROW()-4))=ROW()-4,DATE(名前リスト!$N$1,名前リスト!$O$1,ROW()-4),"")</f>
        <v>44835</v>
      </c>
      <c r="B5" s="39"/>
      <c r="C5" s="40"/>
      <c r="D5" s="41"/>
      <c r="E5" s="41"/>
      <c r="F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5" s="42" t="str">
        <f>IFERROR(($B$3*京都A554000円[[#This Row],[人数]])-京都A554000円[[#This Row],[単価合計]]-(京都A554000円[[#This Row],[キャンセル人数]]*$B$2),"")</f>
        <v/>
      </c>
      <c r="H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5" s="41"/>
      <c r="J5" s="42" t="str">
        <f>IF(京都A554000円[[#This Row],[人数]]="","",VLOOKUP(京都A554000円[[#This Row],[人数]],バック金額①[#All],2,TRUE)-(京都A554000円[[#This Row],[キャンセル人数]]*$B$2))</f>
        <v/>
      </c>
      <c r="L5" s="38">
        <f>IF(DAY(DATE(名前リスト!$N$1,名前リスト!$O$1,ROW()-4))=ROW()-4,DATE(名前リスト!$N$1,名前リスト!$O$1,ROW()-4),"")</f>
        <v>44835</v>
      </c>
      <c r="M5" s="39"/>
      <c r="N5" s="40"/>
      <c r="O5" s="41"/>
      <c r="P5" s="41"/>
      <c r="Q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5" s="42" t="str">
        <f>IFERROR(($M$3*京都A553500円[[#This Row],[人数]])-京都A553500円[[#This Row],[単価合計]]-(京都A553500円[[#This Row],[キャンセル人数]]*$B$2),"")</f>
        <v/>
      </c>
      <c r="S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5" s="41"/>
      <c r="U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6" spans="1:21">
      <c r="A6" s="63">
        <f>IFERROR(IF(DATE(YEAR($A$5),MONTH($A$5),DAY($A$5))=DATE(YEAR(A5),MONTH(A5),DAY(A5+1)),"",DATE(YEAR(A5),MONTH(A5),DAY(A5+1))),"")</f>
        <v>44836</v>
      </c>
      <c r="B6" s="39"/>
      <c r="C6" s="40"/>
      <c r="D6" s="41"/>
      <c r="E6" s="41"/>
      <c r="F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6" s="42" t="str">
        <f>IFERROR(($B$3*京都A554000円[[#This Row],[人数]])-京都A554000円[[#This Row],[単価合計]]-(京都A554000円[[#This Row],[キャンセル人数]]*$B$2),"")</f>
        <v/>
      </c>
      <c r="H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6" s="41"/>
      <c r="J6" s="42" t="str">
        <f>IF(京都A554000円[[#This Row],[人数]]="","",VLOOKUP(京都A554000円[[#This Row],[人数]],バック金額①[#All],2,TRUE)-(京都A554000円[[#This Row],[キャンセル人数]]*$B$2))</f>
        <v/>
      </c>
      <c r="L6" s="63">
        <f>IFERROR(IF(DATE(YEAR($A$5),MONTH($A$5),DAY($A$5))=DATE(YEAR(L5),MONTH(L5),DAY(L5+1)),"",DATE(YEAR(L5),MONTH(L5),DAY(L5+1))),"")</f>
        <v>44836</v>
      </c>
      <c r="M6" s="39"/>
      <c r="N6" s="40"/>
      <c r="O6" s="41"/>
      <c r="P6" s="41"/>
      <c r="Q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6" s="42" t="str">
        <f>IFERROR(($M$3*京都A553500円[[#This Row],[人数]])-京都A553500円[[#This Row],[単価合計]]-(京都A553500円[[#This Row],[キャンセル人数]]*$B$2),"")</f>
        <v/>
      </c>
      <c r="S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6" s="41"/>
      <c r="U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7" spans="1:21">
      <c r="A7" s="63">
        <f t="shared" ref="A7:A35" si="0">IFERROR(IF(DATE(YEAR($A$5),MONTH($A$5),DAY($A$5))=DATE(YEAR(A6),MONTH(A6),DAY(A6+1)),"",DATE(YEAR(A6),MONTH(A6),DAY(A6+1))),"")</f>
        <v>44837</v>
      </c>
      <c r="B7" s="39"/>
      <c r="C7" s="40"/>
      <c r="D7" s="41"/>
      <c r="E7" s="41"/>
      <c r="F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7" s="42" t="str">
        <f>IFERROR(($B$3*京都A554000円[[#This Row],[人数]])-京都A554000円[[#This Row],[単価合計]]-(京都A554000円[[#This Row],[キャンセル人数]]*$B$2),"")</f>
        <v/>
      </c>
      <c r="H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7" s="41"/>
      <c r="J7" s="42" t="str">
        <f>IF(京都A554000円[[#This Row],[人数]]="","",VLOOKUP(京都A554000円[[#This Row],[人数]],バック金額①[#All],2,TRUE)-(京都A554000円[[#This Row],[キャンセル人数]]*$B$2))</f>
        <v/>
      </c>
      <c r="L7" s="63">
        <f t="shared" ref="L7:L35" si="1">IFERROR(IF(DATE(YEAR($A$5),MONTH($A$5),DAY($A$5))=DATE(YEAR(L6),MONTH(L6),DAY(L6+1)),"",DATE(YEAR(L6),MONTH(L6),DAY(L6+1))),"")</f>
        <v>44837</v>
      </c>
      <c r="M7" s="39"/>
      <c r="N7" s="40"/>
      <c r="O7" s="41"/>
      <c r="P7" s="41"/>
      <c r="Q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7" s="42" t="str">
        <f>IFERROR(($M$3*京都A553500円[[#This Row],[人数]])-京都A553500円[[#This Row],[単価合計]]-(京都A553500円[[#This Row],[キャンセル人数]]*$B$2),"")</f>
        <v/>
      </c>
      <c r="S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7" s="41"/>
      <c r="U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8" spans="1:21">
      <c r="A8" s="63">
        <f t="shared" si="0"/>
        <v>44838</v>
      </c>
      <c r="B8" s="39"/>
      <c r="C8" s="40"/>
      <c r="D8" s="41"/>
      <c r="E8" s="41"/>
      <c r="F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8" s="42" t="str">
        <f>IFERROR(($B$3*京都A554000円[[#This Row],[人数]])-京都A554000円[[#This Row],[単価合計]]-(京都A554000円[[#This Row],[キャンセル人数]]*$B$2),"")</f>
        <v/>
      </c>
      <c r="H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8" s="41"/>
      <c r="J8" s="42" t="str">
        <f>IF(京都A554000円[[#This Row],[人数]]="","",VLOOKUP(京都A554000円[[#This Row],[人数]],バック金額①[#All],2,TRUE)-(京都A554000円[[#This Row],[キャンセル人数]]*$B$2))</f>
        <v/>
      </c>
      <c r="L8" s="63">
        <f t="shared" si="1"/>
        <v>44838</v>
      </c>
      <c r="M8" s="39"/>
      <c r="N8" s="40"/>
      <c r="O8" s="41"/>
      <c r="P8" s="41"/>
      <c r="Q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8" s="42" t="str">
        <f>IFERROR(($M$3*京都A553500円[[#This Row],[人数]])-京都A553500円[[#This Row],[単価合計]]-(京都A553500円[[#This Row],[キャンセル人数]]*$B$2),"")</f>
        <v/>
      </c>
      <c r="S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8" s="41"/>
      <c r="U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9" spans="1:21">
      <c r="A9" s="63">
        <f t="shared" si="0"/>
        <v>44839</v>
      </c>
      <c r="B9" s="39"/>
      <c r="C9" s="40"/>
      <c r="D9" s="41"/>
      <c r="E9" s="41"/>
      <c r="F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9" s="42" t="str">
        <f>IFERROR(($B$3*京都A554000円[[#This Row],[人数]])-京都A554000円[[#This Row],[単価合計]]-(京都A554000円[[#This Row],[キャンセル人数]]*$B$2),"")</f>
        <v/>
      </c>
      <c r="H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9" s="41"/>
      <c r="J9" s="42" t="str">
        <f>IF(京都A554000円[[#This Row],[人数]]="","",VLOOKUP(京都A554000円[[#This Row],[人数]],バック金額①[#All],2,TRUE)-(京都A554000円[[#This Row],[キャンセル人数]]*$B$2))</f>
        <v/>
      </c>
      <c r="L9" s="63">
        <f t="shared" si="1"/>
        <v>44839</v>
      </c>
      <c r="M9" s="39"/>
      <c r="N9" s="40"/>
      <c r="O9" s="41"/>
      <c r="P9" s="41"/>
      <c r="Q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9" s="42" t="str">
        <f>IFERROR(($M$3*京都A553500円[[#This Row],[人数]])-京都A553500円[[#This Row],[単価合計]]-(京都A553500円[[#This Row],[キャンセル人数]]*$B$2),"")</f>
        <v/>
      </c>
      <c r="S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9" s="41"/>
      <c r="U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0" spans="1:21">
      <c r="A10" s="63">
        <f t="shared" si="0"/>
        <v>44840</v>
      </c>
      <c r="B10" s="39"/>
      <c r="C10" s="40"/>
      <c r="D10" s="41"/>
      <c r="E10" s="41"/>
      <c r="F1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0" s="42" t="str">
        <f>IFERROR(($B$3*京都A554000円[[#This Row],[人数]])-京都A554000円[[#This Row],[単価合計]]-(京都A554000円[[#This Row],[キャンセル人数]]*$B$2),"")</f>
        <v/>
      </c>
      <c r="H1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0" s="41"/>
      <c r="J10" s="42" t="str">
        <f>IF(京都A554000円[[#This Row],[人数]]="","",VLOOKUP(京都A554000円[[#This Row],[人数]],バック金額①[#All],2,TRUE)-(京都A554000円[[#This Row],[キャンセル人数]]*$B$2))</f>
        <v/>
      </c>
      <c r="L10" s="63">
        <f t="shared" si="1"/>
        <v>44840</v>
      </c>
      <c r="M10" s="39"/>
      <c r="N10" s="40"/>
      <c r="O10" s="41"/>
      <c r="P10" s="41"/>
      <c r="Q1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0" s="42" t="str">
        <f>IFERROR(($M$3*京都A553500円[[#This Row],[人数]])-京都A553500円[[#This Row],[単価合計]]-(京都A553500円[[#This Row],[キャンセル人数]]*$B$2),"")</f>
        <v/>
      </c>
      <c r="S1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0" s="41"/>
      <c r="U1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1" spans="1:21">
      <c r="A11" s="63">
        <f t="shared" si="0"/>
        <v>44841</v>
      </c>
      <c r="B11" s="39"/>
      <c r="C11" s="40"/>
      <c r="D11" s="41"/>
      <c r="E11" s="41"/>
      <c r="F1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1" s="42" t="str">
        <f>IFERROR(($B$3*京都A554000円[[#This Row],[人数]])-京都A554000円[[#This Row],[単価合計]]-(京都A554000円[[#This Row],[キャンセル人数]]*$B$2),"")</f>
        <v/>
      </c>
      <c r="H1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1" s="41"/>
      <c r="J11" s="42" t="str">
        <f>IF(京都A554000円[[#This Row],[人数]]="","",VLOOKUP(京都A554000円[[#This Row],[人数]],バック金額①[#All],2,TRUE)-(京都A554000円[[#This Row],[キャンセル人数]]*$B$2))</f>
        <v/>
      </c>
      <c r="L11" s="63">
        <f t="shared" si="1"/>
        <v>44841</v>
      </c>
      <c r="M11" s="39"/>
      <c r="N11" s="40"/>
      <c r="O11" s="41"/>
      <c r="P11" s="41"/>
      <c r="Q1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1" s="42" t="str">
        <f>IFERROR(($M$3*京都A553500円[[#This Row],[人数]])-京都A553500円[[#This Row],[単価合計]]-(京都A553500円[[#This Row],[キャンセル人数]]*$B$2),"")</f>
        <v/>
      </c>
      <c r="S1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1" s="41"/>
      <c r="U1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2" spans="1:21">
      <c r="A12" s="63">
        <f t="shared" si="0"/>
        <v>44842</v>
      </c>
      <c r="B12" s="39"/>
      <c r="C12" s="40"/>
      <c r="D12" s="41"/>
      <c r="E12" s="41"/>
      <c r="F1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2" s="42" t="str">
        <f>IFERROR(($B$3*京都A554000円[[#This Row],[人数]])-京都A554000円[[#This Row],[単価合計]]-(京都A554000円[[#This Row],[キャンセル人数]]*$B$2),"")</f>
        <v/>
      </c>
      <c r="H1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2" s="41"/>
      <c r="J12" s="42" t="str">
        <f>IF(京都A554000円[[#This Row],[人数]]="","",VLOOKUP(京都A554000円[[#This Row],[人数]],バック金額①[#All],2,TRUE)-(京都A554000円[[#This Row],[キャンセル人数]]*$B$2))</f>
        <v/>
      </c>
      <c r="L12" s="63">
        <f t="shared" si="1"/>
        <v>44842</v>
      </c>
      <c r="M12" s="39"/>
      <c r="N12" s="40"/>
      <c r="O12" s="41"/>
      <c r="P12" s="41"/>
      <c r="Q1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2" s="42" t="str">
        <f>IFERROR(($M$3*京都A553500円[[#This Row],[人数]])-京都A553500円[[#This Row],[単価合計]]-(京都A553500円[[#This Row],[キャンセル人数]]*$B$2),"")</f>
        <v/>
      </c>
      <c r="S1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2" s="41"/>
      <c r="U1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3" spans="1:21">
      <c r="A13" s="63">
        <f t="shared" si="0"/>
        <v>44843</v>
      </c>
      <c r="B13" s="39"/>
      <c r="C13" s="40"/>
      <c r="D13" s="41"/>
      <c r="E13" s="41"/>
      <c r="F1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3" s="42" t="str">
        <f>IFERROR(($B$3*京都A554000円[[#This Row],[人数]])-京都A554000円[[#This Row],[単価合計]]-(京都A554000円[[#This Row],[キャンセル人数]]*$B$2),"")</f>
        <v/>
      </c>
      <c r="H1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3" s="41"/>
      <c r="J13" s="42" t="str">
        <f>IF(京都A554000円[[#This Row],[人数]]="","",VLOOKUP(京都A554000円[[#This Row],[人数]],バック金額①[#All],2,TRUE)-(京都A554000円[[#This Row],[キャンセル人数]]*$B$2))</f>
        <v/>
      </c>
      <c r="L13" s="63">
        <f t="shared" si="1"/>
        <v>44843</v>
      </c>
      <c r="M13" s="39"/>
      <c r="N13" s="40"/>
      <c r="O13" s="41"/>
      <c r="P13" s="41"/>
      <c r="Q1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3" s="42" t="str">
        <f>IFERROR(($M$3*京都A553500円[[#This Row],[人数]])-京都A553500円[[#This Row],[単価合計]]-(京都A553500円[[#This Row],[キャンセル人数]]*$B$2),"")</f>
        <v/>
      </c>
      <c r="S1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3" s="41"/>
      <c r="U1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4" spans="1:21">
      <c r="A14" s="63">
        <f t="shared" si="0"/>
        <v>44844</v>
      </c>
      <c r="B14" s="39"/>
      <c r="C14" s="40"/>
      <c r="D14" s="41"/>
      <c r="E14" s="41"/>
      <c r="F1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4" s="42" t="str">
        <f>IFERROR(($B$3*京都A554000円[[#This Row],[人数]])-京都A554000円[[#This Row],[単価合計]]-(京都A554000円[[#This Row],[キャンセル人数]]*$B$2),"")</f>
        <v/>
      </c>
      <c r="H1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4" s="41"/>
      <c r="J14" s="42" t="str">
        <f>IF(京都A554000円[[#This Row],[人数]]="","",VLOOKUP(京都A554000円[[#This Row],[人数]],バック金額①[#All],2,TRUE)-(京都A554000円[[#This Row],[キャンセル人数]]*$B$2))</f>
        <v/>
      </c>
      <c r="L14" s="63">
        <f t="shared" si="1"/>
        <v>44844</v>
      </c>
      <c r="M14" s="39"/>
      <c r="N14" s="40"/>
      <c r="O14" s="41"/>
      <c r="P14" s="41"/>
      <c r="Q1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4" s="42" t="str">
        <f>IFERROR(($M$3*京都A553500円[[#This Row],[人数]])-京都A553500円[[#This Row],[単価合計]]-(京都A553500円[[#This Row],[キャンセル人数]]*$B$2),"")</f>
        <v/>
      </c>
      <c r="S1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4" s="41"/>
      <c r="U1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5" spans="1:21">
      <c r="A15" s="63">
        <f t="shared" si="0"/>
        <v>44845</v>
      </c>
      <c r="B15" s="39"/>
      <c r="C15" s="40"/>
      <c r="D15" s="41"/>
      <c r="E15" s="41"/>
      <c r="F1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5" s="42" t="str">
        <f>IFERROR(($B$3*京都A554000円[[#This Row],[人数]])-京都A554000円[[#This Row],[単価合計]]-(京都A554000円[[#This Row],[キャンセル人数]]*$B$2),"")</f>
        <v/>
      </c>
      <c r="H1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5" s="41"/>
      <c r="J15" s="42" t="str">
        <f>IF(京都A554000円[[#This Row],[人数]]="","",VLOOKUP(京都A554000円[[#This Row],[人数]],バック金額①[#All],2,TRUE)-(京都A554000円[[#This Row],[キャンセル人数]]*$B$2))</f>
        <v/>
      </c>
      <c r="L15" s="63">
        <f t="shared" si="1"/>
        <v>44845</v>
      </c>
      <c r="M15" s="39"/>
      <c r="N15" s="40"/>
      <c r="O15" s="41"/>
      <c r="P15" s="41"/>
      <c r="Q1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5" s="42" t="str">
        <f>IFERROR(($M$3*京都A553500円[[#This Row],[人数]])-京都A553500円[[#This Row],[単価合計]]-(京都A553500円[[#This Row],[キャンセル人数]]*$B$2),"")</f>
        <v/>
      </c>
      <c r="S1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5" s="41"/>
      <c r="U1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6" spans="1:21">
      <c r="A16" s="63">
        <f t="shared" si="0"/>
        <v>44846</v>
      </c>
      <c r="B16" s="39"/>
      <c r="C16" s="40"/>
      <c r="D16" s="41"/>
      <c r="E16" s="41"/>
      <c r="F1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6" s="42" t="str">
        <f>IFERROR(($B$3*京都A554000円[[#This Row],[人数]])-京都A554000円[[#This Row],[単価合計]]-(京都A554000円[[#This Row],[キャンセル人数]]*$B$2),"")</f>
        <v/>
      </c>
      <c r="H1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6" s="41"/>
      <c r="J16" s="42" t="str">
        <f>IF(京都A554000円[[#This Row],[人数]]="","",VLOOKUP(京都A554000円[[#This Row],[人数]],バック金額①[#All],2,TRUE)-(京都A554000円[[#This Row],[キャンセル人数]]*$B$2))</f>
        <v/>
      </c>
      <c r="L16" s="63">
        <f t="shared" si="1"/>
        <v>44846</v>
      </c>
      <c r="M16" s="39"/>
      <c r="N16" s="40"/>
      <c r="O16" s="41"/>
      <c r="P16" s="41"/>
      <c r="Q1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6" s="42" t="str">
        <f>IFERROR(($M$3*京都A553500円[[#This Row],[人数]])-京都A553500円[[#This Row],[単価合計]]-(京都A553500円[[#This Row],[キャンセル人数]]*$B$2),"")</f>
        <v/>
      </c>
      <c r="S1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6" s="41"/>
      <c r="U1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7" spans="1:21">
      <c r="A17" s="63">
        <f t="shared" si="0"/>
        <v>44847</v>
      </c>
      <c r="B17" s="39"/>
      <c r="C17" s="40"/>
      <c r="D17" s="41"/>
      <c r="E17" s="41"/>
      <c r="F1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7" s="42" t="str">
        <f>IFERROR(($B$3*京都A554000円[[#This Row],[人数]])-京都A554000円[[#This Row],[単価合計]]-(京都A554000円[[#This Row],[キャンセル人数]]*$B$2),"")</f>
        <v/>
      </c>
      <c r="H1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7" s="41"/>
      <c r="J17" s="42" t="str">
        <f>IF(京都A554000円[[#This Row],[人数]]="","",VLOOKUP(京都A554000円[[#This Row],[人数]],バック金額①[#All],2,TRUE)-(京都A554000円[[#This Row],[キャンセル人数]]*$B$2))</f>
        <v/>
      </c>
      <c r="L17" s="63">
        <f t="shared" si="1"/>
        <v>44847</v>
      </c>
      <c r="M17" s="39"/>
      <c r="N17" s="40"/>
      <c r="O17" s="41"/>
      <c r="P17" s="41"/>
      <c r="Q1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7" s="42" t="str">
        <f>IFERROR(($M$3*京都A553500円[[#This Row],[人数]])-京都A553500円[[#This Row],[単価合計]]-(京都A553500円[[#This Row],[キャンセル人数]]*$B$2),"")</f>
        <v/>
      </c>
      <c r="S1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7" s="41"/>
      <c r="U1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8" spans="1:21">
      <c r="A18" s="63">
        <f t="shared" si="0"/>
        <v>44848</v>
      </c>
      <c r="B18" s="39"/>
      <c r="C18" s="40"/>
      <c r="D18" s="41"/>
      <c r="E18" s="41"/>
      <c r="F1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8" s="42" t="str">
        <f>IFERROR(($B$3*京都A554000円[[#This Row],[人数]])-京都A554000円[[#This Row],[単価合計]]-(京都A554000円[[#This Row],[キャンセル人数]]*$B$2),"")</f>
        <v/>
      </c>
      <c r="H1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8" s="41"/>
      <c r="J18" s="42" t="str">
        <f>IF(京都A554000円[[#This Row],[人数]]="","",VLOOKUP(京都A554000円[[#This Row],[人数]],バック金額①[#All],2,TRUE)-(京都A554000円[[#This Row],[キャンセル人数]]*$B$2))</f>
        <v/>
      </c>
      <c r="L18" s="63">
        <f t="shared" si="1"/>
        <v>44848</v>
      </c>
      <c r="M18" s="39"/>
      <c r="N18" s="40"/>
      <c r="O18" s="41"/>
      <c r="P18" s="41"/>
      <c r="Q1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8" s="42" t="str">
        <f>IFERROR(($M$3*京都A553500円[[#This Row],[人数]])-京都A553500円[[#This Row],[単価合計]]-(京都A553500円[[#This Row],[キャンセル人数]]*$B$2),"")</f>
        <v/>
      </c>
      <c r="S1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8" s="41"/>
      <c r="U1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19" spans="1:21">
      <c r="A19" s="63">
        <f t="shared" si="0"/>
        <v>44849</v>
      </c>
      <c r="B19" s="39"/>
      <c r="C19" s="40"/>
      <c r="D19" s="41"/>
      <c r="E19" s="41"/>
      <c r="F1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19" s="42" t="str">
        <f>IFERROR(($B$3*京都A554000円[[#This Row],[人数]])-京都A554000円[[#This Row],[単価合計]]-(京都A554000円[[#This Row],[キャンセル人数]]*$B$2),"")</f>
        <v/>
      </c>
      <c r="H1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19" s="41"/>
      <c r="J19" s="42" t="str">
        <f>IF(京都A554000円[[#This Row],[人数]]="","",VLOOKUP(京都A554000円[[#This Row],[人数]],バック金額①[#All],2,TRUE)-(京都A554000円[[#This Row],[キャンセル人数]]*$B$2))</f>
        <v/>
      </c>
      <c r="L19" s="63">
        <f t="shared" si="1"/>
        <v>44849</v>
      </c>
      <c r="M19" s="39"/>
      <c r="N19" s="40"/>
      <c r="O19" s="41"/>
      <c r="P19" s="41"/>
      <c r="Q1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19" s="42" t="str">
        <f>IFERROR(($M$3*京都A553500円[[#This Row],[人数]])-京都A553500円[[#This Row],[単価合計]]-(京都A553500円[[#This Row],[キャンセル人数]]*$B$2),"")</f>
        <v/>
      </c>
      <c r="S1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19" s="41"/>
      <c r="U1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0" spans="1:21">
      <c r="A20" s="63">
        <f t="shared" si="0"/>
        <v>44850</v>
      </c>
      <c r="B20" s="39"/>
      <c r="C20" s="40"/>
      <c r="D20" s="41"/>
      <c r="E20" s="41"/>
      <c r="F2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0" s="42" t="str">
        <f>IFERROR(($B$3*京都A554000円[[#This Row],[人数]])-京都A554000円[[#This Row],[単価合計]]-(京都A554000円[[#This Row],[キャンセル人数]]*$B$2),"")</f>
        <v/>
      </c>
      <c r="H2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0" s="41"/>
      <c r="J20" s="42" t="str">
        <f>IF(京都A554000円[[#This Row],[人数]]="","",VLOOKUP(京都A554000円[[#This Row],[人数]],バック金額①[#All],2,TRUE)-(京都A554000円[[#This Row],[キャンセル人数]]*$B$2))</f>
        <v/>
      </c>
      <c r="L20" s="63">
        <f t="shared" si="1"/>
        <v>44850</v>
      </c>
      <c r="M20" s="39"/>
      <c r="N20" s="40"/>
      <c r="O20" s="41"/>
      <c r="P20" s="41"/>
      <c r="Q2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0" s="42" t="str">
        <f>IFERROR(($M$3*京都A553500円[[#This Row],[人数]])-京都A553500円[[#This Row],[単価合計]]-(京都A553500円[[#This Row],[キャンセル人数]]*$B$2),"")</f>
        <v/>
      </c>
      <c r="S2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0" s="41"/>
      <c r="U2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1" spans="1:21">
      <c r="A21" s="63">
        <f t="shared" si="0"/>
        <v>44851</v>
      </c>
      <c r="B21" s="39"/>
      <c r="C21" s="40"/>
      <c r="D21" s="41"/>
      <c r="E21" s="41"/>
      <c r="F2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1" s="42" t="str">
        <f>IFERROR(($B$3*京都A554000円[[#This Row],[人数]])-京都A554000円[[#This Row],[単価合計]]-(京都A554000円[[#This Row],[キャンセル人数]]*$B$2),"")</f>
        <v/>
      </c>
      <c r="H2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1" s="41"/>
      <c r="J21" s="42" t="str">
        <f>IF(京都A554000円[[#This Row],[人数]]="","",VLOOKUP(京都A554000円[[#This Row],[人数]],バック金額①[#All],2,TRUE)-(京都A554000円[[#This Row],[キャンセル人数]]*$B$2))</f>
        <v/>
      </c>
      <c r="L21" s="63">
        <f t="shared" si="1"/>
        <v>44851</v>
      </c>
      <c r="M21" s="39"/>
      <c r="N21" s="40"/>
      <c r="O21" s="41"/>
      <c r="P21" s="41"/>
      <c r="Q2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1" s="42" t="str">
        <f>IFERROR(($M$3*京都A553500円[[#This Row],[人数]])-京都A553500円[[#This Row],[単価合計]]-(京都A553500円[[#This Row],[キャンセル人数]]*$B$2),"")</f>
        <v/>
      </c>
      <c r="S2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1" s="41"/>
      <c r="U2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2" spans="1:21">
      <c r="A22" s="63">
        <f t="shared" si="0"/>
        <v>44852</v>
      </c>
      <c r="B22" s="39"/>
      <c r="C22" s="40"/>
      <c r="D22" s="41"/>
      <c r="E22" s="41"/>
      <c r="F2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2" s="42" t="str">
        <f>IFERROR(($B$3*京都A554000円[[#This Row],[人数]])-京都A554000円[[#This Row],[単価合計]]-(京都A554000円[[#This Row],[キャンセル人数]]*$B$2),"")</f>
        <v/>
      </c>
      <c r="H2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2" s="41"/>
      <c r="J22" s="42" t="str">
        <f>IF(京都A554000円[[#This Row],[人数]]="","",VLOOKUP(京都A554000円[[#This Row],[人数]],バック金額①[#All],2,TRUE)-(京都A554000円[[#This Row],[キャンセル人数]]*$B$2))</f>
        <v/>
      </c>
      <c r="L22" s="63">
        <f t="shared" si="1"/>
        <v>44852</v>
      </c>
      <c r="M22" s="39"/>
      <c r="N22" s="40"/>
      <c r="O22" s="41"/>
      <c r="P22" s="41"/>
      <c r="Q2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2" s="42" t="str">
        <f>IFERROR(($M$3*京都A553500円[[#This Row],[人数]])-京都A553500円[[#This Row],[単価合計]]-(京都A553500円[[#This Row],[キャンセル人数]]*$B$2),"")</f>
        <v/>
      </c>
      <c r="S2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2" s="41"/>
      <c r="U2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3" spans="1:21">
      <c r="A23" s="63">
        <f t="shared" si="0"/>
        <v>44853</v>
      </c>
      <c r="B23" s="39"/>
      <c r="C23" s="40"/>
      <c r="D23" s="41"/>
      <c r="E23" s="41"/>
      <c r="F2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3" s="42" t="str">
        <f>IFERROR(($B$3*京都A554000円[[#This Row],[人数]])-京都A554000円[[#This Row],[単価合計]]-(京都A554000円[[#This Row],[キャンセル人数]]*$B$2),"")</f>
        <v/>
      </c>
      <c r="H2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3" s="41"/>
      <c r="J23" s="42" t="str">
        <f>IF(京都A554000円[[#This Row],[人数]]="","",VLOOKUP(京都A554000円[[#This Row],[人数]],バック金額①[#All],2,TRUE)-(京都A554000円[[#This Row],[キャンセル人数]]*$B$2))</f>
        <v/>
      </c>
      <c r="L23" s="63">
        <f t="shared" si="1"/>
        <v>44853</v>
      </c>
      <c r="M23" s="39"/>
      <c r="N23" s="40"/>
      <c r="O23" s="41"/>
      <c r="P23" s="41"/>
      <c r="Q2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3" s="42" t="str">
        <f>IFERROR(($M$3*京都A553500円[[#This Row],[人数]])-京都A553500円[[#This Row],[単価合計]]-(京都A553500円[[#This Row],[キャンセル人数]]*$B$2),"")</f>
        <v/>
      </c>
      <c r="S2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3" s="41"/>
      <c r="U2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4" spans="1:21">
      <c r="A24" s="63">
        <f t="shared" si="0"/>
        <v>44854</v>
      </c>
      <c r="B24" s="39"/>
      <c r="C24" s="40"/>
      <c r="D24" s="41"/>
      <c r="E24" s="41"/>
      <c r="F2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4" s="42" t="str">
        <f>IFERROR(($B$3*京都A554000円[[#This Row],[人数]])-京都A554000円[[#This Row],[単価合計]]-(京都A554000円[[#This Row],[キャンセル人数]]*$B$2),"")</f>
        <v/>
      </c>
      <c r="H2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4" s="41"/>
      <c r="J24" s="42" t="str">
        <f>IF(京都A554000円[[#This Row],[人数]]="","",VLOOKUP(京都A554000円[[#This Row],[人数]],バック金額①[#All],2,TRUE)-(京都A554000円[[#This Row],[キャンセル人数]]*$B$2))</f>
        <v/>
      </c>
      <c r="L24" s="63">
        <f t="shared" si="1"/>
        <v>44854</v>
      </c>
      <c r="M24" s="39"/>
      <c r="N24" s="40"/>
      <c r="O24" s="41"/>
      <c r="P24" s="41"/>
      <c r="Q2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4" s="42" t="str">
        <f>IFERROR(($M$3*京都A553500円[[#This Row],[人数]])-京都A553500円[[#This Row],[単価合計]]-(京都A553500円[[#This Row],[キャンセル人数]]*$B$2),"")</f>
        <v/>
      </c>
      <c r="S2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4" s="41"/>
      <c r="U2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5" spans="1:21">
      <c r="A25" s="63">
        <f t="shared" si="0"/>
        <v>44855</v>
      </c>
      <c r="B25" s="39"/>
      <c r="C25" s="40"/>
      <c r="D25" s="41"/>
      <c r="E25" s="41"/>
      <c r="F2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5" s="42" t="str">
        <f>IFERROR(($B$3*京都A554000円[[#This Row],[人数]])-京都A554000円[[#This Row],[単価合計]]-(京都A554000円[[#This Row],[キャンセル人数]]*$B$2),"")</f>
        <v/>
      </c>
      <c r="H2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5" s="41"/>
      <c r="J25" s="42" t="str">
        <f>IF(京都A554000円[[#This Row],[人数]]="","",VLOOKUP(京都A554000円[[#This Row],[人数]],バック金額①[#All],2,TRUE)-(京都A554000円[[#This Row],[キャンセル人数]]*$B$2))</f>
        <v/>
      </c>
      <c r="L25" s="63">
        <f t="shared" si="1"/>
        <v>44855</v>
      </c>
      <c r="M25" s="39"/>
      <c r="N25" s="40"/>
      <c r="O25" s="41"/>
      <c r="P25" s="41"/>
      <c r="Q2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5" s="42" t="str">
        <f>IFERROR(($M$3*京都A553500円[[#This Row],[人数]])-京都A553500円[[#This Row],[単価合計]]-(京都A553500円[[#This Row],[キャンセル人数]]*$B$2),"")</f>
        <v/>
      </c>
      <c r="S2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5" s="41"/>
      <c r="U2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6" spans="1:21">
      <c r="A26" s="63">
        <f t="shared" si="0"/>
        <v>44856</v>
      </c>
      <c r="B26" s="39"/>
      <c r="C26" s="40"/>
      <c r="D26" s="41"/>
      <c r="E26" s="41"/>
      <c r="F26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6" s="42" t="str">
        <f>IFERROR(($B$3*京都A554000円[[#This Row],[人数]])-京都A554000円[[#This Row],[単価合計]]-(京都A554000円[[#This Row],[キャンセル人数]]*$B$2),"")</f>
        <v/>
      </c>
      <c r="H26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6" s="41"/>
      <c r="J26" s="42" t="str">
        <f>IF(京都A554000円[[#This Row],[人数]]="","",VLOOKUP(京都A554000円[[#This Row],[人数]],バック金額①[#All],2,TRUE)-(京都A554000円[[#This Row],[キャンセル人数]]*$B$2))</f>
        <v/>
      </c>
      <c r="L26" s="63">
        <f t="shared" si="1"/>
        <v>44856</v>
      </c>
      <c r="M26" s="39"/>
      <c r="N26" s="40"/>
      <c r="O26" s="41"/>
      <c r="P26" s="41"/>
      <c r="Q26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6" s="42" t="str">
        <f>IFERROR(($M$3*京都A553500円[[#This Row],[人数]])-京都A553500円[[#This Row],[単価合計]]-(京都A553500円[[#This Row],[キャンセル人数]]*$B$2),"")</f>
        <v/>
      </c>
      <c r="S26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6" s="41"/>
      <c r="U26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7" spans="1:21">
      <c r="A27" s="63">
        <f t="shared" si="0"/>
        <v>44857</v>
      </c>
      <c r="B27" s="39"/>
      <c r="C27" s="40"/>
      <c r="D27" s="41"/>
      <c r="E27" s="41"/>
      <c r="F27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7" s="42" t="str">
        <f>IFERROR(($B$3*京都A554000円[[#This Row],[人数]])-京都A554000円[[#This Row],[単価合計]]-(京都A554000円[[#This Row],[キャンセル人数]]*$B$2),"")</f>
        <v/>
      </c>
      <c r="H27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7" s="41"/>
      <c r="J27" s="42" t="str">
        <f>IF(京都A554000円[[#This Row],[人数]]="","",VLOOKUP(京都A554000円[[#This Row],[人数]],バック金額①[#All],2,TRUE)-(京都A554000円[[#This Row],[キャンセル人数]]*$B$2))</f>
        <v/>
      </c>
      <c r="L27" s="63">
        <f t="shared" si="1"/>
        <v>44857</v>
      </c>
      <c r="M27" s="39"/>
      <c r="N27" s="40"/>
      <c r="O27" s="41"/>
      <c r="P27" s="41"/>
      <c r="Q27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7" s="42" t="str">
        <f>IFERROR(($M$3*京都A553500円[[#This Row],[人数]])-京都A553500円[[#This Row],[単価合計]]-(京都A553500円[[#This Row],[キャンセル人数]]*$B$2),"")</f>
        <v/>
      </c>
      <c r="S27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7" s="41"/>
      <c r="U27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8" spans="1:21">
      <c r="A28" s="63">
        <f t="shared" si="0"/>
        <v>44858</v>
      </c>
      <c r="B28" s="39"/>
      <c r="C28" s="40"/>
      <c r="D28" s="41"/>
      <c r="E28" s="41"/>
      <c r="F28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8" s="42" t="str">
        <f>IFERROR(($B$3*京都A554000円[[#This Row],[人数]])-京都A554000円[[#This Row],[単価合計]]-(京都A554000円[[#This Row],[キャンセル人数]]*$B$2),"")</f>
        <v/>
      </c>
      <c r="H28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8" s="41"/>
      <c r="J28" s="42" t="str">
        <f>IF(京都A554000円[[#This Row],[人数]]="","",VLOOKUP(京都A554000円[[#This Row],[人数]],バック金額①[#All],2,TRUE)-(京都A554000円[[#This Row],[キャンセル人数]]*$B$2))</f>
        <v/>
      </c>
      <c r="L28" s="63">
        <f t="shared" si="1"/>
        <v>44858</v>
      </c>
      <c r="M28" s="39"/>
      <c r="N28" s="40"/>
      <c r="O28" s="41"/>
      <c r="P28" s="41"/>
      <c r="Q28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8" s="42" t="str">
        <f>IFERROR(($M$3*京都A553500円[[#This Row],[人数]])-京都A553500円[[#This Row],[単価合計]]-(京都A553500円[[#This Row],[キャンセル人数]]*$B$2),"")</f>
        <v/>
      </c>
      <c r="S28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8" s="41"/>
      <c r="U28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29" spans="1:21">
      <c r="A29" s="63">
        <f t="shared" si="0"/>
        <v>44859</v>
      </c>
      <c r="B29" s="39"/>
      <c r="C29" s="40"/>
      <c r="D29" s="41"/>
      <c r="E29" s="41"/>
      <c r="F29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29" s="42" t="str">
        <f>IFERROR(($B$3*京都A554000円[[#This Row],[人数]])-京都A554000円[[#This Row],[単価合計]]-(京都A554000円[[#This Row],[キャンセル人数]]*$B$2),"")</f>
        <v/>
      </c>
      <c r="H29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29" s="41"/>
      <c r="J29" s="42" t="str">
        <f>IF(京都A554000円[[#This Row],[人数]]="","",VLOOKUP(京都A554000円[[#This Row],[人数]],バック金額①[#All],2,TRUE)-(京都A554000円[[#This Row],[キャンセル人数]]*$B$2))</f>
        <v/>
      </c>
      <c r="L29" s="63">
        <f t="shared" si="1"/>
        <v>44859</v>
      </c>
      <c r="M29" s="39"/>
      <c r="N29" s="40"/>
      <c r="O29" s="41"/>
      <c r="P29" s="41"/>
      <c r="Q29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29" s="42" t="str">
        <f>IFERROR(($M$3*京都A553500円[[#This Row],[人数]])-京都A553500円[[#This Row],[単価合計]]-(京都A553500円[[#This Row],[キャンセル人数]]*$B$2),"")</f>
        <v/>
      </c>
      <c r="S29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29" s="41"/>
      <c r="U29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0" spans="1:21">
      <c r="A30" s="63">
        <f t="shared" si="0"/>
        <v>44860</v>
      </c>
      <c r="B30" s="39"/>
      <c r="C30" s="40"/>
      <c r="D30" s="41"/>
      <c r="E30" s="41"/>
      <c r="F30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0" s="42" t="str">
        <f>IFERROR(($B$3*京都A554000円[[#This Row],[人数]])-京都A554000円[[#This Row],[単価合計]]-(京都A554000円[[#This Row],[キャンセル人数]]*$B$2),"")</f>
        <v/>
      </c>
      <c r="H30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0" s="41"/>
      <c r="J30" s="42" t="str">
        <f>IF(京都A554000円[[#This Row],[人数]]="","",VLOOKUP(京都A554000円[[#This Row],[人数]],バック金額①[#All],2,TRUE)-(京都A554000円[[#This Row],[キャンセル人数]]*$B$2))</f>
        <v/>
      </c>
      <c r="L30" s="63">
        <f t="shared" si="1"/>
        <v>44860</v>
      </c>
      <c r="M30" s="39"/>
      <c r="N30" s="40"/>
      <c r="O30" s="41"/>
      <c r="P30" s="41"/>
      <c r="Q30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0" s="42" t="str">
        <f>IFERROR(($M$3*京都A553500円[[#This Row],[人数]])-京都A553500円[[#This Row],[単価合計]]-(京都A553500円[[#This Row],[キャンセル人数]]*$B$2),"")</f>
        <v/>
      </c>
      <c r="S30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0" s="41"/>
      <c r="U30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1" spans="1:21">
      <c r="A31" s="63">
        <f t="shared" si="0"/>
        <v>44861</v>
      </c>
      <c r="B31" s="39"/>
      <c r="C31" s="40"/>
      <c r="D31" s="41"/>
      <c r="E31" s="41"/>
      <c r="F31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1" s="42" t="str">
        <f>IFERROR(($B$3*京都A554000円[[#This Row],[人数]])-京都A554000円[[#This Row],[単価合計]]-(京都A554000円[[#This Row],[キャンセル人数]]*$B$2),"")</f>
        <v/>
      </c>
      <c r="H31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1" s="41"/>
      <c r="J31" s="42" t="str">
        <f>IF(京都A554000円[[#This Row],[人数]]="","",VLOOKUP(京都A554000円[[#This Row],[人数]],バック金額①[#All],2,TRUE)-(京都A554000円[[#This Row],[キャンセル人数]]*$B$2))</f>
        <v/>
      </c>
      <c r="L31" s="63">
        <f t="shared" si="1"/>
        <v>44861</v>
      </c>
      <c r="M31" s="39"/>
      <c r="N31" s="40"/>
      <c r="O31" s="41"/>
      <c r="P31" s="41"/>
      <c r="Q31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1" s="42" t="str">
        <f>IFERROR(($M$3*京都A553500円[[#This Row],[人数]])-京都A553500円[[#This Row],[単価合計]]-(京都A553500円[[#This Row],[キャンセル人数]]*$B$2),"")</f>
        <v/>
      </c>
      <c r="S31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1" s="41"/>
      <c r="U31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2" spans="1:21">
      <c r="A32" s="63">
        <f t="shared" si="0"/>
        <v>44862</v>
      </c>
      <c r="B32" s="39"/>
      <c r="C32" s="40"/>
      <c r="D32" s="41"/>
      <c r="E32" s="41"/>
      <c r="F32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2" s="42" t="str">
        <f>IFERROR(($B$3*京都A554000円[[#This Row],[人数]])-京都A554000円[[#This Row],[単価合計]]-(京都A554000円[[#This Row],[キャンセル人数]]*$B$2),"")</f>
        <v/>
      </c>
      <c r="H32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2" s="41"/>
      <c r="J32" s="42" t="str">
        <f>IF(京都A554000円[[#This Row],[人数]]="","",VLOOKUP(京都A554000円[[#This Row],[人数]],バック金額①[#All],2,TRUE)-(京都A554000円[[#This Row],[キャンセル人数]]*$B$2))</f>
        <v/>
      </c>
      <c r="L32" s="63">
        <f t="shared" si="1"/>
        <v>44862</v>
      </c>
      <c r="M32" s="39"/>
      <c r="N32" s="40"/>
      <c r="O32" s="41"/>
      <c r="P32" s="41"/>
      <c r="Q32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2" s="42" t="str">
        <f>IFERROR(($M$3*京都A553500円[[#This Row],[人数]])-京都A553500円[[#This Row],[単価合計]]-(京都A553500円[[#This Row],[キャンセル人数]]*$B$2),"")</f>
        <v/>
      </c>
      <c r="S32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2" s="41"/>
      <c r="U32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3" spans="1:21">
      <c r="A33" s="63">
        <f t="shared" si="0"/>
        <v>44863</v>
      </c>
      <c r="B33" s="39"/>
      <c r="C33" s="40"/>
      <c r="D33" s="41"/>
      <c r="E33" s="41"/>
      <c r="F33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3" s="42" t="str">
        <f>IFERROR(($B$3*京都A554000円[[#This Row],[人数]])-京都A554000円[[#This Row],[単価合計]]-(京都A554000円[[#This Row],[キャンセル人数]]*$B$2),"")</f>
        <v/>
      </c>
      <c r="H33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3" s="41"/>
      <c r="J33" s="42" t="str">
        <f>IF(京都A554000円[[#This Row],[人数]]="","",VLOOKUP(京都A554000円[[#This Row],[人数]],バック金額①[#All],2,TRUE)-(京都A554000円[[#This Row],[キャンセル人数]]*$B$2))</f>
        <v/>
      </c>
      <c r="L33" s="63">
        <f t="shared" si="1"/>
        <v>44863</v>
      </c>
      <c r="M33" s="39"/>
      <c r="N33" s="40"/>
      <c r="O33" s="41"/>
      <c r="P33" s="41"/>
      <c r="Q33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3" s="42" t="str">
        <f>IFERROR(($M$3*京都A553500円[[#This Row],[人数]])-京都A553500円[[#This Row],[単価合計]]-(京都A553500円[[#This Row],[キャンセル人数]]*$B$2),"")</f>
        <v/>
      </c>
      <c r="S33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3" s="41"/>
      <c r="U33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4" spans="1:21">
      <c r="A34" s="63">
        <f t="shared" si="0"/>
        <v>44864</v>
      </c>
      <c r="B34" s="39"/>
      <c r="C34" s="40"/>
      <c r="D34" s="41"/>
      <c r="E34" s="41"/>
      <c r="F34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4" s="42" t="str">
        <f>IFERROR(($B$3*京都A554000円[[#This Row],[人数]])-京都A554000円[[#This Row],[単価合計]]-(京都A554000円[[#This Row],[キャンセル人数]]*$B$2),"")</f>
        <v/>
      </c>
      <c r="H34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4" s="41"/>
      <c r="J34" s="42" t="str">
        <f>IF(京都A554000円[[#This Row],[人数]]="","",VLOOKUP(京都A554000円[[#This Row],[人数]],バック金額①[#All],2,TRUE)-(京都A554000円[[#This Row],[キャンセル人数]]*$B$2))</f>
        <v/>
      </c>
      <c r="L34" s="63">
        <f t="shared" si="1"/>
        <v>44864</v>
      </c>
      <c r="M34" s="39"/>
      <c r="N34" s="40"/>
      <c r="O34" s="41"/>
      <c r="P34" s="41"/>
      <c r="Q34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4" s="42" t="str">
        <f>IFERROR(($M$3*京都A553500円[[#This Row],[人数]])-京都A553500円[[#This Row],[単価合計]]-(京都A553500円[[#This Row],[キャンセル人数]]*$B$2),"")</f>
        <v/>
      </c>
      <c r="S34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4" s="41"/>
      <c r="U34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5" spans="1:21">
      <c r="A35" s="63">
        <f t="shared" si="0"/>
        <v>44865</v>
      </c>
      <c r="B35" s="39"/>
      <c r="C35" s="40"/>
      <c r="D35" s="41"/>
      <c r="E35" s="41"/>
      <c r="F35" s="42" t="str">
        <f>IF(京都A554000円[[#This Row],[人数]]="","",IF(京都A554000円[[#This Row],[人数]]&lt;=7,$B$1*京都A554000円[[#This Row],[人数]],$B$1*京都A554000円[[#This Row],[人数]]-京都A554000円[[#This Row],[幹事無料]]))</f>
        <v/>
      </c>
      <c r="G35" s="42" t="str">
        <f>IFERROR(($B$3*京都A554000円[[#This Row],[人数]])-京都A554000円[[#This Row],[単価合計]]-(京都A554000円[[#This Row],[キャンセル人数]]*$B$2),"")</f>
        <v/>
      </c>
      <c r="H35" s="42" t="str">
        <f>IF(京都A554000円[[#This Row],[人数]]=0,"",IF(京都A554000円[[#This Row],[人数]]&lt;=7,"",IF(京都A554000円[[#This Row],[人数]]&lt;=15,$B$1,IF(京都A554000円[[#This Row],[人数]]&lt;=23,$B$1*2,IF(京都A554000円[[#This Row],[人数]]&lt;=31,$B$1*3,IF(京都A554000円[[#This Row],[人数]]&lt;=39,$B$1*4,IF(京都A554000円[[#This Row],[人数]]&lt;=47,$B$1*5,"")))))))</f>
        <v/>
      </c>
      <c r="I35" s="41"/>
      <c r="J35" s="42" t="str">
        <f>IF(京都A554000円[[#This Row],[人数]]="","",VLOOKUP(京都A554000円[[#This Row],[人数]],バック金額①[#All],2,TRUE)-(京都A554000円[[#This Row],[キャンセル人数]]*$B$2))</f>
        <v/>
      </c>
      <c r="L35" s="63">
        <f t="shared" si="1"/>
        <v>44865</v>
      </c>
      <c r="M35" s="43"/>
      <c r="N35" s="44"/>
      <c r="O35" s="45"/>
      <c r="P35" s="45"/>
      <c r="Q35" s="42" t="str">
        <f>IF(京都A553500円[[#This Row],[人数]]="","",IF(京都A553500円[[#This Row],[人数]]&lt;=7,$B$1*京都A553500円[[#This Row],[人数]],$B$1*京都A553500円[[#This Row],[人数]]-京都A553500円[[#This Row],[幹事無料]]))</f>
        <v/>
      </c>
      <c r="R35" s="42" t="str">
        <f>IFERROR(($M$3*京都A553500円[[#This Row],[人数]])-京都A553500円[[#This Row],[単価合計]]-(京都A553500円[[#This Row],[キャンセル人数]]*$B$2),"")</f>
        <v/>
      </c>
      <c r="S35" s="42" t="str">
        <f>IF(京都A553500円[[#This Row],[人数]]=0,"",IF(京都A553500円[[#This Row],[人数]]&lt;=7,"",IF(京都A553500円[[#This Row],[人数]]&lt;=15,$B$1,IF(京都A553500円[[#This Row],[人数]]&lt;=23,$B$1*2,IF(京都A553500円[[#This Row],[人数]]&lt;=31,$B$1*3,IF(京都A553500円[[#This Row],[人数]]&lt;=39,$B$1*4,""))))))</f>
        <v/>
      </c>
      <c r="T35" s="41"/>
      <c r="U35" s="42" t="str">
        <f>IF(京都A553500円[[#This Row],[人数]]="","",VLOOKUP(京都A553500円[[#This Row],[人数]],バック金額①[#All],2,TRUE)-(京都A553500円[[#This Row],[キャンセル人数]]*$B$2)-($M$2*京都A553500円[[#This Row],[人数]]))</f>
        <v/>
      </c>
    </row>
    <row r="36" spans="1:21">
      <c r="A36" s="31" t="s">
        <v>211</v>
      </c>
      <c r="B36" s="34">
        <f>SUM(京都A554000円[[#All],[件数]])</f>
        <v>0</v>
      </c>
      <c r="C36" s="34"/>
      <c r="D36" s="34">
        <f>SUM(京都A554000円[[#All],[人数]])</f>
        <v>0</v>
      </c>
      <c r="E36" s="34">
        <f>SUM(京都A554000円[[#All],[Aパターン]])</f>
        <v>0</v>
      </c>
      <c r="F36" s="34">
        <f>SUM(京都A554000円[[#All],[単価合計]])</f>
        <v>0</v>
      </c>
      <c r="G36" s="34">
        <f>SUM(京都A554000円[[#All],[ゆうき取りに行く]])</f>
        <v>0</v>
      </c>
      <c r="H36" s="34"/>
      <c r="I36" s="34"/>
      <c r="J36" s="34">
        <f>SUM(京都A554000円[[#All],[イベンターへ]])</f>
        <v>0</v>
      </c>
      <c r="L36" s="31" t="s">
        <v>211</v>
      </c>
      <c r="M36" s="34">
        <f>SUM(京都A553500円[[#All],[件数]])</f>
        <v>0</v>
      </c>
      <c r="N36" s="34"/>
      <c r="O36" s="34">
        <f>SUM(京都A553500円[[#All],[人数]])</f>
        <v>0</v>
      </c>
      <c r="P36" s="34">
        <f>SUM(京都A553500円[[#All],[Aパターン]])</f>
        <v>0</v>
      </c>
      <c r="Q36" s="34">
        <f>SUM(京都A553500円[[#All],[単価合計]])</f>
        <v>0</v>
      </c>
      <c r="R36" s="34">
        <f>SUM(京都A553500円[[#All],[ゆうき取りに行く]])</f>
        <v>0</v>
      </c>
      <c r="S36" s="34"/>
      <c r="T36" s="34"/>
      <c r="U36" s="34">
        <f>SUM(京都A553500円[[#All],[イベンターへ]])</f>
        <v>0</v>
      </c>
    </row>
  </sheetData>
  <phoneticPr fontId="1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10</xdr:col>
                    <xdr:colOff>76200</xdr:colOff>
                    <xdr:row>4</xdr:row>
                    <xdr:rowOff>76200</xdr:rowOff>
                  </from>
                  <to>
                    <xdr:col>10</xdr:col>
                    <xdr:colOff>590550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6682D-6BB9-4456-8E89-0ACD02B11E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</vt:i4>
      </vt:variant>
    </vt:vector>
  </HeadingPairs>
  <TitlesOfParts>
    <vt:vector size="33" baseType="lpstr">
      <vt:lpstr>名前リスト</vt:lpstr>
      <vt:lpstr>Bパターン</vt:lpstr>
      <vt:lpstr>まとめ表_各店舗集計表(件数)</vt:lpstr>
      <vt:lpstr>まとめ表_各店舗集計表(Aパターン)</vt:lpstr>
      <vt:lpstr>まとめ表_各店舗集計表(金額)</vt:lpstr>
      <vt:lpstr>イベンターへ</vt:lpstr>
      <vt:lpstr>数式表</vt:lpstr>
      <vt:lpstr>①（う）キャンプ</vt:lpstr>
      <vt:lpstr>①（う）パンプキン</vt:lpstr>
      <vt:lpstr>①（堀江）aiai</vt:lpstr>
      <vt:lpstr>②（堀江）ファイブ</vt:lpstr>
      <vt:lpstr>②（北新地）ファイブ</vt:lpstr>
      <vt:lpstr>（う）　ここから</vt:lpstr>
      <vt:lpstr>②（う）石狩</vt:lpstr>
      <vt:lpstr>②（う）あん</vt:lpstr>
      <vt:lpstr>②（う）煙</vt:lpstr>
      <vt:lpstr>①（し）サファリ</vt:lpstr>
      <vt:lpstr>①（し）3e BAR</vt:lpstr>
      <vt:lpstr>②（し）ラプロメッサ</vt:lpstr>
      <vt:lpstr>②（し）M &amp;M</vt:lpstr>
      <vt:lpstr>②（し）CSB</vt:lpstr>
      <vt:lpstr>②（な）煙</vt:lpstr>
      <vt:lpstr>②（さ）多味庵</vt:lpstr>
      <vt:lpstr>②（て）キャンパス</vt:lpstr>
      <vt:lpstr>②（て）CSB</vt:lpstr>
      <vt:lpstr>②（さ）琥珀の泉</vt:lpstr>
      <vt:lpstr>②（さ）旬家</vt:lpstr>
      <vt:lpstr>②（さ）きさらぎ</vt:lpstr>
      <vt:lpstr>②（さ）肉バルしょうじ</vt:lpstr>
      <vt:lpstr>②（さ）Bar さんかく</vt:lpstr>
      <vt:lpstr>①（き）パンプキ</vt:lpstr>
      <vt:lpstr>(き)a55</vt:lpstr>
      <vt:lpstr>Bバック金額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檜原雅俊</dc:creator>
  <cp:lastModifiedBy>惇史山本</cp:lastModifiedBy>
  <cp:lastPrinted>2020-09-06T06:00:57Z</cp:lastPrinted>
  <dcterms:created xsi:type="dcterms:W3CDTF">2019-11-04T09:34:49Z</dcterms:created>
  <dcterms:modified xsi:type="dcterms:W3CDTF">2022-10-30T09:58:45Z</dcterms:modified>
</cp:coreProperties>
</file>