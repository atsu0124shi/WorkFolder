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C57544FD-A10E-431F-B3D0-0E07DF2D171B}" xr6:coauthVersionLast="47" xr6:coauthVersionMax="47" xr10:uidLastSave="{00000000-0000-0000-0000-000000000000}"/>
  <bookViews>
    <workbookView xWindow="3340" yWindow="3340" windowWidth="16920" windowHeight="10450" firstSheet="4" activeTab="11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な）煙" sheetId="50" r:id="rId21"/>
    <sheet name="②（さ）多味庵" sheetId="51" r:id="rId22"/>
    <sheet name="②（て）キャンパス" sheetId="52" r:id="rId23"/>
    <sheet name="②（て）CSB" sheetId="77" state="hidden" r:id="rId24"/>
    <sheet name="②（さ）琥珀の泉" sheetId="53" state="hidden" r:id="rId25"/>
    <sheet name="②（さ）旬家" sheetId="54" state="hidden" r:id="rId26"/>
    <sheet name="②（さ）肉バルしょうじ" sheetId="56" state="hidden" r:id="rId27"/>
    <sheet name="②（さ）きさらぎ" sheetId="55" state="hidden" r:id="rId28"/>
    <sheet name="（さ）HAKU" sheetId="62" r:id="rId29"/>
    <sheet name="②（さ）Bar さんかく" sheetId="76" r:id="rId30"/>
    <sheet name="①（き）パンプキ" sheetId="57" r:id="rId31"/>
    <sheet name="(き)a55" sheetId="61" state="hidden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3" i="49" l="1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6" i="46"/>
  <c r="H7" i="46"/>
  <c r="H8" i="46"/>
  <c r="H9" i="46"/>
  <c r="H10" i="46"/>
  <c r="H11" i="46"/>
  <c r="H12" i="46"/>
  <c r="H13" i="46"/>
  <c r="H14" i="46"/>
  <c r="H15" i="46"/>
  <c r="H16" i="46"/>
  <c r="H17" i="46"/>
  <c r="H18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H32" i="46"/>
  <c r="H33" i="46"/>
  <c r="H34" i="46"/>
  <c r="H35" i="46"/>
  <c r="H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19" i="46"/>
  <c r="E20" i="46"/>
  <c r="E21" i="46"/>
  <c r="E22" i="46"/>
  <c r="E23" i="46"/>
  <c r="E24" i="46"/>
  <c r="E25" i="46"/>
  <c r="E26" i="46"/>
  <c r="E27" i="46"/>
  <c r="E28" i="46"/>
  <c r="E29" i="46"/>
  <c r="E30" i="46"/>
  <c r="E31" i="46"/>
  <c r="H31" i="46" s="1"/>
  <c r="E32" i="46"/>
  <c r="E33" i="46"/>
  <c r="E34" i="46"/>
  <c r="E35" i="46"/>
  <c r="E5" i="46"/>
  <c r="E6" i="43"/>
  <c r="E7" i="43"/>
  <c r="H7" i="43" s="1"/>
  <c r="F7" i="43" s="1"/>
  <c r="G7" i="43" s="1"/>
  <c r="E8" i="43"/>
  <c r="H8" i="43" s="1"/>
  <c r="E9" i="43"/>
  <c r="H9" i="43" s="1"/>
  <c r="E10" i="43"/>
  <c r="H10" i="43" s="1"/>
  <c r="E11" i="43"/>
  <c r="H11" i="43" s="1"/>
  <c r="E12" i="43"/>
  <c r="H12" i="43" s="1"/>
  <c r="E13" i="43"/>
  <c r="H13" i="43" s="1"/>
  <c r="E14" i="43"/>
  <c r="E15" i="43"/>
  <c r="H15" i="43" s="1"/>
  <c r="E16" i="43"/>
  <c r="H16" i="43" s="1"/>
  <c r="E17" i="43"/>
  <c r="H17" i="43" s="1"/>
  <c r="E18" i="43"/>
  <c r="H18" i="43" s="1"/>
  <c r="F18" i="43" s="1"/>
  <c r="G18" i="43" s="1"/>
  <c r="E19" i="43"/>
  <c r="H19" i="43" s="1"/>
  <c r="E20" i="43"/>
  <c r="H20" i="43" s="1"/>
  <c r="E21" i="43"/>
  <c r="H21" i="43" s="1"/>
  <c r="E22" i="43"/>
  <c r="E23" i="43"/>
  <c r="H23" i="43" s="1"/>
  <c r="E24" i="43"/>
  <c r="H24" i="43" s="1"/>
  <c r="E25" i="43"/>
  <c r="H25" i="43" s="1"/>
  <c r="E26" i="43"/>
  <c r="H26" i="43" s="1"/>
  <c r="E27" i="43"/>
  <c r="H27" i="43" s="1"/>
  <c r="E28" i="43"/>
  <c r="H28" i="43" s="1"/>
  <c r="E29" i="43"/>
  <c r="H29" i="43" s="1"/>
  <c r="E30" i="43"/>
  <c r="E31" i="43"/>
  <c r="H31" i="43" s="1"/>
  <c r="E32" i="43"/>
  <c r="H32" i="43" s="1"/>
  <c r="E33" i="43"/>
  <c r="H33" i="43" s="1"/>
  <c r="F33" i="43" s="1"/>
  <c r="G33" i="43" s="1"/>
  <c r="E34" i="43"/>
  <c r="H34" i="43" s="1"/>
  <c r="E35" i="43"/>
  <c r="H35" i="43" s="1"/>
  <c r="E5" i="43"/>
  <c r="H5" i="43" s="1"/>
  <c r="H6" i="43"/>
  <c r="F6" i="43" s="1"/>
  <c r="G6" i="43" s="1"/>
  <c r="H14" i="43"/>
  <c r="F14" i="43" s="1"/>
  <c r="G14" i="43" s="1"/>
  <c r="H22" i="43"/>
  <c r="H30" i="43"/>
  <c r="F8" i="43"/>
  <c r="G8" i="43" s="1"/>
  <c r="F9" i="43"/>
  <c r="G9" i="43" s="1"/>
  <c r="F10" i="43"/>
  <c r="G10" i="43"/>
  <c r="F11" i="43"/>
  <c r="G11" i="43" s="1"/>
  <c r="F12" i="43"/>
  <c r="G12" i="43"/>
  <c r="F13" i="43"/>
  <c r="G13" i="43" s="1"/>
  <c r="F15" i="43"/>
  <c r="G15" i="43" s="1"/>
  <c r="F16" i="43"/>
  <c r="G16" i="43" s="1"/>
  <c r="F17" i="43"/>
  <c r="G17" i="43" s="1"/>
  <c r="F19" i="43"/>
  <c r="G19" i="43" s="1"/>
  <c r="F20" i="43"/>
  <c r="G20" i="43" s="1"/>
  <c r="F21" i="43"/>
  <c r="G21" i="43" s="1"/>
  <c r="F22" i="43"/>
  <c r="G22" i="43" s="1"/>
  <c r="F23" i="43"/>
  <c r="G23" i="43" s="1"/>
  <c r="F24" i="43"/>
  <c r="G24" i="43" s="1"/>
  <c r="F25" i="43"/>
  <c r="G25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/>
  <c r="F32" i="43"/>
  <c r="G32" i="43" s="1"/>
  <c r="F34" i="43"/>
  <c r="G34" i="43" s="1"/>
  <c r="F35" i="43"/>
  <c r="G35" i="43" s="1"/>
  <c r="G7" i="39" l="1"/>
  <c r="G8" i="39"/>
  <c r="G10" i="39"/>
  <c r="G11" i="39"/>
  <c r="G12" i="39"/>
  <c r="G13" i="39"/>
  <c r="G14" i="39"/>
  <c r="G15" i="39"/>
  <c r="G16" i="39"/>
  <c r="G17" i="39"/>
  <c r="G18" i="39"/>
  <c r="G20" i="39"/>
  <c r="G21" i="39"/>
  <c r="G22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F27" i="39" l="1"/>
  <c r="J28" i="43"/>
  <c r="J27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3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6" i="43"/>
  <c r="D36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2" i="43"/>
  <c r="J23" i="43"/>
  <c r="J24" i="43"/>
  <c r="J25" i="43"/>
  <c r="J29" i="43"/>
  <c r="J30" i="43"/>
  <c r="J31" i="43"/>
  <c r="J32" i="43"/>
  <c r="J34" i="43"/>
  <c r="J35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6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6" i="43"/>
  <c r="F2" i="43" s="1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F8" i="39"/>
  <c r="F9" i="39"/>
  <c r="G9" i="39" s="1"/>
  <c r="F10" i="39"/>
  <c r="F11" i="39"/>
  <c r="F12" i="39"/>
  <c r="F13" i="39"/>
  <c r="F14" i="39"/>
  <c r="F15" i="39"/>
  <c r="F16" i="39"/>
  <c r="F17" i="39"/>
  <c r="F18" i="39"/>
  <c r="F19" i="39"/>
  <c r="G19" i="39" s="1"/>
  <c r="F20" i="39"/>
  <c r="F21" i="39"/>
  <c r="F22" i="39"/>
  <c r="F23" i="39"/>
  <c r="G23" i="39" s="1"/>
  <c r="F24" i="39"/>
  <c r="F25" i="39"/>
  <c r="F26" i="39"/>
  <c r="F28" i="39"/>
  <c r="F29" i="39"/>
  <c r="F30" i="39"/>
  <c r="F31" i="39"/>
  <c r="F32" i="39"/>
  <c r="F33" i="39"/>
  <c r="F34" i="39"/>
  <c r="F35" i="39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5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0" i="43" l="1"/>
  <c r="A28" i="43"/>
  <c r="A26" i="43"/>
  <c r="A24" i="43"/>
  <c r="A34" i="43"/>
  <c r="A22" i="43"/>
  <c r="A20" i="43"/>
  <c r="A18" i="43"/>
  <c r="A16" i="43"/>
  <c r="A14" i="43"/>
  <c r="A12" i="43"/>
  <c r="A10" i="43"/>
  <c r="A8" i="43"/>
  <c r="A32" i="43"/>
  <c r="A31" i="43"/>
  <c r="A29" i="43"/>
  <c r="A27" i="43"/>
  <c r="A25" i="43"/>
  <c r="A23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6" i="43"/>
  <c r="J36" i="43"/>
  <c r="G36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<sst xmlns="http://schemas.openxmlformats.org/spreadsheetml/2006/main" count="1409" uniqueCount="570">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</sst>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5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48" tableBorderDxfId="547" totalsRowBorderDxfId="546">
  <autoFilter ref="A4:J35" xr:uid="{42414338-E444-BB4D-BA80-49E4335CE2E2}"/>
  <tableColumns count="10">
    <tableColumn id="4" xr3:uid="{22E9A47A-F49D-467F-9DDA-31903DA500BE}" name="日付" dataDxfId="545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44"/>
    <tableColumn id="2" xr3:uid="{4BF66E7A-3B30-654B-A605-CCFBAC441848}" name="予約番号" dataDxfId="543"/>
    <tableColumn id="3" xr3:uid="{2C188A72-23C9-FE41-BDD6-A823AAD0BFCB}" name="人数" dataDxfId="542"/>
    <tableColumn id="8" xr3:uid="{60288A73-20D5-4508-BE42-4FB47F58B012}" name="8人以上件数" dataDxfId="541" dataCellStyle="標準 2">
      <calculatedColumnFormula>ROUNDDOWN(心斎橋CSB4000円[[#This Row],[人数]]/8,0)</calculatedColumnFormula>
    </tableColumn>
    <tableColumn id="5" xr3:uid="{F486775F-119A-42CF-9FD1-63801B9DFF2B}" name="単価合計" dataDxfId="540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39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38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37" dataCellStyle="標準 2"/>
    <tableColumn id="7" xr3:uid="{0BFF34ED-9F1A-4E4E-AC9C-74E571CDBEFA}" name="イベンターへ" dataDxfId="536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35" tableBorderDxfId="534" totalsRowBorderDxfId="533">
  <autoFilter ref="L4:U35" xr:uid="{F7A875AA-1543-644B-A9EF-2AB1CA39FE70}"/>
  <tableColumns count="10">
    <tableColumn id="4" xr3:uid="{E2F695D9-AEDE-482A-BC81-27B8F984826B}" name="日付" dataDxfId="532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31"/>
    <tableColumn id="2" xr3:uid="{029B344B-D744-5D49-A8AA-E3B34531FF96}" name="予約番号" dataDxfId="530"/>
    <tableColumn id="3" xr3:uid="{3339AAB1-64BA-BB4A-9CF5-BAC2D7B2A670}" name="人数" dataDxfId="529" dataCellStyle="標準 2"/>
    <tableColumn id="8" xr3:uid="{B88186CA-9360-4AB3-A122-4EBC448D3C09}" name="Aパターン" dataDxfId="528" dataCellStyle="標準 2"/>
    <tableColumn id="5" xr3:uid="{0C483613-2F19-402E-AA51-597E5B731E02}" name="単価合計" dataDxfId="527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26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25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24" dataCellStyle="標準 2"/>
    <tableColumn id="7" xr3:uid="{511083DE-4120-44B0-A791-95FBE68F9FA7}" name="イベンターへ" dataDxfId="523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22" tableBorderDxfId="521" totalsRowBorderDxfId="520">
  <autoFilter ref="A4:J35" xr:uid="{00DBB7E4-242C-1647-AB5F-10B637CF6C0F}"/>
  <tableColumns count="10">
    <tableColumn id="4" xr3:uid="{14C1A76E-63E2-4748-8CF2-E5A20E3BD634}" name="日付" dataDxfId="519"/>
    <tableColumn id="1" xr3:uid="{312BCEFE-CCFB-DE47-AC2E-53BFF7C95D0A}" name="件数" dataDxfId="518"/>
    <tableColumn id="2" xr3:uid="{9CAC6E22-07B0-3E4F-9C0E-229AD7B6BB4A}" name="イベンター予約名" dataDxfId="517"/>
    <tableColumn id="3" xr3:uid="{DC96C07E-E016-BF46-B1CE-AD6CA6D7C610}" name="人数" dataDxfId="516"/>
    <tableColumn id="8" xr3:uid="{5D12CD71-1E77-4EDA-81D7-C1E55CBB28DC}" name="Aパターン" dataDxfId="515" dataCellStyle="標準 2"/>
    <tableColumn id="5" xr3:uid="{9774124C-E665-4F19-B841-3CC13DF71B05}" name="単価合計" dataDxfId="514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13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12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11" dataCellStyle="桁区切り 2"/>
    <tableColumn id="7" xr3:uid="{2C0BA5DD-6969-4272-B48B-35BB1507AB2F}" name="イベンターへ" dataDxfId="510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09" tableBorderDxfId="508" totalsRowBorderDxfId="507">
  <autoFilter ref="L4:U35" xr:uid="{C4695727-ADE7-9646-A4E3-4527B6CF8249}"/>
  <tableColumns count="10">
    <tableColumn id="4" xr3:uid="{37B87638-DCB3-47A1-B65F-51490680C21F}" name="日付" dataDxfId="506"/>
    <tableColumn id="1" xr3:uid="{8B7A3305-B137-E249-9FB8-1347B57215FC}" name="件数" dataDxfId="505"/>
    <tableColumn id="2" xr3:uid="{FFF256E6-39AD-A043-A510-B4F12FF4C48D}" name="イベンター予約名" dataDxfId="504"/>
    <tableColumn id="3" xr3:uid="{9198BD1F-0A2B-1A48-B03D-8E6CA169373C}" name="人数" dataDxfId="503"/>
    <tableColumn id="8" xr3:uid="{94F38A54-AB74-4F29-A937-64D862A2A61F}" name="Aパターン" dataDxfId="502" dataCellStyle="標準 2"/>
    <tableColumn id="5" xr3:uid="{0148A512-60B2-446A-8720-D11A68F2CF48}" name="単価合計" dataDxfId="501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00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499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498" dataCellStyle="桁区切り 2"/>
    <tableColumn id="7" xr3:uid="{927FDBE2-67E8-4344-A492-B260AB64E618}" name="イベンターへ" dataDxfId="497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5" totalsRowShown="0" headerRowBorderDxfId="406" tableBorderDxfId="405" totalsRowBorderDxfId="404">
  <autoFilter ref="A4:J35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/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Aパターン" dataDxfId="278" dataCellStyle="標準 2"/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/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Aパターン" dataDxfId="96" dataCellStyle="標準 2"/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Aパターン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ctrlProp" Target="../ctrlProps/ctrlProp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>
      <selection activeCell="O4" sqref="O4"/>
    </sheetView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46" t="s">
        <v>235</v>
      </c>
      <c r="N1" s="143">
        <v>2022</v>
      </c>
      <c r="O1" s="145">
        <v>12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 t="str">
        <f>VLOOKUP(名前リスト[[#This Row],[管理番号]],まとめ表_バック金額[[#All],[管理番号]:[バック金額合計]],4,FALSE)</f>
        <v/>
      </c>
      <c r="E23" s="80" t="str">
        <f>VLOOKUP(名前リスト[[#This Row],[管理番号]],まとめ表_各店舗件数[[#All],[管理番号]:[合計件数]],4,FALSE)</f>
        <v/>
      </c>
      <c r="F23" s="111" t="str">
        <f>VLOOKUP(名前リスト[[#This Row],[管理番号]],まとめ表_各Aパターン件数[[#All],[管理番号]:[Aパターン]],4,FALSE)</f>
        <v/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>
        <f>VLOOKUP(名前リスト[[#This Row],[管理番号]],まとめ表_バック金額[[#All],[管理番号]:[バック金額合計]],4,FALSE)</f>
        <v>37000</v>
      </c>
      <c r="E221" s="80">
        <f>VLOOKUP(名前リスト[[#This Row],[管理番号]],まとめ表_各店舗件数[[#All],[管理番号]:[合計件数]],4,FALSE)</f>
        <v>2</v>
      </c>
      <c r="F221" s="111">
        <f>VLOOKUP(名前リスト[[#This Row],[管理番号]],まとめ表_各Aパターン件数[[#All],[管理番号]:[Aパターン]],4,FALSE)</f>
        <v>3</v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37000</v>
      </c>
      <c r="J221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 t="str">
        <f>VLOOKUP(名前リスト[[#This Row],[管理番号]],まとめ表_バック金額[[#All],[管理番号]:[バック金額合計]],4,FALSE)</f>
        <v/>
      </c>
      <c r="E229" s="130" t="str">
        <f>VLOOKUP(名前リスト[[#This Row],[管理番号]],まとめ表_各店舗件数[[#All],[管理番号]:[合計件数]],4,FALSE)</f>
        <v/>
      </c>
      <c r="F229" s="131" t="str">
        <f>VLOOKUP(名前リスト[[#This Row],[管理番号]],まとめ表_各Aパターン件数[[#All],[管理番号]:[Aパターン]],4,FALSE)</f>
        <v/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>
        <f>VLOOKUP(名前リスト[[#This Row],[管理番号]],まとめ表_バック金額[[#All],[管理番号]:[バック金額合計]],4,FALSE)</f>
        <v>13000</v>
      </c>
      <c r="E254" s="130">
        <f>VLOOKUP(名前リスト[[#This Row],[管理番号]],まとめ表_各店舗件数[[#All],[管理番号]:[合計件数]],4,FALSE)</f>
        <v>2</v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13000</v>
      </c>
      <c r="J254" s="139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46" t="s">
        <v>323</v>
      </c>
      <c r="B1" s="146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>
        <f t="shared" si="3"/>
        <v>2</v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1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 t="str">
        <f t="shared" ref="D229:D292" si="4">IF(SUM(E229:XFD229)=0,"",SUM(E229:XFD229))</f>
        <v/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>
        <f t="shared" si="4"/>
        <v>2</v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 t="str">
        <f t="shared" si="0"/>
        <v/>
      </c>
      <c r="E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>
        <f t="shared" si="3"/>
        <v>3</v>
      </c>
      <c r="E2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2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1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 t="str">
        <f t="shared" si="3"/>
        <v/>
      </c>
      <c r="E2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8" ht="2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>
        <f t="shared" si="3"/>
        <v>37000</v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24000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13000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 t="str">
        <f t="shared" si="3"/>
        <v/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>
        <f t="shared" si="3"/>
        <v>13000</v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6000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7000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8" activePane="bottomLeft" state="frozen"/>
      <selection pane="bottomLeft" activeCell="H15" sqref="H15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2.230468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8" bestFit="1" customWidth="1"/>
    <col min="15" max="15" width="7.69140625" style="8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6" t="s">
        <v>370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374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44896</v>
      </c>
      <c r="B5" s="105" t="str">
        <f>TEXT(DATE(名前リスト!$N$1,名前リスト!$O$1,ROW()-4),"aaa")</f>
        <v>木</v>
      </c>
      <c r="C5" s="13"/>
      <c r="D5" s="14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44896</v>
      </c>
      <c r="O5" s="105" t="str">
        <f>TEXT(DATE(名前リスト!$N$1,名前リスト!$O$1,ROW()-4),"aaa")</f>
        <v>木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44897</v>
      </c>
      <c r="B6" s="105" t="str">
        <f>TEXT(DATE(名前リスト!$N$1,名前リスト!$O$1,ROW()-4),"aaa")</f>
        <v>金</v>
      </c>
      <c r="C6" s="13"/>
      <c r="D6" s="14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44897</v>
      </c>
      <c r="O6" s="105" t="str">
        <f>TEXT(DATE(名前リスト!$N$1,名前リスト!$O$1,ROW()-4),"aaa")</f>
        <v>金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44898</v>
      </c>
      <c r="B7" s="105" t="str">
        <f>TEXT(DATE(名前リスト!$N$1,名前リスト!$O$1,ROW()-4),"aaa")</f>
        <v>土</v>
      </c>
      <c r="C7" s="13"/>
      <c r="D7" s="14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44898</v>
      </c>
      <c r="O7" s="105" t="str">
        <f>TEXT(DATE(名前リスト!$N$1,名前リスト!$O$1,ROW()-4),"aaa")</f>
        <v>土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44899</v>
      </c>
      <c r="B8" s="105" t="str">
        <f>TEXT(DATE(名前リスト!$N$1,名前リスト!$O$1,ROW()-4),"aaa")</f>
        <v>日</v>
      </c>
      <c r="C8" s="13"/>
      <c r="D8" s="14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44899</v>
      </c>
      <c r="O8" s="105" t="str">
        <f>TEXT(DATE(名前リスト!$N$1,名前リスト!$O$1,ROW()-4),"aaa")</f>
        <v>日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44900</v>
      </c>
      <c r="B9" s="105" t="str">
        <f>TEXT(DATE(名前リスト!$N$1,名前リスト!$O$1,ROW()-4),"aaa")</f>
        <v>月</v>
      </c>
      <c r="C9" s="13"/>
      <c r="D9" s="14"/>
      <c r="E9" s="50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44900</v>
      </c>
      <c r="O9" s="105" t="str">
        <f>TEXT(DATE(名前リスト!$N$1,名前リスト!$O$1,ROW()-4),"aaa")</f>
        <v>月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44901</v>
      </c>
      <c r="B10" s="105" t="str">
        <f>TEXT(DATE(名前リスト!$N$1,名前リスト!$O$1,ROW()-4),"aaa")</f>
        <v>火</v>
      </c>
      <c r="C10" s="13"/>
      <c r="D10" s="14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44901</v>
      </c>
      <c r="O10" s="105" t="str">
        <f>TEXT(DATE(名前リスト!$N$1,名前リスト!$O$1,ROW()-4),"aaa")</f>
        <v>火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44902</v>
      </c>
      <c r="B11" s="105" t="str">
        <f>TEXT(DATE(名前リスト!$N$1,名前リスト!$O$1,ROW()-4),"aaa")</f>
        <v>水</v>
      </c>
      <c r="C11" s="13"/>
      <c r="D11" s="14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44902</v>
      </c>
      <c r="O11" s="105" t="str">
        <f>TEXT(DATE(名前リスト!$N$1,名前リスト!$O$1,ROW()-4),"aaa")</f>
        <v>水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44903</v>
      </c>
      <c r="B12" s="105" t="str">
        <f>TEXT(DATE(名前リスト!$N$1,名前リスト!$O$1,ROW()-4),"aaa")</f>
        <v>木</v>
      </c>
      <c r="C12" s="13"/>
      <c r="D12" s="14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44903</v>
      </c>
      <c r="O12" s="105" t="str">
        <f>TEXT(DATE(名前リスト!$N$1,名前リスト!$O$1,ROW()-4),"aaa")</f>
        <v>木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44904</v>
      </c>
      <c r="B13" s="105" t="str">
        <f>TEXT(DATE(名前リスト!$N$1,名前リスト!$O$1,ROW()-4),"aaa")</f>
        <v>金</v>
      </c>
      <c r="C13" s="13"/>
      <c r="D13" s="14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44904</v>
      </c>
      <c r="O13" s="105" t="str">
        <f>TEXT(DATE(名前リスト!$N$1,名前リスト!$O$1,ROW()-4),"aaa")</f>
        <v>金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44905</v>
      </c>
      <c r="B14" s="105" t="str">
        <f>TEXT(DATE(名前リスト!$N$1,名前リスト!$O$1,ROW()-4),"aaa")</f>
        <v>土</v>
      </c>
      <c r="C14" s="13"/>
      <c r="D14" s="14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44905</v>
      </c>
      <c r="O14" s="105" t="str">
        <f>TEXT(DATE(名前リスト!$N$1,名前リスト!$O$1,ROW()-4),"aaa")</f>
        <v>土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44906</v>
      </c>
      <c r="B15" s="105" t="str">
        <f>TEXT(DATE(名前リスト!$N$1,名前リスト!$O$1,ROW()-4),"aaa")</f>
        <v>日</v>
      </c>
      <c r="C15" s="13">
        <v>1</v>
      </c>
      <c r="D15" s="14">
        <v>329</v>
      </c>
      <c r="E15" s="15">
        <v>8</v>
      </c>
      <c r="F15" s="15"/>
      <c r="G15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14000</v>
      </c>
      <c r="H15" s="16">
        <f>IFERROR(($B$3*梅田キャンプ4000[[#This Row],[人数]])-梅田キャンプ4000[[#This Row],[単価合計]]-(梅田キャンプ4000[[#This Row],[キャンセル人数]]*$B$2),"")</f>
        <v>18000</v>
      </c>
      <c r="I15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2000</v>
      </c>
      <c r="J15" s="70"/>
      <c r="K15" s="16">
        <f>IF(梅田キャンプ4000[[#This Row],[人数]]="","",VLOOKUP(梅田キャンプ4000[[#This Row],[人数]],バック金額①[#All],2,TRUE)-(梅田キャンプ4000[[#This Row],[キャンセル人数]]*$B$2))</f>
        <v>10000</v>
      </c>
      <c r="L15" s="95"/>
      <c r="N15" s="100">
        <f t="shared" si="1"/>
        <v>44906</v>
      </c>
      <c r="O15" s="105" t="str">
        <f>TEXT(DATE(名前リスト!$N$1,名前リスト!$O$1,ROW()-4),"aaa")</f>
        <v>日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44907</v>
      </c>
      <c r="B16" s="105" t="str">
        <f>TEXT(DATE(名前リスト!$N$1,名前リスト!$O$1,ROW()-4),"aaa")</f>
        <v>月</v>
      </c>
      <c r="C16" s="13"/>
      <c r="D16" s="14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44907</v>
      </c>
      <c r="O16" s="105" t="str">
        <f>TEXT(DATE(名前リスト!$N$1,名前リスト!$O$1,ROW()-4),"aaa")</f>
        <v>月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44908</v>
      </c>
      <c r="B17" s="105" t="str">
        <f>TEXT(DATE(名前リスト!$N$1,名前リスト!$O$1,ROW()-4),"aaa")</f>
        <v>火</v>
      </c>
      <c r="C17" s="13"/>
      <c r="D17" s="14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44908</v>
      </c>
      <c r="O17" s="105" t="str">
        <f>TEXT(DATE(名前リスト!$N$1,名前リスト!$O$1,ROW()-4),"aaa")</f>
        <v>火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44909</v>
      </c>
      <c r="B18" s="105" t="str">
        <f>TEXT(DATE(名前リスト!$N$1,名前リスト!$O$1,ROW()-4),"aaa")</f>
        <v>水</v>
      </c>
      <c r="C18" s="13"/>
      <c r="D18" s="14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44909</v>
      </c>
      <c r="O18" s="105" t="str">
        <f>TEXT(DATE(名前リスト!$N$1,名前リスト!$O$1,ROW()-4),"aaa")</f>
        <v>水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44910</v>
      </c>
      <c r="B19" s="105" t="str">
        <f>TEXT(DATE(名前リスト!$N$1,名前リスト!$O$1,ROW()-4),"aaa")</f>
        <v>木</v>
      </c>
      <c r="C19" s="13"/>
      <c r="D19" s="14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44910</v>
      </c>
      <c r="O19" s="105" t="str">
        <f>TEXT(DATE(名前リスト!$N$1,名前リスト!$O$1,ROW()-4),"aaa")</f>
        <v>木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44911</v>
      </c>
      <c r="B20" s="105" t="str">
        <f>TEXT(DATE(名前リスト!$N$1,名前リスト!$O$1,ROW()-4),"aaa")</f>
        <v>金</v>
      </c>
      <c r="C20" s="13"/>
      <c r="D20" s="14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44911</v>
      </c>
      <c r="O20" s="105" t="str">
        <f>TEXT(DATE(名前リスト!$N$1,名前リスト!$O$1,ROW()-4),"aaa")</f>
        <v>金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44912</v>
      </c>
      <c r="B21" s="105" t="str">
        <f>TEXT(DATE(名前リスト!$N$1,名前リスト!$O$1,ROW()-4),"aaa")</f>
        <v>土</v>
      </c>
      <c r="C21" s="13"/>
      <c r="D21" s="14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44912</v>
      </c>
      <c r="O21" s="105" t="str">
        <f>TEXT(DATE(名前リスト!$N$1,名前リスト!$O$1,ROW()-4),"aaa")</f>
        <v>土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44913</v>
      </c>
      <c r="B22" s="105" t="str">
        <f>TEXT(DATE(名前リスト!$N$1,名前リスト!$O$1,ROW()-4),"aaa")</f>
        <v>日</v>
      </c>
      <c r="C22" s="13"/>
      <c r="D22" s="14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44913</v>
      </c>
      <c r="O22" s="105" t="str">
        <f>TEXT(DATE(名前リスト!$N$1,名前リスト!$O$1,ROW()-4),"aaa")</f>
        <v>日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44914</v>
      </c>
      <c r="B23" s="105" t="str">
        <f>TEXT(DATE(名前リスト!$N$1,名前リスト!$O$1,ROW()-4),"aaa")</f>
        <v>月</v>
      </c>
      <c r="C23" s="13"/>
      <c r="D23" s="14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44914</v>
      </c>
      <c r="O23" s="105" t="str">
        <f>TEXT(DATE(名前リスト!$N$1,名前リスト!$O$1,ROW()-4),"aaa")</f>
        <v>月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44915</v>
      </c>
      <c r="B24" s="105" t="str">
        <f>TEXT(DATE(名前リスト!$N$1,名前リスト!$O$1,ROW()-4),"aaa")</f>
        <v>火</v>
      </c>
      <c r="C24" s="13"/>
      <c r="D24" s="14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44915</v>
      </c>
      <c r="O24" s="105" t="str">
        <f>TEXT(DATE(名前リスト!$N$1,名前リスト!$O$1,ROW()-4),"aaa")</f>
        <v>火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44916</v>
      </c>
      <c r="B25" s="105" t="str">
        <f>TEXT(DATE(名前リスト!$N$1,名前リスト!$O$1,ROW()-4),"aaa")</f>
        <v>水</v>
      </c>
      <c r="C25" s="13"/>
      <c r="D25" s="14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44916</v>
      </c>
      <c r="O25" s="105" t="str">
        <f>TEXT(DATE(名前リスト!$N$1,名前リスト!$O$1,ROW()-4),"aaa")</f>
        <v>水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44917</v>
      </c>
      <c r="B26" s="105" t="str">
        <f>TEXT(DATE(名前リスト!$N$1,名前リスト!$O$1,ROW()-4),"aaa")</f>
        <v>木</v>
      </c>
      <c r="C26" s="13"/>
      <c r="D26" s="53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44917</v>
      </c>
      <c r="O26" s="105" t="str">
        <f>TEXT(DATE(名前リスト!$N$1,名前リスト!$O$1,ROW()-4),"aaa")</f>
        <v>木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44918</v>
      </c>
      <c r="B27" s="105" t="str">
        <f>TEXT(DATE(名前リスト!$N$1,名前リスト!$O$1,ROW()-4),"aaa")</f>
        <v>金</v>
      </c>
      <c r="C27" s="13"/>
      <c r="D27" s="14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44918</v>
      </c>
      <c r="O27" s="105" t="str">
        <f>TEXT(DATE(名前リスト!$N$1,名前リスト!$O$1,ROW()-4),"aaa")</f>
        <v>金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44919</v>
      </c>
      <c r="B28" s="105" t="str">
        <f>TEXT(DATE(名前リスト!$N$1,名前リスト!$O$1,ROW()-4),"aaa")</f>
        <v>土</v>
      </c>
      <c r="C28" s="13"/>
      <c r="D28" s="14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44919</v>
      </c>
      <c r="O28" s="105" t="str">
        <f>TEXT(DATE(名前リスト!$N$1,名前リスト!$O$1,ROW()-4),"aaa")</f>
        <v>土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44920</v>
      </c>
      <c r="B29" s="105" t="str">
        <f>TEXT(DATE(名前リスト!$N$1,名前リスト!$O$1,ROW()-4),"aaa")</f>
        <v>日</v>
      </c>
      <c r="C29" s="13"/>
      <c r="D29" s="14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44920</v>
      </c>
      <c r="O29" s="105" t="str">
        <f>TEXT(DATE(名前リスト!$N$1,名前リスト!$O$1,ROW()-4),"aaa")</f>
        <v>日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44921</v>
      </c>
      <c r="B30" s="105" t="str">
        <f>TEXT(DATE(名前リスト!$N$1,名前リスト!$O$1,ROW()-4),"aaa")</f>
        <v>月</v>
      </c>
      <c r="C30" s="13"/>
      <c r="D30" s="14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44921</v>
      </c>
      <c r="O30" s="105" t="str">
        <f>TEXT(DATE(名前リスト!$N$1,名前リスト!$O$1,ROW()-4),"aaa")</f>
        <v>月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44922</v>
      </c>
      <c r="B31" s="105" t="str">
        <f>TEXT(DATE(名前リスト!$N$1,名前リスト!$O$1,ROW()-4),"aaa")</f>
        <v>火</v>
      </c>
      <c r="C31" s="13"/>
      <c r="D31" s="14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44922</v>
      </c>
      <c r="O31" s="105" t="str">
        <f>TEXT(DATE(名前リスト!$N$1,名前リスト!$O$1,ROW()-4),"aaa")</f>
        <v>火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44923</v>
      </c>
      <c r="B32" s="105" t="str">
        <f>TEXT(DATE(名前リスト!$N$1,名前リスト!$O$1,ROW()-4),"aaa")</f>
        <v>水</v>
      </c>
      <c r="C32" s="13"/>
      <c r="D32" s="14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44923</v>
      </c>
      <c r="O32" s="105" t="str">
        <f>TEXT(DATE(名前リスト!$N$1,名前リスト!$O$1,ROW()-4),"aaa")</f>
        <v>水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44924</v>
      </c>
      <c r="B33" s="105" t="str">
        <f>TEXT(DATE(名前リスト!$N$1,名前リスト!$O$1,ROW()-4),"aaa")</f>
        <v>木</v>
      </c>
      <c r="C33" s="13"/>
      <c r="D33" s="14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44924</v>
      </c>
      <c r="O33" s="105" t="str">
        <f>TEXT(DATE(名前リスト!$N$1,名前リスト!$O$1,ROW()-4),"aaa")</f>
        <v>木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44925</v>
      </c>
      <c r="B34" s="105" t="str">
        <f>TEXT(DATE(名前リスト!$N$1,名前リスト!$O$1,ROW()-4),"aaa")</f>
        <v>金</v>
      </c>
      <c r="C34" s="13"/>
      <c r="D34" s="14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44925</v>
      </c>
      <c r="O34" s="105" t="str">
        <f>TEXT(DATE(名前リスト!$N$1,名前リスト!$O$1,ROW()-4),"aaa")</f>
        <v>金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44926</v>
      </c>
      <c r="B35" s="105" t="str">
        <f>TEXT(DATE(名前リスト!$N$1,名前リスト!$O$1,ROW()-4),"aaa")</f>
        <v>土</v>
      </c>
      <c r="C35" s="17"/>
      <c r="D35" s="18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44926</v>
      </c>
      <c r="O35" s="105" t="str">
        <f>TEXT(DATE(名前リスト!$N$1,名前リスト!$O$1,ROW()-4),"aaa")</f>
        <v>土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1</v>
      </c>
      <c r="D36" s="6"/>
      <c r="E36" s="16">
        <f>SUM(梅田キャンプ4000[人数])</f>
        <v>8</v>
      </c>
      <c r="F36" s="16"/>
      <c r="G36" s="16">
        <f>SUM(梅田キャンプ4000[単価合計])</f>
        <v>14000</v>
      </c>
      <c r="H36" s="16">
        <f>SUM(梅田キャンプ4000[ゆうき取りに行く])</f>
        <v>18000</v>
      </c>
      <c r="I36" s="16"/>
      <c r="J36" s="16"/>
      <c r="K36" s="16">
        <f>SUM(梅田キャンプ4000[イベンターへ])</f>
        <v>10000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44899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44900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44925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44926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44926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44899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44900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44926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44926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44899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44900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44901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44902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44903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44904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44905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44906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44907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44908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44909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44910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44911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44912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44913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44914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44915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44916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44917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44918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44919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44920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44921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44922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44923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44924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44925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44926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44926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tabSelected="1" zoomScale="70" zoomScaleNormal="70" workbookViewId="0">
      <pane ySplit="4" topLeftCell="A5" activePane="bottomLeft" state="frozen"/>
      <selection pane="bottomLeft" activeCell="G14" sqref="G14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45000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44899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44900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44901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44902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44903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44904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44905</v>
      </c>
      <c r="B14" s="13">
        <v>1</v>
      </c>
      <c r="C14" s="14"/>
      <c r="D14" s="15">
        <v>8</v>
      </c>
      <c r="E14" s="15">
        <f>ROUNDDOWN(心斎橋CSB4000円[[#This Row],[人数]]/8,0)</f>
        <v>1</v>
      </c>
      <c r="F14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17500</v>
      </c>
      <c r="G14" s="42">
        <f>IFERROR(($B$3*心斎橋CSB4000円[[#This Row],[人数]])-心斎橋CSB4000円[[#This Row],[単価合計]]-(心斎橋CSB4000円[[#This Row],[キャンセル人数]]*$B$2),"")</f>
        <v>14500</v>
      </c>
      <c r="H14" s="42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>2500</v>
      </c>
      <c r="I14" s="15"/>
      <c r="J14" s="42">
        <f>IF(心斎橋CSB4000円[[#This Row],[人数]]="","",VLOOKUP(心斎橋CSB4000円[[#This Row],[人数]],バック金額②[#All],2,TRUE)-(心斎橋CSB4000円[[#This Row],[キャンセル人数]]*$B$2))</f>
        <v>9000</v>
      </c>
      <c r="L14" s="63">
        <f t="shared" si="1"/>
        <v>44905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44906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44907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44908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44909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44910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44911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44912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44913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44914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44915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>
        <f>ROUNDDOWN(心斎橋CSB4000円[[#This Row],[人数]]/8,0)</f>
        <v>0</v>
      </c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44916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44917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44918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44919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44920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>
        <f>ROUNDDOWN(心斎橋CSB4000円[[#This Row],[人数]]/8,0)</f>
        <v>0</v>
      </c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44921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44922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44923</v>
      </c>
      <c r="B32" s="13">
        <v>1</v>
      </c>
      <c r="C32" s="14">
        <v>220</v>
      </c>
      <c r="D32" s="15">
        <v>12</v>
      </c>
      <c r="E32" s="15">
        <f>ROUNDDOWN(心斎橋CSB4000円[[#This Row],[人数]]/8,0)</f>
        <v>1</v>
      </c>
      <c r="F32" s="42">
        <f>IF(心斎橋CSB4000円[[#This Row],[人数]]="","",IF(心斎橋CSB4000円[[#This Row],[人数]]&lt;=7,$B$1*心斎橋CSB4000円[[#This Row],[人数]],$B$1*心斎橋CSB4000円[[#This Row],[人数]]-心斎橋CSB4000円[[#This Row],[幹事無料]]))</f>
        <v>27500</v>
      </c>
      <c r="G32" s="42">
        <f>IFERROR(($B$3*心斎橋CSB4000円[[#This Row],[人数]])-心斎橋CSB4000円[[#This Row],[単価合計]]-(心斎橋CSB4000円[[#This Row],[キャンセル人数]]*$B$2),"")</f>
        <v>20500</v>
      </c>
      <c r="H32" s="42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>2500</v>
      </c>
      <c r="I32" s="15"/>
      <c r="J32" s="42">
        <f>IF(心斎橋CSB4000円[[#This Row],[人数]]="","",VLOOKUP(心斎橋CSB4000円[[#This Row],[人数]],バック金額②[#All],2,TRUE)-(心斎橋CSB4000円[[#This Row],[キャンセル人数]]*$B$2))</f>
        <v>13000</v>
      </c>
      <c r="L32" s="63">
        <f t="shared" si="1"/>
        <v>44923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44924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44925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5"/>
      <c r="E35" s="15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44926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2</v>
      </c>
      <c r="C36" s="6"/>
      <c r="D36" s="16">
        <f>SUM(心斎橋CSB4000円[[#All],[人数]])</f>
        <v>20</v>
      </c>
      <c r="E36" s="16">
        <f>SUM(心斎橋CSB4000円[[#All],[8人以上件数]])</f>
        <v>2</v>
      </c>
      <c r="F36" s="16">
        <f>SUM(心斎橋CSB4000円[[#All],[単価合計]])</f>
        <v>45000</v>
      </c>
      <c r="G36" s="16">
        <f>SUM(心斎橋CSB4000円[[#All],[ゆうき取りに行く]])</f>
        <v>35000</v>
      </c>
      <c r="H36" s="16"/>
      <c r="I36" s="16"/>
      <c r="J36" s="16">
        <f>SUM(心斎橋CSB4000円[[#All],[イベンターへ]])</f>
        <v>22000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20" activePane="bottomLeft" state="frozen"/>
      <selection pane="bottomLeft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50000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44900</v>
      </c>
      <c r="B9" s="13">
        <v>1</v>
      </c>
      <c r="C9" s="14"/>
      <c r="D9" s="15">
        <v>7</v>
      </c>
      <c r="E9" s="15"/>
      <c r="F9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9" s="16">
        <f>IFERROR(($B$3*北新地ファイブ4000[[#This Row],[人数]])-北新地ファイブ4000[[#This Row],[単価合計]]-(北新地ファイブ4000[[#This Row],[キャンセル人数]]*$B$2),"")</f>
        <v>9200</v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>
        <v>1</v>
      </c>
      <c r="J9" s="16">
        <f>IF(北新地ファイブ4000[[#This Row],[人数]]="","",VLOOKUP(北新地ファイブ4000[[#This Row],[人数]],バック金額②[#All],2,TRUE))</f>
        <v>8000</v>
      </c>
      <c r="L9" s="63">
        <f t="shared" si="1"/>
        <v>44900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44907</v>
      </c>
      <c r="B16" s="13"/>
      <c r="C16" s="53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44909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44910</v>
      </c>
      <c r="B19" s="13">
        <v>1</v>
      </c>
      <c r="C19" s="14"/>
      <c r="D19" s="15">
        <v>8</v>
      </c>
      <c r="E19" s="15">
        <v>1</v>
      </c>
      <c r="F19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19" s="16">
        <f>IFERROR(($B$3*北新地ファイブ4000[[#This Row],[人数]])-北新地ファイブ4000[[#This Row],[単価合計]]-(北新地ファイブ4000[[#This Row],[キャンセル人数]]*$B$2),"")</f>
        <v>14500</v>
      </c>
      <c r="H19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19" s="70"/>
      <c r="J19" s="16">
        <f>IF(北新地ファイブ4000[[#This Row],[人数]]="","",VLOOKUP(北新地ファイブ4000[[#This Row],[人数]],バック金額②[#All],2,TRUE))</f>
        <v>9000</v>
      </c>
      <c r="L19" s="63">
        <f t="shared" si="1"/>
        <v>44910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44914</v>
      </c>
      <c r="B23" s="13">
        <v>1</v>
      </c>
      <c r="C23" s="14">
        <v>263</v>
      </c>
      <c r="D23" s="15">
        <v>6</v>
      </c>
      <c r="E23" s="15"/>
      <c r="F23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23" s="16">
        <f>IFERROR(($B$3*北新地ファイブ4000[[#This Row],[人数]])-北新地ファイブ4000[[#This Row],[単価合計]]-(北新地ファイブ4000[[#This Row],[キャンセル人数]]*$B$2),"")</f>
        <v>9000</v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>
        <f>IF(北新地ファイブ4000[[#This Row],[人数]]="","",VLOOKUP(北新地ファイブ4000[[#This Row],[人数]],バック金額②[#All],2,TRUE))</f>
        <v>6000</v>
      </c>
      <c r="L23" s="63">
        <f t="shared" si="1"/>
        <v>44914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44917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>
        <f t="shared" si="0"/>
        <v>44926</v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>
        <f t="shared" si="1"/>
        <v>44926</v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3</v>
      </c>
      <c r="C36" s="6"/>
      <c r="D36" s="16">
        <f>SUM(北新地ファイブ4000[[#All],[人数]])</f>
        <v>21</v>
      </c>
      <c r="E36" s="16">
        <f>SUM(北新地ファイブ4000[[#All],[Aパターン]])</f>
        <v>1</v>
      </c>
      <c r="F36" s="16">
        <f>SUM(北新地ファイブ4000[[#All],[単価合計]])</f>
        <v>50000</v>
      </c>
      <c r="G36" s="16">
        <f>SUM(北新地ファイブ4000[[#All],[ゆうき取りに行く]])</f>
        <v>32700</v>
      </c>
      <c r="H36" s="16"/>
      <c r="I36" s="16"/>
      <c r="J36" s="16">
        <f>SUM(北新地ファイブ4000[[#All],[イベンターへ]])</f>
        <v>23000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44896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44899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44900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44901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44902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44903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44904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44905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44906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44907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44908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44909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44910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44911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44912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44913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44914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44915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44916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44917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44918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44919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44920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44921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44922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44923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44924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44925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44926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44926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44903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44924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44926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44926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44912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44926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44926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6"/>
  <sheetViews>
    <sheetView zoomScale="70" zoomScaleNormal="70" workbookViewId="0">
      <pane ySplit="4" topLeftCell="A14" activePane="bottomLeft" state="frozen"/>
      <selection pane="bottomLeft" activeCell="E2" sqref="E2:F2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277500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44897</v>
      </c>
      <c r="B6" s="13">
        <v>1</v>
      </c>
      <c r="C6" s="14"/>
      <c r="D6" s="15">
        <v>39</v>
      </c>
      <c r="E6" s="15">
        <f>ROUNDDOWN(心斎橋サファリ4000[[#This Row],[人数]]/8,0)</f>
        <v>4</v>
      </c>
      <c r="F6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87500</v>
      </c>
      <c r="G6" s="16">
        <f>IFERROR(($B$3*心斎橋サファリ4000[[#This Row],[人数]])-心斎橋サファリ4000[[#This Row],[単価合計]]-(心斎橋サファリ4000[[#This Row],[キャンセル人数]]*$B$2),"")</f>
        <v>68500</v>
      </c>
      <c r="H6" s="16">
        <f>IF(心斎橋サファリ4000[[#This Row],[8名以上件数]]*$B$1=0,"",心斎橋サファリ4000[[#This Row],[8名以上件数]]*$B$1)</f>
        <v>10000</v>
      </c>
      <c r="I6" s="15"/>
      <c r="J6" s="16">
        <f>IFERROR(IF(心斎橋サファリ4000[[#This Row],[人数]]="","",VLOOKUP(心斎橋サファリ4000[[#This Row],[人数]],バック金額①[#All],2,TRUE)-(心斎橋サファリ4000[[#This Row],[キャンセル人数]]*$B$2)),"")</f>
        <v>47000</v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35" si="0">IFERROR(IF(DATE(YEAR($A$5),MONTH($A$5),DAY($A$5))=DATE(YEAR(L6),MONTH(L6),DAY(L6+1)),"",DATE(YEAR(L6),MONTH(L6),DAY(L6+1))),"")</f>
        <v>44898</v>
      </c>
      <c r="B7" s="13">
        <v>1</v>
      </c>
      <c r="C7" s="14"/>
      <c r="D7" s="15">
        <v>14</v>
      </c>
      <c r="E7" s="15">
        <f>ROUNDDOWN(心斎橋サファリ4000[[#This Row],[人数]]/8,0)</f>
        <v>1</v>
      </c>
      <c r="F7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32500</v>
      </c>
      <c r="G7" s="16">
        <f>IFERROR(($B$3*心斎橋サファリ4000[[#This Row],[人数]])-心斎橋サファリ4000[[#This Row],[単価合計]]-(心斎橋サファリ4000[[#This Row],[キャンセル人数]]*$B$2),"")</f>
        <v>23500</v>
      </c>
      <c r="H7" s="16">
        <f>IF(心斎橋サファリ4000[[#This Row],[8名以上件数]]*$B$1=0,"",心斎橋サファリ4000[[#This Row],[8名以上件数]]*$B$1)</f>
        <v>2500</v>
      </c>
      <c r="I7" s="15"/>
      <c r="J7" s="16">
        <f>IFERROR(IF(心斎橋サファリ4000[[#This Row],[人数]]="","",VLOOKUP(心斎橋サファリ4000[[#This Row],[人数]],バック金額①[#All],2,TRUE)-(心斎橋サファリ4000[[#This Row],[キャンセル人数]]*$B$2)),"")</f>
        <v>16000</v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44899</v>
      </c>
      <c r="B8" s="13"/>
      <c r="C8" s="14"/>
      <c r="D8" s="15"/>
      <c r="E8" s="15">
        <f>ROUNDDOWN(心斎橋サファリ4000[[#This Row],[人数]]/8,0)</f>
        <v>0</v>
      </c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Row],[8名以上件数]]*$B$1=0,"",心斎橋サファリ4000[[#This Row],[8名以上件数]]*$B$1)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44899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44900</v>
      </c>
      <c r="B9" s="13"/>
      <c r="C9" s="14"/>
      <c r="D9" s="15"/>
      <c r="E9" s="15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44900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44901</v>
      </c>
      <c r="B10" s="13"/>
      <c r="C10" s="14"/>
      <c r="D10" s="15"/>
      <c r="E10" s="15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44901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44902</v>
      </c>
      <c r="B11" s="13"/>
      <c r="C11" s="14"/>
      <c r="D11" s="15"/>
      <c r="E11" s="15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44902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44903</v>
      </c>
      <c r="B12" s="13"/>
      <c r="C12" s="14"/>
      <c r="D12" s="15"/>
      <c r="E12" s="15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44903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44904</v>
      </c>
      <c r="B13" s="13"/>
      <c r="C13" s="49"/>
      <c r="D13" s="15"/>
      <c r="E13" s="15">
        <f>ROUNDDOWN(心斎橋サファリ4000[[#This Row],[人数]]/8,0)</f>
        <v>0</v>
      </c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Row],[8名以上件数]]*$B$1=0,"",心斎橋サファリ4000[[#This Row],[8名以上件数]]*$B$1)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44904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44905</v>
      </c>
      <c r="B14" s="13">
        <v>1</v>
      </c>
      <c r="C14" s="14"/>
      <c r="D14" s="15">
        <v>14</v>
      </c>
      <c r="E14" s="15">
        <f>ROUNDDOWN(心斎橋サファリ4000[[#This Row],[人数]]/8,0)</f>
        <v>1</v>
      </c>
      <c r="F1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32500</v>
      </c>
      <c r="G14" s="16">
        <f>IFERROR(($B$3*心斎橋サファリ4000[[#This Row],[人数]])-心斎橋サファリ4000[[#This Row],[単価合計]]-(心斎橋サファリ4000[[#This Row],[キャンセル人数]]*$B$2),"")</f>
        <v>23500</v>
      </c>
      <c r="H14" s="16">
        <f>IF(心斎橋サファリ4000[[#This Row],[8名以上件数]]*$B$1=0,"",心斎橋サファリ4000[[#This Row],[8名以上件数]]*$B$1)</f>
        <v>2500</v>
      </c>
      <c r="I14" s="15"/>
      <c r="J14" s="16">
        <f>IFERROR(IF(心斎橋サファリ4000[[#This Row],[人数]]="","",VLOOKUP(心斎橋サファリ4000[[#This Row],[人数]],バック金額①[#All],2,TRUE)-(心斎橋サファリ4000[[#This Row],[キャンセル人数]]*$B$2)),"")</f>
        <v>16000</v>
      </c>
      <c r="L14" s="63">
        <f t="shared" si="1"/>
        <v>44905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44906</v>
      </c>
      <c r="B15" s="13"/>
      <c r="C15" s="14"/>
      <c r="D15" s="15"/>
      <c r="E15" s="15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44906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44907</v>
      </c>
      <c r="B16" s="13"/>
      <c r="C16" s="14"/>
      <c r="D16" s="15"/>
      <c r="E16" s="15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44907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44908</v>
      </c>
      <c r="B17" s="13"/>
      <c r="C17" s="14"/>
      <c r="D17" s="15"/>
      <c r="E17" s="15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44908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44909</v>
      </c>
      <c r="B18" s="13">
        <v>1</v>
      </c>
      <c r="C18" s="14">
        <v>329</v>
      </c>
      <c r="D18" s="15">
        <v>8</v>
      </c>
      <c r="E18" s="15">
        <f>ROUNDDOWN(心斎橋サファリ4000[[#This Row],[人数]]/8,0)</f>
        <v>1</v>
      </c>
      <c r="F1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8" s="16">
        <f>IFERROR(($B$3*心斎橋サファリ4000[[#This Row],[人数]])-心斎橋サファリ4000[[#This Row],[単価合計]]-(心斎橋サファリ4000[[#This Row],[キャンセル人数]]*$B$2),"")</f>
        <v>14500</v>
      </c>
      <c r="H18" s="16">
        <f>IF(心斎橋サファリ4000[[#This Row],[8名以上件数]]*$B$1=0,"",心斎橋サファリ4000[[#This Row],[8名以上件数]]*$B$1)</f>
        <v>2500</v>
      </c>
      <c r="I18" s="115"/>
      <c r="J18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8" s="63">
        <f t="shared" si="1"/>
        <v>44909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44910</v>
      </c>
      <c r="B19" s="13">
        <v>1</v>
      </c>
      <c r="C19" s="14">
        <v>329</v>
      </c>
      <c r="D19" s="15">
        <v>6</v>
      </c>
      <c r="E19" s="15">
        <f>ROUNDDOWN(心斎橋サファリ4000[[#This Row],[人数]]/8,0)</f>
        <v>0</v>
      </c>
      <c r="F1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19" s="16">
        <f>IFERROR(($B$3*心斎橋サファリ4000[[#This Row],[人数]])-心斎橋サファリ4000[[#This Row],[単価合計]]-(心斎橋サファリ4000[[#This Row],[キャンセル人数]]*$B$2),"")</f>
        <v>9000</v>
      </c>
      <c r="H19" s="16" t="str">
        <f>IF(心斎橋サファリ4000[[#This Row],[8名以上件数]]*$B$1=0,"",心斎橋サファリ4000[[#This Row],[8名以上件数]]*$B$1)</f>
        <v/>
      </c>
      <c r="I19" s="115"/>
      <c r="J19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19" s="63">
        <f t="shared" si="1"/>
        <v>44910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44911</v>
      </c>
      <c r="B20" s="13">
        <v>1</v>
      </c>
      <c r="C20" s="14">
        <v>263</v>
      </c>
      <c r="D20" s="15">
        <v>6</v>
      </c>
      <c r="E20" s="15">
        <f>ROUNDDOWN(心斎橋サファリ4000[[#This Row],[人数]]/8,0)</f>
        <v>0</v>
      </c>
      <c r="F20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0" s="16">
        <f>IFERROR(($B$3*心斎橋サファリ4000[[#This Row],[人数]])-心斎橋サファリ4000[[#This Row],[単価合計]]-(心斎橋サファリ4000[[#This Row],[キャンセル人数]]*$B$2),"")</f>
        <v>9000</v>
      </c>
      <c r="H20" s="16" t="str">
        <f>IF(心斎橋サファリ4000[[#This Row],[8名以上件数]]*$B$1=0,"",心斎橋サファリ4000[[#This Row],[8名以上件数]]*$B$1)</f>
        <v/>
      </c>
      <c r="I20" s="115"/>
      <c r="J20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0" s="63">
        <f t="shared" si="1"/>
        <v>44911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44912</v>
      </c>
      <c r="B21" s="13">
        <v>1</v>
      </c>
      <c r="C21" s="14">
        <v>329</v>
      </c>
      <c r="D21" s="15">
        <v>6</v>
      </c>
      <c r="E21" s="15">
        <f>ROUNDDOWN(心斎橋サファリ4000[[#This Row],[人数]]/8,0)</f>
        <v>0</v>
      </c>
      <c r="F2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1" s="16">
        <f>IFERROR(($B$3*心斎橋サファリ4000[[#This Row],[人数]])-心斎橋サファリ4000[[#This Row],[単価合計]]-(心斎橋サファリ4000[[#This Row],[キャンセル人数]]*$B$2),"")</f>
        <v>9000</v>
      </c>
      <c r="H21" s="16" t="str">
        <f>IF(心斎橋サファリ4000[[#This Row],[8名以上件数]]*$B$1=0,"",心斎橋サファリ4000[[#This Row],[8名以上件数]]*$B$1)</f>
        <v/>
      </c>
      <c r="I21" s="15"/>
      <c r="J21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1" s="63">
        <f t="shared" si="1"/>
        <v>44912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28">
        <f t="shared" si="0"/>
        <v>44913</v>
      </c>
      <c r="B22" s="13"/>
      <c r="C22" s="14"/>
      <c r="D22" s="15"/>
      <c r="E22" s="15">
        <f>ROUNDDOWN(心斎橋サファリ4000[[#This Row],[人数]]/8,0)</f>
        <v>0</v>
      </c>
      <c r="F2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6" t="str">
        <f>IFERROR(($B$3*心斎橋サファリ4000[[#This Row],[人数]])-心斎橋サファリ4000[[#This Row],[単価合計]]-(心斎橋サファリ4000[[#This Row],[キャンセル人数]]*$B$2),"")</f>
        <v/>
      </c>
      <c r="H22" s="16" t="str">
        <f>IF(心斎橋サファリ4000[[#This Row],[8名以上件数]]*$B$1=0,"",心斎橋サファリ4000[[#This Row],[8名以上件数]]*$B$1)</f>
        <v/>
      </c>
      <c r="I22" s="15"/>
      <c r="J2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3">
        <f t="shared" si="1"/>
        <v>44913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 t="shared" si="0"/>
        <v>44914</v>
      </c>
      <c r="B23" s="13"/>
      <c r="C23" s="14"/>
      <c r="D23" s="15"/>
      <c r="E23" s="15">
        <f>ROUNDDOWN(心斎橋サファリ4000[[#This Row],[人数]]/8,0)</f>
        <v>0</v>
      </c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Row],[8名以上件数]]*$B$1=0,"",心斎橋サファリ4000[[#This Row],[8名以上件数]]*$B$1)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44914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 t="shared" si="0"/>
        <v>44915</v>
      </c>
      <c r="B24" s="13"/>
      <c r="C24" s="14"/>
      <c r="D24" s="15"/>
      <c r="E24" s="15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44915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 t="shared" si="0"/>
        <v>44916</v>
      </c>
      <c r="B25" s="13"/>
      <c r="C25" s="14"/>
      <c r="D25" s="15"/>
      <c r="E25" s="15">
        <f>ROUNDDOWN(心斎橋サファリ4000[[#This Row],[人数]]/8,0)</f>
        <v>0</v>
      </c>
      <c r="F2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6" t="str">
        <f>IF(心斎橋サファリ4000[[#This Row],[8名以上件数]]*$B$1=0,"",心斎橋サファリ4000[[#This Row],[8名以上件数]]*$B$1)</f>
        <v/>
      </c>
      <c r="I25" s="115"/>
      <c r="J2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3">
        <f t="shared" si="1"/>
        <v>44916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 t="shared" si="0"/>
        <v>44917</v>
      </c>
      <c r="B26" s="13"/>
      <c r="C26" s="14"/>
      <c r="D26" s="15"/>
      <c r="E26" s="15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44917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 t="shared" si="0"/>
        <v>44918</v>
      </c>
      <c r="B27" s="13"/>
      <c r="C27" s="14"/>
      <c r="D27" s="15"/>
      <c r="E27" s="15">
        <f>ROUNDDOWN(心斎橋サファリ4000[[#This Row],[人数]]/8,0)</f>
        <v>0</v>
      </c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Row],[8名以上件数]]*$B$1=0,"",心斎橋サファリ4000[[#This Row],[8名以上件数]]*$B$1)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44918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 t="shared" si="0"/>
        <v>44919</v>
      </c>
      <c r="B28" s="13"/>
      <c r="C28" s="14"/>
      <c r="D28" s="15"/>
      <c r="E28" s="15">
        <f>ROUNDDOWN(心斎橋サファリ4000[[#This Row],[人数]]/8,0)</f>
        <v>0</v>
      </c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Row],[8名以上件数]]*$B$1=0,"",心斎橋サファリ4000[[#This Row],[8名以上件数]]*$B$1)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44919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 t="shared" si="0"/>
        <v>44920</v>
      </c>
      <c r="B29" s="13"/>
      <c r="C29" s="14"/>
      <c r="D29" s="15"/>
      <c r="E29" s="15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44920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 t="shared" si="0"/>
        <v>44921</v>
      </c>
      <c r="B30" s="13"/>
      <c r="C30" s="14"/>
      <c r="D30" s="15"/>
      <c r="E30" s="15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44921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 t="shared" si="0"/>
        <v>44922</v>
      </c>
      <c r="B31" s="13"/>
      <c r="C31" s="14"/>
      <c r="D31" s="15"/>
      <c r="E31" s="15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44922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 t="shared" si="0"/>
        <v>44923</v>
      </c>
      <c r="B32" s="13">
        <v>1</v>
      </c>
      <c r="C32" s="14">
        <v>300</v>
      </c>
      <c r="D32" s="15">
        <v>7</v>
      </c>
      <c r="E32" s="15">
        <f>ROUNDDOWN(心斎橋サファリ4000[[#This Row],[人数]]/8,0)</f>
        <v>0</v>
      </c>
      <c r="F32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32" s="16">
        <f>IFERROR(($B$3*心斎橋サファリ4000[[#This Row],[人数]])-心斎橋サファリ4000[[#This Row],[単価合計]]-(心斎橋サファリ4000[[#This Row],[キャンセル人数]]*$B$2),"")</f>
        <v>10500</v>
      </c>
      <c r="H32" s="16" t="str">
        <f>IF(心斎橋サファリ4000[[#This Row],[8名以上件数]]*$B$1=0,"",心斎橋サファリ4000[[#This Row],[8名以上件数]]*$B$1)</f>
        <v/>
      </c>
      <c r="I32" s="15"/>
      <c r="J32" s="16">
        <f>IFERROR(IF(心斎橋サファリ4000[[#This Row],[人数]]="","",VLOOKUP(心斎橋サファリ4000[[#This Row],[人数]],バック金額①[#All],2,TRUE)-(心斎橋サファリ4000[[#This Row],[キャンセル人数]]*$B$2)),"")</f>
        <v>9000</v>
      </c>
      <c r="L32" s="63">
        <f t="shared" si="1"/>
        <v>44923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v>44923</v>
      </c>
      <c r="B33" s="13">
        <v>1</v>
      </c>
      <c r="C33" s="14">
        <v>220</v>
      </c>
      <c r="D33" s="15">
        <v>20</v>
      </c>
      <c r="E33" s="15">
        <f>ROUNDDOWN(心斎橋サファリ4000[[#This Row],[人数]]/8,0)</f>
        <v>2</v>
      </c>
      <c r="F3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45000</v>
      </c>
      <c r="G33" s="16">
        <f>IFERROR(($B$3*心斎橋サファリ4000[[#This Row],[人数]])-心斎橋サファリ4000[[#This Row],[単価合計]]-(心斎橋サファリ4000[[#This Row],[キャンセル人数]]*$B$2),"")</f>
        <v>35000</v>
      </c>
      <c r="H33" s="16">
        <f>IF(心斎橋サファリ4000[[#This Row],[8名以上件数]]*$B$1=0,"",心斎橋サファリ4000[[#This Row],[8名以上件数]]*$B$1)</f>
        <v>5000</v>
      </c>
      <c r="I33" s="115"/>
      <c r="J33" s="114">
        <f>IFERROR(IF(心斎橋サファリ4000[[#This Row],[人数]]="","",VLOOKUP(心斎橋サファリ4000[[#This Row],[人数]],バック金額①[#All],2,TRUE)-(心斎橋サファリ4000[[#This Row],[キャンセル人数]]*$B$2)),"")</f>
        <v>24000</v>
      </c>
      <c r="L33" s="63">
        <f t="shared" si="1"/>
        <v>44924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f t="shared" si="0"/>
        <v>44925</v>
      </c>
      <c r="B34" s="13"/>
      <c r="C34" s="14"/>
      <c r="D34" s="15"/>
      <c r="E34" s="15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5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44925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 t="shared" si="0"/>
        <v>44926</v>
      </c>
      <c r="B35" s="13"/>
      <c r="C35" s="14"/>
      <c r="D35" s="15"/>
      <c r="E35" s="15">
        <f>ROUNDDOWN(心斎橋サファリ4000[[#This Row],[人数]]/8,0)</f>
        <v>0</v>
      </c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Row],[8名以上件数]]*$B$1=0,"",心斎橋サファリ4000[[#This Row],[8名以上件数]]*$B$1)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140">
        <f t="shared" si="1"/>
        <v>44926</v>
      </c>
      <c r="M35" s="17"/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71" t="s">
        <v>322</v>
      </c>
      <c r="B36" s="16">
        <f>SUM(心斎橋サファリ4000[[#All],[件数]])</f>
        <v>9</v>
      </c>
      <c r="C36" s="6"/>
      <c r="D36" s="16">
        <f>SUM(心斎橋サファリ4000[[#All],[人数]])</f>
        <v>120</v>
      </c>
      <c r="E36" s="16">
        <f>SUM(心斎橋サファリ4000[[#All],[8名以上件数]])</f>
        <v>9</v>
      </c>
      <c r="F36" s="16">
        <f>SUM(心斎橋サファリ4000[[#All],[単価合計]])</f>
        <v>277500</v>
      </c>
      <c r="G36" s="16">
        <f>SUM(心斎橋サファリ4000[[#All],[ゆうき取りに行く]])</f>
        <v>202500</v>
      </c>
      <c r="H36" s="16"/>
      <c r="I36" s="16"/>
      <c r="J36" s="16">
        <f>SUM(心斎橋サファリ4000[[#All],[イベンターへ]])</f>
        <v>143000</v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44899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44900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44926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4.9218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9200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44922</v>
      </c>
      <c r="B31" s="13">
        <v>1</v>
      </c>
      <c r="C31" s="14"/>
      <c r="D31" s="15">
        <v>4</v>
      </c>
      <c r="E31" s="15">
        <f>ROUNDDOWN(心斎橋ラプロメッサ4000円[[#This Row],[人数]]/8,0)</f>
        <v>0</v>
      </c>
      <c r="F31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9200</v>
      </c>
      <c r="G31" s="16">
        <f>IFERROR(($B$3*心斎橋ラプロメッサ4000円[[#This Row],[人数]])-心斎橋ラプロメッサ4000円[[#This Row],[単価合計]]-(心斎橋ラプロメッサ4000円[[#This Row],[キャンセル人数]]*$B$2),"")</f>
        <v>6800</v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>
        <f>IF(心斎橋ラプロメッサ4000円[[#This Row],[人数]]="","",VLOOKUP(心斎橋ラプロメッサ4000円[[#This Row],[人数]],バック金額②[#All],2,TRUE))</f>
        <v>4000</v>
      </c>
      <c r="L31" s="63">
        <f t="shared" si="1"/>
        <v>44922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44925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5"/>
      <c r="E35" s="15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44926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1</v>
      </c>
      <c r="C36" s="6"/>
      <c r="D36" s="16">
        <f>SUM(心斎橋ラプロメッサ4000円[[#All],[人数]])</f>
        <v>4</v>
      </c>
      <c r="E36" s="16">
        <f>SUM(心斎橋ラプロメッサ4000円[[#All],[8件以上件数]])</f>
        <v>0</v>
      </c>
      <c r="F36" s="16">
        <f>SUM(心斎橋ラプロメッサ4000円[[#All],[単価合計]])</f>
        <v>9200</v>
      </c>
      <c r="G36" s="16">
        <f>SUM(心斎橋ラプロメッサ4000円[[#All],[ゆうき取りに行く]])</f>
        <v>6800</v>
      </c>
      <c r="H36" s="16"/>
      <c r="I36" s="16"/>
      <c r="J36" s="16">
        <f>SUM(心斎橋ラプロメッサ4000円[[#All],[イベンターへ]])</f>
        <v>4000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44902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44926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20" activePane="bottomLeft" state="frozen"/>
      <selection pane="bottomLeft" activeCell="G36" sqref="G36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37500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44898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44898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44899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44899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44900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44901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44902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44903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44904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44905</v>
      </c>
      <c r="B14" s="13">
        <v>1</v>
      </c>
      <c r="C14" s="14"/>
      <c r="D14" s="15">
        <v>8</v>
      </c>
      <c r="E14" s="15"/>
      <c r="F14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14" s="16">
        <f>IFERROR(($B$3*三ノ宮多味庵4000[[#This Row],[人数]])-三ノ宮多味庵4000[[#This Row],[単価合計]]-(三ノ宮多味庵4000[[#This Row],[キャンセル人数]]*$B$2),"")</f>
        <v>14500</v>
      </c>
      <c r="H14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14" s="15"/>
      <c r="J14" s="16">
        <f>IF(三ノ宮多味庵4000[[#This Row],[人数]]="","",VLOOKUP(三ノ宮多味庵4000[[#This Row],[人数]],バック金額②[#All],2,TRUE)-(三ノ宮多味庵4000[[#This Row],[キャンセル人数]]*$B$2))</f>
        <v>9000</v>
      </c>
      <c r="L14" s="63">
        <f t="shared" si="1"/>
        <v>44905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44906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44907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44908</v>
      </c>
      <c r="B17" s="13">
        <v>1</v>
      </c>
      <c r="C17" s="14"/>
      <c r="D17" s="15">
        <v>7</v>
      </c>
      <c r="E17" s="15"/>
      <c r="F17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17" s="16">
        <f>IFERROR(($B$3*三ノ宮多味庵4000[[#This Row],[人数]])-三ノ宮多味庵4000[[#This Row],[単価合計]]-(三ノ宮多味庵4000[[#This Row],[キャンセル人数]]*$B$2),"")</f>
        <v>10500</v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>
        <f>IF(三ノ宮多味庵4000[[#This Row],[人数]]="","",VLOOKUP(三ノ宮多味庵4000[[#This Row],[人数]],バック金額②[#All],2,TRUE)-(三ノ宮多味庵4000[[#This Row],[キャンセル人数]]*$B$2))</f>
        <v>8000</v>
      </c>
      <c r="L17" s="63">
        <f t="shared" si="1"/>
        <v>44908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44909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44910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44911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44912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44913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44914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44915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44916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44917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44918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44919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44920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44921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44922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44923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44924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44925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44926</v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44926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2</v>
      </c>
      <c r="C36" s="6"/>
      <c r="D36" s="7">
        <f>SUM(三ノ宮多味庵4000[[#All],[人数]])</f>
        <v>15</v>
      </c>
      <c r="E36" s="7">
        <f>SUM(三ノ宮多味庵4000[[#All],[Aパターン]])</f>
        <v>0</v>
      </c>
      <c r="F36" s="7">
        <f>SUM(三ノ宮多味庵4000[[#All],[単価合計]])</f>
        <v>35000</v>
      </c>
      <c r="G36" s="7">
        <f>SUM(三ノ宮多味庵4000[[#All],[ゆうき取りに行く]])</f>
        <v>25000</v>
      </c>
      <c r="H36" s="7"/>
      <c r="I36" s="7"/>
      <c r="J36" s="7">
        <f>SUM(三ノ宮多味庵4000[[#All],[イベンターへ]])</f>
        <v>17000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44900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44902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44904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44906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44908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44910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44912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44914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44916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44918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44920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44922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44924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44926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44899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44900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44901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44902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44903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44904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44905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44906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44907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44908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44909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44910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44911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44912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44913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44914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44915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44916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44917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44918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44919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44920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44921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44922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44923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44924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44925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44926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44912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44913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44926</v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44926</v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14" activePane="bottomLeft" state="frozen"/>
      <selection pane="bottomLeft" activeCell="G36" sqref="G3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4.921875" style="8" bestFit="1" customWidth="1"/>
    <col min="6" max="6" width="11.6914062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44899</v>
      </c>
      <c r="B8" s="13"/>
      <c r="C8" s="14"/>
      <c r="D8" s="15"/>
      <c r="E8" s="15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44899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44900</v>
      </c>
      <c r="B9" s="13"/>
      <c r="C9" s="14"/>
      <c r="D9" s="15"/>
      <c r="E9" s="15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44900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44901</v>
      </c>
      <c r="B10" s="13"/>
      <c r="C10" s="14"/>
      <c r="D10" s="15"/>
      <c r="E10" s="15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44902</v>
      </c>
      <c r="B11" s="13"/>
      <c r="C11" s="14"/>
      <c r="D11" s="15"/>
      <c r="E11" s="15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44903</v>
      </c>
      <c r="B12" s="13"/>
      <c r="C12" s="14"/>
      <c r="D12" s="15"/>
      <c r="E12" s="15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44904</v>
      </c>
      <c r="B13" s="13"/>
      <c r="C13" s="14"/>
      <c r="D13" s="15"/>
      <c r="E13" s="15">
        <f>ROUNDDOWN(三ノ宮Barさんかく4000[[#This Row],[人数]]/8,0)</f>
        <v>0</v>
      </c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44905</v>
      </c>
      <c r="B14" s="13"/>
      <c r="C14" s="14"/>
      <c r="D14" s="15"/>
      <c r="E14" s="15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44906</v>
      </c>
      <c r="B15" s="13"/>
      <c r="C15" s="14"/>
      <c r="D15" s="15"/>
      <c r="E15" s="15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44907</v>
      </c>
      <c r="B16" s="13"/>
      <c r="C16" s="14"/>
      <c r="D16" s="15"/>
      <c r="E16" s="15">
        <f>ROUNDDOWN(三ノ宮Barさんかく4000[[#This Row],[人数]]/8,0)</f>
        <v>0</v>
      </c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44908</v>
      </c>
      <c r="B17" s="13"/>
      <c r="C17" s="14"/>
      <c r="D17" s="15"/>
      <c r="E17" s="15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44909</v>
      </c>
      <c r="B18" s="13"/>
      <c r="C18" s="14"/>
      <c r="D18" s="15"/>
      <c r="E18" s="15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44910</v>
      </c>
      <c r="B19" s="13"/>
      <c r="C19" s="14"/>
      <c r="D19" s="15"/>
      <c r="E19" s="15">
        <f>ROUNDDOWN(三ノ宮Barさんかく4000[[#This Row],[人数]]/8,0)</f>
        <v>0</v>
      </c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44911</v>
      </c>
      <c r="B20" s="13"/>
      <c r="C20" s="14"/>
      <c r="D20" s="15"/>
      <c r="E20" s="15">
        <f>ROUNDDOWN(三ノ宮Barさんかく4000[[#This Row],[人数]]/8,0)</f>
        <v>0</v>
      </c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44912</v>
      </c>
      <c r="B21" s="13"/>
      <c r="C21" s="14"/>
      <c r="D21" s="15"/>
      <c r="E21" s="15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44913</v>
      </c>
      <c r="B22" s="13"/>
      <c r="C22" s="14"/>
      <c r="D22" s="15"/>
      <c r="E22" s="15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44914</v>
      </c>
      <c r="B23" s="13"/>
      <c r="C23" s="14"/>
      <c r="D23" s="15"/>
      <c r="E23" s="15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44915</v>
      </c>
      <c r="B24" s="13"/>
      <c r="C24" s="14"/>
      <c r="D24" s="15"/>
      <c r="E24" s="15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44916</v>
      </c>
      <c r="B25" s="13">
        <v>1</v>
      </c>
      <c r="C25" s="14"/>
      <c r="D25" s="15">
        <v>6</v>
      </c>
      <c r="E25" s="15">
        <f>ROUNDDOWN(三ノ宮Barさんかく4000[[#This Row],[人数]]/8,0)</f>
        <v>0</v>
      </c>
      <c r="F25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15000</v>
      </c>
      <c r="G25" s="16">
        <f>IFERROR(($B$3*三ノ宮Barさんかく4000[[#This Row],[人数]])-三ノ宮Barさんかく4000[[#This Row],[単価合計]]-(三ノ宮Barさんかく4000[[#This Row],[キャンセル人数]]*$B$2),"")</f>
        <v>9000</v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>
        <f>IF(三ノ宮Barさんかく4000[[#This Row],[人数]]="","",VLOOKUP(三ノ宮Barさんかく4000[[#This Row],[人数]],バック金額②[#All],2,TRUE))</f>
        <v>6000</v>
      </c>
      <c r="L25" s="63">
        <f t="shared" si="1"/>
        <v>44916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44917</v>
      </c>
      <c r="B26" s="13"/>
      <c r="C26" s="14"/>
      <c r="D26" s="15"/>
      <c r="E26" s="15">
        <f>ROUNDDOWN(三ノ宮Barさんかく4000[[#This Row],[人数]]/8,0)</f>
        <v>0</v>
      </c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44918</v>
      </c>
      <c r="B27" s="13">
        <v>1</v>
      </c>
      <c r="C27" s="14"/>
      <c r="D27" s="15">
        <v>8</v>
      </c>
      <c r="E27" s="15">
        <f>ROUNDDOWN(三ノ宮Barさんかく4000[[#This Row],[人数]]/8,0)</f>
        <v>1</v>
      </c>
      <c r="F27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7" s="16">
        <f>IFERROR(($B$3*三ノ宮Barさんかく4000[[#This Row],[人数]])-三ノ宮Barさんかく4000[[#This Row],[単価合計]]-(三ノ宮Barさんかく4000[[#This Row],[キャンセル人数]]*$B$2),"")</f>
        <v>14500</v>
      </c>
      <c r="H27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7" s="15"/>
      <c r="J27" s="16">
        <f>IF(三ノ宮Barさんかく4000[[#This Row],[人数]]="","",VLOOKUP(三ノ宮Barさんかく4000[[#This Row],[人数]],バック金額②[#All],2,TRUE))</f>
        <v>9000</v>
      </c>
      <c r="L27" s="63">
        <f t="shared" si="1"/>
        <v>44918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44919</v>
      </c>
      <c r="B28" s="13"/>
      <c r="C28" s="14"/>
      <c r="D28" s="15"/>
      <c r="E28" s="15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44920</v>
      </c>
      <c r="B29" s="13"/>
      <c r="C29" s="14"/>
      <c r="D29" s="15"/>
      <c r="E29" s="15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44921</v>
      </c>
      <c r="B30" s="13"/>
      <c r="C30" s="14"/>
      <c r="D30" s="15"/>
      <c r="E30" s="15">
        <f>ROUNDDOWN(三ノ宮Barさんかく4000[[#This Row],[人数]]/8,0)</f>
        <v>0</v>
      </c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44922</v>
      </c>
      <c r="B31" s="13"/>
      <c r="C31" s="14"/>
      <c r="D31" s="15"/>
      <c r="E31" s="15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44923</v>
      </c>
      <c r="B32" s="13"/>
      <c r="C32" s="14"/>
      <c r="D32" s="15"/>
      <c r="E32" s="15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44924</v>
      </c>
      <c r="B33" s="13"/>
      <c r="C33" s="14"/>
      <c r="D33" s="15"/>
      <c r="E33" s="15">
        <f>ROUNDDOWN(三ノ宮Barさんかく4000[[#This Row],[人数]]/8,0)</f>
        <v>0</v>
      </c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44925</v>
      </c>
      <c r="B34" s="13"/>
      <c r="C34" s="14"/>
      <c r="D34" s="15"/>
      <c r="E34" s="15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44926</v>
      </c>
      <c r="B35" s="17"/>
      <c r="C35" s="18"/>
      <c r="D35" s="19"/>
      <c r="E35" s="15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2</v>
      </c>
      <c r="C36" s="6"/>
      <c r="D36" s="7">
        <f>SUM(三ノ宮Barさんかく4000[[#All],[人数]])</f>
        <v>14</v>
      </c>
      <c r="E36" s="7">
        <f>SUM(三ノ宮Barさんかく4000[[#All],[8件以上件数]])</f>
        <v>1</v>
      </c>
      <c r="F36" s="7">
        <f>SUM(三ノ宮Barさんかく4000[[#All],[単価合計]])</f>
        <v>32500</v>
      </c>
      <c r="G36" s="7">
        <f>SUM(三ノ宮Barさんかく4000[[#All],[ゆうき取りに行く]])</f>
        <v>23500</v>
      </c>
      <c r="H36" s="7"/>
      <c r="I36" s="7"/>
      <c r="J36" s="7">
        <f>SUM(三ノ宮Barさんかく4000[[#All],[イベンターへ]])</f>
        <v>15000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44896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44897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44899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44899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44900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44900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44901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44901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44902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44902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44903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44903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44904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44904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44905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44905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44906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44906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44907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44907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44908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44908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44909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44909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44910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44910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44911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44911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44912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44912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44913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44913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44914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44914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44915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44915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44916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44916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44917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44917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44918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44918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44919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44919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44920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44920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44921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44921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44922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44922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44923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44923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44924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44924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44925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44925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44926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44926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9140625" defaultRowHeight="20"/>
  <cols>
    <col min="1" max="1" width="20.69140625" style="29" bestFit="1" customWidth="1"/>
    <col min="2" max="2" width="5.53515625" style="29" customWidth="1"/>
    <col min="3" max="3" width="15.69140625" style="29" bestFit="1" customWidth="1"/>
    <col min="4" max="4" width="8.3046875" style="29" bestFit="1" customWidth="1"/>
    <col min="5" max="5" width="13.23046875" style="29" bestFit="1" customWidth="1"/>
    <col min="6" max="6" width="12" style="30" bestFit="1" customWidth="1"/>
    <col min="7" max="7" width="15.69140625" style="30" bestFit="1" customWidth="1"/>
    <col min="8" max="9" width="15.69140625" style="30" customWidth="1"/>
    <col min="10" max="10" width="12" style="30" bestFit="1" customWidth="1"/>
    <col min="11" max="11" width="10.69140625" style="29"/>
    <col min="12" max="12" width="20.69140625" style="29" bestFit="1" customWidth="1"/>
    <col min="13" max="13" width="6.3046875" style="29" customWidth="1"/>
    <col min="14" max="14" width="16.53515625" style="29" customWidth="1"/>
    <col min="15" max="15" width="6.3046875" style="29" customWidth="1"/>
    <col min="16" max="16" width="13.23046875" style="29" bestFit="1" customWidth="1"/>
    <col min="17" max="17" width="11.4609375" style="30" bestFit="1" customWidth="1"/>
    <col min="18" max="18" width="15.69140625" style="30" bestFit="1" customWidth="1"/>
    <col min="19" max="20" width="15.69140625" style="30" customWidth="1"/>
    <col min="21" max="21" width="12" style="30" bestFit="1" customWidth="1"/>
    <col min="22" max="16384" width="10.691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44896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44896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44897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44897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44898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44898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44899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44899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44900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44900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44901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44901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44902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44902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44903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44903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44904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44904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44905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44905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44906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44906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44907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44907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44908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44908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44909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44909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44910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44910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44911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44911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44912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44912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44913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44913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44914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44914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44915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44915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44916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44916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44917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44917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44918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44918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44919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44919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44920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44920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44921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44921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44922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44922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44923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44923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44924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44924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44925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44925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44926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44926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2023-01-02T11:51:03Z</dcterms:modified>
</cp:coreProperties>
</file>