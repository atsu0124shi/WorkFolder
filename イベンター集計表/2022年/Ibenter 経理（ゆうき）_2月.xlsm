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3DDEF885-0D0C-40B6-9F04-D8C0C26C1E1D}" xr6:coauthVersionLast="47" xr6:coauthVersionMax="47" xr10:uidLastSave="{00000000-0000-0000-0000-000000000000}"/>
  <bookViews>
    <workbookView xWindow="1845" yWindow="1830" windowWidth="28485" windowHeight="15285" firstSheet="28" activeTab="29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①（き）粋" sheetId="60" r:id="rId32"/>
    <sheet name="(き)a55" sheetId="61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43" l="1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5" i="38"/>
  <c r="G25" i="38" s="1"/>
  <c r="F26" i="38"/>
  <c r="G26" i="38" s="1"/>
  <c r="F27" i="38"/>
  <c r="G27" i="38" s="1"/>
  <c r="F28" i="38"/>
  <c r="G28" i="38" s="1"/>
  <c r="F30" i="38"/>
  <c r="F31" i="38"/>
  <c r="F32" i="38"/>
  <c r="G32" i="38" s="1"/>
  <c r="F33" i="38"/>
  <c r="G33" i="38" s="1"/>
  <c r="F34" i="38"/>
  <c r="F35" i="38"/>
  <c r="G6" i="43"/>
  <c r="G9" i="43"/>
  <c r="G31" i="43"/>
  <c r="H28" i="43"/>
  <c r="F28" i="43" s="1"/>
  <c r="G28" i="43" s="1"/>
  <c r="J28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3" i="43"/>
  <c r="F23" i="43" s="1"/>
  <c r="G23" i="43" s="1"/>
  <c r="J23" i="43"/>
  <c r="AB3" i="63"/>
  <c r="AB4" i="63"/>
  <c r="AB5" i="63"/>
  <c r="AB6" i="63"/>
  <c r="AB7" i="63"/>
  <c r="AB8" i="63"/>
  <c r="AB9" i="63"/>
  <c r="AB10" i="63"/>
  <c r="AB11" i="63"/>
  <c r="AB12" i="63"/>
  <c r="AB13" i="63"/>
  <c r="AB14" i="63"/>
  <c r="AB15" i="63"/>
  <c r="AB16" i="63"/>
  <c r="AB17" i="63"/>
  <c r="AB18" i="63"/>
  <c r="AB19" i="63"/>
  <c r="AB20" i="63"/>
  <c r="AB21" i="63"/>
  <c r="AB22" i="63"/>
  <c r="AB23" i="63"/>
  <c r="AB24" i="63"/>
  <c r="AB25" i="63"/>
  <c r="AB26" i="63"/>
  <c r="AB27" i="63"/>
  <c r="AB28" i="63"/>
  <c r="AB29" i="63"/>
  <c r="AB30" i="63"/>
  <c r="AB31" i="63"/>
  <c r="AB32" i="63"/>
  <c r="AB33" i="63"/>
  <c r="AB34" i="63"/>
  <c r="AB35" i="63"/>
  <c r="AB36" i="63"/>
  <c r="AB37" i="63"/>
  <c r="AB38" i="63"/>
  <c r="AB39" i="63"/>
  <c r="AB40" i="63"/>
  <c r="AB41" i="63"/>
  <c r="AB42" i="63"/>
  <c r="AB43" i="63"/>
  <c r="AB44" i="63"/>
  <c r="AB45" i="63"/>
  <c r="AB46" i="63"/>
  <c r="AB47" i="63"/>
  <c r="AB48" i="63"/>
  <c r="AB49" i="63"/>
  <c r="AB50" i="63"/>
  <c r="AB51" i="63"/>
  <c r="AB52" i="63"/>
  <c r="AB53" i="63"/>
  <c r="AB54" i="63"/>
  <c r="AB55" i="63"/>
  <c r="AB56" i="63"/>
  <c r="AB57" i="63"/>
  <c r="AB58" i="63"/>
  <c r="AB59" i="63"/>
  <c r="AB60" i="63"/>
  <c r="AB61" i="63"/>
  <c r="AB62" i="63"/>
  <c r="AB63" i="63"/>
  <c r="AB64" i="63"/>
  <c r="AB65" i="63"/>
  <c r="AB66" i="63"/>
  <c r="AB67" i="63"/>
  <c r="AB68" i="63"/>
  <c r="AB69" i="63"/>
  <c r="AB70" i="63"/>
  <c r="AB71" i="63"/>
  <c r="AB72" i="63"/>
  <c r="AB73" i="63"/>
  <c r="AB74" i="63"/>
  <c r="AB75" i="63"/>
  <c r="AB76" i="63"/>
  <c r="AB77" i="63"/>
  <c r="AB78" i="63"/>
  <c r="AB79" i="63"/>
  <c r="AB80" i="63"/>
  <c r="AB81" i="63"/>
  <c r="AB82" i="63"/>
  <c r="AB83" i="63"/>
  <c r="AB84" i="63"/>
  <c r="AB85" i="63"/>
  <c r="AB86" i="63"/>
  <c r="AB87" i="63"/>
  <c r="AB88" i="63"/>
  <c r="AB89" i="63"/>
  <c r="AB90" i="63"/>
  <c r="AB91" i="63"/>
  <c r="AB92" i="63"/>
  <c r="AB93" i="63"/>
  <c r="AB94" i="63"/>
  <c r="AB95" i="63"/>
  <c r="AB96" i="63"/>
  <c r="AB97" i="63"/>
  <c r="AB98" i="63"/>
  <c r="AB99" i="63"/>
  <c r="AB100" i="63"/>
  <c r="AB101" i="63"/>
  <c r="AB102" i="63"/>
  <c r="AB103" i="63"/>
  <c r="AB104" i="63"/>
  <c r="AB105" i="63"/>
  <c r="AB106" i="63"/>
  <c r="AB107" i="63"/>
  <c r="AB108" i="63"/>
  <c r="AB109" i="63"/>
  <c r="AB110" i="63"/>
  <c r="AB111" i="63"/>
  <c r="AB112" i="63"/>
  <c r="AB113" i="63"/>
  <c r="AB114" i="63"/>
  <c r="AB115" i="63"/>
  <c r="AB116" i="63"/>
  <c r="AB117" i="63"/>
  <c r="AB118" i="63"/>
  <c r="AB119" i="63"/>
  <c r="AB120" i="63"/>
  <c r="AB121" i="63"/>
  <c r="AB122" i="63"/>
  <c r="AB123" i="63"/>
  <c r="AB124" i="63"/>
  <c r="AB125" i="63"/>
  <c r="AB126" i="63"/>
  <c r="AB127" i="63"/>
  <c r="AB128" i="63"/>
  <c r="AB129" i="63"/>
  <c r="AB130" i="63"/>
  <c r="AB131" i="63"/>
  <c r="AB132" i="63"/>
  <c r="AB133" i="63"/>
  <c r="AB134" i="63"/>
  <c r="AB135" i="63"/>
  <c r="AB136" i="63"/>
  <c r="AB137" i="63"/>
  <c r="AB138" i="63"/>
  <c r="AB139" i="63"/>
  <c r="AB140" i="63"/>
  <c r="AB141" i="63"/>
  <c r="AB142" i="63"/>
  <c r="AB143" i="63"/>
  <c r="AB144" i="63"/>
  <c r="AB145" i="63"/>
  <c r="AB146" i="63"/>
  <c r="AB147" i="63"/>
  <c r="AB148" i="63"/>
  <c r="AB149" i="63"/>
  <c r="AB150" i="63"/>
  <c r="AB151" i="63"/>
  <c r="AB152" i="63"/>
  <c r="AB153" i="63"/>
  <c r="AB154" i="63"/>
  <c r="AB155" i="63"/>
  <c r="AB156" i="63"/>
  <c r="AB157" i="63"/>
  <c r="AB158" i="63"/>
  <c r="AB159" i="63"/>
  <c r="AB160" i="63"/>
  <c r="AB161" i="63"/>
  <c r="AB162" i="63"/>
  <c r="AB163" i="63"/>
  <c r="AB164" i="63"/>
  <c r="AB165" i="63"/>
  <c r="AB166" i="63"/>
  <c r="AB167" i="63"/>
  <c r="AB168" i="63"/>
  <c r="AB169" i="63"/>
  <c r="AB170" i="63"/>
  <c r="AB171" i="63"/>
  <c r="AB172" i="63"/>
  <c r="AB173" i="63"/>
  <c r="AB174" i="63"/>
  <c r="AB175" i="63"/>
  <c r="AB176" i="63"/>
  <c r="AB177" i="63"/>
  <c r="AB178" i="63"/>
  <c r="AB179" i="63"/>
  <c r="AB180" i="63"/>
  <c r="AB181" i="63"/>
  <c r="AB182" i="63"/>
  <c r="AB183" i="63"/>
  <c r="AB184" i="63"/>
  <c r="AB185" i="63"/>
  <c r="AB186" i="63"/>
  <c r="AB187" i="63"/>
  <c r="AB188" i="63"/>
  <c r="AB189" i="63"/>
  <c r="AB190" i="63"/>
  <c r="AB191" i="63"/>
  <c r="AB192" i="63"/>
  <c r="AB193" i="63"/>
  <c r="AB194" i="63"/>
  <c r="AB195" i="63"/>
  <c r="AB196" i="63"/>
  <c r="AB197" i="63"/>
  <c r="AB198" i="63"/>
  <c r="AB199" i="63"/>
  <c r="AB200" i="63"/>
  <c r="AB201" i="63"/>
  <c r="AB202" i="63"/>
  <c r="AB203" i="63"/>
  <c r="AB204" i="63"/>
  <c r="AB205" i="63"/>
  <c r="AB206" i="63"/>
  <c r="AB207" i="63"/>
  <c r="AB208" i="63"/>
  <c r="AB209" i="63"/>
  <c r="AB210" i="63"/>
  <c r="AB211" i="63"/>
  <c r="AB212" i="63"/>
  <c r="AB213" i="63"/>
  <c r="AB214" i="63"/>
  <c r="AB215" i="63"/>
  <c r="AB216" i="63"/>
  <c r="AB217" i="63"/>
  <c r="AB218" i="63"/>
  <c r="AB219" i="63"/>
  <c r="AB220" i="63"/>
  <c r="AB221" i="63"/>
  <c r="AB222" i="63"/>
  <c r="AB223" i="63"/>
  <c r="AB224" i="63"/>
  <c r="AB225" i="63"/>
  <c r="AB226" i="63"/>
  <c r="AB227" i="63"/>
  <c r="AB228" i="63"/>
  <c r="AB229" i="63"/>
  <c r="AB230" i="63"/>
  <c r="AB231" i="63"/>
  <c r="AB232" i="63"/>
  <c r="AB233" i="63"/>
  <c r="AB234" i="63"/>
  <c r="AB235" i="63"/>
  <c r="AB236" i="63"/>
  <c r="AB237" i="63"/>
  <c r="AB238" i="63"/>
  <c r="AB239" i="63"/>
  <c r="AB240" i="63"/>
  <c r="AB241" i="63"/>
  <c r="AB242" i="63"/>
  <c r="AB243" i="63"/>
  <c r="AB244" i="63"/>
  <c r="AB245" i="63"/>
  <c r="AB246" i="63"/>
  <c r="AB247" i="63"/>
  <c r="AB248" i="63"/>
  <c r="AB249" i="63"/>
  <c r="AB250" i="63"/>
  <c r="AB251" i="63"/>
  <c r="AB252" i="63"/>
  <c r="AB253" i="63"/>
  <c r="AB254" i="63"/>
  <c r="AB255" i="63"/>
  <c r="AB256" i="63"/>
  <c r="AB257" i="63"/>
  <c r="AB258" i="63"/>
  <c r="AB259" i="63"/>
  <c r="AB260" i="63"/>
  <c r="AB261" i="63"/>
  <c r="AB262" i="63"/>
  <c r="AB263" i="63"/>
  <c r="AB264" i="63"/>
  <c r="AB265" i="63"/>
  <c r="AB266" i="63"/>
  <c r="AB267" i="63"/>
  <c r="AB268" i="63"/>
  <c r="AB269" i="63"/>
  <c r="AB270" i="63"/>
  <c r="AB271" i="63"/>
  <c r="AB272" i="63"/>
  <c r="AB273" i="63"/>
  <c r="AB274" i="63"/>
  <c r="AB275" i="63"/>
  <c r="AB276" i="63"/>
  <c r="AB277" i="63"/>
  <c r="AB278" i="63"/>
  <c r="AB279" i="63"/>
  <c r="AB280" i="63"/>
  <c r="AB281" i="63"/>
  <c r="AB282" i="63"/>
  <c r="AB283" i="63"/>
  <c r="AB284" i="63"/>
  <c r="AB285" i="63"/>
  <c r="AB286" i="63"/>
  <c r="AB287" i="63"/>
  <c r="AB288" i="63"/>
  <c r="AB289" i="63"/>
  <c r="AB290" i="63"/>
  <c r="AB291" i="63"/>
  <c r="AB292" i="63"/>
  <c r="AB293" i="63"/>
  <c r="AB294" i="63"/>
  <c r="AB295" i="63"/>
  <c r="AB296" i="63"/>
  <c r="AB297" i="63"/>
  <c r="AB298" i="63"/>
  <c r="AB299" i="63"/>
  <c r="AB300" i="63"/>
  <c r="AB301" i="63"/>
  <c r="AB302" i="63"/>
  <c r="AB303" i="63"/>
  <c r="AB304" i="63"/>
  <c r="AB305" i="63"/>
  <c r="AB306" i="63"/>
  <c r="AB307" i="63"/>
  <c r="AB308" i="63"/>
  <c r="AB309" i="63"/>
  <c r="AB310" i="63"/>
  <c r="AB311" i="63"/>
  <c r="AB312" i="63"/>
  <c r="AB313" i="63"/>
  <c r="AB314" i="63"/>
  <c r="AB315" i="63"/>
  <c r="AB316" i="63"/>
  <c r="AB317" i="63"/>
  <c r="AB318" i="63"/>
  <c r="AB319" i="63"/>
  <c r="AB320" i="63"/>
  <c r="AB321" i="63"/>
  <c r="AB322" i="63"/>
  <c r="AB323" i="63"/>
  <c r="AB324" i="63"/>
  <c r="AB325" i="63"/>
  <c r="AB326" i="63"/>
  <c r="AB327" i="63"/>
  <c r="AB328" i="63"/>
  <c r="AB329" i="63"/>
  <c r="AB330" i="63"/>
  <c r="AB331" i="63"/>
  <c r="AB332" i="63"/>
  <c r="AB333" i="63"/>
  <c r="AB334" i="63"/>
  <c r="AB335" i="63"/>
  <c r="AB336" i="63"/>
  <c r="AB337" i="63"/>
  <c r="AB338" i="63"/>
  <c r="AB339" i="63"/>
  <c r="AB340" i="63"/>
  <c r="AB341" i="63"/>
  <c r="AB342" i="63"/>
  <c r="AB343" i="63"/>
  <c r="AB344" i="63"/>
  <c r="AB345" i="63"/>
  <c r="AB346" i="63"/>
  <c r="AB347" i="63"/>
  <c r="AB348" i="63"/>
  <c r="AB349" i="63"/>
  <c r="AB350" i="63"/>
  <c r="AB351" i="63"/>
  <c r="AB2" i="63"/>
  <c r="AA2" i="63"/>
  <c r="T3" i="63"/>
  <c r="T4" i="63"/>
  <c r="T5" i="63"/>
  <c r="T6" i="63"/>
  <c r="T7" i="63"/>
  <c r="T8" i="63"/>
  <c r="T9" i="63"/>
  <c r="T10" i="63"/>
  <c r="T11" i="63"/>
  <c r="T12" i="63"/>
  <c r="T13" i="63"/>
  <c r="T14" i="63"/>
  <c r="T15" i="63"/>
  <c r="T16" i="63"/>
  <c r="T17" i="63"/>
  <c r="T18" i="63"/>
  <c r="T19" i="63"/>
  <c r="T20" i="63"/>
  <c r="T21" i="63"/>
  <c r="T22" i="63"/>
  <c r="T23" i="63"/>
  <c r="T24" i="63"/>
  <c r="T25" i="63"/>
  <c r="T26" i="63"/>
  <c r="T27" i="63"/>
  <c r="T28" i="63"/>
  <c r="T29" i="63"/>
  <c r="T30" i="63"/>
  <c r="T31" i="63"/>
  <c r="T32" i="63"/>
  <c r="T33" i="63"/>
  <c r="T34" i="63"/>
  <c r="T35" i="63"/>
  <c r="T36" i="63"/>
  <c r="T37" i="63"/>
  <c r="T38" i="63"/>
  <c r="T39" i="63"/>
  <c r="T40" i="63"/>
  <c r="T41" i="63"/>
  <c r="T42" i="63"/>
  <c r="T43" i="63"/>
  <c r="T44" i="63"/>
  <c r="T45" i="63"/>
  <c r="T46" i="63"/>
  <c r="T47" i="63"/>
  <c r="T48" i="63"/>
  <c r="T49" i="63"/>
  <c r="T50" i="63"/>
  <c r="T51" i="63"/>
  <c r="T52" i="63"/>
  <c r="T53" i="63"/>
  <c r="T54" i="63"/>
  <c r="T55" i="63"/>
  <c r="T56" i="63"/>
  <c r="T57" i="63"/>
  <c r="T58" i="63"/>
  <c r="T59" i="63"/>
  <c r="T60" i="63"/>
  <c r="T61" i="63"/>
  <c r="T62" i="63"/>
  <c r="T63" i="63"/>
  <c r="T64" i="63"/>
  <c r="T65" i="63"/>
  <c r="T66" i="63"/>
  <c r="T67" i="63"/>
  <c r="T68" i="63"/>
  <c r="T69" i="63"/>
  <c r="T70" i="63"/>
  <c r="T71" i="63"/>
  <c r="T72" i="63"/>
  <c r="T73" i="63"/>
  <c r="T74" i="63"/>
  <c r="T75" i="63"/>
  <c r="T76" i="63"/>
  <c r="T77" i="63"/>
  <c r="T78" i="63"/>
  <c r="T79" i="63"/>
  <c r="T80" i="63"/>
  <c r="T81" i="63"/>
  <c r="T82" i="63"/>
  <c r="T83" i="63"/>
  <c r="T84" i="63"/>
  <c r="T85" i="63"/>
  <c r="T86" i="63"/>
  <c r="T87" i="63"/>
  <c r="T88" i="63"/>
  <c r="T89" i="63"/>
  <c r="T90" i="63"/>
  <c r="T91" i="63"/>
  <c r="T92" i="63"/>
  <c r="T93" i="63"/>
  <c r="T94" i="63"/>
  <c r="T95" i="63"/>
  <c r="T96" i="63"/>
  <c r="T97" i="63"/>
  <c r="T98" i="63"/>
  <c r="T99" i="63"/>
  <c r="T100" i="63"/>
  <c r="T101" i="63"/>
  <c r="T102" i="63"/>
  <c r="T103" i="63"/>
  <c r="T104" i="63"/>
  <c r="T105" i="63"/>
  <c r="T106" i="63"/>
  <c r="T107" i="63"/>
  <c r="T108" i="63"/>
  <c r="T109" i="63"/>
  <c r="T110" i="63"/>
  <c r="T111" i="63"/>
  <c r="T112" i="63"/>
  <c r="T113" i="63"/>
  <c r="T114" i="63"/>
  <c r="T115" i="63"/>
  <c r="T116" i="63"/>
  <c r="T117" i="63"/>
  <c r="T118" i="63"/>
  <c r="T119" i="63"/>
  <c r="T120" i="63"/>
  <c r="T121" i="63"/>
  <c r="T122" i="63"/>
  <c r="T123" i="63"/>
  <c r="T124" i="63"/>
  <c r="T125" i="63"/>
  <c r="T126" i="63"/>
  <c r="T127" i="63"/>
  <c r="T128" i="63"/>
  <c r="T129" i="63"/>
  <c r="T130" i="63"/>
  <c r="T131" i="63"/>
  <c r="T132" i="63"/>
  <c r="T133" i="63"/>
  <c r="T134" i="63"/>
  <c r="T135" i="63"/>
  <c r="T136" i="63"/>
  <c r="T137" i="63"/>
  <c r="T138" i="63"/>
  <c r="T139" i="63"/>
  <c r="T140" i="63"/>
  <c r="T141" i="63"/>
  <c r="T142" i="63"/>
  <c r="T143" i="63"/>
  <c r="T144" i="63"/>
  <c r="T145" i="63"/>
  <c r="T146" i="63"/>
  <c r="T147" i="63"/>
  <c r="T148" i="63"/>
  <c r="T149" i="63"/>
  <c r="T150" i="63"/>
  <c r="T151" i="63"/>
  <c r="T152" i="63"/>
  <c r="T153" i="63"/>
  <c r="T154" i="63"/>
  <c r="T155" i="63"/>
  <c r="T156" i="63"/>
  <c r="T157" i="63"/>
  <c r="T158" i="63"/>
  <c r="T159" i="63"/>
  <c r="T160" i="63"/>
  <c r="T161" i="63"/>
  <c r="T162" i="63"/>
  <c r="T163" i="63"/>
  <c r="T164" i="63"/>
  <c r="T165" i="63"/>
  <c r="T166" i="63"/>
  <c r="T167" i="63"/>
  <c r="T168" i="63"/>
  <c r="T169" i="63"/>
  <c r="T170" i="63"/>
  <c r="T171" i="63"/>
  <c r="T172" i="63"/>
  <c r="T173" i="63"/>
  <c r="T174" i="63"/>
  <c r="T175" i="63"/>
  <c r="T176" i="63"/>
  <c r="T177" i="63"/>
  <c r="T178" i="63"/>
  <c r="T179" i="63"/>
  <c r="T180" i="63"/>
  <c r="T181" i="63"/>
  <c r="T182" i="63"/>
  <c r="T183" i="63"/>
  <c r="T184" i="63"/>
  <c r="T185" i="63"/>
  <c r="T186" i="63"/>
  <c r="T187" i="63"/>
  <c r="T188" i="63"/>
  <c r="T189" i="63"/>
  <c r="T190" i="63"/>
  <c r="T191" i="63"/>
  <c r="T192" i="63"/>
  <c r="T193" i="63"/>
  <c r="T194" i="63"/>
  <c r="T195" i="63"/>
  <c r="T196" i="63"/>
  <c r="T197" i="63"/>
  <c r="T198" i="63"/>
  <c r="T199" i="63"/>
  <c r="T200" i="63"/>
  <c r="T201" i="63"/>
  <c r="T202" i="63"/>
  <c r="T203" i="63"/>
  <c r="T204" i="63"/>
  <c r="T205" i="63"/>
  <c r="T206" i="63"/>
  <c r="T207" i="63"/>
  <c r="T208" i="63"/>
  <c r="T209" i="63"/>
  <c r="T210" i="63"/>
  <c r="T211" i="63"/>
  <c r="T212" i="63"/>
  <c r="T213" i="63"/>
  <c r="T214" i="63"/>
  <c r="T215" i="63"/>
  <c r="T216" i="63"/>
  <c r="T217" i="63"/>
  <c r="T218" i="63"/>
  <c r="T219" i="63"/>
  <c r="T220" i="63"/>
  <c r="T221" i="63"/>
  <c r="T222" i="63"/>
  <c r="T223" i="63"/>
  <c r="T224" i="63"/>
  <c r="T225" i="63"/>
  <c r="T226" i="63"/>
  <c r="T227" i="63"/>
  <c r="T228" i="63"/>
  <c r="T229" i="63"/>
  <c r="T230" i="63"/>
  <c r="T231" i="63"/>
  <c r="T232" i="63"/>
  <c r="T233" i="63"/>
  <c r="T234" i="63"/>
  <c r="T235" i="63"/>
  <c r="T236" i="63"/>
  <c r="T237" i="63"/>
  <c r="T238" i="63"/>
  <c r="T239" i="63"/>
  <c r="T240" i="63"/>
  <c r="T241" i="63"/>
  <c r="T242" i="63"/>
  <c r="T243" i="63"/>
  <c r="T244" i="63"/>
  <c r="T245" i="63"/>
  <c r="T246" i="63"/>
  <c r="T247" i="63"/>
  <c r="T248" i="63"/>
  <c r="T249" i="63"/>
  <c r="T250" i="63"/>
  <c r="T251" i="63"/>
  <c r="T252" i="63"/>
  <c r="T253" i="63"/>
  <c r="T254" i="63"/>
  <c r="T255" i="63"/>
  <c r="T256" i="63"/>
  <c r="T257" i="63"/>
  <c r="T258" i="63"/>
  <c r="T259" i="63"/>
  <c r="T260" i="63"/>
  <c r="T261" i="63"/>
  <c r="T262" i="63"/>
  <c r="T263" i="63"/>
  <c r="T264" i="63"/>
  <c r="T265" i="63"/>
  <c r="T266" i="63"/>
  <c r="T267" i="63"/>
  <c r="T268" i="63"/>
  <c r="T269" i="63"/>
  <c r="T270" i="63"/>
  <c r="T271" i="63"/>
  <c r="T272" i="63"/>
  <c r="T273" i="63"/>
  <c r="T274" i="63"/>
  <c r="T275" i="63"/>
  <c r="T276" i="63"/>
  <c r="T277" i="63"/>
  <c r="T278" i="63"/>
  <c r="T279" i="63"/>
  <c r="T280" i="63"/>
  <c r="T281" i="63"/>
  <c r="T282" i="63"/>
  <c r="T283" i="63"/>
  <c r="T284" i="63"/>
  <c r="T285" i="63"/>
  <c r="T286" i="63"/>
  <c r="T287" i="63"/>
  <c r="T288" i="63"/>
  <c r="T289" i="63"/>
  <c r="T290" i="63"/>
  <c r="T291" i="63"/>
  <c r="T292" i="63"/>
  <c r="T293" i="63"/>
  <c r="T294" i="63"/>
  <c r="T295" i="63"/>
  <c r="T296" i="63"/>
  <c r="T297" i="63"/>
  <c r="T298" i="63"/>
  <c r="T299" i="63"/>
  <c r="T300" i="63"/>
  <c r="T301" i="63"/>
  <c r="T302" i="63"/>
  <c r="T303" i="63"/>
  <c r="T304" i="63"/>
  <c r="T305" i="63"/>
  <c r="T306" i="63"/>
  <c r="T307" i="63"/>
  <c r="T308" i="63"/>
  <c r="T309" i="63"/>
  <c r="T310" i="63"/>
  <c r="T311" i="63"/>
  <c r="T312" i="63"/>
  <c r="T313" i="63"/>
  <c r="T314" i="63"/>
  <c r="T315" i="63"/>
  <c r="T316" i="63"/>
  <c r="T317" i="63"/>
  <c r="T318" i="63"/>
  <c r="T319" i="63"/>
  <c r="T320" i="63"/>
  <c r="T321" i="63"/>
  <c r="T322" i="63"/>
  <c r="T323" i="63"/>
  <c r="T324" i="63"/>
  <c r="T325" i="63"/>
  <c r="T326" i="63"/>
  <c r="T327" i="63"/>
  <c r="T328" i="63"/>
  <c r="T329" i="63"/>
  <c r="T330" i="63"/>
  <c r="T331" i="63"/>
  <c r="T332" i="63"/>
  <c r="T333" i="63"/>
  <c r="T334" i="63"/>
  <c r="T335" i="63"/>
  <c r="T336" i="63"/>
  <c r="T337" i="63"/>
  <c r="T338" i="63"/>
  <c r="T339" i="63"/>
  <c r="T340" i="63"/>
  <c r="T341" i="63"/>
  <c r="T342" i="63"/>
  <c r="T343" i="63"/>
  <c r="T344" i="63"/>
  <c r="T345" i="63"/>
  <c r="T346" i="63"/>
  <c r="T347" i="63"/>
  <c r="T348" i="63"/>
  <c r="T349" i="63"/>
  <c r="T350" i="63"/>
  <c r="T351" i="63"/>
  <c r="D35" i="43"/>
  <c r="H6" i="43"/>
  <c r="H7" i="43"/>
  <c r="H8" i="43"/>
  <c r="H9" i="43"/>
  <c r="H10" i="43"/>
  <c r="H11" i="43"/>
  <c r="F11" i="43" s="1"/>
  <c r="G11" i="43" s="1"/>
  <c r="H12" i="43"/>
  <c r="H13" i="43"/>
  <c r="H14" i="43"/>
  <c r="F14" i="43" s="1"/>
  <c r="G14" i="43" s="1"/>
  <c r="H15" i="43"/>
  <c r="F15" i="43" s="1"/>
  <c r="G15" i="43" s="1"/>
  <c r="H16" i="43"/>
  <c r="F16" i="43" s="1"/>
  <c r="G16" i="43" s="1"/>
  <c r="H17" i="43"/>
  <c r="H18" i="43"/>
  <c r="H19" i="43"/>
  <c r="F19" i="43" s="1"/>
  <c r="G19" i="43" s="1"/>
  <c r="H20" i="43"/>
  <c r="H21" i="43"/>
  <c r="F21" i="43" s="1"/>
  <c r="G21" i="43" s="1"/>
  <c r="H22" i="43"/>
  <c r="F22" i="43" s="1"/>
  <c r="G22" i="43" s="1"/>
  <c r="H24" i="43"/>
  <c r="H25" i="43"/>
  <c r="H26" i="43"/>
  <c r="H27" i="43"/>
  <c r="H29" i="43"/>
  <c r="H30" i="43"/>
  <c r="H31" i="43"/>
  <c r="H32" i="43"/>
  <c r="H33" i="43"/>
  <c r="H34" i="43"/>
  <c r="F34" i="43" s="1"/>
  <c r="G34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7" i="51"/>
  <c r="F8" i="51"/>
  <c r="F9" i="51"/>
  <c r="F10" i="51"/>
  <c r="G10" i="51" s="1"/>
  <c r="F11" i="51"/>
  <c r="G11" i="51" s="1"/>
  <c r="F12" i="51"/>
  <c r="G12" i="51" s="1"/>
  <c r="F13" i="51"/>
  <c r="G13" i="51" s="1"/>
  <c r="F14" i="51"/>
  <c r="F16" i="51"/>
  <c r="G16" i="51" s="1"/>
  <c r="F17" i="51"/>
  <c r="F18" i="51"/>
  <c r="F19" i="51"/>
  <c r="G19" i="51" s="1"/>
  <c r="F20" i="51"/>
  <c r="G20" i="51" s="1"/>
  <c r="F21" i="51"/>
  <c r="G21" i="51" s="1"/>
  <c r="F22" i="51"/>
  <c r="F23" i="51"/>
  <c r="F24" i="51"/>
  <c r="G24" i="51" s="1"/>
  <c r="F25" i="51"/>
  <c r="F26" i="51"/>
  <c r="F27" i="51"/>
  <c r="G27" i="51" s="1"/>
  <c r="F28" i="51"/>
  <c r="G28" i="51" s="1"/>
  <c r="F29" i="51"/>
  <c r="G29" i="51" s="1"/>
  <c r="F30" i="51"/>
  <c r="F31" i="51"/>
  <c r="F32" i="51"/>
  <c r="G32" i="51" s="1"/>
  <c r="F33" i="51"/>
  <c r="F34" i="51"/>
  <c r="F35" i="51"/>
  <c r="G35" i="51" s="1"/>
  <c r="H6" i="51"/>
  <c r="G7" i="51"/>
  <c r="H7" i="51"/>
  <c r="G8" i="51"/>
  <c r="H8" i="51"/>
  <c r="G9" i="51"/>
  <c r="H9" i="51"/>
  <c r="H10" i="51"/>
  <c r="H11" i="51"/>
  <c r="H12" i="51"/>
  <c r="H13" i="51"/>
  <c r="G14" i="51"/>
  <c r="H14" i="51"/>
  <c r="H15" i="51"/>
  <c r="F15" i="51" s="1"/>
  <c r="H16" i="51"/>
  <c r="G17" i="51"/>
  <c r="H17" i="51"/>
  <c r="G18" i="51"/>
  <c r="H18" i="51"/>
  <c r="H19" i="51"/>
  <c r="H20" i="51"/>
  <c r="H21" i="51"/>
  <c r="G22" i="51"/>
  <c r="H22" i="51"/>
  <c r="G23" i="51"/>
  <c r="H23" i="51"/>
  <c r="H24" i="51"/>
  <c r="G25" i="51"/>
  <c r="H25" i="51"/>
  <c r="G26" i="51"/>
  <c r="H26" i="51"/>
  <c r="H27" i="51"/>
  <c r="H28" i="51"/>
  <c r="H29" i="51"/>
  <c r="G30" i="51"/>
  <c r="H30" i="51"/>
  <c r="G31" i="51"/>
  <c r="H31" i="51"/>
  <c r="H32" i="51"/>
  <c r="G33" i="51"/>
  <c r="H33" i="51"/>
  <c r="G34" i="51"/>
  <c r="H34" i="51"/>
  <c r="H35" i="51"/>
  <c r="H15" i="45"/>
  <c r="F6" i="43"/>
  <c r="F7" i="43"/>
  <c r="G7" i="43" s="1"/>
  <c r="F8" i="43"/>
  <c r="G8" i="43" s="1"/>
  <c r="F9" i="43"/>
  <c r="F10" i="43"/>
  <c r="G10" i="43" s="1"/>
  <c r="F12" i="43"/>
  <c r="G12" i="43" s="1"/>
  <c r="F13" i="43"/>
  <c r="G13" i="43" s="1"/>
  <c r="F17" i="43"/>
  <c r="G17" i="43" s="1"/>
  <c r="F18" i="43"/>
  <c r="G18" i="43" s="1"/>
  <c r="F20" i="43"/>
  <c r="G20" i="43" s="1"/>
  <c r="F24" i="43"/>
  <c r="G24" i="43" s="1"/>
  <c r="F25" i="43"/>
  <c r="G25" i="43" s="1"/>
  <c r="F26" i="43"/>
  <c r="G26" i="43" s="1"/>
  <c r="F27" i="43"/>
  <c r="G27" i="43" s="1"/>
  <c r="F29" i="43"/>
  <c r="G29" i="43" s="1"/>
  <c r="F30" i="43"/>
  <c r="G30" i="43" s="1"/>
  <c r="F31" i="43"/>
  <c r="F32" i="43"/>
  <c r="G32" i="43" s="1"/>
  <c r="F33" i="43"/>
  <c r="G33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B349" i="63" s="1"/>
  <c r="A350" i="63"/>
  <c r="B350" i="63" s="1"/>
  <c r="A351" i="63"/>
  <c r="B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B342" i="63" s="1"/>
  <c r="A343" i="63"/>
  <c r="X343" i="63" s="1"/>
  <c r="A344" i="63"/>
  <c r="B344" i="63" s="1"/>
  <c r="A345" i="63"/>
  <c r="Y345" i="63" s="1"/>
  <c r="A346" i="63"/>
  <c r="B346" i="63" s="1"/>
  <c r="A347" i="63"/>
  <c r="X347" i="63" s="1"/>
  <c r="A338" i="63"/>
  <c r="B338" i="63" s="1"/>
  <c r="A339" i="63"/>
  <c r="B339" i="63" s="1"/>
  <c r="A340" i="63"/>
  <c r="B340" i="63" s="1"/>
  <c r="A341" i="63"/>
  <c r="B341" i="63" s="1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G15" i="51" l="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C351" i="5"/>
  <c r="AC349" i="5"/>
  <c r="AC347" i="5"/>
  <c r="AC345" i="5"/>
  <c r="AC343" i="5"/>
  <c r="AC341" i="5"/>
  <c r="AC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C350" i="5"/>
  <c r="AC348" i="5"/>
  <c r="AC346" i="5"/>
  <c r="AC344" i="5"/>
  <c r="AC342" i="5"/>
  <c r="AC340" i="5"/>
  <c r="AC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AA351" i="63"/>
  <c r="AA349" i="63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AA350" i="63"/>
  <c r="AA348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C350" i="67"/>
  <c r="AC348" i="67"/>
  <c r="AC346" i="67"/>
  <c r="AC344" i="67"/>
  <c r="AC342" i="67"/>
  <c r="AC340" i="67"/>
  <c r="AC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C351" i="67"/>
  <c r="AC349" i="67"/>
  <c r="AC347" i="67"/>
  <c r="AC345" i="67"/>
  <c r="AC343" i="67"/>
  <c r="AC341" i="67"/>
  <c r="AC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AA341" i="63"/>
  <c r="AA339" i="63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AA345" i="63"/>
  <c r="Z347" i="63"/>
  <c r="Z343" i="63"/>
  <c r="AA340" i="63"/>
  <c r="AA338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AA347" i="63"/>
  <c r="AA343" i="63"/>
  <c r="Z345" i="63"/>
  <c r="Y347" i="63"/>
  <c r="Y343" i="63"/>
  <c r="X345" i="63"/>
  <c r="W347" i="63"/>
  <c r="AA346" i="63"/>
  <c r="AA344" i="63"/>
  <c r="AA342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B326" i="63" s="1"/>
  <c r="A327" i="63"/>
  <c r="A328" i="63"/>
  <c r="A329" i="63"/>
  <c r="B329" i="63" s="1"/>
  <c r="A330" i="63"/>
  <c r="A331" i="63"/>
  <c r="Y331" i="63" s="1"/>
  <c r="A332" i="63"/>
  <c r="A333" i="63"/>
  <c r="A334" i="63"/>
  <c r="B334" i="63" s="1"/>
  <c r="A335" i="63"/>
  <c r="A336" i="63"/>
  <c r="A337" i="63"/>
  <c r="Y337" i="63" s="1"/>
  <c r="A318" i="63"/>
  <c r="B318" i="63" s="1"/>
  <c r="A319" i="63"/>
  <c r="B319" i="63" s="1"/>
  <c r="A320" i="63"/>
  <c r="B320" i="63" s="1"/>
  <c r="A321" i="63"/>
  <c r="B321" i="63" s="1"/>
  <c r="A322" i="63"/>
  <c r="B322" i="63" s="1"/>
  <c r="A323" i="63"/>
  <c r="B323" i="63" s="1"/>
  <c r="A324" i="63"/>
  <c r="B324" i="63" s="1"/>
  <c r="A325" i="63"/>
  <c r="B325" i="63" s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Y321" i="67" l="1"/>
  <c r="U329" i="67"/>
  <c r="AC323" i="67"/>
  <c r="AA321" i="67"/>
  <c r="Z327" i="67"/>
  <c r="M336" i="67"/>
  <c r="F315" i="67"/>
  <c r="Z321" i="67"/>
  <c r="U321" i="67"/>
  <c r="X331" i="67"/>
  <c r="R327" i="67"/>
  <c r="N327" i="67"/>
  <c r="J329" i="67"/>
  <c r="C325" i="67"/>
  <c r="AB336" i="67"/>
  <c r="J315" i="67"/>
  <c r="P331" i="67"/>
  <c r="M331" i="67"/>
  <c r="F329" i="67"/>
  <c r="AB311" i="67"/>
  <c r="AC316" i="67"/>
  <c r="AA316" i="67"/>
  <c r="W316" i="67"/>
  <c r="S316" i="67"/>
  <c r="O316" i="67"/>
  <c r="H314" i="67"/>
  <c r="J322" i="67"/>
  <c r="G322" i="67"/>
  <c r="V322" i="67"/>
  <c r="N322" i="67"/>
  <c r="AC334" i="67"/>
  <c r="E337" i="67"/>
  <c r="J337" i="67"/>
  <c r="Y337" i="67"/>
  <c r="B335" i="67"/>
  <c r="O335" i="67"/>
  <c r="AC335" i="67"/>
  <c r="W335" i="67"/>
  <c r="T311" i="67"/>
  <c r="AC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C321" i="67"/>
  <c r="AA323" i="67"/>
  <c r="Z322" i="67"/>
  <c r="Y323" i="67"/>
  <c r="W321" i="67"/>
  <c r="S321" i="67"/>
  <c r="O323" i="67"/>
  <c r="L323" i="67"/>
  <c r="F321" i="67"/>
  <c r="AC326" i="67"/>
  <c r="Q337" i="67"/>
  <c r="H335" i="67"/>
  <c r="AC336" i="5"/>
  <c r="AC328" i="5"/>
  <c r="AB333" i="5"/>
  <c r="AB328" i="5"/>
  <c r="AB320" i="5"/>
  <c r="AA331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C327" i="67"/>
  <c r="AC325" i="67"/>
  <c r="AB331" i="67"/>
  <c r="Y329" i="67"/>
  <c r="V327" i="67"/>
  <c r="T331" i="67"/>
  <c r="Q329" i="67"/>
  <c r="O333" i="67"/>
  <c r="K327" i="67"/>
  <c r="G327" i="67"/>
  <c r="B327" i="67"/>
  <c r="T336" i="67"/>
  <c r="E336" i="67"/>
  <c r="AC331" i="5"/>
  <c r="AC320" i="5"/>
  <c r="AB331" i="5"/>
  <c r="AB323" i="5"/>
  <c r="AA336" i="5"/>
  <c r="AA328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C326" i="5"/>
  <c r="AB330" i="5"/>
  <c r="AB318" i="5"/>
  <c r="AA326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C325" i="5"/>
  <c r="O325" i="5"/>
  <c r="N333" i="5"/>
  <c r="L325" i="5"/>
  <c r="AC334" i="5"/>
  <c r="AC324" i="5"/>
  <c r="AB326" i="5"/>
  <c r="AA334" i="5"/>
  <c r="AA324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AA325" i="5"/>
  <c r="Z333" i="5"/>
  <c r="AC333" i="5"/>
  <c r="AC323" i="5"/>
  <c r="AB336" i="5"/>
  <c r="AB325" i="5"/>
  <c r="AA333" i="5"/>
  <c r="AA323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C332" i="5"/>
  <c r="AC322" i="5"/>
  <c r="AB334" i="5"/>
  <c r="AB324" i="5"/>
  <c r="AA332" i="5"/>
  <c r="AA322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C330" i="5"/>
  <c r="AC318" i="5"/>
  <c r="AB332" i="5"/>
  <c r="AB322" i="5"/>
  <c r="AA330" i="5"/>
  <c r="AA318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C337" i="5"/>
  <c r="AC321" i="5"/>
  <c r="AA329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C335" i="5"/>
  <c r="AC327" i="5"/>
  <c r="AC319" i="5"/>
  <c r="AA335" i="5"/>
  <c r="AA327" i="5"/>
  <c r="AA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B335" i="5"/>
  <c r="AB327" i="5"/>
  <c r="AB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B337" i="5"/>
  <c r="AB329" i="5"/>
  <c r="AB321" i="5"/>
  <c r="X329" i="5"/>
  <c r="X321" i="5"/>
  <c r="AC329" i="5"/>
  <c r="AA337" i="5"/>
  <c r="AA321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C315" i="67"/>
  <c r="AA315" i="67"/>
  <c r="Y315" i="67"/>
  <c r="W315" i="67"/>
  <c r="U315" i="67"/>
  <c r="S315" i="67"/>
  <c r="Q315" i="67"/>
  <c r="O315" i="67"/>
  <c r="J314" i="67"/>
  <c r="C315" i="67"/>
  <c r="AA322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A331" i="67"/>
  <c r="AC331" i="67"/>
  <c r="AC333" i="67"/>
  <c r="AA333" i="67"/>
  <c r="O325" i="67"/>
  <c r="I331" i="67"/>
  <c r="L312" i="67"/>
  <c r="AC314" i="67"/>
  <c r="AA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AA325" i="67"/>
  <c r="H333" i="67"/>
  <c r="E332" i="67"/>
  <c r="I332" i="67"/>
  <c r="M332" i="67"/>
  <c r="P332" i="67"/>
  <c r="T332" i="67"/>
  <c r="X332" i="67"/>
  <c r="AB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A332" i="67"/>
  <c r="AC332" i="67"/>
  <c r="G312" i="67"/>
  <c r="AA313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B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B315" i="67"/>
  <c r="Z315" i="67"/>
  <c r="X315" i="67"/>
  <c r="V315" i="67"/>
  <c r="T315" i="67"/>
  <c r="R315" i="67"/>
  <c r="P315" i="67"/>
  <c r="N315" i="67"/>
  <c r="L315" i="67"/>
  <c r="AC322" i="67"/>
  <c r="AB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B314" i="67"/>
  <c r="X314" i="67"/>
  <c r="T314" i="67"/>
  <c r="P314" i="67"/>
  <c r="N314" i="67"/>
  <c r="L314" i="67"/>
  <c r="AB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B313" i="67"/>
  <c r="Z313" i="67"/>
  <c r="X313" i="67"/>
  <c r="V313" i="67"/>
  <c r="T313" i="67"/>
  <c r="R313" i="67"/>
  <c r="P313" i="67"/>
  <c r="N313" i="67"/>
  <c r="L313" i="67"/>
  <c r="F314" i="67"/>
  <c r="AB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B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B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C320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B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B335" i="67"/>
  <c r="Y336" i="67"/>
  <c r="V337" i="67"/>
  <c r="T335" i="67"/>
  <c r="Q336" i="67"/>
  <c r="N337" i="67"/>
  <c r="M335" i="67"/>
  <c r="J336" i="67"/>
  <c r="G337" i="67"/>
  <c r="E335" i="67"/>
  <c r="AC319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B329" i="67"/>
  <c r="Y327" i="67"/>
  <c r="X329" i="67"/>
  <c r="U327" i="67"/>
  <c r="T329" i="67"/>
  <c r="Q327" i="67"/>
  <c r="P329" i="67"/>
  <c r="M329" i="67"/>
  <c r="J327" i="67"/>
  <c r="I329" i="67"/>
  <c r="F327" i="67"/>
  <c r="E329" i="67"/>
  <c r="AA337" i="67"/>
  <c r="Y335" i="67"/>
  <c r="V336" i="67"/>
  <c r="S337" i="67"/>
  <c r="Q335" i="67"/>
  <c r="N336" i="67"/>
  <c r="L337" i="67"/>
  <c r="J335" i="67"/>
  <c r="G336" i="67"/>
  <c r="C337" i="67"/>
  <c r="AC318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C330" i="67"/>
  <c r="AB328" i="67"/>
  <c r="AA330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AA336" i="67"/>
  <c r="X337" i="67"/>
  <c r="V335" i="67"/>
  <c r="S336" i="67"/>
  <c r="P337" i="67"/>
  <c r="N335" i="67"/>
  <c r="L336" i="67"/>
  <c r="I337" i="67"/>
  <c r="G335" i="67"/>
  <c r="C336" i="67"/>
  <c r="AC317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C329" i="67"/>
  <c r="AB327" i="67"/>
  <c r="AA329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AA335" i="67"/>
  <c r="X336" i="67"/>
  <c r="U337" i="67"/>
  <c r="S335" i="67"/>
  <c r="P336" i="67"/>
  <c r="L335" i="67"/>
  <c r="I336" i="67"/>
  <c r="F337" i="67"/>
  <c r="C335" i="67"/>
  <c r="AC324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C328" i="67"/>
  <c r="AB334" i="67"/>
  <c r="AB326" i="67"/>
  <c r="AA328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AA327" i="67"/>
  <c r="Z329" i="67"/>
  <c r="W327" i="67"/>
  <c r="V329" i="67"/>
  <c r="S327" i="67"/>
  <c r="R329" i="67"/>
  <c r="O327" i="67"/>
  <c r="N329" i="67"/>
  <c r="L327" i="67"/>
  <c r="K329" i="67"/>
  <c r="H327" i="67"/>
  <c r="G329" i="67"/>
  <c r="AC337" i="67"/>
  <c r="Z336" i="67"/>
  <c r="W337" i="67"/>
  <c r="U335" i="67"/>
  <c r="R336" i="67"/>
  <c r="O337" i="67"/>
  <c r="K336" i="67"/>
  <c r="H337" i="67"/>
  <c r="F335" i="67"/>
  <c r="B336" i="67"/>
  <c r="AA334" i="67"/>
  <c r="AA32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C336" i="67"/>
  <c r="AB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B306" i="67"/>
  <c r="W308" i="67"/>
  <c r="S304" i="67"/>
  <c r="N309" i="67"/>
  <c r="K305" i="67"/>
  <c r="F305" i="67"/>
  <c r="Y334" i="63"/>
  <c r="L337" i="63"/>
  <c r="AC311" i="67"/>
  <c r="AA312" i="67"/>
  <c r="V312" i="67"/>
  <c r="R308" i="67"/>
  <c r="N304" i="67"/>
  <c r="J309" i="67"/>
  <c r="E311" i="67"/>
  <c r="J337" i="63"/>
  <c r="AC308" i="67"/>
  <c r="AA304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C306" i="67"/>
  <c r="AB309" i="67"/>
  <c r="AA310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C305" i="67"/>
  <c r="AB308" i="67"/>
  <c r="AA309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C312" i="67"/>
  <c r="AC304" i="67"/>
  <c r="AB307" i="67"/>
  <c r="AA308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C310" i="67"/>
  <c r="AB305" i="67"/>
  <c r="AA306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A307" i="67"/>
  <c r="AC309" i="67"/>
  <c r="AB312" i="67"/>
  <c r="AB304" i="67"/>
  <c r="AA305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C307" i="67"/>
  <c r="AB310" i="67"/>
  <c r="AA311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AA321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AA337" i="63"/>
  <c r="AA329" i="63"/>
  <c r="Z337" i="63"/>
  <c r="W334" i="63"/>
  <c r="U334" i="63"/>
  <c r="S334" i="63"/>
  <c r="Q334" i="63"/>
  <c r="O334" i="63"/>
  <c r="L334" i="63"/>
  <c r="J334" i="63"/>
  <c r="H334" i="63"/>
  <c r="F334" i="63"/>
  <c r="C334" i="63"/>
  <c r="AA320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AA336" i="63"/>
  <c r="AA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AA319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AA335" i="63"/>
  <c r="AA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AA318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AA334" i="63"/>
  <c r="AA326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AA325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AA333" i="63"/>
  <c r="X334" i="63"/>
  <c r="V334" i="63"/>
  <c r="R334" i="63"/>
  <c r="P334" i="63"/>
  <c r="N334" i="63"/>
  <c r="M334" i="63"/>
  <c r="K334" i="63"/>
  <c r="I334" i="63"/>
  <c r="G334" i="63"/>
  <c r="E334" i="63"/>
  <c r="AA322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AA330" i="63"/>
  <c r="AA324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AA332" i="63"/>
  <c r="X329" i="63"/>
  <c r="V329" i="63"/>
  <c r="R329" i="63"/>
  <c r="P329" i="63"/>
  <c r="N329" i="63"/>
  <c r="M329" i="63"/>
  <c r="K329" i="63"/>
  <c r="I329" i="63"/>
  <c r="G329" i="63"/>
  <c r="E329" i="63"/>
  <c r="AA323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AA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5" i="43" l="1"/>
  <c r="J16" i="43"/>
  <c r="J17" i="43"/>
  <c r="J6" i="43"/>
  <c r="J7" i="43"/>
  <c r="J8" i="43"/>
  <c r="J9" i="43"/>
  <c r="J10" i="43"/>
  <c r="J11" i="43"/>
  <c r="J12" i="43"/>
  <c r="J13" i="43"/>
  <c r="J14" i="43"/>
  <c r="J18" i="43"/>
  <c r="J19" i="43"/>
  <c r="J20" i="43"/>
  <c r="J21" i="43"/>
  <c r="J22" i="43"/>
  <c r="J24" i="43"/>
  <c r="J25" i="43"/>
  <c r="J26" i="43"/>
  <c r="J27" i="43"/>
  <c r="J29" i="43"/>
  <c r="J30" i="43"/>
  <c r="J31" i="43"/>
  <c r="J32" i="43"/>
  <c r="J33" i="43"/>
  <c r="J34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B317" i="63" s="1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F315" i="5" l="1"/>
  <c r="AC315" i="5"/>
  <c r="F307" i="5"/>
  <c r="AC307" i="5"/>
  <c r="G314" i="5"/>
  <c r="AC314" i="5"/>
  <c r="G306" i="5"/>
  <c r="AC306" i="5"/>
  <c r="C308" i="5"/>
  <c r="AC308" i="5"/>
  <c r="H313" i="5"/>
  <c r="AC313" i="5"/>
  <c r="H305" i="5"/>
  <c r="AC305" i="5"/>
  <c r="C316" i="5"/>
  <c r="AC316" i="5"/>
  <c r="I312" i="5"/>
  <c r="AC312" i="5"/>
  <c r="I304" i="5"/>
  <c r="AC304" i="5"/>
  <c r="J311" i="5"/>
  <c r="AC311" i="5"/>
  <c r="J303" i="5"/>
  <c r="AC303" i="5"/>
  <c r="K310" i="5"/>
  <c r="AC310" i="5"/>
  <c r="K302" i="5"/>
  <c r="AC302" i="5"/>
  <c r="B317" i="5"/>
  <c r="AC317" i="5"/>
  <c r="B309" i="5"/>
  <c r="AC309" i="5"/>
  <c r="B301" i="5"/>
  <c r="AC301" i="5"/>
  <c r="E291" i="67"/>
  <c r="AC291" i="67"/>
  <c r="F300" i="67"/>
  <c r="AC300" i="67"/>
  <c r="C298" i="67"/>
  <c r="AC298" i="67"/>
  <c r="C290" i="67"/>
  <c r="AC290" i="67"/>
  <c r="B299" i="67"/>
  <c r="AC299" i="67"/>
  <c r="I301" i="67"/>
  <c r="AC301" i="67"/>
  <c r="C297" i="67"/>
  <c r="AC297" i="67"/>
  <c r="C289" i="67"/>
  <c r="AC289" i="67"/>
  <c r="B293" i="67"/>
  <c r="AC293" i="67"/>
  <c r="C302" i="67"/>
  <c r="AC302" i="67"/>
  <c r="B292" i="67"/>
  <c r="AC292" i="67"/>
  <c r="C296" i="67"/>
  <c r="AC296" i="67"/>
  <c r="C288" i="67"/>
  <c r="AC288" i="67"/>
  <c r="AA301" i="67"/>
  <c r="B295" i="67"/>
  <c r="AC295" i="67"/>
  <c r="B287" i="67"/>
  <c r="AC287" i="67"/>
  <c r="S301" i="67"/>
  <c r="B294" i="67"/>
  <c r="AC294" i="67"/>
  <c r="G303" i="67"/>
  <c r="AC303" i="67"/>
  <c r="L301" i="67"/>
  <c r="C308" i="63"/>
  <c r="AC308" i="63"/>
  <c r="I307" i="63"/>
  <c r="AC307" i="63"/>
  <c r="B305" i="63"/>
  <c r="AC305" i="63"/>
  <c r="F306" i="63"/>
  <c r="AC306" i="63"/>
  <c r="B313" i="63"/>
  <c r="AC313" i="63"/>
  <c r="H312" i="63"/>
  <c r="AC312" i="63"/>
  <c r="H304" i="63"/>
  <c r="AC304" i="63"/>
  <c r="E311" i="63"/>
  <c r="AC311" i="63"/>
  <c r="E303" i="63"/>
  <c r="AC303" i="63"/>
  <c r="B316" i="63"/>
  <c r="AC316" i="63"/>
  <c r="G309" i="63"/>
  <c r="AC309" i="63"/>
  <c r="G301" i="63"/>
  <c r="AC301" i="63"/>
  <c r="B314" i="63"/>
  <c r="AC314" i="63"/>
  <c r="J310" i="63"/>
  <c r="AC310" i="63"/>
  <c r="J302" i="63"/>
  <c r="AC302" i="63"/>
  <c r="B315" i="63"/>
  <c r="AC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AA287" i="67"/>
  <c r="L287" i="67"/>
  <c r="V305" i="5"/>
  <c r="AA311" i="63"/>
  <c r="M310" i="63"/>
  <c r="Q317" i="63"/>
  <c r="S295" i="67"/>
  <c r="J295" i="67"/>
  <c r="C301" i="67"/>
  <c r="AA307" i="63"/>
  <c r="Y309" i="63"/>
  <c r="L307" i="63"/>
  <c r="AA295" i="67"/>
  <c r="Q295" i="67"/>
  <c r="H287" i="67"/>
  <c r="AB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AA316" i="5"/>
  <c r="W304" i="5"/>
  <c r="S308" i="5"/>
  <c r="N313" i="5"/>
  <c r="K317" i="5"/>
  <c r="G305" i="5"/>
  <c r="AA308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AA303" i="63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AA317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B315" i="5"/>
  <c r="Y302" i="5"/>
  <c r="T307" i="5"/>
  <c r="O312" i="5"/>
  <c r="L316" i="5"/>
  <c r="H304" i="5"/>
  <c r="B308" i="5"/>
  <c r="AB314" i="5"/>
  <c r="AB306" i="5"/>
  <c r="AA315" i="5"/>
  <c r="AA307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B313" i="5"/>
  <c r="AB305" i="5"/>
  <c r="AA314" i="5"/>
  <c r="AA306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B312" i="5"/>
  <c r="AB304" i="5"/>
  <c r="AA313" i="5"/>
  <c r="AA305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B311" i="5"/>
  <c r="AB303" i="5"/>
  <c r="AA312" i="5"/>
  <c r="AA304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B310" i="5"/>
  <c r="AB302" i="5"/>
  <c r="AA311" i="5"/>
  <c r="AA303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B317" i="5"/>
  <c r="AB309" i="5"/>
  <c r="AB301" i="5"/>
  <c r="AA310" i="5"/>
  <c r="AA302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B316" i="5"/>
  <c r="AB308" i="5"/>
  <c r="AA317" i="5"/>
  <c r="AA309" i="5"/>
  <c r="AA301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B298" i="67"/>
  <c r="AB290" i="67"/>
  <c r="AA294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B303" i="67"/>
  <c r="AA300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B297" i="67"/>
  <c r="AB289" i="67"/>
  <c r="AA293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B302" i="67"/>
  <c r="AA299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B296" i="67"/>
  <c r="AB288" i="67"/>
  <c r="AA292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B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B295" i="67"/>
  <c r="AB287" i="67"/>
  <c r="AA291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B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B294" i="67"/>
  <c r="AA298" i="67"/>
  <c r="AA290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B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B291" i="67"/>
  <c r="T291" i="67"/>
  <c r="AB293" i="67"/>
  <c r="AA297" i="67"/>
  <c r="AA289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AA30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B292" i="67"/>
  <c r="AA296" i="67"/>
  <c r="AA288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AA302" i="67"/>
  <c r="Z299" i="67"/>
  <c r="X301" i="67"/>
  <c r="V303" i="67"/>
  <c r="U300" i="67"/>
  <c r="S302" i="67"/>
  <c r="R299" i="67"/>
  <c r="P301" i="67"/>
  <c r="N303" i="67"/>
  <c r="L302" i="67"/>
  <c r="K299" i="67"/>
  <c r="I306" i="63"/>
  <c r="AA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AA316" i="63"/>
  <c r="Y316" i="63"/>
  <c r="W316" i="63"/>
  <c r="U316" i="63"/>
  <c r="S316" i="63"/>
  <c r="Q316" i="63"/>
  <c r="O316" i="63"/>
  <c r="L316" i="63"/>
  <c r="J316" i="63"/>
  <c r="H316" i="63"/>
  <c r="F316" i="63"/>
  <c r="C316" i="63"/>
  <c r="AA313" i="63"/>
  <c r="AA305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AA315" i="63"/>
  <c r="Y315" i="63"/>
  <c r="W315" i="63"/>
  <c r="U315" i="63"/>
  <c r="S315" i="63"/>
  <c r="Q315" i="63"/>
  <c r="O315" i="63"/>
  <c r="L315" i="63"/>
  <c r="J315" i="63"/>
  <c r="H315" i="63"/>
  <c r="F315" i="63"/>
  <c r="C315" i="63"/>
  <c r="AA312" i="63"/>
  <c r="AA304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AA314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AA310" i="63"/>
  <c r="AA302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AA309" i="63"/>
  <c r="AA301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AA308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5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C212" i="5" s="1"/>
  <c r="A213" i="5"/>
  <c r="A214" i="5"/>
  <c r="AC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C230" i="5" s="1"/>
  <c r="A231" i="5"/>
  <c r="A232" i="5"/>
  <c r="A233" i="5"/>
  <c r="A234" i="5"/>
  <c r="A235" i="5"/>
  <c r="A236" i="5"/>
  <c r="A237" i="5"/>
  <c r="A238" i="5"/>
  <c r="AC238" i="5" s="1"/>
  <c r="A239" i="5"/>
  <c r="A240" i="5"/>
  <c r="A241" i="5"/>
  <c r="A242" i="5"/>
  <c r="A243" i="5"/>
  <c r="A244" i="5"/>
  <c r="AC244" i="5" s="1"/>
  <c r="A245" i="5"/>
  <c r="A246" i="5"/>
  <c r="A247" i="5"/>
  <c r="A248" i="5"/>
  <c r="A249" i="5"/>
  <c r="A250" i="5"/>
  <c r="A251" i="5"/>
  <c r="A252" i="5"/>
  <c r="A253" i="5"/>
  <c r="A254" i="5"/>
  <c r="AC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C276" i="5" s="1"/>
  <c r="A277" i="5"/>
  <c r="A278" i="5"/>
  <c r="A279" i="5"/>
  <c r="A280" i="5"/>
  <c r="A281" i="5"/>
  <c r="A282" i="5"/>
  <c r="A283" i="5"/>
  <c r="A284" i="5"/>
  <c r="A285" i="5"/>
  <c r="A286" i="5"/>
  <c r="AC286" i="5" s="1"/>
  <c r="A287" i="5"/>
  <c r="A288" i="5"/>
  <c r="A289" i="5"/>
  <c r="A290" i="5"/>
  <c r="A291" i="5"/>
  <c r="A292" i="5"/>
  <c r="AC292" i="5" s="1"/>
  <c r="A293" i="5"/>
  <c r="AC293" i="5" s="1"/>
  <c r="A294" i="5"/>
  <c r="AC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C286" i="67" s="1"/>
  <c r="A208" i="67"/>
  <c r="AC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C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C266" i="63" s="1"/>
  <c r="A267" i="63"/>
  <c r="A268" i="63"/>
  <c r="A269" i="63"/>
  <c r="AC269" i="63" s="1"/>
  <c r="A270" i="63"/>
  <c r="A271" i="63"/>
  <c r="A272" i="63"/>
  <c r="A273" i="63"/>
  <c r="A274" i="63"/>
  <c r="A275" i="63"/>
  <c r="A276" i="63"/>
  <c r="A277" i="63"/>
  <c r="A278" i="63"/>
  <c r="AC278" i="63" s="1"/>
  <c r="A279" i="63"/>
  <c r="A280" i="63"/>
  <c r="A281" i="63"/>
  <c r="A282" i="63"/>
  <c r="AC282" i="63" s="1"/>
  <c r="A283" i="63"/>
  <c r="A284" i="63"/>
  <c r="A285" i="63"/>
  <c r="A286" i="63"/>
  <c r="A287" i="63"/>
  <c r="A288" i="63"/>
  <c r="A289" i="63"/>
  <c r="A290" i="63"/>
  <c r="AC290" i="63" s="1"/>
  <c r="A291" i="63"/>
  <c r="A292" i="63"/>
  <c r="A293" i="63"/>
  <c r="A294" i="63"/>
  <c r="AC294" i="63" s="1"/>
  <c r="A295" i="63"/>
  <c r="AC295" i="63" s="1"/>
  <c r="A296" i="63"/>
  <c r="AC296" i="63" s="1"/>
  <c r="A297" i="63"/>
  <c r="A298" i="63"/>
  <c r="AC298" i="63" s="1"/>
  <c r="A299" i="63"/>
  <c r="A300" i="63"/>
  <c r="A208" i="63"/>
  <c r="A209" i="63"/>
  <c r="AC209" i="63" s="1"/>
  <c r="A210" i="63"/>
  <c r="A211" i="63"/>
  <c r="A212" i="63"/>
  <c r="A213" i="63"/>
  <c r="AC213" i="63" s="1"/>
  <c r="A214" i="63"/>
  <c r="A215" i="63"/>
  <c r="AC215" i="63" s="1"/>
  <c r="A216" i="63"/>
  <c r="A217" i="63"/>
  <c r="A218" i="63"/>
  <c r="A219" i="63"/>
  <c r="A220" i="63"/>
  <c r="A221" i="63"/>
  <c r="A222" i="63"/>
  <c r="A223" i="63"/>
  <c r="A224" i="63"/>
  <c r="AC224" i="63" s="1"/>
  <c r="A225" i="63"/>
  <c r="A226" i="63"/>
  <c r="A227" i="63"/>
  <c r="A228" i="63"/>
  <c r="A229" i="63"/>
  <c r="A230" i="63"/>
  <c r="A231" i="63"/>
  <c r="A232" i="63"/>
  <c r="A233" i="63"/>
  <c r="A234" i="63"/>
  <c r="AC234" i="63" s="1"/>
  <c r="A235" i="63"/>
  <c r="A236" i="63"/>
  <c r="AC236" i="63" s="1"/>
  <c r="A237" i="63"/>
  <c r="A238" i="63"/>
  <c r="A239" i="63"/>
  <c r="AC239" i="63" s="1"/>
  <c r="A240" i="63"/>
  <c r="A241" i="63"/>
  <c r="AC241" i="63" s="1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C256" i="63" s="1"/>
  <c r="A257" i="63"/>
  <c r="AC257" i="63" s="1"/>
  <c r="A258" i="63"/>
  <c r="A259" i="63"/>
  <c r="A260" i="63"/>
  <c r="A261" i="63"/>
  <c r="A262" i="63"/>
  <c r="AC262" i="63" s="1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Z297" i="5" l="1"/>
  <c r="AC297" i="5"/>
  <c r="AC289" i="5"/>
  <c r="Z281" i="5"/>
  <c r="AC281" i="5"/>
  <c r="AC273" i="5"/>
  <c r="AC265" i="5"/>
  <c r="W257" i="5"/>
  <c r="AC257" i="5"/>
  <c r="AC241" i="5"/>
  <c r="AC233" i="5"/>
  <c r="AC225" i="5"/>
  <c r="AC217" i="5"/>
  <c r="AC209" i="5"/>
  <c r="AC296" i="5"/>
  <c r="AC288" i="5"/>
  <c r="AC280" i="5"/>
  <c r="AC272" i="5"/>
  <c r="AC264" i="5"/>
  <c r="AC256" i="5"/>
  <c r="AC248" i="5"/>
  <c r="AC240" i="5"/>
  <c r="AC232" i="5"/>
  <c r="AC224" i="5"/>
  <c r="AC216" i="5"/>
  <c r="AC208" i="5"/>
  <c r="AC249" i="5"/>
  <c r="AC295" i="5"/>
  <c r="P287" i="5"/>
  <c r="AC287" i="5"/>
  <c r="AC279" i="5"/>
  <c r="AC271" i="5"/>
  <c r="AC263" i="5"/>
  <c r="AC255" i="5"/>
  <c r="Y247" i="5"/>
  <c r="AC247" i="5"/>
  <c r="AC239" i="5"/>
  <c r="AC231" i="5"/>
  <c r="AC223" i="5"/>
  <c r="AC215" i="5"/>
  <c r="AC278" i="5"/>
  <c r="AC270" i="5"/>
  <c r="AC262" i="5"/>
  <c r="AC246" i="5"/>
  <c r="AC222" i="5"/>
  <c r="AC285" i="5"/>
  <c r="AC277" i="5"/>
  <c r="AC269" i="5"/>
  <c r="AC261" i="5"/>
  <c r="AC253" i="5"/>
  <c r="AC245" i="5"/>
  <c r="AC237" i="5"/>
  <c r="AC229" i="5"/>
  <c r="AC221" i="5"/>
  <c r="AA213" i="5"/>
  <c r="AC213" i="5"/>
  <c r="AC300" i="5"/>
  <c r="X284" i="5"/>
  <c r="AC284" i="5"/>
  <c r="AC268" i="5"/>
  <c r="X260" i="5"/>
  <c r="AC260" i="5"/>
  <c r="AC252" i="5"/>
  <c r="AC236" i="5"/>
  <c r="AA228" i="5"/>
  <c r="AC228" i="5"/>
  <c r="X220" i="5"/>
  <c r="AC220" i="5"/>
  <c r="AC299" i="5"/>
  <c r="AC291" i="5"/>
  <c r="AC283" i="5"/>
  <c r="AC275" i="5"/>
  <c r="U267" i="5"/>
  <c r="AC267" i="5"/>
  <c r="AC259" i="5"/>
  <c r="AC251" i="5"/>
  <c r="AC243" i="5"/>
  <c r="AC235" i="5"/>
  <c r="AC227" i="5"/>
  <c r="AC219" i="5"/>
  <c r="AA211" i="5"/>
  <c r="AC211" i="5"/>
  <c r="Z298" i="5"/>
  <c r="AC298" i="5"/>
  <c r="AC290" i="5"/>
  <c r="AC282" i="5"/>
  <c r="AC274" i="5"/>
  <c r="AC266" i="5"/>
  <c r="AC258" i="5"/>
  <c r="AC250" i="5"/>
  <c r="Z242" i="5"/>
  <c r="AC242" i="5"/>
  <c r="AC234" i="5"/>
  <c r="AC226" i="5"/>
  <c r="AC218" i="5"/>
  <c r="AC210" i="5"/>
  <c r="S253" i="67"/>
  <c r="AC253" i="67"/>
  <c r="U260" i="67"/>
  <c r="AC260" i="67"/>
  <c r="AA244" i="67"/>
  <c r="AC244" i="67"/>
  <c r="Z226" i="67"/>
  <c r="AC226" i="67"/>
  <c r="U218" i="67"/>
  <c r="AC218" i="67"/>
  <c r="Z210" i="67"/>
  <c r="AC210" i="67"/>
  <c r="B281" i="67"/>
  <c r="AC281" i="67"/>
  <c r="R275" i="67"/>
  <c r="AC275" i="67"/>
  <c r="AC267" i="67"/>
  <c r="R259" i="67"/>
  <c r="AC259" i="67"/>
  <c r="L251" i="67"/>
  <c r="AC251" i="67"/>
  <c r="U243" i="67"/>
  <c r="AC243" i="67"/>
  <c r="O241" i="67"/>
  <c r="AC241" i="67"/>
  <c r="Z233" i="67"/>
  <c r="AC233" i="67"/>
  <c r="P225" i="67"/>
  <c r="AC225" i="67"/>
  <c r="U217" i="67"/>
  <c r="AC217" i="67"/>
  <c r="R209" i="67"/>
  <c r="AC209" i="67"/>
  <c r="L280" i="67"/>
  <c r="AC280" i="67"/>
  <c r="AC245" i="67"/>
  <c r="Z266" i="67"/>
  <c r="AC266" i="67"/>
  <c r="AC240" i="67"/>
  <c r="O232" i="67"/>
  <c r="AC232" i="67"/>
  <c r="X224" i="67"/>
  <c r="AC224" i="67"/>
  <c r="W216" i="67"/>
  <c r="AC216" i="67"/>
  <c r="E279" i="67"/>
  <c r="AC279" i="67"/>
  <c r="AC265" i="67"/>
  <c r="AC215" i="67"/>
  <c r="B278" i="67"/>
  <c r="AC278" i="67"/>
  <c r="P276" i="67"/>
  <c r="AC276" i="67"/>
  <c r="G242" i="67"/>
  <c r="AC242" i="67"/>
  <c r="AC258" i="67"/>
  <c r="X223" i="67"/>
  <c r="AC223" i="67"/>
  <c r="AC272" i="67"/>
  <c r="R264" i="67"/>
  <c r="AC264" i="67"/>
  <c r="X256" i="67"/>
  <c r="AC256" i="67"/>
  <c r="AB248" i="67"/>
  <c r="AC248" i="67"/>
  <c r="Y238" i="67"/>
  <c r="AC238" i="67"/>
  <c r="AC230" i="67"/>
  <c r="S222" i="67"/>
  <c r="AC222" i="67"/>
  <c r="AB214" i="67"/>
  <c r="AC214" i="67"/>
  <c r="X285" i="67"/>
  <c r="AC285" i="67"/>
  <c r="Z277" i="67"/>
  <c r="AC277" i="67"/>
  <c r="AC261" i="67"/>
  <c r="AC234" i="67"/>
  <c r="V257" i="67"/>
  <c r="AC257" i="67"/>
  <c r="AC231" i="67"/>
  <c r="V271" i="67"/>
  <c r="AC271" i="67"/>
  <c r="I263" i="67"/>
  <c r="AC263" i="67"/>
  <c r="X255" i="67"/>
  <c r="AC255" i="67"/>
  <c r="T247" i="67"/>
  <c r="AC247" i="67"/>
  <c r="U237" i="67"/>
  <c r="AC237" i="67"/>
  <c r="I229" i="67"/>
  <c r="AC229" i="67"/>
  <c r="O221" i="67"/>
  <c r="AC221" i="67"/>
  <c r="T213" i="67"/>
  <c r="AC213" i="67"/>
  <c r="AC284" i="67"/>
  <c r="L269" i="67"/>
  <c r="AC269" i="67"/>
  <c r="Q268" i="67"/>
  <c r="AC268" i="67"/>
  <c r="W252" i="67"/>
  <c r="AC252" i="67"/>
  <c r="K274" i="67"/>
  <c r="AC274" i="67"/>
  <c r="N250" i="67"/>
  <c r="AC250" i="67"/>
  <c r="H273" i="67"/>
  <c r="AC273" i="67"/>
  <c r="C249" i="67"/>
  <c r="AC249" i="67"/>
  <c r="V239" i="67"/>
  <c r="AC239" i="67"/>
  <c r="Y270" i="67"/>
  <c r="AC270" i="67"/>
  <c r="AA262" i="67"/>
  <c r="AC262" i="67"/>
  <c r="X254" i="67"/>
  <c r="AC254" i="67"/>
  <c r="AB246" i="67"/>
  <c r="AC246" i="67"/>
  <c r="X236" i="67"/>
  <c r="AC236" i="67"/>
  <c r="I228" i="67"/>
  <c r="AC228" i="67"/>
  <c r="AB220" i="67"/>
  <c r="AC220" i="67"/>
  <c r="O212" i="67"/>
  <c r="AC212" i="67"/>
  <c r="AC283" i="67"/>
  <c r="AC227" i="67"/>
  <c r="AC219" i="67"/>
  <c r="S211" i="67"/>
  <c r="AC211" i="67"/>
  <c r="K282" i="67"/>
  <c r="AC282" i="67"/>
  <c r="Z218" i="63"/>
  <c r="AC218" i="63"/>
  <c r="Q210" i="63"/>
  <c r="AC210" i="63"/>
  <c r="I297" i="63"/>
  <c r="AC297" i="63"/>
  <c r="O233" i="63"/>
  <c r="AC233" i="63"/>
  <c r="Z225" i="63"/>
  <c r="AC225" i="63"/>
  <c r="F217" i="63"/>
  <c r="AC217" i="63"/>
  <c r="H216" i="63"/>
  <c r="AC216" i="63"/>
  <c r="AA208" i="63"/>
  <c r="AC208" i="63"/>
  <c r="U287" i="63"/>
  <c r="AC287" i="63"/>
  <c r="U279" i="63"/>
  <c r="AC279" i="63"/>
  <c r="W271" i="63"/>
  <c r="AC271" i="63"/>
  <c r="AC281" i="63"/>
  <c r="AC265" i="63"/>
  <c r="F272" i="63"/>
  <c r="AC272" i="63"/>
  <c r="O270" i="63"/>
  <c r="AC270" i="63"/>
  <c r="AC249" i="63"/>
  <c r="Z248" i="63"/>
  <c r="AC248" i="63"/>
  <c r="Z240" i="63"/>
  <c r="AC240" i="63"/>
  <c r="L232" i="63"/>
  <c r="AC232" i="63"/>
  <c r="U263" i="63"/>
  <c r="AC263" i="63"/>
  <c r="Y255" i="63"/>
  <c r="AC255" i="63"/>
  <c r="S247" i="63"/>
  <c r="AC247" i="63"/>
  <c r="U293" i="63"/>
  <c r="AC293" i="63"/>
  <c r="E285" i="63"/>
  <c r="AC285" i="63"/>
  <c r="Y277" i="63"/>
  <c r="AC277" i="63"/>
  <c r="Z258" i="63"/>
  <c r="AC258" i="63"/>
  <c r="R250" i="63"/>
  <c r="AC250" i="63"/>
  <c r="Z242" i="63"/>
  <c r="AC242" i="63"/>
  <c r="Z226" i="63"/>
  <c r="AC226" i="63"/>
  <c r="R231" i="63"/>
  <c r="AC231" i="63"/>
  <c r="R223" i="63"/>
  <c r="AC223" i="63"/>
  <c r="Y246" i="63"/>
  <c r="AC246" i="63"/>
  <c r="Z230" i="63"/>
  <c r="AC230" i="63"/>
  <c r="Y214" i="63"/>
  <c r="AC214" i="63"/>
  <c r="AA261" i="63"/>
  <c r="AC261" i="63"/>
  <c r="AA253" i="63"/>
  <c r="AC253" i="63"/>
  <c r="AC245" i="63"/>
  <c r="AA237" i="63"/>
  <c r="AC237" i="63"/>
  <c r="Q229" i="63"/>
  <c r="AC229" i="63"/>
  <c r="M221" i="63"/>
  <c r="AC221" i="63"/>
  <c r="S300" i="63"/>
  <c r="AC300" i="63"/>
  <c r="U292" i="63"/>
  <c r="AC292" i="63"/>
  <c r="J284" i="63"/>
  <c r="AC284" i="63"/>
  <c r="U276" i="63"/>
  <c r="AC276" i="63"/>
  <c r="U268" i="63"/>
  <c r="AC268" i="63"/>
  <c r="AC289" i="63"/>
  <c r="AC273" i="63"/>
  <c r="U288" i="63"/>
  <c r="AC288" i="63"/>
  <c r="F280" i="63"/>
  <c r="AC280" i="63"/>
  <c r="U264" i="63"/>
  <c r="AC264" i="63"/>
  <c r="U286" i="63"/>
  <c r="AC286" i="63"/>
  <c r="Y254" i="63"/>
  <c r="AC254" i="63"/>
  <c r="P238" i="63"/>
  <c r="AC238" i="63"/>
  <c r="L222" i="63"/>
  <c r="AC222" i="63"/>
  <c r="V260" i="63"/>
  <c r="AC260" i="63"/>
  <c r="AC252" i="63"/>
  <c r="X244" i="63"/>
  <c r="AC244" i="63"/>
  <c r="U228" i="63"/>
  <c r="AC228" i="63"/>
  <c r="U220" i="63"/>
  <c r="AC220" i="63"/>
  <c r="X212" i="63"/>
  <c r="AC212" i="63"/>
  <c r="U299" i="63"/>
  <c r="AC299" i="63"/>
  <c r="U291" i="63"/>
  <c r="AC291" i="63"/>
  <c r="N283" i="63"/>
  <c r="AC283" i="63"/>
  <c r="U275" i="63"/>
  <c r="AC275" i="63"/>
  <c r="U267" i="63"/>
  <c r="AC267" i="63"/>
  <c r="X259" i="63"/>
  <c r="AC259" i="63"/>
  <c r="Y251" i="63"/>
  <c r="AC251" i="63"/>
  <c r="X243" i="63"/>
  <c r="AC243" i="63"/>
  <c r="Y235" i="63"/>
  <c r="AC235" i="63"/>
  <c r="X227" i="63"/>
  <c r="AC227" i="63"/>
  <c r="Y219" i="63"/>
  <c r="AC219" i="63"/>
  <c r="X211" i="63"/>
  <c r="AC211" i="63"/>
  <c r="X274" i="63"/>
  <c r="AC274" i="63"/>
  <c r="W209" i="5"/>
  <c r="N215" i="67"/>
  <c r="Y279" i="67"/>
  <c r="X239" i="67"/>
  <c r="V231" i="67"/>
  <c r="Q279" i="67"/>
  <c r="O231" i="67"/>
  <c r="O279" i="67"/>
  <c r="AB225" i="67"/>
  <c r="T241" i="67"/>
  <c r="AA223" i="67"/>
  <c r="S215" i="67"/>
  <c r="K281" i="67"/>
  <c r="Q241" i="67"/>
  <c r="AA279" i="67"/>
  <c r="C279" i="67"/>
  <c r="W265" i="67"/>
  <c r="X284" i="67"/>
  <c r="V292" i="63"/>
  <c r="W223" i="67"/>
  <c r="W279" i="67"/>
  <c r="Q284" i="63"/>
  <c r="W215" i="67"/>
  <c r="Q284" i="67"/>
  <c r="U289" i="63"/>
  <c r="AB215" i="67"/>
  <c r="AA214" i="67"/>
  <c r="Y241" i="67"/>
  <c r="W251" i="67"/>
  <c r="V221" i="67"/>
  <c r="S271" i="67"/>
  <c r="Q215" i="67"/>
  <c r="Z282" i="67"/>
  <c r="Q283" i="67"/>
  <c r="I280" i="67"/>
  <c r="AB265" i="67"/>
  <c r="AA273" i="67"/>
  <c r="Z251" i="67"/>
  <c r="X267" i="67"/>
  <c r="U268" i="67"/>
  <c r="S265" i="67"/>
  <c r="P248" i="67"/>
  <c r="Y284" i="67"/>
  <c r="Q282" i="67"/>
  <c r="AB264" i="67"/>
  <c r="AA265" i="67"/>
  <c r="X257" i="67"/>
  <c r="W233" i="67"/>
  <c r="U257" i="67"/>
  <c r="S232" i="67"/>
  <c r="Y247" i="67"/>
  <c r="AB251" i="67"/>
  <c r="AA260" i="67"/>
  <c r="Y278" i="67"/>
  <c r="P283" i="67"/>
  <c r="M231" i="63"/>
  <c r="AA249" i="67"/>
  <c r="Z232" i="67"/>
  <c r="U239" i="67"/>
  <c r="R276" i="67"/>
  <c r="M252" i="67"/>
  <c r="Z223" i="67"/>
  <c r="X215" i="67"/>
  <c r="V249" i="67"/>
  <c r="U231" i="67"/>
  <c r="R251" i="67"/>
  <c r="M223" i="67"/>
  <c r="Z288" i="63"/>
  <c r="AB239" i="67"/>
  <c r="AA239" i="67"/>
  <c r="Y267" i="67"/>
  <c r="W273" i="67"/>
  <c r="V238" i="67"/>
  <c r="U209" i="67"/>
  <c r="R215" i="67"/>
  <c r="J242" i="67"/>
  <c r="AB280" i="67"/>
  <c r="S282" i="67"/>
  <c r="M280" i="67"/>
  <c r="AB270" i="67"/>
  <c r="I230" i="63"/>
  <c r="V276" i="63"/>
  <c r="AB267" i="67"/>
  <c r="AB250" i="67"/>
  <c r="AB241" i="67"/>
  <c r="AB223" i="67"/>
  <c r="AA270" i="67"/>
  <c r="AA246" i="67"/>
  <c r="AA232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AA282" i="67"/>
  <c r="Y282" i="67"/>
  <c r="V280" i="67"/>
  <c r="S280" i="67"/>
  <c r="Q281" i="67"/>
  <c r="N282" i="67"/>
  <c r="K280" i="67"/>
  <c r="H282" i="67"/>
  <c r="B279" i="67"/>
  <c r="S264" i="5"/>
  <c r="AA291" i="63"/>
  <c r="U297" i="63"/>
  <c r="AB266" i="67"/>
  <c r="AB249" i="67"/>
  <c r="AB240" i="67"/>
  <c r="AB217" i="67"/>
  <c r="AA267" i="67"/>
  <c r="AA243" i="67"/>
  <c r="AA231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AA280" i="67"/>
  <c r="Y281" i="67"/>
  <c r="V279" i="67"/>
  <c r="S279" i="67"/>
  <c r="Q280" i="67"/>
  <c r="N279" i="67"/>
  <c r="K279" i="67"/>
  <c r="H279" i="67"/>
  <c r="AA283" i="63"/>
  <c r="AB243" i="67"/>
  <c r="AB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B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B248" i="5"/>
  <c r="Z264" i="63"/>
  <c r="S292" i="63"/>
  <c r="AB259" i="67"/>
  <c r="AB231" i="67"/>
  <c r="AA259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AA285" i="5"/>
  <c r="S273" i="63"/>
  <c r="AB275" i="67"/>
  <c r="AB257" i="67"/>
  <c r="AB230" i="67"/>
  <c r="AB209" i="67"/>
  <c r="AA257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B282" i="67"/>
  <c r="Z279" i="67"/>
  <c r="T282" i="67"/>
  <c r="P281" i="67"/>
  <c r="I282" i="67"/>
  <c r="F282" i="67"/>
  <c r="AA277" i="5"/>
  <c r="O255" i="63"/>
  <c r="V300" i="63"/>
  <c r="R287" i="63"/>
  <c r="AB273" i="67"/>
  <c r="AB254" i="67"/>
  <c r="AB228" i="67"/>
  <c r="AA275" i="67"/>
  <c r="AA251" i="67"/>
  <c r="AA241" i="67"/>
  <c r="Z259" i="67"/>
  <c r="Y268" i="67"/>
  <c r="X275" i="67"/>
  <c r="X243" i="67"/>
  <c r="X217" i="67"/>
  <c r="W254" i="67"/>
  <c r="W236" i="67"/>
  <c r="U275" i="67"/>
  <c r="U215" i="67"/>
  <c r="Q247" i="67"/>
  <c r="P251" i="67"/>
  <c r="AB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AA269" i="67"/>
  <c r="AA213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AA267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AA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AA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AA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AA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AA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AA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08" i="67"/>
  <c r="AB274" i="67"/>
  <c r="AB262" i="67"/>
  <c r="AB238" i="67"/>
  <c r="AB224" i="67"/>
  <c r="AB212" i="67"/>
  <c r="AA268" i="67"/>
  <c r="AA254" i="67"/>
  <c r="AA229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B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B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B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B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AA226" i="67"/>
  <c r="N226" i="67"/>
  <c r="V226" i="67"/>
  <c r="AB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AA210" i="67"/>
  <c r="N210" i="67"/>
  <c r="J210" i="67"/>
  <c r="P210" i="67"/>
  <c r="AB210" i="67"/>
  <c r="L210" i="67"/>
  <c r="Q210" i="67"/>
  <c r="W210" i="67"/>
  <c r="V210" i="67"/>
  <c r="W279" i="63"/>
  <c r="U273" i="63"/>
  <c r="N267" i="63"/>
  <c r="AB236" i="67"/>
  <c r="AA253" i="67"/>
  <c r="AA242" i="67"/>
  <c r="AA224" i="67"/>
  <c r="AA211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AA235" i="67"/>
  <c r="AA219" i="67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B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B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AA234" i="67"/>
  <c r="J234" i="67"/>
  <c r="O234" i="67"/>
  <c r="Z234" i="67"/>
  <c r="AB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AA218" i="67"/>
  <c r="B218" i="67"/>
  <c r="L218" i="67"/>
  <c r="O218" i="67"/>
  <c r="AB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AA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AA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AA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AA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AA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AA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B272" i="67"/>
  <c r="AB258" i="67"/>
  <c r="AB222" i="67"/>
  <c r="AB208" i="67"/>
  <c r="AA252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B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B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B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B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AA271" i="67"/>
  <c r="L271" i="67"/>
  <c r="T271" i="67"/>
  <c r="X271" i="67"/>
  <c r="O271" i="67"/>
  <c r="AB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AA263" i="67"/>
  <c r="O263" i="67"/>
  <c r="Q263" i="67"/>
  <c r="T263" i="67"/>
  <c r="X263" i="67"/>
  <c r="AB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AA255" i="67"/>
  <c r="V255" i="67"/>
  <c r="B255" i="67"/>
  <c r="G255" i="67"/>
  <c r="K255" i="67"/>
  <c r="S255" i="67"/>
  <c r="AB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AA247" i="67"/>
  <c r="L247" i="67"/>
  <c r="V247" i="67"/>
  <c r="AB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AA237" i="67"/>
  <c r="I237" i="67"/>
  <c r="V237" i="67"/>
  <c r="AB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B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B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B213" i="67"/>
  <c r="I213" i="67"/>
  <c r="AB232" i="67"/>
  <c r="AA276" i="67"/>
  <c r="AA22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B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B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AA227" i="67"/>
  <c r="S227" i="67"/>
  <c r="V227" i="67"/>
  <c r="AB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B211" i="67"/>
  <c r="I211" i="67"/>
  <c r="T211" i="67"/>
  <c r="W211" i="67"/>
  <c r="AA245" i="67"/>
  <c r="AA275" i="63"/>
  <c r="M262" i="63"/>
  <c r="R262" i="63"/>
  <c r="U231" i="63"/>
  <c r="K230" i="63"/>
  <c r="U294" i="63"/>
  <c r="O294" i="63"/>
  <c r="U278" i="63"/>
  <c r="AA299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AA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AA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B256" i="67"/>
  <c r="AA261" i="67"/>
  <c r="AA236" i="67"/>
  <c r="AA221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AA286" i="67"/>
  <c r="H286" i="67"/>
  <c r="R286" i="67"/>
  <c r="AB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AA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AA293" i="5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AA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AA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AA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AA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B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AA215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B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AA285" i="67"/>
  <c r="F277" i="67"/>
  <c r="J277" i="67"/>
  <c r="Q277" i="67"/>
  <c r="U277" i="67"/>
  <c r="Y277" i="67"/>
  <c r="G277" i="67"/>
  <c r="P277" i="67"/>
  <c r="AA277" i="67"/>
  <c r="H277" i="67"/>
  <c r="R277" i="67"/>
  <c r="AB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B284" i="67"/>
  <c r="E284" i="67"/>
  <c r="N284" i="67"/>
  <c r="AA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B283" i="67"/>
  <c r="E283" i="67"/>
  <c r="AA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AA223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B264" i="5"/>
  <c r="C281" i="67"/>
  <c r="H281" i="67"/>
  <c r="L281" i="67"/>
  <c r="O281" i="67"/>
  <c r="S281" i="67"/>
  <c r="W281" i="67"/>
  <c r="AA281" i="67"/>
  <c r="V281" i="67"/>
  <c r="U282" i="67"/>
  <c r="M281" i="67"/>
  <c r="L282" i="67"/>
  <c r="Z296" i="5"/>
  <c r="AB296" i="5"/>
  <c r="AB288" i="5"/>
  <c r="AB280" i="5"/>
  <c r="AB272" i="5"/>
  <c r="AB240" i="5"/>
  <c r="AB232" i="5"/>
  <c r="AB224" i="5"/>
  <c r="AB216" i="5"/>
  <c r="AB208" i="5"/>
  <c r="AB256" i="5"/>
  <c r="AA269" i="5"/>
  <c r="AA250" i="5"/>
  <c r="AB279" i="67"/>
  <c r="X279" i="67"/>
  <c r="T279" i="67"/>
  <c r="P279" i="67"/>
  <c r="M279" i="67"/>
  <c r="I279" i="67"/>
  <c r="AA237" i="5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B295" i="5"/>
  <c r="AB287" i="5"/>
  <c r="AB279" i="5"/>
  <c r="AB271" i="5"/>
  <c r="AB263" i="5"/>
  <c r="AB255" i="5"/>
  <c r="AB247" i="5"/>
  <c r="AB239" i="5"/>
  <c r="AB231" i="5"/>
  <c r="AB223" i="5"/>
  <c r="AB215" i="5"/>
  <c r="AA300" i="5"/>
  <c r="AA292" i="5"/>
  <c r="AA284" i="5"/>
  <c r="AA276" i="5"/>
  <c r="AA268" i="5"/>
  <c r="AA259" i="5"/>
  <c r="AA247" i="5"/>
  <c r="AA236" i="5"/>
  <c r="AA222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AA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AA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AA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AA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AA210" i="5"/>
  <c r="X210" i="5"/>
  <c r="AB294" i="5"/>
  <c r="AB286" i="5"/>
  <c r="AB278" i="5"/>
  <c r="AB270" i="5"/>
  <c r="AB262" i="5"/>
  <c r="AB254" i="5"/>
  <c r="AB246" i="5"/>
  <c r="AB238" i="5"/>
  <c r="AB230" i="5"/>
  <c r="AB222" i="5"/>
  <c r="AB214" i="5"/>
  <c r="AA299" i="5"/>
  <c r="AA291" i="5"/>
  <c r="AA283" i="5"/>
  <c r="AA275" i="5"/>
  <c r="AA267" i="5"/>
  <c r="AA258" i="5"/>
  <c r="AA246" i="5"/>
  <c r="AA235" i="5"/>
  <c r="AA221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AA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AA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AA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AA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AA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AA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AA209" i="5"/>
  <c r="X209" i="5"/>
  <c r="Z209" i="5"/>
  <c r="AB293" i="5"/>
  <c r="AB285" i="5"/>
  <c r="AB277" i="5"/>
  <c r="AB269" i="5"/>
  <c r="AB261" i="5"/>
  <c r="AB253" i="5"/>
  <c r="AB245" i="5"/>
  <c r="AB237" i="5"/>
  <c r="AB229" i="5"/>
  <c r="AB221" i="5"/>
  <c r="AB213" i="5"/>
  <c r="AA298" i="5"/>
  <c r="AA290" i="5"/>
  <c r="AA282" i="5"/>
  <c r="AA274" i="5"/>
  <c r="AA266" i="5"/>
  <c r="AA255" i="5"/>
  <c r="AA245" i="5"/>
  <c r="AA231" i="5"/>
  <c r="AA220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AA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AA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AA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AA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AA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AA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AA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AA208" i="5"/>
  <c r="X208" i="5"/>
  <c r="U208" i="5"/>
  <c r="Z208" i="5"/>
  <c r="W208" i="5"/>
  <c r="AB300" i="5"/>
  <c r="AB292" i="5"/>
  <c r="AB284" i="5"/>
  <c r="AB276" i="5"/>
  <c r="AB268" i="5"/>
  <c r="AB260" i="5"/>
  <c r="AB252" i="5"/>
  <c r="AB244" i="5"/>
  <c r="AB236" i="5"/>
  <c r="AB228" i="5"/>
  <c r="AB220" i="5"/>
  <c r="AB212" i="5"/>
  <c r="AA297" i="5"/>
  <c r="AA289" i="5"/>
  <c r="AA281" i="5"/>
  <c r="AA273" i="5"/>
  <c r="AA265" i="5"/>
  <c r="AA254" i="5"/>
  <c r="AA244" i="5"/>
  <c r="AA230" i="5"/>
  <c r="AA219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B299" i="5"/>
  <c r="AB291" i="5"/>
  <c r="AB283" i="5"/>
  <c r="AB275" i="5"/>
  <c r="AB267" i="5"/>
  <c r="AB259" i="5"/>
  <c r="AB251" i="5"/>
  <c r="AB243" i="5"/>
  <c r="AB235" i="5"/>
  <c r="AB227" i="5"/>
  <c r="AB219" i="5"/>
  <c r="AB211" i="5"/>
  <c r="AA296" i="5"/>
  <c r="AA288" i="5"/>
  <c r="AA280" i="5"/>
  <c r="AA272" i="5"/>
  <c r="AA263" i="5"/>
  <c r="AA253" i="5"/>
  <c r="AA243" i="5"/>
  <c r="AA229" i="5"/>
  <c r="AA215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AA214" i="5"/>
  <c r="O214" i="5"/>
  <c r="X214" i="5"/>
  <c r="Z214" i="5"/>
  <c r="W214" i="5"/>
  <c r="Y214" i="5"/>
  <c r="AB298" i="5"/>
  <c r="AB290" i="5"/>
  <c r="AB282" i="5"/>
  <c r="AB274" i="5"/>
  <c r="AB266" i="5"/>
  <c r="AB258" i="5"/>
  <c r="AB250" i="5"/>
  <c r="AB242" i="5"/>
  <c r="AB234" i="5"/>
  <c r="AB226" i="5"/>
  <c r="AB218" i="5"/>
  <c r="AB210" i="5"/>
  <c r="AA295" i="5"/>
  <c r="AA287" i="5"/>
  <c r="AA279" i="5"/>
  <c r="AA271" i="5"/>
  <c r="AA262" i="5"/>
  <c r="AA252" i="5"/>
  <c r="AA239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AA260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B297" i="5"/>
  <c r="AB289" i="5"/>
  <c r="AB281" i="5"/>
  <c r="AB273" i="5"/>
  <c r="AB265" i="5"/>
  <c r="AB257" i="5"/>
  <c r="AB249" i="5"/>
  <c r="AB241" i="5"/>
  <c r="AB233" i="5"/>
  <c r="AB225" i="5"/>
  <c r="AB217" i="5"/>
  <c r="AB209" i="5"/>
  <c r="AA294" i="5"/>
  <c r="AA286" i="5"/>
  <c r="AA278" i="5"/>
  <c r="AA270" i="5"/>
  <c r="AA261" i="5"/>
  <c r="AA251" i="5"/>
  <c r="AA238" i="5"/>
  <c r="AA227" i="5"/>
  <c r="AA212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AA260" i="63"/>
  <c r="AA252" i="63"/>
  <c r="AA244" i="63"/>
  <c r="AA236" i="63"/>
  <c r="AA228" i="63"/>
  <c r="AA220" i="63"/>
  <c r="AA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AA259" i="63"/>
  <c r="AA251" i="63"/>
  <c r="AA243" i="63"/>
  <c r="AA235" i="63"/>
  <c r="AA227" i="63"/>
  <c r="AA219" i="63"/>
  <c r="AA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AA229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AA258" i="63"/>
  <c r="AA250" i="63"/>
  <c r="AA242" i="63"/>
  <c r="AA234" i="63"/>
  <c r="AA226" i="63"/>
  <c r="AA218" i="63"/>
  <c r="AA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AA257" i="63"/>
  <c r="AA249" i="63"/>
  <c r="AA241" i="63"/>
  <c r="AA233" i="63"/>
  <c r="AA225" i="63"/>
  <c r="AA217" i="63"/>
  <c r="AA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AA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AA256" i="63"/>
  <c r="AA248" i="63"/>
  <c r="AA240" i="63"/>
  <c r="AA232" i="63"/>
  <c r="AA224" i="63"/>
  <c r="AA216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AA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AA263" i="63"/>
  <c r="AA255" i="63"/>
  <c r="AA247" i="63"/>
  <c r="AA239" i="63"/>
  <c r="AA231" i="63"/>
  <c r="AA223" i="63"/>
  <c r="AA215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AA213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AA262" i="63"/>
  <c r="AA254" i="63"/>
  <c r="AA246" i="63"/>
  <c r="AA238" i="63"/>
  <c r="AA230" i="63"/>
  <c r="AA222" i="63"/>
  <c r="AA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AA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AA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AA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AA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AA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AA297" i="63"/>
  <c r="AA289" i="63"/>
  <c r="AA281" i="63"/>
  <c r="AA273" i="63"/>
  <c r="AA265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AA296" i="63"/>
  <c r="AA288" i="63"/>
  <c r="AA280" i="63"/>
  <c r="AA272" i="63"/>
  <c r="AA264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AA295" i="63"/>
  <c r="AA287" i="63"/>
  <c r="AA279" i="63"/>
  <c r="AA271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AA294" i="63"/>
  <c r="AA286" i="63"/>
  <c r="AA278" i="63"/>
  <c r="AA270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AA293" i="63"/>
  <c r="AA285" i="63"/>
  <c r="AA277" i="63"/>
  <c r="AA269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AA300" i="63"/>
  <c r="AA292" i="63"/>
  <c r="AA284" i="63"/>
  <c r="AA276" i="63"/>
  <c r="AA268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60"/>
  <c r="E36" i="60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5" i="43"/>
  <c r="E35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60" l="1"/>
  <c r="U7" i="60"/>
  <c r="U8" i="60"/>
  <c r="U9" i="60"/>
  <c r="U10" i="60"/>
  <c r="U11" i="60"/>
  <c r="U12" i="60"/>
  <c r="U13" i="60"/>
  <c r="U14" i="60"/>
  <c r="U15" i="60"/>
  <c r="U16" i="60"/>
  <c r="U17" i="60"/>
  <c r="U18" i="60"/>
  <c r="U19" i="60"/>
  <c r="U20" i="60"/>
  <c r="U21" i="60"/>
  <c r="U22" i="60"/>
  <c r="U23" i="60"/>
  <c r="U24" i="60"/>
  <c r="U25" i="60"/>
  <c r="U26" i="60"/>
  <c r="U27" i="60"/>
  <c r="U28" i="60"/>
  <c r="U29" i="60"/>
  <c r="U30" i="60"/>
  <c r="U31" i="60"/>
  <c r="U32" i="60"/>
  <c r="U33" i="60"/>
  <c r="U34" i="60"/>
  <c r="U35" i="60"/>
  <c r="U5" i="60"/>
  <c r="J6" i="60"/>
  <c r="J7" i="60"/>
  <c r="J8" i="60"/>
  <c r="J9" i="60"/>
  <c r="J10" i="60"/>
  <c r="J11" i="60"/>
  <c r="J12" i="60"/>
  <c r="J13" i="60"/>
  <c r="J14" i="60"/>
  <c r="J15" i="60"/>
  <c r="J16" i="60"/>
  <c r="J17" i="60"/>
  <c r="J18" i="60"/>
  <c r="J19" i="60"/>
  <c r="J20" i="60"/>
  <c r="J21" i="60"/>
  <c r="J22" i="60"/>
  <c r="J23" i="60"/>
  <c r="J24" i="60"/>
  <c r="J25" i="60"/>
  <c r="J26" i="60"/>
  <c r="J27" i="60"/>
  <c r="J28" i="60"/>
  <c r="J29" i="60"/>
  <c r="J30" i="60"/>
  <c r="J31" i="60"/>
  <c r="J32" i="60"/>
  <c r="J33" i="60"/>
  <c r="J34" i="60"/>
  <c r="J35" i="60"/>
  <c r="J5" i="60"/>
  <c r="U6" i="57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C205" i="5" s="1"/>
  <c r="A206" i="5"/>
  <c r="AC206" i="5" s="1"/>
  <c r="A207" i="5"/>
  <c r="AC207" i="5" s="1"/>
  <c r="A205" i="67"/>
  <c r="A206" i="67"/>
  <c r="A207" i="67"/>
  <c r="A205" i="63"/>
  <c r="A206" i="63"/>
  <c r="A207" i="63"/>
  <c r="A204" i="67"/>
  <c r="A203" i="67"/>
  <c r="A202" i="67"/>
  <c r="AC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C187" i="67" s="1"/>
  <c r="A186" i="67"/>
  <c r="AC186" i="67" s="1"/>
  <c r="A185" i="67"/>
  <c r="A184" i="67"/>
  <c r="AC184" i="67" s="1"/>
  <c r="A183" i="67"/>
  <c r="A182" i="67"/>
  <c r="A181" i="67"/>
  <c r="AC181" i="67" s="1"/>
  <c r="A180" i="67"/>
  <c r="A179" i="67"/>
  <c r="AC179" i="67" s="1"/>
  <c r="A178" i="67"/>
  <c r="AC178" i="67" s="1"/>
  <c r="A177" i="67"/>
  <c r="A176" i="67"/>
  <c r="A175" i="67"/>
  <c r="AC175" i="67" s="1"/>
  <c r="A174" i="67"/>
  <c r="AC174" i="67" s="1"/>
  <c r="A173" i="67"/>
  <c r="A172" i="67"/>
  <c r="AC172" i="67" s="1"/>
  <c r="A171" i="67"/>
  <c r="A170" i="67"/>
  <c r="AC170" i="67" s="1"/>
  <c r="A169" i="67"/>
  <c r="AC169" i="67" s="1"/>
  <c r="A168" i="67"/>
  <c r="A167" i="67"/>
  <c r="A166" i="67"/>
  <c r="AC166" i="67" s="1"/>
  <c r="A165" i="67"/>
  <c r="A164" i="67"/>
  <c r="AC164" i="67" s="1"/>
  <c r="A163" i="67"/>
  <c r="AC163" i="67" s="1"/>
  <c r="A162" i="67"/>
  <c r="AC162" i="67" s="1"/>
  <c r="A161" i="67"/>
  <c r="AC161" i="67" s="1"/>
  <c r="A160" i="67"/>
  <c r="AC160" i="67" s="1"/>
  <c r="A159" i="67"/>
  <c r="A158" i="67"/>
  <c r="AC158" i="67" s="1"/>
  <c r="A157" i="67"/>
  <c r="AC157" i="67" s="1"/>
  <c r="A156" i="67"/>
  <c r="AC156" i="67" s="1"/>
  <c r="A155" i="67"/>
  <c r="A154" i="67"/>
  <c r="A153" i="67"/>
  <c r="A152" i="67"/>
  <c r="AC152" i="67" s="1"/>
  <c r="A151" i="67"/>
  <c r="AC151" i="67" s="1"/>
  <c r="A150" i="67"/>
  <c r="AC150" i="67" s="1"/>
  <c r="A149" i="67"/>
  <c r="AC149" i="67" s="1"/>
  <c r="A148" i="67"/>
  <c r="AC148" i="67" s="1"/>
  <c r="A147" i="67"/>
  <c r="AC147" i="67" s="1"/>
  <c r="A146" i="67"/>
  <c r="A145" i="67"/>
  <c r="AC145" i="67" s="1"/>
  <c r="A144" i="67"/>
  <c r="AC144" i="67" s="1"/>
  <c r="A143" i="67"/>
  <c r="A142" i="67"/>
  <c r="A141" i="67"/>
  <c r="AC141" i="67" s="1"/>
  <c r="A140" i="67"/>
  <c r="AC140" i="67" s="1"/>
  <c r="A139" i="67"/>
  <c r="AC139" i="67" s="1"/>
  <c r="A138" i="67"/>
  <c r="AC138" i="67" s="1"/>
  <c r="A137" i="67"/>
  <c r="AC137" i="67" s="1"/>
  <c r="A136" i="67"/>
  <c r="AC136" i="67" s="1"/>
  <c r="A135" i="67"/>
  <c r="AC135" i="67" s="1"/>
  <c r="A134" i="67"/>
  <c r="AC134" i="67" s="1"/>
  <c r="A133" i="67"/>
  <c r="AC133" i="67" s="1"/>
  <c r="A132" i="67"/>
  <c r="AC132" i="67" s="1"/>
  <c r="A131" i="67"/>
  <c r="AC131" i="67" s="1"/>
  <c r="A130" i="67"/>
  <c r="AC130" i="67" s="1"/>
  <c r="A129" i="67"/>
  <c r="AC129" i="67" s="1"/>
  <c r="A128" i="67"/>
  <c r="AC128" i="67" s="1"/>
  <c r="A127" i="67"/>
  <c r="AC127" i="67" s="1"/>
  <c r="A126" i="67"/>
  <c r="AC126" i="67" s="1"/>
  <c r="A125" i="67"/>
  <c r="AC125" i="67" s="1"/>
  <c r="A124" i="67"/>
  <c r="AC124" i="67" s="1"/>
  <c r="A123" i="67"/>
  <c r="AC123" i="67" s="1"/>
  <c r="A122" i="67"/>
  <c r="A121" i="67"/>
  <c r="AC121" i="67" s="1"/>
  <c r="A120" i="67"/>
  <c r="AC120" i="67" s="1"/>
  <c r="A119" i="67"/>
  <c r="AC119" i="67" s="1"/>
  <c r="A118" i="67"/>
  <c r="AC118" i="67" s="1"/>
  <c r="A117" i="67"/>
  <c r="AC117" i="67" s="1"/>
  <c r="A116" i="67"/>
  <c r="AC116" i="67" s="1"/>
  <c r="A115" i="67"/>
  <c r="AC115" i="67" s="1"/>
  <c r="A114" i="67"/>
  <c r="AC114" i="67" s="1"/>
  <c r="A113" i="67"/>
  <c r="AC113" i="67" s="1"/>
  <c r="A112" i="67"/>
  <c r="AC112" i="67" s="1"/>
  <c r="A111" i="67"/>
  <c r="AC111" i="67" s="1"/>
  <c r="A110" i="67"/>
  <c r="A109" i="67"/>
  <c r="AC109" i="67" s="1"/>
  <c r="A108" i="67"/>
  <c r="A107" i="67"/>
  <c r="AC107" i="67" s="1"/>
  <c r="A106" i="67"/>
  <c r="AC106" i="67" s="1"/>
  <c r="A105" i="67"/>
  <c r="AC105" i="67" s="1"/>
  <c r="A104" i="67"/>
  <c r="AC104" i="67" s="1"/>
  <c r="A103" i="67"/>
  <c r="AC103" i="67" s="1"/>
  <c r="A102" i="67"/>
  <c r="AC102" i="67" s="1"/>
  <c r="A101" i="67"/>
  <c r="AC101" i="67" s="1"/>
  <c r="A100" i="67"/>
  <c r="AC100" i="67" s="1"/>
  <c r="A99" i="67"/>
  <c r="AC99" i="67" s="1"/>
  <c r="A98" i="67"/>
  <c r="AC98" i="67" s="1"/>
  <c r="A97" i="67"/>
  <c r="AC97" i="67" s="1"/>
  <c r="A96" i="67"/>
  <c r="AC96" i="67" s="1"/>
  <c r="A95" i="67"/>
  <c r="AC95" i="67" s="1"/>
  <c r="A94" i="67"/>
  <c r="AC94" i="67" s="1"/>
  <c r="A93" i="67"/>
  <c r="AC93" i="67" s="1"/>
  <c r="A92" i="67"/>
  <c r="AC92" i="67" s="1"/>
  <c r="A91" i="67"/>
  <c r="AC91" i="67" s="1"/>
  <c r="A90" i="67"/>
  <c r="AC90" i="67" s="1"/>
  <c r="A89" i="67"/>
  <c r="AC89" i="67" s="1"/>
  <c r="A88" i="67"/>
  <c r="AC88" i="67" s="1"/>
  <c r="A87" i="67"/>
  <c r="AC87" i="67" s="1"/>
  <c r="A86" i="67"/>
  <c r="AC86" i="67" s="1"/>
  <c r="A85" i="67"/>
  <c r="AC85" i="67" s="1"/>
  <c r="A84" i="67"/>
  <c r="A83" i="67"/>
  <c r="AC83" i="67" s="1"/>
  <c r="A82" i="67"/>
  <c r="AC82" i="67" s="1"/>
  <c r="A81" i="67"/>
  <c r="AC81" i="67" s="1"/>
  <c r="A80" i="67"/>
  <c r="A79" i="67"/>
  <c r="AC79" i="67" s="1"/>
  <c r="A78" i="67"/>
  <c r="AC78" i="67" s="1"/>
  <c r="A77" i="67"/>
  <c r="AC77" i="67" s="1"/>
  <c r="A76" i="67"/>
  <c r="AC76" i="67" s="1"/>
  <c r="A75" i="67"/>
  <c r="AC75" i="67" s="1"/>
  <c r="A74" i="67"/>
  <c r="AC74" i="67" s="1"/>
  <c r="A73" i="67"/>
  <c r="AC73" i="67" s="1"/>
  <c r="A72" i="67"/>
  <c r="AC72" i="67" s="1"/>
  <c r="A71" i="67"/>
  <c r="AC71" i="67" s="1"/>
  <c r="A70" i="67"/>
  <c r="AC70" i="67" s="1"/>
  <c r="A69" i="67"/>
  <c r="AC69" i="67" s="1"/>
  <c r="A68" i="67"/>
  <c r="AC68" i="67" s="1"/>
  <c r="A67" i="67"/>
  <c r="AC67" i="67" s="1"/>
  <c r="A66" i="67"/>
  <c r="A65" i="67"/>
  <c r="AC65" i="67" s="1"/>
  <c r="A64" i="67"/>
  <c r="AC64" i="67" s="1"/>
  <c r="A63" i="67"/>
  <c r="AC63" i="67" s="1"/>
  <c r="A62" i="67"/>
  <c r="AC62" i="67" s="1"/>
  <c r="A61" i="67"/>
  <c r="A60" i="67"/>
  <c r="AC60" i="67" s="1"/>
  <c r="A59" i="67"/>
  <c r="AC59" i="67" s="1"/>
  <c r="A58" i="67"/>
  <c r="AC58" i="67" s="1"/>
  <c r="A57" i="67"/>
  <c r="AC57" i="67" s="1"/>
  <c r="A56" i="67"/>
  <c r="AC56" i="67" s="1"/>
  <c r="A55" i="67"/>
  <c r="A54" i="67"/>
  <c r="AC54" i="67" s="1"/>
  <c r="A53" i="67"/>
  <c r="AC53" i="67" s="1"/>
  <c r="A52" i="67"/>
  <c r="AC52" i="67" s="1"/>
  <c r="A51" i="67"/>
  <c r="AC51" i="67" s="1"/>
  <c r="A50" i="67"/>
  <c r="AC50" i="67" s="1"/>
  <c r="A49" i="67"/>
  <c r="AC49" i="67" s="1"/>
  <c r="A48" i="67"/>
  <c r="AC48" i="67" s="1"/>
  <c r="A47" i="67"/>
  <c r="AC47" i="67" s="1"/>
  <c r="A46" i="67"/>
  <c r="AC46" i="67" s="1"/>
  <c r="A45" i="67"/>
  <c r="AC45" i="67" s="1"/>
  <c r="A44" i="67"/>
  <c r="AC44" i="67" s="1"/>
  <c r="A43" i="67"/>
  <c r="A42" i="67"/>
  <c r="AC42" i="67" s="1"/>
  <c r="A41" i="67"/>
  <c r="AC41" i="67" s="1"/>
  <c r="A40" i="67"/>
  <c r="AC40" i="67" s="1"/>
  <c r="A39" i="67"/>
  <c r="AC39" i="67" s="1"/>
  <c r="A38" i="67"/>
  <c r="AC38" i="67" s="1"/>
  <c r="A37" i="67"/>
  <c r="AC37" i="67" s="1"/>
  <c r="A36" i="67"/>
  <c r="AC36" i="67" s="1"/>
  <c r="A35" i="67"/>
  <c r="AC35" i="67" s="1"/>
  <c r="A34" i="67"/>
  <c r="AC34" i="67" s="1"/>
  <c r="A33" i="67"/>
  <c r="AC33" i="67" s="1"/>
  <c r="A32" i="67"/>
  <c r="A31" i="67"/>
  <c r="AC31" i="67" s="1"/>
  <c r="A30" i="67"/>
  <c r="AC30" i="67" s="1"/>
  <c r="A29" i="67"/>
  <c r="A28" i="67"/>
  <c r="AC28" i="67" s="1"/>
  <c r="A27" i="67"/>
  <c r="A26" i="67"/>
  <c r="AC26" i="67" s="1"/>
  <c r="A25" i="67"/>
  <c r="AC25" i="67" s="1"/>
  <c r="A24" i="67"/>
  <c r="AC24" i="67" s="1"/>
  <c r="A23" i="67"/>
  <c r="AC23" i="67" s="1"/>
  <c r="A22" i="67"/>
  <c r="AC22" i="67" s="1"/>
  <c r="A21" i="67"/>
  <c r="AC21" i="67" s="1"/>
  <c r="A20" i="67"/>
  <c r="AC20" i="67" s="1"/>
  <c r="A19" i="67"/>
  <c r="AC19" i="67" s="1"/>
  <c r="A18" i="67"/>
  <c r="AC18" i="67" s="1"/>
  <c r="A17" i="67"/>
  <c r="A16" i="67"/>
  <c r="AC16" i="67" s="1"/>
  <c r="A15" i="67"/>
  <c r="AC15" i="67" s="1"/>
  <c r="A14" i="67"/>
  <c r="AC14" i="67" s="1"/>
  <c r="A13" i="67"/>
  <c r="AC13" i="67" s="1"/>
  <c r="A12" i="67"/>
  <c r="A11" i="67"/>
  <c r="AC11" i="67" s="1"/>
  <c r="A10" i="67"/>
  <c r="AC10" i="67" s="1"/>
  <c r="A9" i="67"/>
  <c r="AC9" i="67" s="1"/>
  <c r="A8" i="67"/>
  <c r="AC8" i="67" s="1"/>
  <c r="A7" i="67"/>
  <c r="A6" i="67"/>
  <c r="AC6" i="67" s="1"/>
  <c r="A5" i="67"/>
  <c r="AC5" i="67" s="1"/>
  <c r="A4" i="67"/>
  <c r="A3" i="67"/>
  <c r="AC3" i="67" s="1"/>
  <c r="A2" i="67"/>
  <c r="F247" i="1" l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C2" i="67"/>
  <c r="B110" i="67"/>
  <c r="AC110" i="67"/>
  <c r="T142" i="67"/>
  <c r="AC142" i="67"/>
  <c r="M182" i="67"/>
  <c r="AC182" i="67"/>
  <c r="V190" i="67"/>
  <c r="AC190" i="67"/>
  <c r="N198" i="67"/>
  <c r="AC198" i="67"/>
  <c r="C7" i="67"/>
  <c r="AC7" i="67"/>
  <c r="B55" i="67"/>
  <c r="AC55" i="67"/>
  <c r="B143" i="67"/>
  <c r="AC143" i="67"/>
  <c r="G159" i="67"/>
  <c r="AC159" i="67"/>
  <c r="AB167" i="67"/>
  <c r="AC167" i="67"/>
  <c r="AA183" i="67"/>
  <c r="AC183" i="67"/>
  <c r="U191" i="67"/>
  <c r="AC191" i="67"/>
  <c r="F199" i="67"/>
  <c r="AC199" i="67"/>
  <c r="C32" i="67"/>
  <c r="AC32" i="67"/>
  <c r="C80" i="67"/>
  <c r="AC80" i="67"/>
  <c r="AC168" i="67"/>
  <c r="E176" i="67"/>
  <c r="AC176" i="67"/>
  <c r="M192" i="67"/>
  <c r="AC192" i="67"/>
  <c r="Z200" i="67"/>
  <c r="AC200" i="67"/>
  <c r="I207" i="67"/>
  <c r="AC207" i="67"/>
  <c r="C17" i="67"/>
  <c r="AC17" i="67"/>
  <c r="R153" i="67"/>
  <c r="AC153" i="67"/>
  <c r="AA177" i="67"/>
  <c r="AC177" i="67"/>
  <c r="P185" i="67"/>
  <c r="AC185" i="67"/>
  <c r="P193" i="67"/>
  <c r="AC193" i="67"/>
  <c r="P201" i="67"/>
  <c r="AC201" i="67"/>
  <c r="I206" i="67"/>
  <c r="AC206" i="67"/>
  <c r="C66" i="67"/>
  <c r="AC66" i="67"/>
  <c r="I122" i="67"/>
  <c r="AC122" i="67"/>
  <c r="L146" i="67"/>
  <c r="AC146" i="67"/>
  <c r="S154" i="67"/>
  <c r="AC154" i="67"/>
  <c r="H194" i="67"/>
  <c r="AC194" i="67"/>
  <c r="I205" i="67"/>
  <c r="AC205" i="67"/>
  <c r="C27" i="67"/>
  <c r="AC27" i="67"/>
  <c r="B43" i="67"/>
  <c r="AC43" i="67"/>
  <c r="X155" i="67"/>
  <c r="AC155" i="67"/>
  <c r="N171" i="67"/>
  <c r="AC171" i="67"/>
  <c r="G195" i="67"/>
  <c r="AC195" i="67"/>
  <c r="W203" i="67"/>
  <c r="AC203" i="67"/>
  <c r="C4" i="67"/>
  <c r="AC4" i="67"/>
  <c r="C12" i="67"/>
  <c r="AC12" i="67"/>
  <c r="C84" i="67"/>
  <c r="AC84" i="67"/>
  <c r="B108" i="67"/>
  <c r="AC108" i="67"/>
  <c r="F180" i="67"/>
  <c r="AC180" i="67"/>
  <c r="P188" i="67"/>
  <c r="AC188" i="67"/>
  <c r="AC196" i="67"/>
  <c r="N204" i="67"/>
  <c r="AC204" i="67"/>
  <c r="C29" i="67"/>
  <c r="AC29" i="67"/>
  <c r="C61" i="67"/>
  <c r="AC61" i="67"/>
  <c r="T165" i="67"/>
  <c r="AC165" i="67"/>
  <c r="O173" i="67"/>
  <c r="AC173" i="67"/>
  <c r="U189" i="67"/>
  <c r="AC189" i="67"/>
  <c r="AB197" i="67"/>
  <c r="AC197" i="67"/>
  <c r="H205" i="63"/>
  <c r="AC205" i="63"/>
  <c r="G206" i="63"/>
  <c r="AC206" i="63"/>
  <c r="M207" i="63"/>
  <c r="AC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AA206" i="63"/>
  <c r="S207" i="63"/>
  <c r="N206" i="63"/>
  <c r="C207" i="63"/>
  <c r="AA206" i="67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AA165" i="67"/>
  <c r="V206" i="63"/>
  <c r="O207" i="63"/>
  <c r="H206" i="63"/>
  <c r="AB206" i="67"/>
  <c r="T206" i="67"/>
  <c r="H206" i="67"/>
  <c r="W206" i="5"/>
  <c r="O189" i="67"/>
  <c r="AA207" i="63"/>
  <c r="U206" i="63"/>
  <c r="O206" i="63"/>
  <c r="F206" i="63"/>
  <c r="AA207" i="67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B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B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B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B154" i="67"/>
  <c r="X205" i="63"/>
  <c r="P207" i="67"/>
  <c r="B173" i="67"/>
  <c r="B168" i="67"/>
  <c r="U199" i="67"/>
  <c r="R176" i="67"/>
  <c r="T154" i="67"/>
  <c r="AA205" i="63"/>
  <c r="W207" i="63"/>
  <c r="P205" i="63"/>
  <c r="L207" i="63"/>
  <c r="F205" i="63"/>
  <c r="Z205" i="67"/>
  <c r="T207" i="67"/>
  <c r="O207" i="67"/>
  <c r="K206" i="67"/>
  <c r="E207" i="67"/>
  <c r="AB207" i="5"/>
  <c r="S205" i="63"/>
  <c r="I205" i="63"/>
  <c r="J207" i="67"/>
  <c r="M176" i="67"/>
  <c r="L205" i="63"/>
  <c r="H207" i="63"/>
  <c r="AB207" i="67"/>
  <c r="S207" i="67"/>
  <c r="N207" i="67"/>
  <c r="C207" i="67"/>
  <c r="I194" i="67"/>
  <c r="K207" i="63"/>
  <c r="R148" i="67"/>
  <c r="AA160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B140" i="67"/>
  <c r="B153" i="67"/>
  <c r="I189" i="67"/>
  <c r="F189" i="67"/>
  <c r="AB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AA190" i="67"/>
  <c r="AA185" i="67"/>
  <c r="Q184" i="67"/>
  <c r="U181" i="67"/>
  <c r="I180" i="67"/>
  <c r="Y173" i="67"/>
  <c r="S162" i="67"/>
  <c r="AA155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B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AA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B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B184" i="67"/>
  <c r="AB181" i="67"/>
  <c r="N180" i="67"/>
  <c r="J177" i="67"/>
  <c r="M172" i="67"/>
  <c r="H169" i="67"/>
  <c r="F197" i="67"/>
  <c r="C100" i="67"/>
  <c r="B124" i="67"/>
  <c r="Q146" i="67"/>
  <c r="T146" i="67"/>
  <c r="AB153" i="67"/>
  <c r="C153" i="67"/>
  <c r="L194" i="67"/>
  <c r="K194" i="67"/>
  <c r="O194" i="67"/>
  <c r="P194" i="67"/>
  <c r="P204" i="67"/>
  <c r="Y201" i="67"/>
  <c r="E197" i="67"/>
  <c r="Z194" i="67"/>
  <c r="AB190" i="67"/>
  <c r="O187" i="67"/>
  <c r="R184" i="67"/>
  <c r="W181" i="67"/>
  <c r="I177" i="67"/>
  <c r="AA173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AA199" i="67"/>
  <c r="Z176" i="67"/>
  <c r="Q149" i="67"/>
  <c r="Y207" i="63"/>
  <c r="W205" i="63"/>
  <c r="Q207" i="63"/>
  <c r="O205" i="63"/>
  <c r="M206" i="63"/>
  <c r="J207" i="63"/>
  <c r="E206" i="63"/>
  <c r="AA205" i="67"/>
  <c r="X206" i="67"/>
  <c r="U207" i="67"/>
  <c r="S205" i="67"/>
  <c r="P206" i="67"/>
  <c r="L205" i="67"/>
  <c r="F207" i="67"/>
  <c r="C205" i="67"/>
  <c r="AB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B205" i="5"/>
  <c r="Y206" i="5"/>
  <c r="V207" i="5"/>
  <c r="T205" i="5"/>
  <c r="Q206" i="5"/>
  <c r="N207" i="5"/>
  <c r="M205" i="5"/>
  <c r="J206" i="5"/>
  <c r="G207" i="5"/>
  <c r="C205" i="5"/>
  <c r="U205" i="67"/>
  <c r="F205" i="67"/>
  <c r="AA207" i="5"/>
  <c r="Y205" i="5"/>
  <c r="V206" i="5"/>
  <c r="S207" i="5"/>
  <c r="Q205" i="5"/>
  <c r="N206" i="5"/>
  <c r="L207" i="5"/>
  <c r="J205" i="5"/>
  <c r="G206" i="5"/>
  <c r="B207" i="5"/>
  <c r="R205" i="67"/>
  <c r="K205" i="67"/>
  <c r="B205" i="67"/>
  <c r="AA206" i="5"/>
  <c r="X207" i="5"/>
  <c r="V205" i="5"/>
  <c r="S206" i="5"/>
  <c r="P207" i="5"/>
  <c r="N205" i="5"/>
  <c r="L206" i="5"/>
  <c r="G205" i="5"/>
  <c r="B206" i="5"/>
  <c r="W205" i="67"/>
  <c r="O205" i="67"/>
  <c r="H205" i="67"/>
  <c r="AA205" i="5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AA34" i="67"/>
  <c r="E34" i="67"/>
  <c r="Y34" i="67"/>
  <c r="I34" i="67"/>
  <c r="AB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AA48" i="67"/>
  <c r="H48" i="67"/>
  <c r="M48" i="67"/>
  <c r="O48" i="67"/>
  <c r="U48" i="67"/>
  <c r="E48" i="67"/>
  <c r="W48" i="67"/>
  <c r="F48" i="67"/>
  <c r="T48" i="67"/>
  <c r="AB48" i="67"/>
  <c r="C48" i="67"/>
  <c r="K138" i="67"/>
  <c r="R138" i="67"/>
  <c r="Z138" i="67"/>
  <c r="L138" i="67"/>
  <c r="S138" i="67"/>
  <c r="AA138" i="67"/>
  <c r="H138" i="67"/>
  <c r="Q138" i="67"/>
  <c r="I138" i="67"/>
  <c r="T138" i="67"/>
  <c r="M138" i="67"/>
  <c r="V138" i="67"/>
  <c r="F138" i="67"/>
  <c r="O138" i="67"/>
  <c r="Y138" i="67"/>
  <c r="G138" i="67"/>
  <c r="AB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AA133" i="67"/>
  <c r="J133" i="67"/>
  <c r="S133" i="67"/>
  <c r="M133" i="67"/>
  <c r="V133" i="67"/>
  <c r="Y133" i="67"/>
  <c r="K133" i="67"/>
  <c r="L133" i="67"/>
  <c r="R133" i="67"/>
  <c r="G133" i="67"/>
  <c r="T133" i="67"/>
  <c r="U133" i="67"/>
  <c r="AB133" i="67"/>
  <c r="J139" i="67"/>
  <c r="Q139" i="67"/>
  <c r="Y139" i="67"/>
  <c r="K139" i="67"/>
  <c r="R139" i="67"/>
  <c r="Z139" i="67"/>
  <c r="E139" i="67"/>
  <c r="N139" i="67"/>
  <c r="X139" i="67"/>
  <c r="F139" i="67"/>
  <c r="O139" i="67"/>
  <c r="AA139" i="67"/>
  <c r="H139" i="67"/>
  <c r="S139" i="67"/>
  <c r="M139" i="67"/>
  <c r="V139" i="67"/>
  <c r="W139" i="67"/>
  <c r="I139" i="67"/>
  <c r="P139" i="67"/>
  <c r="T139" i="67"/>
  <c r="U139" i="67"/>
  <c r="AB139" i="67"/>
  <c r="G139" i="67"/>
  <c r="B139" i="67"/>
  <c r="I145" i="67"/>
  <c r="P145" i="67"/>
  <c r="X145" i="67"/>
  <c r="J145" i="67"/>
  <c r="Q145" i="67"/>
  <c r="Y145" i="67"/>
  <c r="L145" i="67"/>
  <c r="S145" i="67"/>
  <c r="AA145" i="67"/>
  <c r="G145" i="67"/>
  <c r="N145" i="67"/>
  <c r="V145" i="67"/>
  <c r="H145" i="67"/>
  <c r="W145" i="67"/>
  <c r="M145" i="67"/>
  <c r="AB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AA166" i="67"/>
  <c r="L166" i="67"/>
  <c r="AB166" i="67"/>
  <c r="R166" i="67"/>
  <c r="L175" i="67"/>
  <c r="L174" i="67"/>
  <c r="G170" i="67"/>
  <c r="T166" i="67"/>
  <c r="W164" i="67"/>
  <c r="AB151" i="67"/>
  <c r="G25" i="67"/>
  <c r="N25" i="67"/>
  <c r="V25" i="67"/>
  <c r="I25" i="67"/>
  <c r="P25" i="67"/>
  <c r="X25" i="67"/>
  <c r="L25" i="67"/>
  <c r="S25" i="67"/>
  <c r="AA25" i="67"/>
  <c r="H25" i="67"/>
  <c r="T25" i="67"/>
  <c r="J25" i="67"/>
  <c r="U25" i="67"/>
  <c r="K25" i="67"/>
  <c r="W25" i="67"/>
  <c r="O25" i="67"/>
  <c r="AB25" i="67"/>
  <c r="E25" i="67"/>
  <c r="Q25" i="67"/>
  <c r="R25" i="67"/>
  <c r="Y25" i="67"/>
  <c r="Z25" i="67"/>
  <c r="F25" i="67"/>
  <c r="M25" i="67"/>
  <c r="L65" i="67"/>
  <c r="S65" i="67"/>
  <c r="AA65" i="67"/>
  <c r="E65" i="67"/>
  <c r="M65" i="67"/>
  <c r="T65" i="67"/>
  <c r="AB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AA75" i="67"/>
  <c r="E75" i="67"/>
  <c r="M75" i="67"/>
  <c r="T75" i="67"/>
  <c r="AB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AA85" i="67"/>
  <c r="E85" i="67"/>
  <c r="M85" i="67"/>
  <c r="T85" i="67"/>
  <c r="AB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AA113" i="67"/>
  <c r="E113" i="67"/>
  <c r="M113" i="67"/>
  <c r="T113" i="67"/>
  <c r="AB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B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AA127" i="67"/>
  <c r="C127" i="67"/>
  <c r="P127" i="67"/>
  <c r="L137" i="67"/>
  <c r="S137" i="67"/>
  <c r="AA137" i="67"/>
  <c r="E137" i="67"/>
  <c r="M137" i="67"/>
  <c r="T137" i="67"/>
  <c r="AB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AA49" i="67"/>
  <c r="G49" i="67"/>
  <c r="AB49" i="67"/>
  <c r="L49" i="67"/>
  <c r="M49" i="67"/>
  <c r="S49" i="67"/>
  <c r="T49" i="67"/>
  <c r="N49" i="67"/>
  <c r="V49" i="67"/>
  <c r="L186" i="67"/>
  <c r="S186" i="67"/>
  <c r="AA186" i="67"/>
  <c r="E186" i="67"/>
  <c r="M186" i="67"/>
  <c r="T186" i="67"/>
  <c r="AB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AA23" i="67"/>
  <c r="O23" i="67"/>
  <c r="AB23" i="67"/>
  <c r="E23" i="67"/>
  <c r="L23" i="67"/>
  <c r="M23" i="67"/>
  <c r="Q23" i="67"/>
  <c r="W23" i="67"/>
  <c r="Y23" i="67"/>
  <c r="B58" i="67"/>
  <c r="L182" i="67"/>
  <c r="E19" i="67"/>
  <c r="M19" i="67"/>
  <c r="T19" i="67"/>
  <c r="AB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AA19" i="67"/>
  <c r="U19" i="67"/>
  <c r="W19" i="67"/>
  <c r="H19" i="67"/>
  <c r="B45" i="67"/>
  <c r="E50" i="67"/>
  <c r="M50" i="67"/>
  <c r="T50" i="67"/>
  <c r="AB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AA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AA87" i="67"/>
  <c r="E87" i="67"/>
  <c r="M87" i="67"/>
  <c r="T87" i="67"/>
  <c r="AB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AA94" i="67"/>
  <c r="O94" i="67"/>
  <c r="AB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AA105" i="67"/>
  <c r="E105" i="67"/>
  <c r="M105" i="67"/>
  <c r="T105" i="67"/>
  <c r="AB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AA204" i="67"/>
  <c r="E204" i="67"/>
  <c r="M204" i="67"/>
  <c r="T204" i="67"/>
  <c r="AB204" i="67"/>
  <c r="H204" i="67"/>
  <c r="O204" i="67"/>
  <c r="W204" i="67"/>
  <c r="W195" i="67"/>
  <c r="R191" i="67"/>
  <c r="T190" i="67"/>
  <c r="O186" i="67"/>
  <c r="AB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B69" i="67"/>
  <c r="L69" i="67"/>
  <c r="N69" i="67"/>
  <c r="S69" i="67"/>
  <c r="U69" i="67"/>
  <c r="V69" i="67"/>
  <c r="F69" i="67"/>
  <c r="AA69" i="67"/>
  <c r="G69" i="67"/>
  <c r="C69" i="67"/>
  <c r="K5" i="67"/>
  <c r="R5" i="67"/>
  <c r="Z5" i="67"/>
  <c r="L5" i="67"/>
  <c r="S5" i="67"/>
  <c r="AA5" i="67"/>
  <c r="E5" i="67"/>
  <c r="M5" i="67"/>
  <c r="T5" i="67"/>
  <c r="AB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AA8" i="67"/>
  <c r="E8" i="67"/>
  <c r="M8" i="67"/>
  <c r="T8" i="67"/>
  <c r="AB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AA13" i="67"/>
  <c r="E13" i="67"/>
  <c r="M13" i="67"/>
  <c r="T13" i="67"/>
  <c r="AB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B26" i="67"/>
  <c r="E26" i="67"/>
  <c r="Q26" i="67"/>
  <c r="Y26" i="67"/>
  <c r="AA26" i="67"/>
  <c r="G26" i="67"/>
  <c r="M26" i="67"/>
  <c r="S26" i="67"/>
  <c r="N26" i="67"/>
  <c r="E58" i="67"/>
  <c r="M58" i="67"/>
  <c r="T58" i="67"/>
  <c r="AB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AA58" i="67"/>
  <c r="H58" i="67"/>
  <c r="W58" i="67"/>
  <c r="B65" i="67"/>
  <c r="B85" i="67"/>
  <c r="K92" i="67"/>
  <c r="R92" i="67"/>
  <c r="Z92" i="67"/>
  <c r="L92" i="67"/>
  <c r="S92" i="67"/>
  <c r="AA92" i="67"/>
  <c r="E92" i="67"/>
  <c r="M92" i="67"/>
  <c r="T92" i="67"/>
  <c r="AB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AA99" i="67"/>
  <c r="F99" i="67"/>
  <c r="U99" i="67"/>
  <c r="G99" i="67"/>
  <c r="N99" i="67"/>
  <c r="V99" i="67"/>
  <c r="M99" i="67"/>
  <c r="O99" i="67"/>
  <c r="T99" i="67"/>
  <c r="W99" i="67"/>
  <c r="AB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B109" i="67"/>
  <c r="K109" i="67"/>
  <c r="L109" i="67"/>
  <c r="R109" i="67"/>
  <c r="S109" i="67"/>
  <c r="U109" i="67"/>
  <c r="Z109" i="67"/>
  <c r="AA109" i="67"/>
  <c r="F109" i="67"/>
  <c r="B109" i="67"/>
  <c r="B113" i="67"/>
  <c r="J123" i="67"/>
  <c r="Q123" i="67"/>
  <c r="Y123" i="67"/>
  <c r="K123" i="67"/>
  <c r="R123" i="67"/>
  <c r="Z123" i="67"/>
  <c r="L123" i="67"/>
  <c r="S123" i="67"/>
  <c r="AA123" i="67"/>
  <c r="G123" i="67"/>
  <c r="N123" i="67"/>
  <c r="V123" i="67"/>
  <c r="P123" i="67"/>
  <c r="E123" i="67"/>
  <c r="T123" i="67"/>
  <c r="F123" i="67"/>
  <c r="U123" i="67"/>
  <c r="H123" i="67"/>
  <c r="W123" i="67"/>
  <c r="M123" i="67"/>
  <c r="AB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B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AA187" i="67"/>
  <c r="E187" i="67"/>
  <c r="M187" i="67"/>
  <c r="T187" i="67"/>
  <c r="AB187" i="67"/>
  <c r="F187" i="67"/>
  <c r="U187" i="67"/>
  <c r="C187" i="67"/>
  <c r="I187" i="67"/>
  <c r="P187" i="67"/>
  <c r="X187" i="67"/>
  <c r="K203" i="67"/>
  <c r="R203" i="67"/>
  <c r="Z203" i="67"/>
  <c r="L203" i="67"/>
  <c r="S203" i="67"/>
  <c r="AA203" i="67"/>
  <c r="E203" i="67"/>
  <c r="M203" i="67"/>
  <c r="T203" i="67"/>
  <c r="AB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B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B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AA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AA16" i="67"/>
  <c r="E16" i="67"/>
  <c r="M16" i="67"/>
  <c r="T16" i="67"/>
  <c r="AB16" i="67"/>
  <c r="G16" i="67"/>
  <c r="K16" i="67"/>
  <c r="U16" i="67"/>
  <c r="V16" i="67"/>
  <c r="F16" i="67"/>
  <c r="N16" i="67"/>
  <c r="R16" i="67"/>
  <c r="Z16" i="67"/>
  <c r="L20" i="67"/>
  <c r="S20" i="67"/>
  <c r="AA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B20" i="67"/>
  <c r="T20" i="67"/>
  <c r="C23" i="67"/>
  <c r="E27" i="67"/>
  <c r="M27" i="67"/>
  <c r="T27" i="67"/>
  <c r="AB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AA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B32" i="67"/>
  <c r="F32" i="67"/>
  <c r="U32" i="67"/>
  <c r="L32" i="67"/>
  <c r="N32" i="67"/>
  <c r="R32" i="67"/>
  <c r="S32" i="67"/>
  <c r="V32" i="67"/>
  <c r="Z32" i="67"/>
  <c r="K32" i="67"/>
  <c r="AA32" i="67"/>
  <c r="G32" i="67"/>
  <c r="L36" i="67"/>
  <c r="S36" i="67"/>
  <c r="AA36" i="67"/>
  <c r="E36" i="67"/>
  <c r="M36" i="67"/>
  <c r="T36" i="67"/>
  <c r="AB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AA41" i="67"/>
  <c r="E41" i="67"/>
  <c r="M41" i="67"/>
  <c r="T41" i="67"/>
  <c r="AB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AA55" i="67"/>
  <c r="E55" i="67"/>
  <c r="M55" i="67"/>
  <c r="T55" i="67"/>
  <c r="AB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AA63" i="67"/>
  <c r="E63" i="67"/>
  <c r="J63" i="67"/>
  <c r="M63" i="67"/>
  <c r="Q63" i="67"/>
  <c r="T63" i="67"/>
  <c r="Y63" i="67"/>
  <c r="AB63" i="67"/>
  <c r="L83" i="67"/>
  <c r="S83" i="67"/>
  <c r="AA83" i="67"/>
  <c r="E83" i="67"/>
  <c r="M83" i="67"/>
  <c r="T83" i="67"/>
  <c r="AB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AA106" i="67"/>
  <c r="E106" i="67"/>
  <c r="M106" i="67"/>
  <c r="T106" i="67"/>
  <c r="AB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AA115" i="67"/>
  <c r="G115" i="67"/>
  <c r="N115" i="67"/>
  <c r="V115" i="67"/>
  <c r="H115" i="67"/>
  <c r="M115" i="67"/>
  <c r="O115" i="67"/>
  <c r="T115" i="67"/>
  <c r="U115" i="67"/>
  <c r="E115" i="67"/>
  <c r="W115" i="67"/>
  <c r="F115" i="67"/>
  <c r="AB115" i="67"/>
  <c r="L120" i="67"/>
  <c r="E120" i="67"/>
  <c r="M120" i="67"/>
  <c r="T120" i="67"/>
  <c r="AB120" i="67"/>
  <c r="F120" i="67"/>
  <c r="U120" i="67"/>
  <c r="G120" i="67"/>
  <c r="N120" i="67"/>
  <c r="V120" i="67"/>
  <c r="J120" i="67"/>
  <c r="Q120" i="67"/>
  <c r="Y120" i="67"/>
  <c r="K120" i="67"/>
  <c r="AA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AA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B147" i="67"/>
  <c r="F147" i="67"/>
  <c r="U147" i="67"/>
  <c r="K147" i="67"/>
  <c r="Z147" i="67"/>
  <c r="AA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B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AA156" i="67"/>
  <c r="E156" i="67"/>
  <c r="T156" i="67"/>
  <c r="J156" i="67"/>
  <c r="Y156" i="67"/>
  <c r="M156" i="67"/>
  <c r="AB156" i="67"/>
  <c r="H156" i="67"/>
  <c r="K156" i="67"/>
  <c r="O156" i="67"/>
  <c r="Q156" i="67"/>
  <c r="Z156" i="67"/>
  <c r="J161" i="67"/>
  <c r="Q161" i="67"/>
  <c r="Y161" i="67"/>
  <c r="L161" i="67"/>
  <c r="S161" i="67"/>
  <c r="AA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B161" i="67"/>
  <c r="M161" i="67"/>
  <c r="U161" i="67"/>
  <c r="E177" i="67"/>
  <c r="M177" i="67"/>
  <c r="T177" i="67"/>
  <c r="AB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B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AA2" i="67"/>
  <c r="I204" i="67"/>
  <c r="N203" i="67"/>
  <c r="Y200" i="67"/>
  <c r="L198" i="67"/>
  <c r="V195" i="67"/>
  <c r="AA193" i="67"/>
  <c r="I193" i="67"/>
  <c r="S190" i="67"/>
  <c r="H187" i="67"/>
  <c r="K186" i="67"/>
  <c r="U183" i="67"/>
  <c r="AA182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AA6" i="67"/>
  <c r="F6" i="67"/>
  <c r="U6" i="67"/>
  <c r="G6" i="67"/>
  <c r="N6" i="67"/>
  <c r="V6" i="67"/>
  <c r="W6" i="67"/>
  <c r="E6" i="67"/>
  <c r="X6" i="67"/>
  <c r="H6" i="67"/>
  <c r="AB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B10" i="67"/>
  <c r="L10" i="67"/>
  <c r="M10" i="67"/>
  <c r="T10" i="67"/>
  <c r="X10" i="67"/>
  <c r="P10" i="67"/>
  <c r="S10" i="67"/>
  <c r="AA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B15" i="67"/>
  <c r="F15" i="67"/>
  <c r="U15" i="67"/>
  <c r="L15" i="67"/>
  <c r="N15" i="67"/>
  <c r="O15" i="67"/>
  <c r="W15" i="67"/>
  <c r="G15" i="67"/>
  <c r="AA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AA31" i="67"/>
  <c r="H31" i="67"/>
  <c r="AB31" i="67"/>
  <c r="M31" i="67"/>
  <c r="L31" i="67"/>
  <c r="E35" i="67"/>
  <c r="M35" i="67"/>
  <c r="T35" i="67"/>
  <c r="AB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AA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AA62" i="67"/>
  <c r="L62" i="67"/>
  <c r="T62" i="67"/>
  <c r="AB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AA71" i="67"/>
  <c r="J71" i="67"/>
  <c r="AB71" i="67"/>
  <c r="L71" i="67"/>
  <c r="M71" i="67"/>
  <c r="Q71" i="67"/>
  <c r="S71" i="67"/>
  <c r="T71" i="67"/>
  <c r="Y71" i="67"/>
  <c r="E82" i="67"/>
  <c r="M82" i="67"/>
  <c r="T82" i="67"/>
  <c r="AB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AA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B100" i="67"/>
  <c r="F100" i="67"/>
  <c r="U100" i="67"/>
  <c r="S100" i="67"/>
  <c r="V100" i="67"/>
  <c r="AA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AA134" i="67"/>
  <c r="I134" i="67"/>
  <c r="AB134" i="67"/>
  <c r="K134" i="67"/>
  <c r="Q134" i="67"/>
  <c r="R134" i="67"/>
  <c r="Y134" i="67"/>
  <c r="C134" i="67"/>
  <c r="C139" i="67"/>
  <c r="E3" i="67"/>
  <c r="M3" i="67"/>
  <c r="T3" i="67"/>
  <c r="AB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AA3" i="67"/>
  <c r="S3" i="67"/>
  <c r="W3" i="67"/>
  <c r="K21" i="67"/>
  <c r="R21" i="67"/>
  <c r="Z21" i="67"/>
  <c r="E21" i="67"/>
  <c r="M21" i="67"/>
  <c r="T21" i="67"/>
  <c r="AB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AA21" i="67"/>
  <c r="H24" i="67"/>
  <c r="O24" i="67"/>
  <c r="W24" i="67"/>
  <c r="J24" i="67"/>
  <c r="Q24" i="67"/>
  <c r="Y24" i="67"/>
  <c r="E24" i="67"/>
  <c r="M24" i="67"/>
  <c r="T24" i="67"/>
  <c r="AB24" i="67"/>
  <c r="G24" i="67"/>
  <c r="S24" i="67"/>
  <c r="I24" i="67"/>
  <c r="U24" i="67"/>
  <c r="K24" i="67"/>
  <c r="V24" i="67"/>
  <c r="N24" i="67"/>
  <c r="AA24" i="67"/>
  <c r="P24" i="67"/>
  <c r="F24" i="67"/>
  <c r="L24" i="67"/>
  <c r="R24" i="67"/>
  <c r="X24" i="67"/>
  <c r="Z24" i="67"/>
  <c r="K37" i="67"/>
  <c r="R37" i="67"/>
  <c r="Z37" i="67"/>
  <c r="L37" i="67"/>
  <c r="S37" i="67"/>
  <c r="AA37" i="67"/>
  <c r="E37" i="67"/>
  <c r="M37" i="67"/>
  <c r="T37" i="67"/>
  <c r="AB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AA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B51" i="67"/>
  <c r="G51" i="67"/>
  <c r="K60" i="67"/>
  <c r="R60" i="67"/>
  <c r="Z60" i="67"/>
  <c r="E60" i="67"/>
  <c r="M60" i="67"/>
  <c r="T60" i="67"/>
  <c r="AB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AA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AA72" i="67"/>
  <c r="K72" i="67"/>
  <c r="AB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B95" i="67"/>
  <c r="Z95" i="67"/>
  <c r="N95" i="67"/>
  <c r="AA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AA101" i="67"/>
  <c r="E101" i="67"/>
  <c r="M101" i="67"/>
  <c r="T101" i="67"/>
  <c r="AB101" i="67"/>
  <c r="Z101" i="67"/>
  <c r="F101" i="67"/>
  <c r="K101" i="67"/>
  <c r="R101" i="67"/>
  <c r="U101" i="67"/>
  <c r="C101" i="67"/>
  <c r="B101" i="67"/>
  <c r="E111" i="67"/>
  <c r="M111" i="67"/>
  <c r="T111" i="67"/>
  <c r="AB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AA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AA116" i="67"/>
  <c r="G116" i="67"/>
  <c r="AB116" i="67"/>
  <c r="L116" i="67"/>
  <c r="M116" i="67"/>
  <c r="S116" i="67"/>
  <c r="T116" i="67"/>
  <c r="N116" i="67"/>
  <c r="V116" i="67"/>
  <c r="L121" i="67"/>
  <c r="S121" i="67"/>
  <c r="AA121" i="67"/>
  <c r="E121" i="67"/>
  <c r="M121" i="67"/>
  <c r="T121" i="67"/>
  <c r="AB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B125" i="67"/>
  <c r="R125" i="67"/>
  <c r="S125" i="67"/>
  <c r="F125" i="67"/>
  <c r="T125" i="67"/>
  <c r="K125" i="67"/>
  <c r="V125" i="67"/>
  <c r="L125" i="67"/>
  <c r="Z125" i="67"/>
  <c r="G125" i="67"/>
  <c r="U125" i="67"/>
  <c r="AA125" i="67"/>
  <c r="L129" i="67"/>
  <c r="S129" i="67"/>
  <c r="AA129" i="67"/>
  <c r="E129" i="67"/>
  <c r="M129" i="67"/>
  <c r="T129" i="67"/>
  <c r="AB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B135" i="67"/>
  <c r="J135" i="67"/>
  <c r="S135" i="67"/>
  <c r="L135" i="67"/>
  <c r="W135" i="67"/>
  <c r="E135" i="67"/>
  <c r="P135" i="67"/>
  <c r="Z135" i="67"/>
  <c r="Q135" i="67"/>
  <c r="X135" i="67"/>
  <c r="Y135" i="67"/>
  <c r="H135" i="67"/>
  <c r="AA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AA148" i="67"/>
  <c r="M148" i="67"/>
  <c r="AB148" i="67"/>
  <c r="Q148" i="67"/>
  <c r="E148" i="67"/>
  <c r="T148" i="67"/>
  <c r="Z148" i="67"/>
  <c r="H148" i="67"/>
  <c r="J148" i="67"/>
  <c r="K148" i="67"/>
  <c r="W148" i="67"/>
  <c r="C148" i="67"/>
  <c r="L178" i="67"/>
  <c r="S178" i="67"/>
  <c r="AA178" i="67"/>
  <c r="E178" i="67"/>
  <c r="M178" i="67"/>
  <c r="T178" i="67"/>
  <c r="AB178" i="67"/>
  <c r="F178" i="67"/>
  <c r="U178" i="67"/>
  <c r="G178" i="67"/>
  <c r="N178" i="67"/>
  <c r="V178" i="67"/>
  <c r="J178" i="67"/>
  <c r="Q178" i="67"/>
  <c r="Y178" i="67"/>
  <c r="J2" i="67"/>
  <c r="AB2" i="67"/>
  <c r="G204" i="67"/>
  <c r="J203" i="67"/>
  <c r="T200" i="67"/>
  <c r="AB198" i="67"/>
  <c r="G198" i="67"/>
  <c r="Y193" i="67"/>
  <c r="L191" i="67"/>
  <c r="Y187" i="67"/>
  <c r="G187" i="67"/>
  <c r="I186" i="67"/>
  <c r="S183" i="67"/>
  <c r="V182" i="67"/>
  <c r="P178" i="67"/>
  <c r="S177" i="67"/>
  <c r="AA175" i="67"/>
  <c r="Z174" i="67"/>
  <c r="X170" i="67"/>
  <c r="AA163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AA164" i="67"/>
  <c r="F164" i="67"/>
  <c r="R164" i="67"/>
  <c r="J164" i="67"/>
  <c r="U164" i="67"/>
  <c r="M164" i="67"/>
  <c r="Y164" i="67"/>
  <c r="O164" i="67"/>
  <c r="Q164" i="67"/>
  <c r="T164" i="67"/>
  <c r="H164" i="67"/>
  <c r="AB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AA9" i="67"/>
  <c r="M9" i="67"/>
  <c r="Q9" i="67"/>
  <c r="E9" i="67"/>
  <c r="Y9" i="67"/>
  <c r="F9" i="67"/>
  <c r="AB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AA18" i="67"/>
  <c r="M18" i="67"/>
  <c r="P18" i="67"/>
  <c r="I18" i="67"/>
  <c r="L18" i="67"/>
  <c r="S18" i="67"/>
  <c r="AB18" i="67"/>
  <c r="C34" i="67"/>
  <c r="J77" i="67"/>
  <c r="Q77" i="67"/>
  <c r="Y77" i="67"/>
  <c r="K77" i="67"/>
  <c r="R77" i="67"/>
  <c r="E77" i="67"/>
  <c r="M77" i="67"/>
  <c r="T77" i="67"/>
  <c r="AB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AA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AB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AA86" i="67"/>
  <c r="E86" i="67"/>
  <c r="M86" i="67"/>
  <c r="T86" i="67"/>
  <c r="AB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AA93" i="67"/>
  <c r="I93" i="67"/>
  <c r="AB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AA4" i="67"/>
  <c r="E4" i="67"/>
  <c r="M4" i="67"/>
  <c r="T4" i="67"/>
  <c r="AB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AA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B28" i="67"/>
  <c r="J38" i="67"/>
  <c r="Q38" i="67"/>
  <c r="Y38" i="67"/>
  <c r="K38" i="67"/>
  <c r="R38" i="67"/>
  <c r="Z38" i="67"/>
  <c r="L38" i="67"/>
  <c r="S38" i="67"/>
  <c r="AA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B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AA47" i="67"/>
  <c r="E47" i="67"/>
  <c r="M47" i="67"/>
  <c r="T47" i="67"/>
  <c r="AB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B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AA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AA56" i="67"/>
  <c r="Q56" i="67"/>
  <c r="E56" i="67"/>
  <c r="T56" i="67"/>
  <c r="F56" i="67"/>
  <c r="U56" i="67"/>
  <c r="H56" i="67"/>
  <c r="W56" i="67"/>
  <c r="M56" i="67"/>
  <c r="AB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AA67" i="67"/>
  <c r="E67" i="67"/>
  <c r="M67" i="67"/>
  <c r="T67" i="67"/>
  <c r="AB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AA79" i="67"/>
  <c r="E79" i="67"/>
  <c r="M79" i="67"/>
  <c r="T79" i="67"/>
  <c r="AB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B89" i="67"/>
  <c r="L89" i="67"/>
  <c r="E89" i="67"/>
  <c r="M89" i="67"/>
  <c r="AA89" i="67"/>
  <c r="G96" i="67"/>
  <c r="N96" i="67"/>
  <c r="H96" i="67"/>
  <c r="O96" i="67"/>
  <c r="W96" i="67"/>
  <c r="L96" i="67"/>
  <c r="S96" i="67"/>
  <c r="AA96" i="67"/>
  <c r="Y96" i="67"/>
  <c r="P96" i="67"/>
  <c r="Z96" i="67"/>
  <c r="E96" i="67"/>
  <c r="Q96" i="67"/>
  <c r="AB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AA102" i="67"/>
  <c r="E102" i="67"/>
  <c r="J102" i="67"/>
  <c r="M102" i="67"/>
  <c r="Q102" i="67"/>
  <c r="T102" i="67"/>
  <c r="Y102" i="67"/>
  <c r="AB102" i="67"/>
  <c r="I107" i="67"/>
  <c r="P107" i="67"/>
  <c r="X107" i="67"/>
  <c r="J107" i="67"/>
  <c r="Q107" i="67"/>
  <c r="Y107" i="67"/>
  <c r="K107" i="67"/>
  <c r="R107" i="67"/>
  <c r="Z107" i="67"/>
  <c r="L107" i="67"/>
  <c r="S107" i="67"/>
  <c r="AA107" i="67"/>
  <c r="G107" i="67"/>
  <c r="N107" i="67"/>
  <c r="V107" i="67"/>
  <c r="O107" i="67"/>
  <c r="T107" i="67"/>
  <c r="U107" i="67"/>
  <c r="E107" i="67"/>
  <c r="W107" i="67"/>
  <c r="F107" i="67"/>
  <c r="AB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B142" i="67"/>
  <c r="L142" i="67"/>
  <c r="U142" i="67"/>
  <c r="M142" i="67"/>
  <c r="S142" i="67"/>
  <c r="X142" i="67"/>
  <c r="F142" i="67"/>
  <c r="AA142" i="67"/>
  <c r="J142" i="67"/>
  <c r="K142" i="67"/>
  <c r="Q142" i="67"/>
  <c r="B148" i="67"/>
  <c r="L158" i="67"/>
  <c r="S158" i="67"/>
  <c r="AA158" i="67"/>
  <c r="E158" i="67"/>
  <c r="M158" i="67"/>
  <c r="T158" i="67"/>
  <c r="AB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AA179" i="67"/>
  <c r="E179" i="67"/>
  <c r="M179" i="67"/>
  <c r="T179" i="67"/>
  <c r="AB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AA195" i="67"/>
  <c r="E195" i="67"/>
  <c r="M195" i="67"/>
  <c r="T195" i="67"/>
  <c r="AB195" i="67"/>
  <c r="F195" i="67"/>
  <c r="U195" i="67"/>
  <c r="I195" i="67"/>
  <c r="P195" i="67"/>
  <c r="X195" i="67"/>
  <c r="L2" i="67"/>
  <c r="X204" i="67"/>
  <c r="F204" i="67"/>
  <c r="H203" i="67"/>
  <c r="AA198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AA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B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B39" i="67"/>
  <c r="L39" i="67"/>
  <c r="M39" i="67"/>
  <c r="O39" i="67"/>
  <c r="S39" i="67"/>
  <c r="T39" i="67"/>
  <c r="E39" i="67"/>
  <c r="W39" i="67"/>
  <c r="AA39" i="67"/>
  <c r="J131" i="67"/>
  <c r="Q131" i="67"/>
  <c r="Y131" i="67"/>
  <c r="K131" i="67"/>
  <c r="R131" i="67"/>
  <c r="Z131" i="67"/>
  <c r="L131" i="67"/>
  <c r="S131" i="67"/>
  <c r="AA131" i="67"/>
  <c r="G131" i="67"/>
  <c r="T131" i="67"/>
  <c r="H131" i="67"/>
  <c r="U131" i="67"/>
  <c r="M131" i="67"/>
  <c r="W131" i="67"/>
  <c r="N131" i="67"/>
  <c r="AB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B144" i="67"/>
  <c r="H144" i="67"/>
  <c r="O144" i="67"/>
  <c r="W144" i="67"/>
  <c r="P144" i="67"/>
  <c r="F144" i="67"/>
  <c r="U144" i="67"/>
  <c r="I144" i="67"/>
  <c r="X144" i="67"/>
  <c r="L144" i="67"/>
  <c r="AA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AA170" i="67"/>
  <c r="N170" i="67"/>
  <c r="AB170" i="67"/>
  <c r="P170" i="67"/>
  <c r="Q170" i="67"/>
  <c r="I170" i="67"/>
  <c r="W170" i="67"/>
  <c r="F174" i="67"/>
  <c r="U174" i="67"/>
  <c r="J174" i="67"/>
  <c r="Q174" i="67"/>
  <c r="Y174" i="67"/>
  <c r="G174" i="67"/>
  <c r="P174" i="67"/>
  <c r="AA174" i="67"/>
  <c r="H174" i="67"/>
  <c r="R174" i="67"/>
  <c r="AB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AA14" i="67"/>
  <c r="F14" i="67"/>
  <c r="U14" i="67"/>
  <c r="G14" i="67"/>
  <c r="N14" i="67"/>
  <c r="V14" i="67"/>
  <c r="O14" i="67"/>
  <c r="P14" i="67"/>
  <c r="T14" i="67"/>
  <c r="H14" i="67"/>
  <c r="AB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AA30" i="67"/>
  <c r="F30" i="67"/>
  <c r="N30" i="67"/>
  <c r="V30" i="67"/>
  <c r="H30" i="67"/>
  <c r="O30" i="67"/>
  <c r="W30" i="67"/>
  <c r="T30" i="67"/>
  <c r="U30" i="67"/>
  <c r="X30" i="67"/>
  <c r="E30" i="67"/>
  <c r="AB30" i="67"/>
  <c r="I30" i="67"/>
  <c r="M30" i="67"/>
  <c r="P30" i="67"/>
  <c r="J45" i="67"/>
  <c r="Q45" i="67"/>
  <c r="Y45" i="67"/>
  <c r="L45" i="67"/>
  <c r="S45" i="67"/>
  <c r="AA45" i="67"/>
  <c r="E45" i="67"/>
  <c r="M45" i="67"/>
  <c r="T45" i="67"/>
  <c r="AB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B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AA119" i="67"/>
  <c r="J119" i="67"/>
  <c r="Y119" i="67"/>
  <c r="L119" i="67"/>
  <c r="B119" i="67"/>
  <c r="C119" i="67"/>
  <c r="K151" i="67"/>
  <c r="R151" i="67"/>
  <c r="Z151" i="67"/>
  <c r="L151" i="67"/>
  <c r="S151" i="67"/>
  <c r="AA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B7" i="67"/>
  <c r="F7" i="67"/>
  <c r="U7" i="67"/>
  <c r="S7" i="67"/>
  <c r="V7" i="67"/>
  <c r="W7" i="67"/>
  <c r="L7" i="67"/>
  <c r="N7" i="67"/>
  <c r="G7" i="67"/>
  <c r="H7" i="67"/>
  <c r="O7" i="67"/>
  <c r="AA7" i="67"/>
  <c r="L12" i="67"/>
  <c r="S12" i="67"/>
  <c r="AA12" i="67"/>
  <c r="E12" i="67"/>
  <c r="M12" i="67"/>
  <c r="T12" i="67"/>
  <c r="AB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AA17" i="67"/>
  <c r="E17" i="67"/>
  <c r="Y17" i="67"/>
  <c r="F17" i="67"/>
  <c r="AB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B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AA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AA33" i="67"/>
  <c r="E33" i="67"/>
  <c r="M33" i="67"/>
  <c r="T33" i="67"/>
  <c r="AB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B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AA43" i="67"/>
  <c r="I43" i="67"/>
  <c r="L43" i="67"/>
  <c r="P43" i="67"/>
  <c r="B47" i="67"/>
  <c r="J53" i="67"/>
  <c r="Q53" i="67"/>
  <c r="Y53" i="67"/>
  <c r="L53" i="67"/>
  <c r="S53" i="67"/>
  <c r="AA53" i="67"/>
  <c r="F53" i="67"/>
  <c r="U53" i="67"/>
  <c r="G53" i="67"/>
  <c r="N53" i="67"/>
  <c r="V53" i="67"/>
  <c r="M53" i="67"/>
  <c r="AB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AA57" i="67"/>
  <c r="M57" i="67"/>
  <c r="AB57" i="67"/>
  <c r="N57" i="67"/>
  <c r="S57" i="67"/>
  <c r="E57" i="67"/>
  <c r="T57" i="67"/>
  <c r="G57" i="67"/>
  <c r="P57" i="67"/>
  <c r="V57" i="67"/>
  <c r="C57" i="67"/>
  <c r="C60" i="67"/>
  <c r="L74" i="67"/>
  <c r="S74" i="67"/>
  <c r="AA74" i="67"/>
  <c r="E74" i="67"/>
  <c r="M74" i="67"/>
  <c r="T74" i="67"/>
  <c r="AB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B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AA90" i="67"/>
  <c r="K90" i="67"/>
  <c r="W90" i="67"/>
  <c r="G97" i="67"/>
  <c r="K97" i="67"/>
  <c r="R97" i="67"/>
  <c r="Z97" i="67"/>
  <c r="L97" i="67"/>
  <c r="S97" i="67"/>
  <c r="AA97" i="67"/>
  <c r="M97" i="67"/>
  <c r="T97" i="67"/>
  <c r="AB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B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AA103" i="67"/>
  <c r="L112" i="67"/>
  <c r="S112" i="67"/>
  <c r="AA112" i="67"/>
  <c r="E112" i="67"/>
  <c r="M112" i="67"/>
  <c r="T112" i="67"/>
  <c r="AB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AA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B143" i="67"/>
  <c r="C143" i="67"/>
  <c r="E149" i="67"/>
  <c r="M149" i="67"/>
  <c r="T149" i="67"/>
  <c r="AB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AA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B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B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AA200" i="67"/>
  <c r="M2" i="67"/>
  <c r="V204" i="67"/>
  <c r="Y203" i="67"/>
  <c r="G203" i="67"/>
  <c r="Q200" i="67"/>
  <c r="V198" i="67"/>
  <c r="N195" i="67"/>
  <c r="S193" i="67"/>
  <c r="AA191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AA152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AA42" i="67"/>
  <c r="Q42" i="67"/>
  <c r="X42" i="67"/>
  <c r="E42" i="67"/>
  <c r="Y42" i="67"/>
  <c r="I42" i="67"/>
  <c r="AB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AA46" i="67"/>
  <c r="E46" i="67"/>
  <c r="M46" i="67"/>
  <c r="T46" i="67"/>
  <c r="AB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B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AA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AA61" i="67"/>
  <c r="P61" i="67"/>
  <c r="X61" i="67"/>
  <c r="AB61" i="67"/>
  <c r="L61" i="67"/>
  <c r="E64" i="67"/>
  <c r="M64" i="67"/>
  <c r="T64" i="67"/>
  <c r="AB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AA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AA68" i="67"/>
  <c r="F68" i="67"/>
  <c r="U68" i="67"/>
  <c r="G68" i="67"/>
  <c r="N68" i="67"/>
  <c r="V68" i="67"/>
  <c r="H68" i="67"/>
  <c r="M68" i="67"/>
  <c r="O68" i="67"/>
  <c r="T68" i="67"/>
  <c r="W68" i="67"/>
  <c r="AB68" i="67"/>
  <c r="E68" i="67"/>
  <c r="E73" i="67"/>
  <c r="M73" i="67"/>
  <c r="T73" i="67"/>
  <c r="AB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AA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AA78" i="67"/>
  <c r="J78" i="67"/>
  <c r="T78" i="67"/>
  <c r="AB78" i="67"/>
  <c r="K78" i="67"/>
  <c r="U78" i="67"/>
  <c r="V78" i="67"/>
  <c r="W78" i="67"/>
  <c r="M78" i="67"/>
  <c r="L91" i="67"/>
  <c r="S91" i="67"/>
  <c r="AA91" i="67"/>
  <c r="E91" i="67"/>
  <c r="M91" i="67"/>
  <c r="T91" i="67"/>
  <c r="AB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AA104" i="67"/>
  <c r="E104" i="67"/>
  <c r="M104" i="67"/>
  <c r="T104" i="67"/>
  <c r="AB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AA108" i="67"/>
  <c r="G108" i="67"/>
  <c r="AB108" i="67"/>
  <c r="L108" i="67"/>
  <c r="J114" i="67"/>
  <c r="Q114" i="67"/>
  <c r="Y114" i="67"/>
  <c r="K114" i="67"/>
  <c r="R114" i="67"/>
  <c r="Z114" i="67"/>
  <c r="L114" i="67"/>
  <c r="S114" i="67"/>
  <c r="AA114" i="67"/>
  <c r="E114" i="67"/>
  <c r="M114" i="67"/>
  <c r="T114" i="67"/>
  <c r="AB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AA122" i="67"/>
  <c r="E122" i="67"/>
  <c r="M122" i="67"/>
  <c r="T122" i="67"/>
  <c r="AB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B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AA130" i="67"/>
  <c r="E130" i="67"/>
  <c r="M130" i="67"/>
  <c r="T130" i="67"/>
  <c r="AB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AA153" i="67"/>
  <c r="G153" i="67"/>
  <c r="N153" i="67"/>
  <c r="V153" i="67"/>
  <c r="O153" i="67"/>
  <c r="E153" i="67"/>
  <c r="T153" i="67"/>
  <c r="H153" i="67"/>
  <c r="W153" i="67"/>
  <c r="E157" i="67"/>
  <c r="M157" i="67"/>
  <c r="T157" i="67"/>
  <c r="AB157" i="67"/>
  <c r="F157" i="67"/>
  <c r="U157" i="67"/>
  <c r="H157" i="67"/>
  <c r="O157" i="67"/>
  <c r="W157" i="67"/>
  <c r="K157" i="67"/>
  <c r="R157" i="67"/>
  <c r="Z157" i="67"/>
  <c r="L157" i="67"/>
  <c r="AA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AA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B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AA192" i="67"/>
  <c r="S192" i="67"/>
  <c r="L192" i="67"/>
  <c r="V189" i="67"/>
  <c r="N189" i="67"/>
  <c r="G189" i="67"/>
  <c r="W188" i="67"/>
  <c r="O188" i="67"/>
  <c r="H188" i="67"/>
  <c r="Z185" i="67"/>
  <c r="R185" i="67"/>
  <c r="K185" i="67"/>
  <c r="AA184" i="67"/>
  <c r="S184" i="67"/>
  <c r="L184" i="67"/>
  <c r="V181" i="67"/>
  <c r="N181" i="67"/>
  <c r="G181" i="67"/>
  <c r="W180" i="67"/>
  <c r="O180" i="67"/>
  <c r="H180" i="67"/>
  <c r="AA176" i="67"/>
  <c r="S176" i="67"/>
  <c r="L176" i="67"/>
  <c r="AB173" i="67"/>
  <c r="Q173" i="67"/>
  <c r="F173" i="67"/>
  <c r="O172" i="67"/>
  <c r="Z171" i="67"/>
  <c r="T169" i="67"/>
  <c r="F169" i="67"/>
  <c r="P168" i="67"/>
  <c r="AA167" i="67"/>
  <c r="X165" i="67"/>
  <c r="Y160" i="67"/>
  <c r="AB159" i="67"/>
  <c r="Y157" i="67"/>
  <c r="Z155" i="67"/>
  <c r="Z153" i="67"/>
  <c r="W150" i="67"/>
  <c r="X128" i="67"/>
  <c r="Q136" i="67"/>
  <c r="K84" i="67"/>
  <c r="R84" i="67"/>
  <c r="Z84" i="67"/>
  <c r="L84" i="67"/>
  <c r="S84" i="67"/>
  <c r="AA84" i="67"/>
  <c r="E84" i="67"/>
  <c r="M84" i="67"/>
  <c r="T84" i="67"/>
  <c r="AB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AA98" i="67"/>
  <c r="E98" i="67"/>
  <c r="M98" i="67"/>
  <c r="T98" i="67"/>
  <c r="AB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B117" i="67"/>
  <c r="U117" i="67"/>
  <c r="Z117" i="67"/>
  <c r="F117" i="67"/>
  <c r="AA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AB132" i="67"/>
  <c r="F132" i="67"/>
  <c r="L132" i="67"/>
  <c r="R132" i="67"/>
  <c r="H141" i="67"/>
  <c r="O141" i="67"/>
  <c r="W141" i="67"/>
  <c r="I141" i="67"/>
  <c r="P141" i="67"/>
  <c r="X141" i="67"/>
  <c r="G141" i="67"/>
  <c r="R141" i="67"/>
  <c r="AB141" i="67"/>
  <c r="J141" i="67"/>
  <c r="S141" i="67"/>
  <c r="L141" i="67"/>
  <c r="U141" i="67"/>
  <c r="E141" i="67"/>
  <c r="N141" i="67"/>
  <c r="Z141" i="67"/>
  <c r="Q141" i="67"/>
  <c r="V141" i="67"/>
  <c r="F141" i="67"/>
  <c r="AA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AA154" i="67"/>
  <c r="N154" i="67"/>
  <c r="K159" i="67"/>
  <c r="R159" i="67"/>
  <c r="Z159" i="67"/>
  <c r="L159" i="67"/>
  <c r="S159" i="67"/>
  <c r="AA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B171" i="67"/>
  <c r="L171" i="67"/>
  <c r="V171" i="67"/>
  <c r="G171" i="67"/>
  <c r="P171" i="67"/>
  <c r="AA171" i="67"/>
  <c r="V202" i="67"/>
  <c r="N202" i="67"/>
  <c r="G202" i="67"/>
  <c r="W201" i="67"/>
  <c r="O201" i="67"/>
  <c r="H201" i="67"/>
  <c r="Y199" i="67"/>
  <c r="Q199" i="67"/>
  <c r="J199" i="67"/>
  <c r="AA197" i="67"/>
  <c r="S197" i="67"/>
  <c r="L197" i="67"/>
  <c r="AB196" i="67"/>
  <c r="T196" i="67"/>
  <c r="M196" i="67"/>
  <c r="E196" i="67"/>
  <c r="V194" i="67"/>
  <c r="N194" i="67"/>
  <c r="G194" i="67"/>
  <c r="X192" i="67"/>
  <c r="P192" i="67"/>
  <c r="I192" i="67"/>
  <c r="AA189" i="67"/>
  <c r="S189" i="67"/>
  <c r="L189" i="67"/>
  <c r="AB188" i="67"/>
  <c r="T188" i="67"/>
  <c r="M188" i="67"/>
  <c r="E188" i="67"/>
  <c r="W185" i="67"/>
  <c r="O185" i="67"/>
  <c r="H185" i="67"/>
  <c r="X184" i="67"/>
  <c r="P184" i="67"/>
  <c r="I184" i="67"/>
  <c r="AA181" i="67"/>
  <c r="S181" i="67"/>
  <c r="L181" i="67"/>
  <c r="AB180" i="67"/>
  <c r="T180" i="67"/>
  <c r="M180" i="67"/>
  <c r="E180" i="67"/>
  <c r="X176" i="67"/>
  <c r="P176" i="67"/>
  <c r="I176" i="67"/>
  <c r="X173" i="67"/>
  <c r="Y172" i="67"/>
  <c r="K172" i="67"/>
  <c r="U171" i="67"/>
  <c r="H171" i="67"/>
  <c r="AB169" i="67"/>
  <c r="O169" i="67"/>
  <c r="Y168" i="67"/>
  <c r="K168" i="67"/>
  <c r="V167" i="67"/>
  <c r="P165" i="67"/>
  <c r="AB162" i="67"/>
  <c r="J162" i="67"/>
  <c r="Q160" i="67"/>
  <c r="T159" i="67"/>
  <c r="Q157" i="67"/>
  <c r="Q154" i="67"/>
  <c r="E146" i="67"/>
  <c r="Y141" i="67"/>
  <c r="AA126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B40" i="67"/>
  <c r="F40" i="67"/>
  <c r="U40" i="67"/>
  <c r="Z40" i="67"/>
  <c r="G40" i="67"/>
  <c r="AA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B44" i="67"/>
  <c r="Q44" i="67"/>
  <c r="R44" i="67"/>
  <c r="V44" i="67"/>
  <c r="W44" i="67"/>
  <c r="Y44" i="67"/>
  <c r="AA44" i="67"/>
  <c r="G44" i="67"/>
  <c r="H44" i="67"/>
  <c r="N44" i="67"/>
  <c r="L59" i="67"/>
  <c r="S59" i="67"/>
  <c r="AA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B59" i="67"/>
  <c r="Q59" i="67"/>
  <c r="R59" i="67"/>
  <c r="E59" i="67"/>
  <c r="N59" i="67"/>
  <c r="T59" i="67"/>
  <c r="K66" i="67"/>
  <c r="R66" i="67"/>
  <c r="Z66" i="67"/>
  <c r="L66" i="67"/>
  <c r="S66" i="67"/>
  <c r="AA66" i="67"/>
  <c r="E66" i="67"/>
  <c r="M66" i="67"/>
  <c r="T66" i="67"/>
  <c r="AB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AA70" i="67"/>
  <c r="F70" i="67"/>
  <c r="K70" i="67"/>
  <c r="M70" i="67"/>
  <c r="R70" i="67"/>
  <c r="T70" i="67"/>
  <c r="U70" i="67"/>
  <c r="E70" i="67"/>
  <c r="Z70" i="67"/>
  <c r="AB70" i="67"/>
  <c r="K76" i="67"/>
  <c r="R76" i="67"/>
  <c r="Z76" i="67"/>
  <c r="L76" i="67"/>
  <c r="S76" i="67"/>
  <c r="AA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B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AA80" i="67"/>
  <c r="E80" i="67"/>
  <c r="F80" i="67"/>
  <c r="M80" i="67"/>
  <c r="T80" i="67"/>
  <c r="U80" i="67"/>
  <c r="AB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AA88" i="67"/>
  <c r="T88" i="67"/>
  <c r="U88" i="67"/>
  <c r="E88" i="67"/>
  <c r="Y88" i="67"/>
  <c r="F88" i="67"/>
  <c r="AB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AA110" i="67"/>
  <c r="E110" i="67"/>
  <c r="Z110" i="67"/>
  <c r="J110" i="67"/>
  <c r="AB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AA118" i="67"/>
  <c r="R118" i="67"/>
  <c r="T118" i="67"/>
  <c r="Y118" i="67"/>
  <c r="E118" i="67"/>
  <c r="Z118" i="67"/>
  <c r="K118" i="67"/>
  <c r="M118" i="67"/>
  <c r="J118" i="67"/>
  <c r="Q118" i="67"/>
  <c r="AB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AA124" i="67"/>
  <c r="M124" i="67"/>
  <c r="AB124" i="67"/>
  <c r="N124" i="67"/>
  <c r="S124" i="67"/>
  <c r="E124" i="67"/>
  <c r="T124" i="67"/>
  <c r="G124" i="67"/>
  <c r="O124" i="67"/>
  <c r="E128" i="67"/>
  <c r="M128" i="67"/>
  <c r="T128" i="67"/>
  <c r="AB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AA128" i="67"/>
  <c r="K128" i="67"/>
  <c r="P128" i="67"/>
  <c r="C132" i="67"/>
  <c r="E136" i="67"/>
  <c r="M136" i="67"/>
  <c r="T136" i="67"/>
  <c r="AB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AA136" i="67"/>
  <c r="B141" i="67"/>
  <c r="C146" i="67"/>
  <c r="L150" i="67"/>
  <c r="S150" i="67"/>
  <c r="AA150" i="67"/>
  <c r="E150" i="67"/>
  <c r="M150" i="67"/>
  <c r="T150" i="67"/>
  <c r="AB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B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AA196" i="67"/>
  <c r="S196" i="67"/>
  <c r="L196" i="67"/>
  <c r="U194" i="67"/>
  <c r="F194" i="67"/>
  <c r="W192" i="67"/>
  <c r="O192" i="67"/>
  <c r="H192" i="67"/>
  <c r="Z189" i="67"/>
  <c r="R189" i="67"/>
  <c r="K189" i="67"/>
  <c r="AA188" i="67"/>
  <c r="S188" i="67"/>
  <c r="L188" i="67"/>
  <c r="V185" i="67"/>
  <c r="N185" i="67"/>
  <c r="G185" i="67"/>
  <c r="W184" i="67"/>
  <c r="O184" i="67"/>
  <c r="H184" i="67"/>
  <c r="Z181" i="67"/>
  <c r="R181" i="67"/>
  <c r="K181" i="67"/>
  <c r="AA180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AA162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B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B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B146" i="67"/>
  <c r="I130" i="67"/>
  <c r="V124" i="67"/>
  <c r="J160" i="67"/>
  <c r="K160" i="67"/>
  <c r="R160" i="67"/>
  <c r="Z160" i="67"/>
  <c r="E160" i="67"/>
  <c r="M160" i="67"/>
  <c r="T160" i="67"/>
  <c r="AB160" i="67"/>
  <c r="H160" i="67"/>
  <c r="O160" i="67"/>
  <c r="W160" i="67"/>
  <c r="P160" i="67"/>
  <c r="F160" i="67"/>
  <c r="S160" i="67"/>
  <c r="I160" i="67"/>
  <c r="V160" i="67"/>
  <c r="E168" i="67"/>
  <c r="M168" i="67"/>
  <c r="T168" i="67"/>
  <c r="AB168" i="67"/>
  <c r="H168" i="67"/>
  <c r="O168" i="67"/>
  <c r="W168" i="67"/>
  <c r="L168" i="67"/>
  <c r="V168" i="67"/>
  <c r="G168" i="67"/>
  <c r="Q168" i="67"/>
  <c r="AA168" i="67"/>
  <c r="I172" i="67"/>
  <c r="P172" i="67"/>
  <c r="X172" i="67"/>
  <c r="L172" i="67"/>
  <c r="S172" i="67"/>
  <c r="AA172" i="67"/>
  <c r="H172" i="67"/>
  <c r="R172" i="67"/>
  <c r="W172" i="67"/>
  <c r="AA202" i="67"/>
  <c r="S202" i="67"/>
  <c r="AB201" i="67"/>
  <c r="T201" i="67"/>
  <c r="M201" i="67"/>
  <c r="V199" i="67"/>
  <c r="N199" i="67"/>
  <c r="X197" i="67"/>
  <c r="P197" i="67"/>
  <c r="Y196" i="67"/>
  <c r="Q196" i="67"/>
  <c r="AA194" i="67"/>
  <c r="S194" i="67"/>
  <c r="U192" i="67"/>
  <c r="X189" i="67"/>
  <c r="P189" i="67"/>
  <c r="Y188" i="67"/>
  <c r="Q188" i="67"/>
  <c r="AB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B165" i="67"/>
  <c r="I165" i="67"/>
  <c r="V162" i="67"/>
  <c r="L160" i="67"/>
  <c r="H159" i="67"/>
  <c r="I157" i="67"/>
  <c r="I155" i="67"/>
  <c r="E154" i="67"/>
  <c r="F153" i="67"/>
  <c r="F150" i="67"/>
  <c r="AA146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1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H35" i="60"/>
  <c r="F35" i="60"/>
  <c r="G35" i="60" s="1"/>
  <c r="H34" i="60"/>
  <c r="F34" i="60"/>
  <c r="G34" i="60" s="1"/>
  <c r="H33" i="60"/>
  <c r="F33" i="60"/>
  <c r="G33" i="60" s="1"/>
  <c r="H32" i="60"/>
  <c r="G32" i="60"/>
  <c r="F32" i="60"/>
  <c r="H31" i="60"/>
  <c r="F31" i="60"/>
  <c r="G31" i="60" s="1"/>
  <c r="H30" i="60"/>
  <c r="F30" i="60"/>
  <c r="G30" i="60" s="1"/>
  <c r="H29" i="60"/>
  <c r="F29" i="60"/>
  <c r="G29" i="60" s="1"/>
  <c r="H28" i="60"/>
  <c r="F28" i="60"/>
  <c r="G28" i="60" s="1"/>
  <c r="H27" i="60"/>
  <c r="F27" i="60"/>
  <c r="G27" i="60" s="1"/>
  <c r="H26" i="60"/>
  <c r="F26" i="60"/>
  <c r="G26" i="60" s="1"/>
  <c r="H25" i="60"/>
  <c r="F25" i="60"/>
  <c r="G25" i="60" s="1"/>
  <c r="H24" i="60"/>
  <c r="F24" i="60"/>
  <c r="G24" i="60" s="1"/>
  <c r="H23" i="60"/>
  <c r="F23" i="60"/>
  <c r="G23" i="60" s="1"/>
  <c r="H22" i="60"/>
  <c r="F22" i="60"/>
  <c r="G22" i="60" s="1"/>
  <c r="H21" i="60"/>
  <c r="F21" i="60"/>
  <c r="G21" i="60" s="1"/>
  <c r="H20" i="60"/>
  <c r="F20" i="60"/>
  <c r="G20" i="60" s="1"/>
  <c r="H19" i="60"/>
  <c r="F19" i="60"/>
  <c r="G19" i="60" s="1"/>
  <c r="H18" i="60"/>
  <c r="F18" i="60"/>
  <c r="G18" i="60" s="1"/>
  <c r="H17" i="60"/>
  <c r="F17" i="60"/>
  <c r="G17" i="60" s="1"/>
  <c r="H16" i="60"/>
  <c r="F16" i="60"/>
  <c r="G16" i="60" s="1"/>
  <c r="H15" i="60"/>
  <c r="G15" i="60"/>
  <c r="F15" i="60"/>
  <c r="H14" i="60"/>
  <c r="F14" i="60"/>
  <c r="G14" i="60" s="1"/>
  <c r="H13" i="60"/>
  <c r="F13" i="60"/>
  <c r="G13" i="60" s="1"/>
  <c r="H12" i="60"/>
  <c r="F12" i="60" s="1"/>
  <c r="G12" i="60" s="1"/>
  <c r="H11" i="60"/>
  <c r="F11" i="60"/>
  <c r="G11" i="60" s="1"/>
  <c r="H10" i="60"/>
  <c r="F10" i="60"/>
  <c r="G10" i="60" s="1"/>
  <c r="H9" i="60"/>
  <c r="F9" i="60"/>
  <c r="G9" i="60" s="1"/>
  <c r="H8" i="60"/>
  <c r="F8" i="60"/>
  <c r="G8" i="60" s="1"/>
  <c r="H7" i="60"/>
  <c r="G7" i="60"/>
  <c r="F7" i="60"/>
  <c r="H6" i="60"/>
  <c r="F6" i="60" s="1"/>
  <c r="G6" i="60" s="1"/>
  <c r="S35" i="60"/>
  <c r="Q35" i="60"/>
  <c r="R35" i="60" s="1"/>
  <c r="S34" i="60"/>
  <c r="Q34" i="60"/>
  <c r="R34" i="60" s="1"/>
  <c r="S33" i="60"/>
  <c r="Q33" i="60"/>
  <c r="R33" i="60" s="1"/>
  <c r="S32" i="60"/>
  <c r="Q32" i="60"/>
  <c r="R32" i="60" s="1"/>
  <c r="S31" i="60"/>
  <c r="Q31" i="60"/>
  <c r="R31" i="60" s="1"/>
  <c r="S30" i="60"/>
  <c r="Q30" i="60"/>
  <c r="R30" i="60" s="1"/>
  <c r="S29" i="60"/>
  <c r="Q29" i="60"/>
  <c r="R29" i="60" s="1"/>
  <c r="S28" i="60"/>
  <c r="Q28" i="60"/>
  <c r="R28" i="60" s="1"/>
  <c r="S27" i="60"/>
  <c r="Q27" i="60"/>
  <c r="R27" i="60" s="1"/>
  <c r="S26" i="60"/>
  <c r="Q26" i="60"/>
  <c r="R26" i="60" s="1"/>
  <c r="S25" i="60"/>
  <c r="Q25" i="60"/>
  <c r="R25" i="60" s="1"/>
  <c r="S24" i="60"/>
  <c r="Q24" i="60"/>
  <c r="R24" i="60" s="1"/>
  <c r="S23" i="60"/>
  <c r="Q23" i="60"/>
  <c r="R23" i="60" s="1"/>
  <c r="S22" i="60"/>
  <c r="Q22" i="60"/>
  <c r="R22" i="60" s="1"/>
  <c r="S21" i="60"/>
  <c r="Q21" i="60"/>
  <c r="R21" i="60" s="1"/>
  <c r="S20" i="60"/>
  <c r="Q20" i="60"/>
  <c r="R20" i="60" s="1"/>
  <c r="S19" i="60"/>
  <c r="Q19" i="60"/>
  <c r="R19" i="60" s="1"/>
  <c r="S18" i="60"/>
  <c r="Q18" i="60"/>
  <c r="R18" i="60" s="1"/>
  <c r="S17" i="60"/>
  <c r="Q17" i="60"/>
  <c r="R17" i="60" s="1"/>
  <c r="S16" i="60"/>
  <c r="R16" i="60"/>
  <c r="Q16" i="60"/>
  <c r="S15" i="60"/>
  <c r="Q15" i="60"/>
  <c r="R15" i="60" s="1"/>
  <c r="S14" i="60"/>
  <c r="Q14" i="60"/>
  <c r="R14" i="60" s="1"/>
  <c r="S13" i="60"/>
  <c r="R13" i="60"/>
  <c r="Q13" i="60"/>
  <c r="S12" i="60"/>
  <c r="Q12" i="60"/>
  <c r="R12" i="60" s="1"/>
  <c r="S11" i="60"/>
  <c r="Q11" i="60"/>
  <c r="R11" i="60" s="1"/>
  <c r="S10" i="60"/>
  <c r="Q10" i="60"/>
  <c r="R10" i="60" s="1"/>
  <c r="S9" i="60"/>
  <c r="Q9" i="60"/>
  <c r="R9" i="60" s="1"/>
  <c r="S8" i="60"/>
  <c r="Q8" i="60"/>
  <c r="R8" i="60" s="1"/>
  <c r="S7" i="60"/>
  <c r="Q7" i="60"/>
  <c r="R7" i="60" s="1"/>
  <c r="S6" i="60"/>
  <c r="Q6" i="60"/>
  <c r="R6" i="60" s="1"/>
  <c r="S5" i="60"/>
  <c r="Q5" i="60"/>
  <c r="R5" i="60" s="1"/>
  <c r="H5" i="60"/>
  <c r="F5" i="60"/>
  <c r="G5" i="60" s="1"/>
  <c r="L5" i="60"/>
  <c r="A5" i="60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R23" i="51"/>
  <c r="Q23" i="5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H5" i="51"/>
  <c r="F5" i="51"/>
  <c r="G5" i="51" s="1"/>
  <c r="A5" i="5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H35" i="45"/>
  <c r="F35" i="45"/>
  <c r="G35" i="45" s="1"/>
  <c r="H34" i="45"/>
  <c r="F34" i="45"/>
  <c r="G34" i="45" s="1"/>
  <c r="H33" i="45"/>
  <c r="G33" i="45"/>
  <c r="F33" i="45"/>
  <c r="H32" i="45"/>
  <c r="F32" i="45"/>
  <c r="G32" i="45" s="1"/>
  <c r="H31" i="45"/>
  <c r="F31" i="45"/>
  <c r="G31" i="45" s="1"/>
  <c r="H30" i="45"/>
  <c r="F30" i="45"/>
  <c r="G30" i="45" s="1"/>
  <c r="H29" i="45"/>
  <c r="F29" i="45"/>
  <c r="G29" i="45" s="1"/>
  <c r="H28" i="45"/>
  <c r="F28" i="45"/>
  <c r="G28" i="45" s="1"/>
  <c r="H27" i="45"/>
  <c r="G27" i="45"/>
  <c r="F27" i="45"/>
  <c r="H26" i="45"/>
  <c r="F26" i="45"/>
  <c r="G26" i="45" s="1"/>
  <c r="H25" i="45"/>
  <c r="F25" i="45"/>
  <c r="G25" i="45" s="1"/>
  <c r="H24" i="45"/>
  <c r="F24" i="45"/>
  <c r="G24" i="45" s="1"/>
  <c r="H23" i="45"/>
  <c r="F23" i="45"/>
  <c r="G23" i="45" s="1"/>
  <c r="H22" i="45"/>
  <c r="F22" i="45"/>
  <c r="G22" i="45" s="1"/>
  <c r="H21" i="45"/>
  <c r="F21" i="45"/>
  <c r="G21" i="45" s="1"/>
  <c r="H20" i="45"/>
  <c r="F20" i="45"/>
  <c r="G20" i="45" s="1"/>
  <c r="H19" i="45"/>
  <c r="G19" i="45"/>
  <c r="F19" i="45"/>
  <c r="H18" i="45"/>
  <c r="F18" i="45"/>
  <c r="G18" i="45" s="1"/>
  <c r="H17" i="45"/>
  <c r="F17" i="45" s="1"/>
  <c r="G17" i="45" s="1"/>
  <c r="H16" i="45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H26" i="38"/>
  <c r="H27" i="38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L5" i="36" l="1"/>
  <c r="A5" i="36"/>
  <c r="N5" i="35" l="1"/>
  <c r="A204" i="63" l="1"/>
  <c r="AC204" i="63" s="1"/>
  <c r="A203" i="63"/>
  <c r="AC203" i="63" s="1"/>
  <c r="A202" i="63"/>
  <c r="AC202" i="63" s="1"/>
  <c r="A201" i="63"/>
  <c r="AC201" i="63" s="1"/>
  <c r="A200" i="63"/>
  <c r="AC200" i="63" s="1"/>
  <c r="A199" i="63"/>
  <c r="AC199" i="63" s="1"/>
  <c r="A198" i="63"/>
  <c r="AC198" i="63" s="1"/>
  <c r="A197" i="63"/>
  <c r="AC197" i="63" s="1"/>
  <c r="A196" i="63"/>
  <c r="AC196" i="63" s="1"/>
  <c r="A195" i="63"/>
  <c r="AC195" i="63" s="1"/>
  <c r="A194" i="63"/>
  <c r="AC194" i="63" s="1"/>
  <c r="A193" i="63"/>
  <c r="AC193" i="63" s="1"/>
  <c r="A192" i="63"/>
  <c r="AC192" i="63" s="1"/>
  <c r="A191" i="63"/>
  <c r="AC191" i="63" s="1"/>
  <c r="A190" i="63"/>
  <c r="AC190" i="63" s="1"/>
  <c r="A189" i="63"/>
  <c r="AC189" i="63" s="1"/>
  <c r="A188" i="63"/>
  <c r="AC188" i="63" s="1"/>
  <c r="A187" i="63"/>
  <c r="AC187" i="63" s="1"/>
  <c r="A186" i="63"/>
  <c r="AC186" i="63" s="1"/>
  <c r="A185" i="63"/>
  <c r="AC185" i="63" s="1"/>
  <c r="A184" i="63"/>
  <c r="AC184" i="63" s="1"/>
  <c r="A183" i="63"/>
  <c r="AC183" i="63" s="1"/>
  <c r="A182" i="63"/>
  <c r="AC182" i="63" s="1"/>
  <c r="A181" i="63"/>
  <c r="AC181" i="63" s="1"/>
  <c r="A180" i="63"/>
  <c r="AC180" i="63" s="1"/>
  <c r="A179" i="63"/>
  <c r="AC179" i="63" s="1"/>
  <c r="A178" i="63"/>
  <c r="AC178" i="63" s="1"/>
  <c r="A177" i="63"/>
  <c r="AC177" i="63" s="1"/>
  <c r="A176" i="63"/>
  <c r="AC176" i="63" s="1"/>
  <c r="A175" i="63"/>
  <c r="AC175" i="63" s="1"/>
  <c r="A174" i="63"/>
  <c r="AC174" i="63" s="1"/>
  <c r="A173" i="63"/>
  <c r="AC173" i="63" s="1"/>
  <c r="A172" i="63"/>
  <c r="AC172" i="63" s="1"/>
  <c r="A171" i="63"/>
  <c r="AC171" i="63" s="1"/>
  <c r="A170" i="63"/>
  <c r="AC170" i="63" s="1"/>
  <c r="A169" i="63"/>
  <c r="AC169" i="63" s="1"/>
  <c r="A168" i="63"/>
  <c r="AC168" i="63" s="1"/>
  <c r="A167" i="63"/>
  <c r="AC167" i="63" s="1"/>
  <c r="A166" i="63"/>
  <c r="AC166" i="63" s="1"/>
  <c r="A165" i="63"/>
  <c r="AC165" i="63" s="1"/>
  <c r="A164" i="63"/>
  <c r="AC164" i="63" s="1"/>
  <c r="A163" i="63"/>
  <c r="AC163" i="63" s="1"/>
  <c r="A162" i="63"/>
  <c r="AC162" i="63" s="1"/>
  <c r="A161" i="63"/>
  <c r="AC161" i="63" s="1"/>
  <c r="A160" i="63"/>
  <c r="AC160" i="63" s="1"/>
  <c r="A159" i="63"/>
  <c r="AC159" i="63" s="1"/>
  <c r="A158" i="63"/>
  <c r="AC158" i="63" s="1"/>
  <c r="A157" i="63"/>
  <c r="AC157" i="63" s="1"/>
  <c r="A156" i="63"/>
  <c r="AC156" i="63" s="1"/>
  <c r="A155" i="63"/>
  <c r="AC155" i="63" s="1"/>
  <c r="A154" i="63"/>
  <c r="AC154" i="63" s="1"/>
  <c r="A153" i="63"/>
  <c r="AC153" i="63" s="1"/>
  <c r="A152" i="63"/>
  <c r="AC152" i="63" s="1"/>
  <c r="A151" i="63"/>
  <c r="AC151" i="63" s="1"/>
  <c r="A150" i="63"/>
  <c r="AC150" i="63" s="1"/>
  <c r="A149" i="63"/>
  <c r="AC149" i="63" s="1"/>
  <c r="A148" i="63"/>
  <c r="AC148" i="63" s="1"/>
  <c r="A147" i="63"/>
  <c r="AC147" i="63" s="1"/>
  <c r="A146" i="63"/>
  <c r="AC146" i="63" s="1"/>
  <c r="A145" i="63"/>
  <c r="AC145" i="63" s="1"/>
  <c r="A144" i="63"/>
  <c r="AC144" i="63" s="1"/>
  <c r="A143" i="63"/>
  <c r="AC143" i="63" s="1"/>
  <c r="A142" i="63"/>
  <c r="AC142" i="63" s="1"/>
  <c r="A141" i="63"/>
  <c r="AC141" i="63" s="1"/>
  <c r="A140" i="63"/>
  <c r="AC140" i="63" s="1"/>
  <c r="A139" i="63"/>
  <c r="AC139" i="63" s="1"/>
  <c r="A138" i="63"/>
  <c r="AC138" i="63" s="1"/>
  <c r="A137" i="63"/>
  <c r="AC137" i="63" s="1"/>
  <c r="A136" i="63"/>
  <c r="AC136" i="63" s="1"/>
  <c r="A135" i="63"/>
  <c r="AC135" i="63" s="1"/>
  <c r="A134" i="63"/>
  <c r="AC134" i="63" s="1"/>
  <c r="A133" i="63"/>
  <c r="AC133" i="63" s="1"/>
  <c r="A132" i="63"/>
  <c r="AC132" i="63" s="1"/>
  <c r="A131" i="63"/>
  <c r="AC131" i="63" s="1"/>
  <c r="A130" i="63"/>
  <c r="AC130" i="63" s="1"/>
  <c r="A129" i="63"/>
  <c r="AC129" i="63" s="1"/>
  <c r="A128" i="63"/>
  <c r="AC128" i="63" s="1"/>
  <c r="A127" i="63"/>
  <c r="AC127" i="63" s="1"/>
  <c r="A126" i="63"/>
  <c r="AC126" i="63" s="1"/>
  <c r="A125" i="63"/>
  <c r="AC125" i="63" s="1"/>
  <c r="A124" i="63"/>
  <c r="AC124" i="63" s="1"/>
  <c r="A123" i="63"/>
  <c r="AC123" i="63" s="1"/>
  <c r="A122" i="63"/>
  <c r="AC122" i="63" s="1"/>
  <c r="A121" i="63"/>
  <c r="AC121" i="63" s="1"/>
  <c r="A120" i="63"/>
  <c r="AC120" i="63" s="1"/>
  <c r="A119" i="63"/>
  <c r="AC119" i="63" s="1"/>
  <c r="A118" i="63"/>
  <c r="AC118" i="63" s="1"/>
  <c r="A117" i="63"/>
  <c r="AC117" i="63" s="1"/>
  <c r="A116" i="63"/>
  <c r="AC116" i="63" s="1"/>
  <c r="A115" i="63"/>
  <c r="AC115" i="63" s="1"/>
  <c r="A114" i="63"/>
  <c r="AC114" i="63" s="1"/>
  <c r="A113" i="63"/>
  <c r="AC113" i="63" s="1"/>
  <c r="A112" i="63"/>
  <c r="AC112" i="63" s="1"/>
  <c r="A111" i="63"/>
  <c r="AC111" i="63" s="1"/>
  <c r="A110" i="63"/>
  <c r="AC110" i="63" s="1"/>
  <c r="A109" i="63"/>
  <c r="AC109" i="63" s="1"/>
  <c r="A108" i="63"/>
  <c r="AC108" i="63" s="1"/>
  <c r="A107" i="63"/>
  <c r="AC107" i="63" s="1"/>
  <c r="A106" i="63"/>
  <c r="AC106" i="63" s="1"/>
  <c r="A105" i="63"/>
  <c r="AC105" i="63" s="1"/>
  <c r="A104" i="63"/>
  <c r="AC104" i="63" s="1"/>
  <c r="A103" i="63"/>
  <c r="AC103" i="63" s="1"/>
  <c r="A102" i="63"/>
  <c r="AC102" i="63" s="1"/>
  <c r="A101" i="63"/>
  <c r="AC101" i="63" s="1"/>
  <c r="A100" i="63"/>
  <c r="AC100" i="63" s="1"/>
  <c r="A99" i="63"/>
  <c r="AC99" i="63" s="1"/>
  <c r="A98" i="63"/>
  <c r="AC98" i="63" s="1"/>
  <c r="A97" i="63"/>
  <c r="AC97" i="63" s="1"/>
  <c r="A96" i="63"/>
  <c r="AC96" i="63" s="1"/>
  <c r="A95" i="63"/>
  <c r="AC95" i="63" s="1"/>
  <c r="A94" i="63"/>
  <c r="AC94" i="63" s="1"/>
  <c r="A93" i="63"/>
  <c r="AC93" i="63" s="1"/>
  <c r="A92" i="63"/>
  <c r="AC92" i="63" s="1"/>
  <c r="A91" i="63"/>
  <c r="AC91" i="63" s="1"/>
  <c r="A90" i="63"/>
  <c r="AC90" i="63" s="1"/>
  <c r="A89" i="63"/>
  <c r="AC89" i="63" s="1"/>
  <c r="A88" i="63"/>
  <c r="AC88" i="63" s="1"/>
  <c r="A87" i="63"/>
  <c r="AC87" i="63" s="1"/>
  <c r="A86" i="63"/>
  <c r="AC86" i="63" s="1"/>
  <c r="A85" i="63"/>
  <c r="AC85" i="63" s="1"/>
  <c r="A84" i="63"/>
  <c r="AC84" i="63" s="1"/>
  <c r="A83" i="63"/>
  <c r="AC83" i="63" s="1"/>
  <c r="A82" i="63"/>
  <c r="AC82" i="63" s="1"/>
  <c r="A81" i="63"/>
  <c r="AC81" i="63" s="1"/>
  <c r="A80" i="63"/>
  <c r="AC80" i="63" s="1"/>
  <c r="A79" i="63"/>
  <c r="AC79" i="63" s="1"/>
  <c r="A78" i="63"/>
  <c r="AC78" i="63" s="1"/>
  <c r="A77" i="63"/>
  <c r="AC77" i="63" s="1"/>
  <c r="A76" i="63"/>
  <c r="AC76" i="63" s="1"/>
  <c r="A75" i="63"/>
  <c r="AC75" i="63" s="1"/>
  <c r="A74" i="63"/>
  <c r="AC74" i="63" s="1"/>
  <c r="A73" i="63"/>
  <c r="AC73" i="63" s="1"/>
  <c r="A72" i="63"/>
  <c r="AC72" i="63" s="1"/>
  <c r="A71" i="63"/>
  <c r="AC71" i="63" s="1"/>
  <c r="A70" i="63"/>
  <c r="AC70" i="63" s="1"/>
  <c r="A69" i="63"/>
  <c r="AC69" i="63" s="1"/>
  <c r="A68" i="63"/>
  <c r="AC68" i="63" s="1"/>
  <c r="A67" i="63"/>
  <c r="AC67" i="63" s="1"/>
  <c r="A66" i="63"/>
  <c r="AC66" i="63" s="1"/>
  <c r="A65" i="63"/>
  <c r="AC65" i="63" s="1"/>
  <c r="A64" i="63"/>
  <c r="AC64" i="63" s="1"/>
  <c r="A63" i="63"/>
  <c r="AC63" i="63" s="1"/>
  <c r="A62" i="63"/>
  <c r="AC62" i="63" s="1"/>
  <c r="A61" i="63"/>
  <c r="AC61" i="63" s="1"/>
  <c r="A60" i="63"/>
  <c r="AC60" i="63" s="1"/>
  <c r="A59" i="63"/>
  <c r="AC59" i="63" s="1"/>
  <c r="A58" i="63"/>
  <c r="AC58" i="63" s="1"/>
  <c r="A57" i="63"/>
  <c r="AC57" i="63" s="1"/>
  <c r="A56" i="63"/>
  <c r="AC56" i="63" s="1"/>
  <c r="A55" i="63"/>
  <c r="AC55" i="63" s="1"/>
  <c r="A54" i="63"/>
  <c r="AC54" i="63" s="1"/>
  <c r="A53" i="63"/>
  <c r="AC53" i="63" s="1"/>
  <c r="A52" i="63"/>
  <c r="AC52" i="63" s="1"/>
  <c r="A51" i="63"/>
  <c r="AC51" i="63" s="1"/>
  <c r="A50" i="63"/>
  <c r="AC50" i="63" s="1"/>
  <c r="A49" i="63"/>
  <c r="AC49" i="63" s="1"/>
  <c r="A48" i="63"/>
  <c r="AC48" i="63" s="1"/>
  <c r="A47" i="63"/>
  <c r="AC47" i="63" s="1"/>
  <c r="A46" i="63"/>
  <c r="AC46" i="63" s="1"/>
  <c r="A45" i="63"/>
  <c r="AC45" i="63" s="1"/>
  <c r="A44" i="63"/>
  <c r="AC44" i="63" s="1"/>
  <c r="A43" i="63"/>
  <c r="AC43" i="63" s="1"/>
  <c r="A42" i="63"/>
  <c r="AC42" i="63" s="1"/>
  <c r="A41" i="63"/>
  <c r="AC41" i="63" s="1"/>
  <c r="A40" i="63"/>
  <c r="AC40" i="63" s="1"/>
  <c r="A39" i="63"/>
  <c r="AC39" i="63" s="1"/>
  <c r="A38" i="63"/>
  <c r="AC38" i="63" s="1"/>
  <c r="A37" i="63"/>
  <c r="AC37" i="63" s="1"/>
  <c r="A36" i="63"/>
  <c r="AC36" i="63" s="1"/>
  <c r="A35" i="63"/>
  <c r="AC35" i="63" s="1"/>
  <c r="A34" i="63"/>
  <c r="AC34" i="63" s="1"/>
  <c r="A33" i="63"/>
  <c r="AC33" i="63" s="1"/>
  <c r="A32" i="63"/>
  <c r="AC32" i="63" s="1"/>
  <c r="A31" i="63"/>
  <c r="AC31" i="63" s="1"/>
  <c r="A30" i="63"/>
  <c r="AC30" i="63" s="1"/>
  <c r="A29" i="63"/>
  <c r="AC29" i="63" s="1"/>
  <c r="A28" i="63"/>
  <c r="AC28" i="63" s="1"/>
  <c r="A27" i="63"/>
  <c r="AC27" i="63" s="1"/>
  <c r="A26" i="63"/>
  <c r="AC26" i="63" s="1"/>
  <c r="A25" i="63"/>
  <c r="AC25" i="63" s="1"/>
  <c r="A24" i="63"/>
  <c r="AC24" i="63" s="1"/>
  <c r="A23" i="63"/>
  <c r="AC23" i="63" s="1"/>
  <c r="A22" i="63"/>
  <c r="AC22" i="63" s="1"/>
  <c r="A21" i="63"/>
  <c r="AC21" i="63" s="1"/>
  <c r="A20" i="63"/>
  <c r="AC20" i="63" s="1"/>
  <c r="A19" i="63"/>
  <c r="AC19" i="63" s="1"/>
  <c r="A18" i="63"/>
  <c r="AC18" i="63" s="1"/>
  <c r="A17" i="63"/>
  <c r="AC17" i="63" s="1"/>
  <c r="A16" i="63"/>
  <c r="AC16" i="63" s="1"/>
  <c r="A15" i="63"/>
  <c r="AC15" i="63" s="1"/>
  <c r="A14" i="63"/>
  <c r="AC14" i="63" s="1"/>
  <c r="A13" i="63"/>
  <c r="AC13" i="63" s="1"/>
  <c r="A12" i="63"/>
  <c r="AC12" i="63" s="1"/>
  <c r="A11" i="63"/>
  <c r="AC11" i="63" s="1"/>
  <c r="A10" i="63"/>
  <c r="AC10" i="63" s="1"/>
  <c r="A9" i="63"/>
  <c r="AC9" i="63" s="1"/>
  <c r="A8" i="63"/>
  <c r="AC8" i="63" s="1"/>
  <c r="A7" i="63"/>
  <c r="AC7" i="63" s="1"/>
  <c r="A6" i="63"/>
  <c r="AC6" i="63" s="1"/>
  <c r="A5" i="63"/>
  <c r="AC5" i="63" s="1"/>
  <c r="A4" i="63"/>
  <c r="AC4" i="63" s="1"/>
  <c r="A3" i="63"/>
  <c r="AC3" i="63" s="1"/>
  <c r="A2" i="63"/>
  <c r="E247" i="1" l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C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AA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AA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AA81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AA86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AA91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AA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AA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AA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AA152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AA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AA162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AA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AA129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AA158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AA163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AA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AA171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AA176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AA185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AA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AA4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AA51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AA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AA72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AA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AA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AA18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AA138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AA144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AA148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AA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AA10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AA120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AA134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AA139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AA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AA32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AA38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AA42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AA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AA57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AA62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AA66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AA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AA88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AA112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AA116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AA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AA130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AA140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AA145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AA154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AA168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AA172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AA178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AA186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AA53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AA58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AA9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AA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AA126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AA150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AA155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AA187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AA198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AA27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AA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AA44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AA48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AA74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AA89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AA11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AA122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AA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AA160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AA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AA174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AA188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AA203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AA82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AA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AA9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AA1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AA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AA25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AA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AA40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AA59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AA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AA94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AA99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AA10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AA114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AA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AA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AA136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AA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AA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AA204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AA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AA11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AA16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AA35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AA49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AA64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AA70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AA75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AA80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AA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AA105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AA110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AA123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AA137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AA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AA190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AA195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AA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AA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AA18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AA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AA30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AA34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AA43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AA56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AA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AA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AA73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AA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AA83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AA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AA97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AA102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AA113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AA128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AA131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AA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AA147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AA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AA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AA166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AA170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AA173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AA19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AA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AA202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AA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AA3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AA10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AA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AA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AA24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AA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AA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AA41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AA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AA54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AA65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AA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AA76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AA85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AA104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AA108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AA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AA115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AA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AA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AA149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AA153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AA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AA161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AA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AA179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AA182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AA19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AA200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AA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AA8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AA17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AA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AA26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AA33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AA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AA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AA50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AA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AA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AA67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AA78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AA90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AA96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AA10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AA117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AA121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AA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AA142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AA146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AA169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AA177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AA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AA184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AA193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AA201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5" i="43"/>
  <c r="M35" i="43"/>
  <c r="R35" i="43" l="1"/>
  <c r="Q35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60"/>
  <c r="M36" i="60"/>
  <c r="D36" i="60"/>
  <c r="B36" i="60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C196" i="5" s="1"/>
  <c r="A195" i="5"/>
  <c r="AC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B195" i="5"/>
  <c r="AA195" i="5"/>
  <c r="Z195" i="5"/>
  <c r="X195" i="5"/>
  <c r="Z196" i="5"/>
  <c r="AB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C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AB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0" l="1"/>
  <c r="A7" i="60" s="1"/>
  <c r="A8" i="60" s="1"/>
  <c r="A9" i="60" s="1"/>
  <c r="A10" i="60" s="1"/>
  <c r="A11" i="60" s="1"/>
  <c r="A12" i="60" s="1"/>
  <c r="A13" i="60" s="1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6" i="6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0"/>
  <c r="L6" i="60"/>
  <c r="L7" i="60" s="1"/>
  <c r="L8" i="60" s="1"/>
  <c r="L9" i="60" s="1"/>
  <c r="L10" i="60" s="1"/>
  <c r="L11" i="60" s="1"/>
  <c r="L12" i="60" s="1"/>
  <c r="L13" i="60" s="1"/>
  <c r="L14" i="60" s="1"/>
  <c r="L15" i="60" s="1"/>
  <c r="L16" i="60" s="1"/>
  <c r="L17" i="60" s="1"/>
  <c r="L18" i="60" s="1"/>
  <c r="L19" i="60" s="1"/>
  <c r="L20" i="60" s="1"/>
  <c r="L21" i="60" s="1"/>
  <c r="L22" i="60" s="1"/>
  <c r="L23" i="60" s="1"/>
  <c r="L24" i="60" s="1"/>
  <c r="L25" i="60" s="1"/>
  <c r="L26" i="60" s="1"/>
  <c r="L27" i="60" s="1"/>
  <c r="L28" i="60" s="1"/>
  <c r="L29" i="60" s="1"/>
  <c r="L30" i="60" s="1"/>
  <c r="L31" i="60" s="1"/>
  <c r="L32" i="60" s="1"/>
  <c r="L33" i="60" s="1"/>
  <c r="L34" i="60" s="1"/>
  <c r="L35" i="60" s="1"/>
  <c r="R36" i="61" l="1"/>
  <c r="U36" i="61"/>
  <c r="J36" i="61"/>
  <c r="Q36" i="61"/>
  <c r="F36" i="60"/>
  <c r="G36" i="60"/>
  <c r="J36" i="60"/>
  <c r="U36" i="60"/>
  <c r="Q36" i="60"/>
  <c r="F36" i="61"/>
  <c r="G36" i="61"/>
  <c r="G36" i="56"/>
  <c r="R36" i="57" l="1"/>
  <c r="U36" i="57"/>
  <c r="F36" i="57"/>
  <c r="G36" i="57"/>
  <c r="J36" i="57"/>
  <c r="Q36" i="57"/>
  <c r="J36" i="56"/>
  <c r="F36" i="56"/>
  <c r="U35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5" i="43"/>
  <c r="J35" i="43"/>
  <c r="G35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C194" i="5" s="1"/>
  <c r="A193" i="5"/>
  <c r="AC193" i="5" s="1"/>
  <c r="A192" i="5"/>
  <c r="AC192" i="5" s="1"/>
  <c r="A191" i="5"/>
  <c r="AC191" i="5" s="1"/>
  <c r="A190" i="5"/>
  <c r="AC190" i="5" s="1"/>
  <c r="A189" i="5"/>
  <c r="AC189" i="5" s="1"/>
  <c r="A188" i="5"/>
  <c r="AC188" i="5" s="1"/>
  <c r="A187" i="5"/>
  <c r="AC187" i="5" s="1"/>
  <c r="A186" i="5"/>
  <c r="AC186" i="5" s="1"/>
  <c r="A185" i="5"/>
  <c r="AC185" i="5" s="1"/>
  <c r="A184" i="5"/>
  <c r="AC184" i="5" s="1"/>
  <c r="A183" i="5"/>
  <c r="AC183" i="5" s="1"/>
  <c r="A182" i="5"/>
  <c r="AC182" i="5" s="1"/>
  <c r="A181" i="5"/>
  <c r="AC181" i="5" s="1"/>
  <c r="A180" i="5"/>
  <c r="AC180" i="5" s="1"/>
  <c r="A179" i="5"/>
  <c r="AC179" i="5" s="1"/>
  <c r="A178" i="5"/>
  <c r="AC178" i="5" s="1"/>
  <c r="A177" i="5"/>
  <c r="AC177" i="5" s="1"/>
  <c r="A176" i="5"/>
  <c r="AC176" i="5" s="1"/>
  <c r="A175" i="5"/>
  <c r="AC175" i="5" s="1"/>
  <c r="A174" i="5"/>
  <c r="AC174" i="5" s="1"/>
  <c r="A173" i="5"/>
  <c r="AC173" i="5" s="1"/>
  <c r="A172" i="5"/>
  <c r="AC172" i="5" s="1"/>
  <c r="A171" i="5"/>
  <c r="AC171" i="5" s="1"/>
  <c r="A170" i="5"/>
  <c r="AC170" i="5" s="1"/>
  <c r="A169" i="5"/>
  <c r="AC169" i="5" s="1"/>
  <c r="A168" i="5"/>
  <c r="AC168" i="5" s="1"/>
  <c r="A167" i="5"/>
  <c r="AC167" i="5" s="1"/>
  <c r="A166" i="5"/>
  <c r="AC166" i="5" s="1"/>
  <c r="A165" i="5"/>
  <c r="AC165" i="5" s="1"/>
  <c r="A164" i="5"/>
  <c r="AC164" i="5" s="1"/>
  <c r="A163" i="5"/>
  <c r="AC163" i="5" s="1"/>
  <c r="A162" i="5"/>
  <c r="AC162" i="5" s="1"/>
  <c r="A161" i="5"/>
  <c r="AC161" i="5" s="1"/>
  <c r="A160" i="5"/>
  <c r="AC160" i="5" s="1"/>
  <c r="A159" i="5"/>
  <c r="AC159" i="5" s="1"/>
  <c r="A158" i="5"/>
  <c r="AC158" i="5" s="1"/>
  <c r="A157" i="5"/>
  <c r="AC157" i="5" s="1"/>
  <c r="A156" i="5"/>
  <c r="AC156" i="5" s="1"/>
  <c r="A155" i="5"/>
  <c r="AC155" i="5" s="1"/>
  <c r="A154" i="5"/>
  <c r="AC154" i="5" s="1"/>
  <c r="A153" i="5"/>
  <c r="AC153" i="5" s="1"/>
  <c r="A152" i="5"/>
  <c r="AC152" i="5" s="1"/>
  <c r="A151" i="5"/>
  <c r="AC151" i="5" s="1"/>
  <c r="A150" i="5"/>
  <c r="AC150" i="5" s="1"/>
  <c r="A149" i="5"/>
  <c r="AC149" i="5" s="1"/>
  <c r="A148" i="5"/>
  <c r="AC148" i="5" s="1"/>
  <c r="A147" i="5"/>
  <c r="AC147" i="5" s="1"/>
  <c r="A146" i="5"/>
  <c r="AC146" i="5" s="1"/>
  <c r="A145" i="5"/>
  <c r="AC145" i="5" s="1"/>
  <c r="A144" i="5"/>
  <c r="AC144" i="5" s="1"/>
  <c r="A143" i="5"/>
  <c r="AC143" i="5" s="1"/>
  <c r="A142" i="5"/>
  <c r="AC142" i="5" s="1"/>
  <c r="A141" i="5"/>
  <c r="AC141" i="5" s="1"/>
  <c r="A140" i="5"/>
  <c r="AC140" i="5" s="1"/>
  <c r="A139" i="5"/>
  <c r="AC139" i="5" s="1"/>
  <c r="A138" i="5"/>
  <c r="AC138" i="5" s="1"/>
  <c r="A137" i="5"/>
  <c r="AC137" i="5" s="1"/>
  <c r="A136" i="5"/>
  <c r="AC136" i="5" s="1"/>
  <c r="A135" i="5"/>
  <c r="AC135" i="5" s="1"/>
  <c r="A134" i="5"/>
  <c r="AC134" i="5" s="1"/>
  <c r="A133" i="5"/>
  <c r="AC133" i="5" s="1"/>
  <c r="A132" i="5"/>
  <c r="AC132" i="5" s="1"/>
  <c r="A131" i="5"/>
  <c r="AC131" i="5" s="1"/>
  <c r="A130" i="5"/>
  <c r="AC130" i="5" s="1"/>
  <c r="A129" i="5"/>
  <c r="AC129" i="5" s="1"/>
  <c r="A128" i="5"/>
  <c r="AC128" i="5" s="1"/>
  <c r="A127" i="5"/>
  <c r="AC127" i="5" s="1"/>
  <c r="A126" i="5"/>
  <c r="AC126" i="5" s="1"/>
  <c r="A125" i="5"/>
  <c r="AC125" i="5" s="1"/>
  <c r="A124" i="5"/>
  <c r="AC124" i="5" s="1"/>
  <c r="A123" i="5"/>
  <c r="AC123" i="5" s="1"/>
  <c r="A122" i="5"/>
  <c r="AC122" i="5" s="1"/>
  <c r="A121" i="5"/>
  <c r="AC121" i="5" s="1"/>
  <c r="A120" i="5"/>
  <c r="AC120" i="5" s="1"/>
  <c r="A119" i="5"/>
  <c r="AC119" i="5" s="1"/>
  <c r="A118" i="5"/>
  <c r="AC118" i="5" s="1"/>
  <c r="A117" i="5"/>
  <c r="AC117" i="5" s="1"/>
  <c r="A116" i="5"/>
  <c r="AC116" i="5" s="1"/>
  <c r="A115" i="5"/>
  <c r="AC115" i="5" s="1"/>
  <c r="A114" i="5"/>
  <c r="AC114" i="5" s="1"/>
  <c r="A113" i="5"/>
  <c r="AC113" i="5" s="1"/>
  <c r="A112" i="5"/>
  <c r="AC112" i="5" s="1"/>
  <c r="A111" i="5"/>
  <c r="AC111" i="5" s="1"/>
  <c r="A110" i="5"/>
  <c r="AC110" i="5" s="1"/>
  <c r="A109" i="5"/>
  <c r="AC109" i="5" s="1"/>
  <c r="A108" i="5"/>
  <c r="AC108" i="5" s="1"/>
  <c r="A107" i="5"/>
  <c r="AC107" i="5" s="1"/>
  <c r="A106" i="5"/>
  <c r="AC106" i="5" s="1"/>
  <c r="A105" i="5"/>
  <c r="AC105" i="5" s="1"/>
  <c r="A104" i="5"/>
  <c r="AC104" i="5" s="1"/>
  <c r="A103" i="5"/>
  <c r="AC103" i="5" s="1"/>
  <c r="A102" i="5"/>
  <c r="AC102" i="5" s="1"/>
  <c r="A101" i="5"/>
  <c r="AC101" i="5" s="1"/>
  <c r="A100" i="5"/>
  <c r="AC100" i="5" s="1"/>
  <c r="A99" i="5"/>
  <c r="AC99" i="5" s="1"/>
  <c r="A98" i="5"/>
  <c r="AC98" i="5" s="1"/>
  <c r="A97" i="5"/>
  <c r="AC97" i="5" s="1"/>
  <c r="A96" i="5"/>
  <c r="AC96" i="5" s="1"/>
  <c r="A95" i="5"/>
  <c r="AC95" i="5" s="1"/>
  <c r="A94" i="5"/>
  <c r="AC94" i="5" s="1"/>
  <c r="A93" i="5"/>
  <c r="AC93" i="5" s="1"/>
  <c r="A92" i="5"/>
  <c r="AC92" i="5" s="1"/>
  <c r="A91" i="5"/>
  <c r="AC91" i="5" s="1"/>
  <c r="A90" i="5"/>
  <c r="AC90" i="5" s="1"/>
  <c r="A89" i="5"/>
  <c r="AC89" i="5" s="1"/>
  <c r="A88" i="5"/>
  <c r="AC88" i="5" s="1"/>
  <c r="A87" i="5"/>
  <c r="AC87" i="5" s="1"/>
  <c r="A86" i="5"/>
  <c r="AC86" i="5" s="1"/>
  <c r="A85" i="5"/>
  <c r="AC85" i="5" s="1"/>
  <c r="A84" i="5"/>
  <c r="AC84" i="5" s="1"/>
  <c r="A83" i="5"/>
  <c r="AC83" i="5" s="1"/>
  <c r="A82" i="5"/>
  <c r="AC82" i="5" s="1"/>
  <c r="A81" i="5"/>
  <c r="AC81" i="5" s="1"/>
  <c r="A80" i="5"/>
  <c r="AC80" i="5" s="1"/>
  <c r="A79" i="5"/>
  <c r="AC79" i="5" s="1"/>
  <c r="A78" i="5"/>
  <c r="AC78" i="5" s="1"/>
  <c r="A77" i="5"/>
  <c r="AC77" i="5" s="1"/>
  <c r="A76" i="5"/>
  <c r="AC76" i="5" s="1"/>
  <c r="A75" i="5"/>
  <c r="AC75" i="5" s="1"/>
  <c r="A74" i="5"/>
  <c r="AC74" i="5" s="1"/>
  <c r="A73" i="5"/>
  <c r="AC73" i="5" s="1"/>
  <c r="A72" i="5"/>
  <c r="AC72" i="5" s="1"/>
  <c r="A71" i="5"/>
  <c r="AC71" i="5" s="1"/>
  <c r="A70" i="5"/>
  <c r="AC70" i="5" s="1"/>
  <c r="A69" i="5"/>
  <c r="AC69" i="5" s="1"/>
  <c r="A68" i="5"/>
  <c r="AC68" i="5" s="1"/>
  <c r="A67" i="5"/>
  <c r="AC67" i="5" s="1"/>
  <c r="A66" i="5"/>
  <c r="AC66" i="5" s="1"/>
  <c r="A65" i="5"/>
  <c r="AC65" i="5" s="1"/>
  <c r="A64" i="5"/>
  <c r="AC64" i="5" s="1"/>
  <c r="A63" i="5"/>
  <c r="AC63" i="5" s="1"/>
  <c r="A62" i="5"/>
  <c r="AC62" i="5" s="1"/>
  <c r="A61" i="5"/>
  <c r="AC61" i="5" s="1"/>
  <c r="A60" i="5"/>
  <c r="AC60" i="5" s="1"/>
  <c r="A59" i="5"/>
  <c r="AC59" i="5" s="1"/>
  <c r="A58" i="5"/>
  <c r="AC58" i="5" s="1"/>
  <c r="A57" i="5"/>
  <c r="AC57" i="5" s="1"/>
  <c r="A56" i="5"/>
  <c r="AC56" i="5" s="1"/>
  <c r="A55" i="5"/>
  <c r="AC55" i="5" s="1"/>
  <c r="A54" i="5"/>
  <c r="AC54" i="5" s="1"/>
  <c r="A53" i="5"/>
  <c r="AC53" i="5" s="1"/>
  <c r="A52" i="5"/>
  <c r="AC52" i="5" s="1"/>
  <c r="A51" i="5"/>
  <c r="AC51" i="5" s="1"/>
  <c r="A50" i="5"/>
  <c r="AC50" i="5" s="1"/>
  <c r="A49" i="5"/>
  <c r="AC49" i="5" s="1"/>
  <c r="A48" i="5"/>
  <c r="AC48" i="5" s="1"/>
  <c r="A47" i="5"/>
  <c r="AC47" i="5" s="1"/>
  <c r="A46" i="5"/>
  <c r="AC46" i="5" s="1"/>
  <c r="A45" i="5"/>
  <c r="AC45" i="5" s="1"/>
  <c r="A44" i="5"/>
  <c r="AC44" i="5" s="1"/>
  <c r="A43" i="5"/>
  <c r="AC43" i="5" s="1"/>
  <c r="A42" i="5"/>
  <c r="AC42" i="5" s="1"/>
  <c r="A41" i="5"/>
  <c r="AC41" i="5" s="1"/>
  <c r="A40" i="5"/>
  <c r="AC40" i="5" s="1"/>
  <c r="A39" i="5"/>
  <c r="AC39" i="5" s="1"/>
  <c r="A38" i="5"/>
  <c r="AC38" i="5" s="1"/>
  <c r="A37" i="5"/>
  <c r="AC37" i="5" s="1"/>
  <c r="A36" i="5"/>
  <c r="AC36" i="5" s="1"/>
  <c r="A35" i="5"/>
  <c r="AC35" i="5" s="1"/>
  <c r="A34" i="5"/>
  <c r="AC34" i="5" s="1"/>
  <c r="A33" i="5"/>
  <c r="AC33" i="5" s="1"/>
  <c r="A32" i="5"/>
  <c r="AC32" i="5" s="1"/>
  <c r="A31" i="5"/>
  <c r="AC31" i="5" s="1"/>
  <c r="A30" i="5"/>
  <c r="AC30" i="5" s="1"/>
  <c r="A29" i="5"/>
  <c r="AC29" i="5" s="1"/>
  <c r="A28" i="5"/>
  <c r="AC28" i="5" s="1"/>
  <c r="A27" i="5"/>
  <c r="AC27" i="5" s="1"/>
  <c r="A26" i="5"/>
  <c r="AC26" i="5" s="1"/>
  <c r="A25" i="5"/>
  <c r="AC25" i="5" s="1"/>
  <c r="A24" i="5"/>
  <c r="AC24" i="5" s="1"/>
  <c r="A23" i="5"/>
  <c r="AC23" i="5" s="1"/>
  <c r="A22" i="5"/>
  <c r="AC22" i="5" s="1"/>
  <c r="A21" i="5"/>
  <c r="AC21" i="5" s="1"/>
  <c r="A20" i="5"/>
  <c r="AC20" i="5" s="1"/>
  <c r="A19" i="5"/>
  <c r="AC19" i="5" s="1"/>
  <c r="A18" i="5"/>
  <c r="AC18" i="5" s="1"/>
  <c r="A17" i="5"/>
  <c r="AC17" i="5" s="1"/>
  <c r="A3" i="5"/>
  <c r="AC3" i="5" s="1"/>
  <c r="A16" i="5"/>
  <c r="AC16" i="5" s="1"/>
  <c r="A15" i="5"/>
  <c r="AC15" i="5" s="1"/>
  <c r="A204" i="5"/>
  <c r="AC204" i="5" s="1"/>
  <c r="A203" i="5"/>
  <c r="AC203" i="5" s="1"/>
  <c r="A14" i="5"/>
  <c r="AC14" i="5" s="1"/>
  <c r="A200" i="5"/>
  <c r="AC200" i="5" s="1"/>
  <c r="A13" i="5"/>
  <c r="AC13" i="5" s="1"/>
  <c r="A12" i="5"/>
  <c r="AC12" i="5" s="1"/>
  <c r="A11" i="5"/>
  <c r="AC11" i="5" s="1"/>
  <c r="A10" i="5"/>
  <c r="AC10" i="5" s="1"/>
  <c r="A9" i="5"/>
  <c r="AC9" i="5" s="1"/>
  <c r="A8" i="5"/>
  <c r="AC8" i="5" s="1"/>
  <c r="A7" i="5"/>
  <c r="AC7" i="5" s="1"/>
  <c r="A6" i="5"/>
  <c r="AC6" i="5" s="1"/>
  <c r="A5" i="5"/>
  <c r="AC5" i="5" s="1"/>
  <c r="A2" i="5"/>
  <c r="A4" i="5"/>
  <c r="AC4" i="5" s="1"/>
  <c r="A201" i="5"/>
  <c r="AC201" i="5" s="1"/>
  <c r="A199" i="5"/>
  <c r="AC199" i="5" s="1"/>
  <c r="A198" i="5"/>
  <c r="AC198" i="5" s="1"/>
  <c r="A197" i="5"/>
  <c r="AC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C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B29" i="5"/>
  <c r="AA29" i="5"/>
  <c r="X29" i="5"/>
  <c r="Z77" i="5"/>
  <c r="AB77" i="5"/>
  <c r="AA77" i="5"/>
  <c r="X77" i="5"/>
  <c r="Z173" i="5"/>
  <c r="AA173" i="5"/>
  <c r="AB173" i="5"/>
  <c r="X173" i="5"/>
  <c r="AB198" i="5"/>
  <c r="X198" i="5"/>
  <c r="Z198" i="5"/>
  <c r="AA198" i="5"/>
  <c r="Z8" i="5"/>
  <c r="AB8" i="5"/>
  <c r="X8" i="5"/>
  <c r="AA8" i="5"/>
  <c r="Z203" i="5"/>
  <c r="AB203" i="5"/>
  <c r="X203" i="5"/>
  <c r="AA203" i="5"/>
  <c r="Z20" i="5"/>
  <c r="AB20" i="5"/>
  <c r="AA20" i="5"/>
  <c r="X20" i="5"/>
  <c r="Z28" i="5"/>
  <c r="AB28" i="5"/>
  <c r="AA28" i="5"/>
  <c r="X28" i="5"/>
  <c r="Z36" i="5"/>
  <c r="AB36" i="5"/>
  <c r="AA36" i="5"/>
  <c r="X36" i="5"/>
  <c r="Z44" i="5"/>
  <c r="AB44" i="5"/>
  <c r="X44" i="5"/>
  <c r="AA44" i="5"/>
  <c r="Z52" i="5"/>
  <c r="AB52" i="5"/>
  <c r="AA52" i="5"/>
  <c r="X52" i="5"/>
  <c r="Z60" i="5"/>
  <c r="AB60" i="5"/>
  <c r="X60" i="5"/>
  <c r="AA60" i="5"/>
  <c r="Z68" i="5"/>
  <c r="AB68" i="5"/>
  <c r="AA68" i="5"/>
  <c r="X68" i="5"/>
  <c r="Z76" i="5"/>
  <c r="AB76" i="5"/>
  <c r="AA76" i="5"/>
  <c r="X76" i="5"/>
  <c r="Z84" i="5"/>
  <c r="AB84" i="5"/>
  <c r="AA84" i="5"/>
  <c r="X84" i="5"/>
  <c r="Z92" i="5"/>
  <c r="AB92" i="5"/>
  <c r="AA92" i="5"/>
  <c r="X92" i="5"/>
  <c r="Z100" i="5"/>
  <c r="AB100" i="5"/>
  <c r="AA100" i="5"/>
  <c r="X100" i="5"/>
  <c r="Z108" i="5"/>
  <c r="AB108" i="5"/>
  <c r="AA108" i="5"/>
  <c r="X108" i="5"/>
  <c r="Z116" i="5"/>
  <c r="AB116" i="5"/>
  <c r="AA116" i="5"/>
  <c r="X116" i="5"/>
  <c r="Z124" i="5"/>
  <c r="AB124" i="5"/>
  <c r="X124" i="5"/>
  <c r="AA124" i="5"/>
  <c r="Z132" i="5"/>
  <c r="AB132" i="5"/>
  <c r="AA132" i="5"/>
  <c r="X132" i="5"/>
  <c r="Z140" i="5"/>
  <c r="AB140" i="5"/>
  <c r="AA140" i="5"/>
  <c r="X140" i="5"/>
  <c r="Z148" i="5"/>
  <c r="AB148" i="5"/>
  <c r="AA148" i="5"/>
  <c r="X148" i="5"/>
  <c r="Z156" i="5"/>
  <c r="AB156" i="5"/>
  <c r="AA156" i="5"/>
  <c r="X156" i="5"/>
  <c r="Z164" i="5"/>
  <c r="AB164" i="5"/>
  <c r="AA164" i="5"/>
  <c r="X164" i="5"/>
  <c r="Z172" i="5"/>
  <c r="AB172" i="5"/>
  <c r="X172" i="5"/>
  <c r="AA172" i="5"/>
  <c r="Z180" i="5"/>
  <c r="AB180" i="5"/>
  <c r="AA180" i="5"/>
  <c r="X180" i="5"/>
  <c r="Z188" i="5"/>
  <c r="AB188" i="5"/>
  <c r="X188" i="5"/>
  <c r="AA188" i="5"/>
  <c r="Z9" i="5"/>
  <c r="AB9" i="5"/>
  <c r="AA9" i="5"/>
  <c r="X9" i="5"/>
  <c r="Z45" i="5"/>
  <c r="X45" i="5"/>
  <c r="AB45" i="5"/>
  <c r="AA45" i="5"/>
  <c r="Z61" i="5"/>
  <c r="AB61" i="5"/>
  <c r="AA61" i="5"/>
  <c r="X61" i="5"/>
  <c r="Z69" i="5"/>
  <c r="X69" i="5"/>
  <c r="AB69" i="5"/>
  <c r="AA69" i="5"/>
  <c r="Z93" i="5"/>
  <c r="AB93" i="5"/>
  <c r="AA93" i="5"/>
  <c r="X93" i="5"/>
  <c r="Z101" i="5"/>
  <c r="AB101" i="5"/>
  <c r="AA101" i="5"/>
  <c r="X101" i="5"/>
  <c r="Z109" i="5"/>
  <c r="AB109" i="5"/>
  <c r="AA109" i="5"/>
  <c r="X109" i="5"/>
  <c r="Z125" i="5"/>
  <c r="AB125" i="5"/>
  <c r="AA125" i="5"/>
  <c r="X125" i="5"/>
  <c r="Z133" i="5"/>
  <c r="AB133" i="5"/>
  <c r="AA133" i="5"/>
  <c r="X133" i="5"/>
  <c r="Z141" i="5"/>
  <c r="AB141" i="5"/>
  <c r="AA141" i="5"/>
  <c r="X141" i="5"/>
  <c r="Z149" i="5"/>
  <c r="X149" i="5"/>
  <c r="AB149" i="5"/>
  <c r="AA149" i="5"/>
  <c r="Z165" i="5"/>
  <c r="AB165" i="5"/>
  <c r="AA165" i="5"/>
  <c r="X165" i="5"/>
  <c r="Z189" i="5"/>
  <c r="AB189" i="5"/>
  <c r="AA189" i="5"/>
  <c r="X189" i="5"/>
  <c r="Z201" i="5"/>
  <c r="AB201" i="5"/>
  <c r="AA201" i="5"/>
  <c r="X201" i="5"/>
  <c r="Z10" i="5"/>
  <c r="AB10" i="5"/>
  <c r="AA10" i="5"/>
  <c r="X10" i="5"/>
  <c r="Z15" i="5"/>
  <c r="AB15" i="5"/>
  <c r="X15" i="5"/>
  <c r="AA15" i="5"/>
  <c r="Z22" i="5"/>
  <c r="AB22" i="5"/>
  <c r="AA22" i="5"/>
  <c r="X22" i="5"/>
  <c r="Z30" i="5"/>
  <c r="AB30" i="5"/>
  <c r="AA30" i="5"/>
  <c r="X30" i="5"/>
  <c r="Z38" i="5"/>
  <c r="AB38" i="5"/>
  <c r="AA38" i="5"/>
  <c r="X38" i="5"/>
  <c r="Z46" i="5"/>
  <c r="X46" i="5"/>
  <c r="AB46" i="5"/>
  <c r="AA46" i="5"/>
  <c r="Z54" i="5"/>
  <c r="X54" i="5"/>
  <c r="AB54" i="5"/>
  <c r="AA54" i="5"/>
  <c r="Z62" i="5"/>
  <c r="AB62" i="5"/>
  <c r="AA62" i="5"/>
  <c r="X62" i="5"/>
  <c r="Z70" i="5"/>
  <c r="AB70" i="5"/>
  <c r="AA70" i="5"/>
  <c r="X70" i="5"/>
  <c r="Z78" i="5"/>
  <c r="AA78" i="5"/>
  <c r="AB78" i="5"/>
  <c r="X78" i="5"/>
  <c r="Z86" i="5"/>
  <c r="AB86" i="5"/>
  <c r="AA86" i="5"/>
  <c r="X86" i="5"/>
  <c r="Z94" i="5"/>
  <c r="X94" i="5"/>
  <c r="AB94" i="5"/>
  <c r="AA94" i="5"/>
  <c r="Z102" i="5"/>
  <c r="AB102" i="5"/>
  <c r="AA102" i="5"/>
  <c r="X102" i="5"/>
  <c r="Z110" i="5"/>
  <c r="X110" i="5"/>
  <c r="AB110" i="5"/>
  <c r="AA110" i="5"/>
  <c r="Z118" i="5"/>
  <c r="AB118" i="5"/>
  <c r="AA118" i="5"/>
  <c r="X118" i="5"/>
  <c r="Z126" i="5"/>
  <c r="AB126" i="5"/>
  <c r="AA126" i="5"/>
  <c r="X126" i="5"/>
  <c r="Z134" i="5"/>
  <c r="AB134" i="5"/>
  <c r="AA134" i="5"/>
  <c r="X134" i="5"/>
  <c r="Z142" i="5"/>
  <c r="AA142" i="5"/>
  <c r="AB142" i="5"/>
  <c r="X142" i="5"/>
  <c r="Z150" i="5"/>
  <c r="AB150" i="5"/>
  <c r="AA150" i="5"/>
  <c r="X150" i="5"/>
  <c r="Z158" i="5"/>
  <c r="AB158" i="5"/>
  <c r="AA158" i="5"/>
  <c r="X158" i="5"/>
  <c r="Z166" i="5"/>
  <c r="AB166" i="5"/>
  <c r="AA166" i="5"/>
  <c r="X166" i="5"/>
  <c r="Z174" i="5"/>
  <c r="X174" i="5"/>
  <c r="AB174" i="5"/>
  <c r="AA174" i="5"/>
  <c r="Z182" i="5"/>
  <c r="AB182" i="5"/>
  <c r="AA182" i="5"/>
  <c r="X182" i="5"/>
  <c r="Z190" i="5"/>
  <c r="AB190" i="5"/>
  <c r="AA190" i="5"/>
  <c r="X190" i="5"/>
  <c r="Z21" i="5"/>
  <c r="X21" i="5"/>
  <c r="AB21" i="5"/>
  <c r="AA21" i="5"/>
  <c r="Z85" i="5"/>
  <c r="X85" i="5"/>
  <c r="AA85" i="5"/>
  <c r="AB85" i="5"/>
  <c r="Z181" i="5"/>
  <c r="AB181" i="5"/>
  <c r="AA181" i="5"/>
  <c r="X181" i="5"/>
  <c r="Z4" i="5"/>
  <c r="AB4" i="5"/>
  <c r="AA4" i="5"/>
  <c r="X4" i="5"/>
  <c r="AA11" i="5"/>
  <c r="Z11" i="5"/>
  <c r="AB11" i="5"/>
  <c r="X11" i="5"/>
  <c r="AA16" i="5"/>
  <c r="Z16" i="5"/>
  <c r="X16" i="5"/>
  <c r="AB16" i="5"/>
  <c r="AA23" i="5"/>
  <c r="AB23" i="5"/>
  <c r="X23" i="5"/>
  <c r="Z23" i="5"/>
  <c r="AA31" i="5"/>
  <c r="Z31" i="5"/>
  <c r="X31" i="5"/>
  <c r="AB31" i="5"/>
  <c r="AA39" i="5"/>
  <c r="Z39" i="5"/>
  <c r="AB39" i="5"/>
  <c r="X39" i="5"/>
  <c r="AA47" i="5"/>
  <c r="AB47" i="5"/>
  <c r="X47" i="5"/>
  <c r="Z47" i="5"/>
  <c r="AA55" i="5"/>
  <c r="X55" i="5"/>
  <c r="Z55" i="5"/>
  <c r="AB55" i="5"/>
  <c r="AA63" i="5"/>
  <c r="X63" i="5"/>
  <c r="AB63" i="5"/>
  <c r="Z63" i="5"/>
  <c r="AA71" i="5"/>
  <c r="X71" i="5"/>
  <c r="AB71" i="5"/>
  <c r="Z71" i="5"/>
  <c r="AA79" i="5"/>
  <c r="X79" i="5"/>
  <c r="Z79" i="5"/>
  <c r="AB79" i="5"/>
  <c r="AA87" i="5"/>
  <c r="X87" i="5"/>
  <c r="AB87" i="5"/>
  <c r="Z87" i="5"/>
  <c r="AA95" i="5"/>
  <c r="X95" i="5"/>
  <c r="Z95" i="5"/>
  <c r="AB95" i="5"/>
  <c r="AA103" i="5"/>
  <c r="Z103" i="5"/>
  <c r="X103" i="5"/>
  <c r="AB103" i="5"/>
  <c r="AA111" i="5"/>
  <c r="AB111" i="5"/>
  <c r="X111" i="5"/>
  <c r="Z111" i="5"/>
  <c r="AA119" i="5"/>
  <c r="X119" i="5"/>
  <c r="Z119" i="5"/>
  <c r="AB119" i="5"/>
  <c r="AA127" i="5"/>
  <c r="X127" i="5"/>
  <c r="AB127" i="5"/>
  <c r="Z127" i="5"/>
  <c r="AA135" i="5"/>
  <c r="X135" i="5"/>
  <c r="Z135" i="5"/>
  <c r="AB135" i="5"/>
  <c r="AA143" i="5"/>
  <c r="X143" i="5"/>
  <c r="Z143" i="5"/>
  <c r="AB143" i="5"/>
  <c r="AA151" i="5"/>
  <c r="X151" i="5"/>
  <c r="AB151" i="5"/>
  <c r="Z151" i="5"/>
  <c r="AA159" i="5"/>
  <c r="X159" i="5"/>
  <c r="Z159" i="5"/>
  <c r="AB159" i="5"/>
  <c r="AA167" i="5"/>
  <c r="Z167" i="5"/>
  <c r="X167" i="5"/>
  <c r="AB167" i="5"/>
  <c r="AA175" i="5"/>
  <c r="AB175" i="5"/>
  <c r="X175" i="5"/>
  <c r="Z175" i="5"/>
  <c r="AA183" i="5"/>
  <c r="X183" i="5"/>
  <c r="Z183" i="5"/>
  <c r="AB183" i="5"/>
  <c r="AA191" i="5"/>
  <c r="X191" i="5"/>
  <c r="AB191" i="5"/>
  <c r="Z191" i="5"/>
  <c r="Z37" i="5"/>
  <c r="AB37" i="5"/>
  <c r="AA37" i="5"/>
  <c r="X37" i="5"/>
  <c r="Z157" i="5"/>
  <c r="AB157" i="5"/>
  <c r="AA157" i="5"/>
  <c r="X157" i="5"/>
  <c r="AA3" i="5"/>
  <c r="Z3" i="5"/>
  <c r="X3" i="5"/>
  <c r="AB3" i="5"/>
  <c r="AA48" i="5"/>
  <c r="AB48" i="5"/>
  <c r="X48" i="5"/>
  <c r="Z48" i="5"/>
  <c r="AA72" i="5"/>
  <c r="AB72" i="5"/>
  <c r="X72" i="5"/>
  <c r="Z72" i="5"/>
  <c r="AA96" i="5"/>
  <c r="X96" i="5"/>
  <c r="Z96" i="5"/>
  <c r="AB96" i="5"/>
  <c r="AA112" i="5"/>
  <c r="AB112" i="5"/>
  <c r="X112" i="5"/>
  <c r="Z112" i="5"/>
  <c r="AA136" i="5"/>
  <c r="AB136" i="5"/>
  <c r="X136" i="5"/>
  <c r="Z136" i="5"/>
  <c r="AA152" i="5"/>
  <c r="X152" i="5"/>
  <c r="AB152" i="5"/>
  <c r="Z152" i="5"/>
  <c r="AA176" i="5"/>
  <c r="AB176" i="5"/>
  <c r="X176" i="5"/>
  <c r="Z176" i="5"/>
  <c r="X5" i="5"/>
  <c r="AA5" i="5"/>
  <c r="Z5" i="5"/>
  <c r="AB5" i="5"/>
  <c r="X13" i="5"/>
  <c r="AA13" i="5"/>
  <c r="AB13" i="5"/>
  <c r="Z13" i="5"/>
  <c r="X17" i="5"/>
  <c r="AA17" i="5"/>
  <c r="Z17" i="5"/>
  <c r="AB17" i="5"/>
  <c r="X25" i="5"/>
  <c r="AA25" i="5"/>
  <c r="Z25" i="5"/>
  <c r="AB25" i="5"/>
  <c r="X33" i="5"/>
  <c r="AA33" i="5"/>
  <c r="AB33" i="5"/>
  <c r="Z33" i="5"/>
  <c r="X41" i="5"/>
  <c r="AA41" i="5"/>
  <c r="Z41" i="5"/>
  <c r="AB41" i="5"/>
  <c r="X49" i="5"/>
  <c r="AA49" i="5"/>
  <c r="AB49" i="5"/>
  <c r="Z49" i="5"/>
  <c r="X57" i="5"/>
  <c r="AA57" i="5"/>
  <c r="AB57" i="5"/>
  <c r="Z57" i="5"/>
  <c r="AA65" i="5"/>
  <c r="Z65" i="5"/>
  <c r="X65" i="5"/>
  <c r="AB65" i="5"/>
  <c r="AA73" i="5"/>
  <c r="AB73" i="5"/>
  <c r="X73" i="5"/>
  <c r="Z73" i="5"/>
  <c r="AA81" i="5"/>
  <c r="X81" i="5"/>
  <c r="Z81" i="5"/>
  <c r="AB81" i="5"/>
  <c r="AA89" i="5"/>
  <c r="Z89" i="5"/>
  <c r="AB89" i="5"/>
  <c r="X89" i="5"/>
  <c r="AA97" i="5"/>
  <c r="AB97" i="5"/>
  <c r="X97" i="5"/>
  <c r="Z97" i="5"/>
  <c r="AA105" i="5"/>
  <c r="Z105" i="5"/>
  <c r="X105" i="5"/>
  <c r="AB105" i="5"/>
  <c r="AA113" i="5"/>
  <c r="AB113" i="5"/>
  <c r="X113" i="5"/>
  <c r="Z113" i="5"/>
  <c r="AA121" i="5"/>
  <c r="X121" i="5"/>
  <c r="Z121" i="5"/>
  <c r="AB121" i="5"/>
  <c r="AA129" i="5"/>
  <c r="Z129" i="5"/>
  <c r="X129" i="5"/>
  <c r="AB129" i="5"/>
  <c r="AA137" i="5"/>
  <c r="AB137" i="5"/>
  <c r="X137" i="5"/>
  <c r="Z137" i="5"/>
  <c r="AA145" i="5"/>
  <c r="X145" i="5"/>
  <c r="AB145" i="5"/>
  <c r="Z145" i="5"/>
  <c r="AA153" i="5"/>
  <c r="Z153" i="5"/>
  <c r="AB153" i="5"/>
  <c r="X153" i="5"/>
  <c r="AA161" i="5"/>
  <c r="AB161" i="5"/>
  <c r="X161" i="5"/>
  <c r="Z161" i="5"/>
  <c r="AA169" i="5"/>
  <c r="Z169" i="5"/>
  <c r="X169" i="5"/>
  <c r="AB169" i="5"/>
  <c r="AA177" i="5"/>
  <c r="AB177" i="5"/>
  <c r="X177" i="5"/>
  <c r="Z177" i="5"/>
  <c r="AA185" i="5"/>
  <c r="X185" i="5"/>
  <c r="AB185" i="5"/>
  <c r="Z185" i="5"/>
  <c r="AA193" i="5"/>
  <c r="Z193" i="5"/>
  <c r="X193" i="5"/>
  <c r="AB193" i="5"/>
  <c r="Z204" i="5"/>
  <c r="X204" i="5"/>
  <c r="AB204" i="5"/>
  <c r="AA204" i="5"/>
  <c r="AA12" i="5"/>
  <c r="AB12" i="5"/>
  <c r="X12" i="5"/>
  <c r="Z12" i="5"/>
  <c r="AA32" i="5"/>
  <c r="X32" i="5"/>
  <c r="Z32" i="5"/>
  <c r="AB32" i="5"/>
  <c r="AA64" i="5"/>
  <c r="Z64" i="5"/>
  <c r="X64" i="5"/>
  <c r="AB64" i="5"/>
  <c r="AA88" i="5"/>
  <c r="X88" i="5"/>
  <c r="AB88" i="5"/>
  <c r="Z88" i="5"/>
  <c r="AA120" i="5"/>
  <c r="X120" i="5"/>
  <c r="AB120" i="5"/>
  <c r="Z120" i="5"/>
  <c r="AA144" i="5"/>
  <c r="X144" i="5"/>
  <c r="Z144" i="5"/>
  <c r="AB144" i="5"/>
  <c r="AA168" i="5"/>
  <c r="Z168" i="5"/>
  <c r="X168" i="5"/>
  <c r="AB168" i="5"/>
  <c r="AA184" i="5"/>
  <c r="X184" i="5"/>
  <c r="Z184" i="5"/>
  <c r="AB184" i="5"/>
  <c r="AB6" i="5"/>
  <c r="X6" i="5"/>
  <c r="AA6" i="5"/>
  <c r="Z6" i="5"/>
  <c r="AB200" i="5"/>
  <c r="AA200" i="5"/>
  <c r="Z200" i="5"/>
  <c r="X200" i="5"/>
  <c r="AB18" i="5"/>
  <c r="AA18" i="5"/>
  <c r="Z18" i="5"/>
  <c r="X18" i="5"/>
  <c r="AB26" i="5"/>
  <c r="AA26" i="5"/>
  <c r="Z26" i="5"/>
  <c r="X26" i="5"/>
  <c r="AB34" i="5"/>
  <c r="X34" i="5"/>
  <c r="AA34" i="5"/>
  <c r="Z34" i="5"/>
  <c r="AB42" i="5"/>
  <c r="AA42" i="5"/>
  <c r="X42" i="5"/>
  <c r="Z42" i="5"/>
  <c r="AB50" i="5"/>
  <c r="AA50" i="5"/>
  <c r="Z50" i="5"/>
  <c r="X50" i="5"/>
  <c r="AB58" i="5"/>
  <c r="Z58" i="5"/>
  <c r="X58" i="5"/>
  <c r="AA58" i="5"/>
  <c r="AB66" i="5"/>
  <c r="AA66" i="5"/>
  <c r="Z66" i="5"/>
  <c r="X66" i="5"/>
  <c r="AB74" i="5"/>
  <c r="X74" i="5"/>
  <c r="Z74" i="5"/>
  <c r="AA74" i="5"/>
  <c r="AB82" i="5"/>
  <c r="AA82" i="5"/>
  <c r="Z82" i="5"/>
  <c r="X82" i="5"/>
  <c r="AB90" i="5"/>
  <c r="AA90" i="5"/>
  <c r="Z90" i="5"/>
  <c r="X90" i="5"/>
  <c r="AB98" i="5"/>
  <c r="Z98" i="5"/>
  <c r="AA98" i="5"/>
  <c r="X98" i="5"/>
  <c r="AB106" i="5"/>
  <c r="AA106" i="5"/>
  <c r="X106" i="5"/>
  <c r="Z106" i="5"/>
  <c r="AB114" i="5"/>
  <c r="AA114" i="5"/>
  <c r="Z114" i="5"/>
  <c r="X114" i="5"/>
  <c r="AB122" i="5"/>
  <c r="Z122" i="5"/>
  <c r="AA122" i="5"/>
  <c r="X122" i="5"/>
  <c r="AB130" i="5"/>
  <c r="AA130" i="5"/>
  <c r="Z130" i="5"/>
  <c r="X130" i="5"/>
  <c r="AB138" i="5"/>
  <c r="X138" i="5"/>
  <c r="AA138" i="5"/>
  <c r="Z138" i="5"/>
  <c r="AB146" i="5"/>
  <c r="AA146" i="5"/>
  <c r="Z146" i="5"/>
  <c r="X146" i="5"/>
  <c r="AB154" i="5"/>
  <c r="AA154" i="5"/>
  <c r="Z154" i="5"/>
  <c r="X154" i="5"/>
  <c r="AB162" i="5"/>
  <c r="AA162" i="5"/>
  <c r="Z162" i="5"/>
  <c r="X162" i="5"/>
  <c r="AB170" i="5"/>
  <c r="AA170" i="5"/>
  <c r="X170" i="5"/>
  <c r="Z170" i="5"/>
  <c r="AB178" i="5"/>
  <c r="AA178" i="5"/>
  <c r="Z178" i="5"/>
  <c r="X178" i="5"/>
  <c r="AB186" i="5"/>
  <c r="AA186" i="5"/>
  <c r="X186" i="5"/>
  <c r="Z186" i="5"/>
  <c r="Z199" i="5"/>
  <c r="AB199" i="5"/>
  <c r="X199" i="5"/>
  <c r="AA199" i="5"/>
  <c r="Z53" i="5"/>
  <c r="AB53" i="5"/>
  <c r="AA53" i="5"/>
  <c r="X53" i="5"/>
  <c r="Z117" i="5"/>
  <c r="AB117" i="5"/>
  <c r="AA117" i="5"/>
  <c r="X117" i="5"/>
  <c r="AA2" i="5"/>
  <c r="Z2" i="5"/>
  <c r="X2" i="5"/>
  <c r="AB2" i="5"/>
  <c r="AA24" i="5"/>
  <c r="AB24" i="5"/>
  <c r="X24" i="5"/>
  <c r="Z24" i="5"/>
  <c r="AA40" i="5"/>
  <c r="Z40" i="5"/>
  <c r="AB40" i="5"/>
  <c r="X40" i="5"/>
  <c r="AA56" i="5"/>
  <c r="X56" i="5"/>
  <c r="Z56" i="5"/>
  <c r="AB56" i="5"/>
  <c r="AA80" i="5"/>
  <c r="X80" i="5"/>
  <c r="Z80" i="5"/>
  <c r="AB80" i="5"/>
  <c r="AA104" i="5"/>
  <c r="Z104" i="5"/>
  <c r="X104" i="5"/>
  <c r="AB104" i="5"/>
  <c r="AA128" i="5"/>
  <c r="Z128" i="5"/>
  <c r="X128" i="5"/>
  <c r="AB128" i="5"/>
  <c r="AA160" i="5"/>
  <c r="X160" i="5"/>
  <c r="AB160" i="5"/>
  <c r="Z160" i="5"/>
  <c r="AA192" i="5"/>
  <c r="Z192" i="5"/>
  <c r="AB192" i="5"/>
  <c r="X192" i="5"/>
  <c r="AB197" i="5"/>
  <c r="X197" i="5"/>
  <c r="AA197" i="5"/>
  <c r="Z197" i="5"/>
  <c r="AB7" i="5"/>
  <c r="X7" i="5"/>
  <c r="AA7" i="5"/>
  <c r="Z7" i="5"/>
  <c r="AB14" i="5"/>
  <c r="X14" i="5"/>
  <c r="AA14" i="5"/>
  <c r="Z14" i="5"/>
  <c r="AB19" i="5"/>
  <c r="X19" i="5"/>
  <c r="AA19" i="5"/>
  <c r="Z19" i="5"/>
  <c r="AB27" i="5"/>
  <c r="X27" i="5"/>
  <c r="AA27" i="5"/>
  <c r="Z27" i="5"/>
  <c r="AB35" i="5"/>
  <c r="X35" i="5"/>
  <c r="AA35" i="5"/>
  <c r="Z35" i="5"/>
  <c r="AB43" i="5"/>
  <c r="X43" i="5"/>
  <c r="AA43" i="5"/>
  <c r="Z43" i="5"/>
  <c r="AB51" i="5"/>
  <c r="X51" i="5"/>
  <c r="AA51" i="5"/>
  <c r="Z51" i="5"/>
  <c r="AB59" i="5"/>
  <c r="AA59" i="5"/>
  <c r="Z59" i="5"/>
  <c r="X59" i="5"/>
  <c r="AB67" i="5"/>
  <c r="AA67" i="5"/>
  <c r="Z67" i="5"/>
  <c r="X67" i="5"/>
  <c r="AB75" i="5"/>
  <c r="AA75" i="5"/>
  <c r="Z75" i="5"/>
  <c r="X75" i="5"/>
  <c r="AB83" i="5"/>
  <c r="AA83" i="5"/>
  <c r="Z83" i="5"/>
  <c r="X83" i="5"/>
  <c r="AB91" i="5"/>
  <c r="AA91" i="5"/>
  <c r="Z91" i="5"/>
  <c r="X91" i="5"/>
  <c r="AB99" i="5"/>
  <c r="X99" i="5"/>
  <c r="Z99" i="5"/>
  <c r="AA99" i="5"/>
  <c r="AB107" i="5"/>
  <c r="AA107" i="5"/>
  <c r="Z107" i="5"/>
  <c r="X107" i="5"/>
  <c r="AB115" i="5"/>
  <c r="AA115" i="5"/>
  <c r="Z115" i="5"/>
  <c r="X115" i="5"/>
  <c r="AB123" i="5"/>
  <c r="AA123" i="5"/>
  <c r="Z123" i="5"/>
  <c r="X123" i="5"/>
  <c r="AB131" i="5"/>
  <c r="AA131" i="5"/>
  <c r="X131" i="5"/>
  <c r="Z131" i="5"/>
  <c r="AB139" i="5"/>
  <c r="AA139" i="5"/>
  <c r="Z139" i="5"/>
  <c r="X139" i="5"/>
  <c r="AB147" i="5"/>
  <c r="Z147" i="5"/>
  <c r="X147" i="5"/>
  <c r="AA147" i="5"/>
  <c r="AB155" i="5"/>
  <c r="AA155" i="5"/>
  <c r="Z155" i="5"/>
  <c r="X155" i="5"/>
  <c r="AB163" i="5"/>
  <c r="X163" i="5"/>
  <c r="AA163" i="5"/>
  <c r="Z163" i="5"/>
  <c r="AB171" i="5"/>
  <c r="AA171" i="5"/>
  <c r="X171" i="5"/>
  <c r="Z171" i="5"/>
  <c r="AB179" i="5"/>
  <c r="AA179" i="5"/>
  <c r="Z179" i="5"/>
  <c r="X179" i="5"/>
  <c r="AB187" i="5"/>
  <c r="AA187" i="5"/>
  <c r="Z187" i="5"/>
  <c r="X187" i="5"/>
  <c r="AB194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J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J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41" i="1" l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<sst xmlns="http://schemas.openxmlformats.org/spreadsheetml/2006/main" count="1430" uniqueCount="562">
  <si>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</si>
  <si>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</si>
  <si>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</si>
  <si>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</si>
  <si>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</si>
  <si>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</si>
  <si>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</si>
  <si>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</si>
  <si>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</si>
  <si>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</si>
  <si>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</si>
  <si>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</si>
  <si>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</si>
  <si>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</si>
  <si>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</si>
  <si>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</si>
  <si>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</si>
  <si>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</si>
  <si>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</si>
  <si>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</si>
  <si>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</si>
  <si>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</si>
  <si>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</si>
  <si>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</si>
  <si>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</si>
  <si>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</si>
  <si>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</si>
  <si>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</si>
  <si>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</si>
  <si>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</si>
  <si>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</si>
  <si>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</si>
  <si>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</si>
  <si>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</si>
  <si>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</si>
  <si>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</si>
  <si>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</si>
  <si>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</si>
  <si>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</si>
  <si>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</si>
  <si>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</si>
  <si>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</si>
  <si>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</si>
  <si>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</si>
  <si>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</si>
  <si>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</si>
  <si>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</si>
  <si>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</si>
  <si>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</si>
  <si>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</si>
  <si>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</si>
  <si>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</si>
  <si>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</si>
  <si>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</si>
  <si>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</si>
  <si>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</si>
  <si>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</si>
  <si>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</si>
  <si>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</si>
  <si>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</si>
  <si>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</si>
  <si>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</si>
  <si>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</si>
  <si>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</si>
  <si>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</si>
  <si>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</si>
  <si>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</si>
  <si>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</si>
  <si>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</si>
  <si>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</si>
  <si>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</si>
  <si>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</si>
  <si>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</si>
  <si>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</si>
  <si>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</si>
  <si>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</si>
  <si>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</si>
  <si>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</si>
  <si>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</si>
  <si>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</si>
  <si>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</si>
  <si>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</si>
  <si>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</si>
  <si>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</si>
  <si>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</si>
  <si>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</si>
  <si>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</si>
  <si>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</si>
  <si>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</si>
  <si>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</si>
  <si>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</si>
  <si>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</si>
  <si>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</si>
  <si>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</si>
  <si>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</si>
  <si>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</si>
  <si>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</si>
  <si>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</si>
  <si>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</si>
  <si>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</si>
  <si>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</si>
  <si>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</si>
  <si>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</si>
  <si>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</si>
  <si>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</si>
  <si>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</si>
  <si>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</si>
  <si>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</si>
  <si>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</si>
  <si>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</si>
  <si>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</si>
  <si>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</si>
  <si>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</si>
  <si>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</si>
  <si>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</si>
  <si>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</si>
  <si>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</si>
  <si>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</si>
  <si>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</si>
  <si>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</si>
  <si>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</si>
  <si>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</si>
  <si>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</si>
  <si>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</si>
  <si>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</si>
  <si>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</si>
  <si>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</si>
  <si>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</si>
  <si>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</si>
  <si>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</si>
  <si>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</si>
  <si>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</si>
  <si>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</si>
  <si>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</si>
  <si>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</si>
  <si>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</si>
  <si>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</si>
  <si>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</si>
  <si>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</si>
  <si>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</si>
  <si>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</si>
  <si>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</si>
  <si>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</si>
  <si>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</si>
  <si>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</si>
  <si>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</si>
  <si>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</si>
  <si>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</si>
  <si>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</si>
  <si>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</si>
  <si>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</si>
  <si>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</si>
  <si>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</si>
  <si>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</si>
  <si>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</si>
  <si>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</si>
  <si>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</si>
  <si>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</si>
  <si>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</si>
  <si>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</si>
  <si>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</si>
  <si>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</si>
  <si>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</si>
  <si>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</si>
  <si>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</si>
  <si>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</si>
  <si>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</si>
  <si>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</si>
  <si>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</si>
  <si>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</si>
  <si>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</si>
  <si>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</si>
  <si>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</si>
  <si>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</si>
  <si>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</si>
  <si>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</si>
  <si>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</si>
  <si>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</si>
  <si>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</si>
  <si>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</si>
  <si>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</si>
  <si>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</si>
  <si>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</si>
  <si>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</si>
  <si>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</si>
  <si>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</si>
  <si>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</si>
  <si>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</si>
  <si>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</si>
  <si>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</si>
  <si>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</si>
  <si>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</si>
  <si>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</si>
  <si>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</si>
  <si>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</si>
  <si>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</si>
  <si>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</si>
  <si>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</si>
  <si>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</si>
  <si>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</si>
  <si>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</si>
  <si>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</si>
  <si>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</si>
  <si>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</si>
  <si>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</si>
  <si>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</si>
  <si>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</si>
  <si>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</si>
  <si>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</si>
  <si>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</si>
  <si>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</si>
  <si>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</si>
  <si>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</si>
  <si>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</si>
  <si>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</si>
  <si>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</si>
  <si>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</si>
  <si>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</si>
  <si>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</si>
  <si>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</si>
  <si>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</si>
  <si>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</si>
  <si>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</si>
  <si>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</si>
  <si>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</si>
  <si>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</si>
  <si>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</si>
  <si>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</si>
  <si>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</si>
  <si>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</si>
  <si>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</si>
  <si>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</si>
  <si>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</si>
  <si>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</si>
  <si>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</si>
  <si>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</si>
  <si>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</si>
  <si>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</si>
  <si>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</si>
  <si>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</si>
  <si>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</si>
  <si>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</si>
  <si>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</si>
  <si>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</si>
  <si>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</si>
  <si>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</si>
  <si>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</si>
  <si>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</si>
  <si>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</si>
  <si>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</si>
  <si>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</si>
  <si>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</si>
  <si>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</si>
  <si>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</si>
  <si>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</si>
  <si>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</si>
  <si>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</si>
  <si>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</si>
  <si>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</si>
  <si>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粋</t>
    <rPh sb="0" eb="2">
      <t>キョウ</t>
    </rPh>
    <rPh sb="3" eb="4">
      <t>イキ</t>
    </rPh>
    <phoneticPr fontId="10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</si>
  <si>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</si>
  <si>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</si>
  <si>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</si>
  <si>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</si>
  <si>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</si>
  <si>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</si>
  <si>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</si>
  <si>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</si>
  <si>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</si>
  <si>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</si>
  <si>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</si>
  <si>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</si>
  <si>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</si>
  <si>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</si>
  <si>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</si>
  <si>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</si>
  <si>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</si>
  <si>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</si>
  <si>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</si>
  <si>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</si>
  <si>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</si>
  <si>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</si>
  <si>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</si>
  <si>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</si>
  <si>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</si>
  <si>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</si>
  <si>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</si>
  <si>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</si>
  <si>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</si>
  <si>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</si>
  <si>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</si>
  <si>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</si>
  <si>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</si>
  <si>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</si>
  <si>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</si>
  <si>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</si>
  <si>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</si>
  <si>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</si>
  <si>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</si>
  <si>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</si>
  <si>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</si>
  <si>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</si>
  <si>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</si>
  <si>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</si>
  <si>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</si>
  <si>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</si>
  <si>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</si>
  <si>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</si>
  <si>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</si>
  <si>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</si>
  <si>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</si>
  <si>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</si>
  <si>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</si>
  <si>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</si>
  <si>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</si>
  <si>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</si>
  <si>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</si>
  <si>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</si>
  <si>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</si>
  <si>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</si>
  <si>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</si>
  <si>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</si>
  <si>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</si>
  <si>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</si>
  <si>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</si>
  <si>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</si>
  <si>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</si>
  <si>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</si>
  <si>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</si>
  <si>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枠</t>
    <rPh sb="0" eb="1">
      <t>ワク</t>
    </rPh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</si>
  <si>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</si>
  <si>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</si>
  <si>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</si>
  <si>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</si>
  <si>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</si>
  <si>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</si>
  <si>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</si>
  <si>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</si>
  <si>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</si>
  <si>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</si>
  <si>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</si>
  <si>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</si>
  <si>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</si>
  <si>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</si>
  <si>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</si>
  <si>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</si>
  <si>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</si>
  <si>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</si>
  <si>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</si>
  <si>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</si>
  <si>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</si>
  <si>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</si>
  <si>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</si>
  <si>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</si>
  <si>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</si>
  <si>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</si>
  <si>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</si>
  <si>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</si>
  <si>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</si>
  <si>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</si>
  <si>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</si>
  <si>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</si>
  <si>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</si>
  <si>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</si>
  <si>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</si>
  <si>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</si>
  <si>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</si>
  <si>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</si>
  <si>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</si>
  <si>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</si>
  <si>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</si>
  <si>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</si>
  <si>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</si>
  <si>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</si>
  <si>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</si>
  <si>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</si>
  <si>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</si>
  <si>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</si>
  <si>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</si>
  <si>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</si>
  <si>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</si>
  <si>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</si>
  <si>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</si>
  <si>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</si>
  <si>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</si>
  <si>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</si>
  <si>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</si>
  <si>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</si>
  <si>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</si>
  <si>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</si>
  <si>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</si>
  <si>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</si>
  <si>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</si>
  <si>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</si>
  <si>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</si>
  <si>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</si>
  <si>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</si>
  <si>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</si>
  <si>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</si>
  <si>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</si>
  <si>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</si>
  <si>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</si>
  <si>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</si>
  <si>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</si>
  <si>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</si>
  <si>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</si>
  <si>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</si>
  <si>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</si>
  <si>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</si>
  <si>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</si>
  <si>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</si>
  <si>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</si>
  <si>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</si>
  <si>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</si>
  <si>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</si>
  <si>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</si>
  <si>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</si>
  <si>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</si>
  <si>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</si>
  <si>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</si>
  <si>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</si>
  <si>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</si>
  <si>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</si>
  <si>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</si>
  <si>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</si>
  <si>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</si>
  <si>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</si>
  <si>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</si>
  <si>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</si>
  <si>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</si>
  <si>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</si>
  <si>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</si>
  <si>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</si>
  <si>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</si>
  <si>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</si>
  <si>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</si>
  <si>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</si>
  <si>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</si>
  <si>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</si>
  <si>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</si>
  <si>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</si>
  <si>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</si>
  <si>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</si>
  <si>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</si>
  <si>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</si>
  <si>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</si>
  <si>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</si>
  <si>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</si>
  <si>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</si>
  <si>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</si>
  <si>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</si>
  <si>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</si>
  <si>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</si>
  <si>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</si>
  <si>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</si>
  <si>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</si>
  <si>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</si>
  <si>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</si>
  <si>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</si>
  <si>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</si>
  <si>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</si>
  <si>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</si>
  <si>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</si>
  <si>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</si>
  <si>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</si>
  <si>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</si>
  <si>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</si>
  <si>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</si>
  <si>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</si>
  <si>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</si>
  <si>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</si>
  <si>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</si>
  <si>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</si>
  <si>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</si>
  <si>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</si>
  <si>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</si>
  <si>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</si>
  <si>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</si>
  <si>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</si>
  <si>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</si>
  <si>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</si>
  <si>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</si>
  <si>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</si>
  <si>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</si>
  <si>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</si>
  <si>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</si>
  <si>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</si>
  <si>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</si>
  <si>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</si>
  <si>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</si>
  <si>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</si>
  <si>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</si>
  <si>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</si>
  <si>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</si>
  <si>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</si>
  <si>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</si>
  <si>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</si>
  <si>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</si>
  <si>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</si>
  <si>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</si>
  <si>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</si>
  <si>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</si>
  <si>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</si>
  <si>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</si>
  <si>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</si>
  <si>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</si>
  <si>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</si>
  <si>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</si>
  <si>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</si>
  <si>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</si>
  <si>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</si>
  <si>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</si>
  <si>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</si>
  <si>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</si>
  <si>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</si>
  <si>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</si>
  <si>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</si>
  <si>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</si>
  <si>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</si>
  <si>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</si>
  <si>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</si>
  <si>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</si>
  <si>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</si>
  <si>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</si>
  <si>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</si>
  <si>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</si>
  <si>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</si>
  <si>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</si>
  <si>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</si>
  <si>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</si>
  <si>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</si>
  <si>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</si>
  <si>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</si>
  <si>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</si>
  <si>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</si>
  <si>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</si>
  <si>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</si>
  <si>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</si>
  <si>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</si>
  <si>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</si>
  <si>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</si>
  <si>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</si>
  <si>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</si>
  <si>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</si>
  <si>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</si>
  <si>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</si>
  <si>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</si>
  <si>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</si>
  <si>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</si>
  <si>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</si>
  <si>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</si>
  <si>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</si>
  <si>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</si>
  <si>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</si>
  <si>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</si>
  <si>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</si>
  <si>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</si>
  <si>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</si>
  <si>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</si>
  <si>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</si>
  <si>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ポッキー代：149円を差引すること</t>
    <rPh sb="4" eb="5">
      <t>ダイ</t>
    </rPh>
    <rPh sb="9" eb="10">
      <t>エン</t>
    </rPh>
    <rPh sb="11" eb="13">
      <t>サシヒキ</t>
    </rPh>
    <phoneticPr fontId="2"/>
  </si>
  <si>
    <t>シャンパン代：638円</t>
    <rPh sb="5" eb="6">
      <t>ダイ</t>
    </rPh>
    <rPh sb="10" eb="11">
      <t>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</si>
</sst>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68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38" fontId="7" fillId="0" borderId="12" xfId="2" applyFont="1" applyBorder="1">
      <alignment vertical="center"/>
    </xf>
    <xf numFmtId="38" fontId="7" fillId="0" borderId="8" xfId="2" applyFont="1" applyBorder="1">
      <alignment vertical="center"/>
    </xf>
    <xf numFmtId="38" fontId="7" fillId="0" borderId="16" xfId="2" applyFont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Fill="1" applyBorder="1">
      <alignment vertical="center"/>
    </xf>
    <xf numFmtId="31" fontId="7" fillId="0" borderId="29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7" fillId="0" borderId="14" xfId="0" applyNumberFormat="1" applyFont="1" applyFill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0" fontId="1" fillId="3" borderId="7" xfId="1" applyFont="1" applyFill="1" applyBorder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8"/>
      <tableStyleElement type="firstRowStripe" dxfId="887"/>
      <tableStyleElement type="secondRowStripe" dxfId="886"/>
    </tableStyle>
    <tableStyle name="各店舗件数-style" pivot="0" count="3" xr9:uid="{00000000-0011-0000-FFFF-FFFF01000000}">
      <tableStyleElement type="headerRow" dxfId="885"/>
      <tableStyleElement type="firstRowStripe" dxfId="884"/>
      <tableStyleElement type="secondRowStripe" dxfId="883"/>
    </tableStyle>
    <tableStyle name="店舗名集-style" pivot="0" count="3" xr9:uid="{00000000-0011-0000-FFFF-FFFF02000000}">
      <tableStyleElement type="headerRow" dxfId="882"/>
      <tableStyleElement type="firstRowStripe" dxfId="881"/>
      <tableStyleElement type="secondRowStripe" dxfId="8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F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9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8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7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6"/>
    <tableColumn id="11" xr3:uid="{D07885CD-345A-41E3-8854-9D6C28ABE6D8}" name="Bパターン" dataDxfId="875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74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73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72" headerRowBorderDxfId="871" tableBorderDxfId="870" totalsRowBorderDxfId="869">
  <autoFilter ref="A2:C15" xr:uid="{AB2EB2CF-299B-4598-990D-D745775F2350}"/>
  <tableColumns count="3">
    <tableColumn id="1" xr3:uid="{CB412B2B-5596-4A33-AD3C-88415E3CE5A1}" name="管理番号" dataDxfId="868"/>
    <tableColumn id="2" xr3:uid="{9A7B09FC-E8EF-4F7A-A624-EB9B76267B13}" name="B件数" dataDxfId="867"/>
    <tableColumn id="3" xr3:uid="{637D4B54-0388-4C03-B793-68763C5D9D72}" name="バック合計金額" dataDxfId="866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C351" headerRowBorderDxfId="865" tableBorderDxfId="864" totalsRowBorderDxfId="863">
  <autoFilter ref="A1:AC351" xr:uid="{FDF9656E-70CD-4812-818B-4AF32C6765D8}"/>
  <sortState xmlns:xlrd2="http://schemas.microsoft.com/office/spreadsheetml/2017/richdata2" ref="A2:AB204">
    <sortCondition ref="D1:D204"/>
  </sortState>
  <tableColumns count="29">
    <tableColumn id="1" xr3:uid="{A08C09F0-455F-40DD-B8F2-A7786E52C8D5}" name="管理番号" totalsRowFunction="custom" dataDxfId="862" totalsRowDxfId="861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60" totalsRowDxfId="859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8" totalsRowDxfId="857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6" totalsRowDxfId="855" dataCellStyle="標準 2">
      <calculatedColumnFormula>IF(SUM(E2:XFD2)=0,"",SUM(E2:XFD2))</calculatedColumnFormula>
    </tableColumn>
    <tableColumn id="5" xr3:uid="{802613F8-2CBB-4F45-AAE8-34F38D6DECCD}" name="キャンプ" dataDxfId="854" totalsRowDxfId="853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52" totalsRowDxfId="851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50" totalsRowDxfId="849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8" totalsRowDxfId="847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6" totalsRowDxfId="845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44" totalsRowDxfId="843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42" totalsRowDxfId="841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40" totalsRowDxfId="839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8" totalsRowDxfId="837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6" totalsRowDxfId="835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34" totalsRowDxfId="833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32" totalsRowDxfId="831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30" totalsRowDxfId="829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8" totalsRowDxfId="827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6" totalsRowDxfId="825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24" totalsRowDxfId="823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22" totalsRowDxfId="821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20" totalsRowDxfId="819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8" totalsRowDxfId="817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6" totalsRowDxfId="815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14" totalsRowDxfId="813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12" totalsRowDxfId="811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27" xr3:uid="{9622A8F1-3E9D-4B7A-BD83-E03C518E7228}" name="枠" dataDxfId="810" totalsRowDxfId="80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8" totalsRowDxfId="80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6" totalsRowDxfId="80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C351" headerRowDxfId="804" totalsRowDxfId="801" headerRowBorderDxfId="803" tableBorderDxfId="802" totalsRowBorderDxfId="800">
  <sortState xmlns:xlrd2="http://schemas.microsoft.com/office/spreadsheetml/2017/richdata2" ref="A2:AB204">
    <sortCondition ref="D1:D204"/>
  </sortState>
  <tableColumns count="29">
    <tableColumn id="1" xr3:uid="{1709F304-241E-4946-8664-E602BFBB8199}" name="管理番号" totalsRowFunction="custom" dataDxfId="799" totalsRowDxfId="79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7" totalsRowDxfId="79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5" totalsRowDxfId="79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93" totalsRowDxfId="792" dataCellStyle="標準 2">
      <calculatedColumnFormula>IF(SUM(E2:XFD2)=0,"",SUM(E2:XFD2))</calculatedColumnFormula>
    </tableColumn>
    <tableColumn id="5" xr3:uid="{F3F9E92F-DBE9-4C91-A3D6-1FC8488B488D}" name="キャンプ" dataDxfId="791" totalsRowDxfId="79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9" totalsRowDxfId="78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7" totalsRowDxfId="78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5" totalsRowDxfId="78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83" totalsRowDxfId="78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81" totalsRowDxfId="78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79" totalsRowDxfId="77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7" totalsRowDxfId="77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5" totalsRowDxfId="77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73" totalsRowDxfId="77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71" totalsRowDxfId="77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9" totalsRowDxfId="76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7" totalsRowDxfId="76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5" totalsRowDxfId="76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63" totalsRowDxfId="76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61" totalsRowDxfId="76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9" totalsRowDxfId="75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7" totalsRowDxfId="75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5" totalsRowDxfId="75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53" totalsRowDxfId="75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51" totalsRowDxfId="75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9" totalsRowDxfId="74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27" xr3:uid="{D00F5D85-0887-4471-B503-D28E0B8EC17D}" name="枠" dataDxfId="747" totalsRowDxfId="746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5" totalsRowDxfId="744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3" totalsRowDxfId="742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C351" headerRowBorderDxfId="741" tableBorderDxfId="740" totalsRowBorderDxfId="739">
  <autoFilter ref="A1:AC351" xr:uid="{F98C3F13-A84C-4BAE-81A4-A62689BBD719}"/>
  <sortState xmlns:xlrd2="http://schemas.microsoft.com/office/spreadsheetml/2017/richdata2" ref="A2:AB204">
    <sortCondition ref="D1:D204"/>
  </sortState>
  <tableColumns count="29">
    <tableColumn id="1" xr3:uid="{FF3FBA7D-CD35-4408-8410-9194801D6AB8}" name="管理番号" totalsRowFunction="custom" dataDxfId="738" totalsRowDxfId="737" dataCellStyle="標準 2">
      <totalsRowFormula>名前リスト[[#This Row],[管理番号]]</totalsRowFormula>
    </tableColumn>
    <tableColumn id="2" xr3:uid="{E00F0DDB-8B63-4E1E-B01B-7BE68F79A001}" name="LINE名" dataDxfId="736" totalsRowDxfId="735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2" totalsRowDxfId="731" dataCellStyle="標準 2">
      <calculatedColumnFormula>IF(SUM(E2:XFD2)=0,"",SUM(E2:XFD2))</calculatedColumnFormula>
    </tableColumn>
    <tableColumn id="5" xr3:uid="{4A102B82-2720-4325-8037-0E5518D460F7}" name="キャンプ" dataDxfId="730" totalsRowDxfId="729" dataCellStyle="桁区切り 2"/>
    <tableColumn id="6" xr3:uid="{9C26370B-D29B-41B4-8909-F547A75A1753}" name="パンプキン" dataDxfId="728" totalsRowDxfId="727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6" totalsRowDxfId="725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4" totalsRowDxfId="723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2" totalsRowDxfId="721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20" totalsRowDxfId="719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8" totalsRowDxfId="717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6" totalsRowDxfId="715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4" totalsRowDxfId="713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2" totalsRowDxfId="711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10" totalsRowDxfId="709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8" totalsRowDxfId="707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6" totalsRowDxfId="705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4" totalsRowDxfId="703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2" totalsRowDxfId="701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700" totalsRowDxfId="699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8" totalsRowDxfId="697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6" totalsRowDxfId="695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4" totalsRowDxfId="693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2" totalsRowDxfId="691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90" totalsRowDxfId="689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8" totalsRowDxfId="687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27" xr3:uid="{0AE2CE47-F7E8-41EB-8065-50AFB03B2E40}" name="枠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/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Aパターン" dataDxfId="672" dataCellStyle="標準 2"/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74" tableBorderDxfId="573" totalsRowBorderDxfId="572">
  <autoFilter ref="A4:J35" xr:uid="{00DBB7E4-242C-1647-AB5F-10B637CF6C0F}"/>
  <tableColumns count="10">
    <tableColumn id="4" xr3:uid="{14C1A76E-63E2-4748-8CF2-E5A20E3BD634}" name="日付" dataDxfId="571"/>
    <tableColumn id="1" xr3:uid="{312BCEFE-CCFB-DE47-AC2E-53BFF7C95D0A}" name="件数" dataDxfId="570"/>
    <tableColumn id="2" xr3:uid="{9CAC6E22-07B0-3E4F-9C0E-229AD7B6BB4A}" name="イベンター予約名" dataDxfId="569"/>
    <tableColumn id="3" xr3:uid="{DC96C07E-E016-BF46-B1CE-AD6CA6D7C610}" name="人数" dataDxfId="568"/>
    <tableColumn id="8" xr3:uid="{5D12CD71-1E77-4EDA-81D7-C1E55CBB28DC}" name="Aパターン" dataDxfId="567" dataCellStyle="標準 2"/>
    <tableColumn id="5" xr3:uid="{9774124C-E665-4F19-B841-3CC13DF71B05}" name="単価合計" dataDxfId="566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65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64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63" dataCellStyle="桁区切り 2"/>
    <tableColumn id="7" xr3:uid="{2C0BA5DD-6969-4272-B48B-35BB1507AB2F}" name="イベンターへ" dataDxfId="562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61" tableBorderDxfId="560" totalsRowBorderDxfId="559">
  <autoFilter ref="L4:U35" xr:uid="{C4695727-ADE7-9646-A4E3-4527B6CF8249}"/>
  <tableColumns count="10">
    <tableColumn id="4" xr3:uid="{37B87638-DCB3-47A1-B65F-51490680C21F}" name="日付" dataDxfId="558"/>
    <tableColumn id="1" xr3:uid="{8B7A3305-B137-E249-9FB8-1347B57215FC}" name="件数" dataDxfId="557"/>
    <tableColumn id="2" xr3:uid="{FFF256E6-39AD-A043-A510-B4F12FF4C48D}" name="イベンター予約名" dataDxfId="556"/>
    <tableColumn id="3" xr3:uid="{9198BD1F-0A2B-1A48-B03D-8E6CA169373C}" name="人数" dataDxfId="555"/>
    <tableColumn id="8" xr3:uid="{94F38A54-AB74-4F29-A937-64D862A2A61F}" name="Aパターン" dataDxfId="554" dataCellStyle="標準 2"/>
    <tableColumn id="5" xr3:uid="{0148A512-60B2-446A-8720-D11A68F2CF48}" name="単価合計" dataDxfId="553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52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51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50" dataCellStyle="桁区切り 2"/>
    <tableColumn id="7" xr3:uid="{927FDBE2-67E8-4344-A492-B260AB64E618}" name="イベンターへ" dataDxfId="549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48" tableBorderDxfId="547" totalsRowBorderDxfId="546">
  <autoFilter ref="A4:J35" xr:uid="{67C5F274-1286-48E6-A79D-618BA54810F8}"/>
  <tableColumns count="10">
    <tableColumn id="4" xr3:uid="{AAE4A0B7-5659-403C-84C2-1168F2FA5FE0}" name="日付" dataDxfId="545"/>
    <tableColumn id="1" xr3:uid="{37A62C18-0AA9-4EFC-B503-845D2E023219}" name="件数" dataDxfId="544"/>
    <tableColumn id="2" xr3:uid="{6AD08CE3-3F66-4C1D-9DD1-C744B6DC1370}" name="イベンター予約名" dataDxfId="543"/>
    <tableColumn id="3" xr3:uid="{79524462-86BA-460B-9CC4-426699AA695A}" name="人数" dataDxfId="542"/>
    <tableColumn id="8" xr3:uid="{ED65D54E-1827-4381-A23C-FC21A0D3D727}" name="Aパターン" dataDxfId="541" dataCellStyle="標準 2"/>
    <tableColumn id="5" xr3:uid="{0466DF4D-B696-49DF-B742-21632337A065}" name="単価合計" dataDxfId="540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39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38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37" dataCellStyle="標準 2"/>
    <tableColumn id="7" xr3:uid="{7F330C58-9D94-46AE-82D5-ABCD0DDE0B89}" name="イベンターへ" dataDxfId="536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35" tableBorderDxfId="534" totalsRowBorderDxfId="533">
  <autoFilter ref="L4:U35" xr:uid="{B3BD3786-6544-4B05-90DA-B0F071952B3A}"/>
  <tableColumns count="10">
    <tableColumn id="4" xr3:uid="{74C69931-573D-429D-B226-A1EE6F8ED31E}" name="日付" dataDxfId="532"/>
    <tableColumn id="1" xr3:uid="{17C2DED0-F4FA-4B9A-8276-95A7EFBBA316}" name="件数" dataDxfId="531"/>
    <tableColumn id="2" xr3:uid="{DA844336-8005-47C9-BC09-7C9FA42D09C8}" name="イベンター予約名" dataDxfId="530"/>
    <tableColumn id="3" xr3:uid="{2FE8D7A4-F91E-41D5-9807-414490FDB0CE}" name="人数" dataDxfId="529"/>
    <tableColumn id="8" xr3:uid="{F2544599-7C92-45B6-9295-B3544E7EFE9A}" name="Aパターン" dataDxfId="528" dataCellStyle="標準 2"/>
    <tableColumn id="5" xr3:uid="{9B2CF0C8-3102-40AF-9FA7-791298EADD50}" name="単価合計" dataDxfId="527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26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525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524" dataCellStyle="標準 2"/>
    <tableColumn id="7" xr3:uid="{59B1C32B-739B-4086-B383-BED0272190E2}" name="イベンターへ" dataDxfId="523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4" totalsRowShown="0" headerRowBorderDxfId="445" tableBorderDxfId="444" totalsRowBorderDxfId="443">
  <autoFilter ref="L4:U34" xr:uid="{D41846DF-FC76-904E-A255-3C1245200B88}"/>
  <tableColumns count="10">
    <tableColumn id="4" xr3:uid="{A7997BA5-2FEA-4C15-BE9F-1A615BC07429}" name="日付" dataDxfId="442"/>
    <tableColumn id="1" xr3:uid="{B1106535-F49B-FF4E-A3ED-6D620FBD92E5}" name="件数" dataDxfId="441"/>
    <tableColumn id="2" xr3:uid="{E250ACF2-670B-BE4D-91EA-B78B0DBAED28}" name="イベンター予約名" dataDxfId="440"/>
    <tableColumn id="3" xr3:uid="{47A2CC46-68C8-F14E-A854-BE593D74EAAC}" name="人数" dataDxfId="439"/>
    <tableColumn id="10" xr3:uid="{F70CC028-804B-4260-8C24-BE3AFA9A7246}" name="Aパターン" dataDxfId="438" dataCellStyle="標準 2"/>
    <tableColumn id="5" xr3:uid="{82E00A6A-20DA-4559-A76A-56CAE0ACA21B}" name="単価合計" dataDxfId="437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36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35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34" dataCellStyle="標準 2"/>
    <tableColumn id="7" xr3:uid="{D07E4FEA-4BD8-42E3-AE67-471817632ECF}" name="イベンターへ" dataDxfId="433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4" totalsRowShown="0" headerRowBorderDxfId="432" tableBorderDxfId="431" totalsRowBorderDxfId="430">
  <autoFilter ref="A4:J34" xr:uid="{19A99821-CD74-3042-890C-C9FE8B24DD8A}"/>
  <tableColumns count="10">
    <tableColumn id="4" xr3:uid="{A4E99595-69AA-419E-8F30-7CB5D052D58D}" name="日付" dataDxfId="429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28"/>
    <tableColumn id="2" xr3:uid="{B007CEDD-D8A6-4644-97C5-4E60EF75C612}" name="イベンター予約名" dataDxfId="427"/>
    <tableColumn id="3" xr3:uid="{06B08748-73F2-274B-8279-CA82BFA08745}" name="人数" dataDxfId="426"/>
    <tableColumn id="8" xr3:uid="{17D60019-1AA0-477A-89A8-ED20C6EBC786}" name="Aパターン" dataDxfId="425" dataCellStyle="標準 2"/>
    <tableColumn id="5" xr3:uid="{556B83CE-0D80-4E9B-817C-D26744C2FA22}" name="単価合計" dataDxfId="424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423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422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421" dataCellStyle="標準 2"/>
    <tableColumn id="7" xr3:uid="{87AB9901-C2BA-405C-8C9B-187873AC590B}" name="イベンターへ" dataDxfId="420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419" tableBorderDxfId="418" totalsRowBorderDxfId="417">
  <autoFilter ref="A4:J35" xr:uid="{6EEECAA6-F55A-5046-A624-88B936766647}"/>
  <tableColumns count="10">
    <tableColumn id="4" xr3:uid="{2A721154-A2D9-40E5-865B-BDCF270FDF36}" name="日付" dataDxfId="416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415"/>
    <tableColumn id="2" xr3:uid="{8CE53EF7-D76D-F44D-A8C1-E8D71C87975C}" name="予約番号" dataDxfId="414"/>
    <tableColumn id="3" xr3:uid="{C671CECC-F5D1-6E4E-AAFE-8CC530F67F54}" name="人数" dataDxfId="413"/>
    <tableColumn id="8" xr3:uid="{D1F447DD-6AE4-4F26-B7A2-5DB088A89336}" name="Aパターン" dataDxfId="412" dataCellStyle="標準 2"/>
    <tableColumn id="5" xr3:uid="{5BA54429-10FA-4A5B-9337-9259DDD89E7C}" name="単価合計" dataDxfId="411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410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409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408" dataCellStyle="標準 2"/>
    <tableColumn id="7" xr3:uid="{A6C9F403-48C1-4FF4-9DDF-2BD578EE43D5}" name="イベンターへ" dataDxfId="407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406" tableBorderDxfId="405" totalsRowBorderDxfId="404">
  <autoFilter ref="L4:U35" xr:uid="{6EC66A34-CEF0-5945-8888-E05C248C5D20}"/>
  <tableColumns count="10">
    <tableColumn id="4" xr3:uid="{47B11E00-52A4-4C69-A41D-209A1C3AB80F}" name="日付" dataDxfId="403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402"/>
    <tableColumn id="2" xr3:uid="{4423983C-876E-BC43-B37A-4512A341E1B7}" name="予約番号" dataDxfId="401"/>
    <tableColumn id="3" xr3:uid="{7B6BA406-E35A-6744-A2EF-5CA42E1A7113}" name="人数" dataDxfId="400"/>
    <tableColumn id="8" xr3:uid="{0F619D6A-C1F6-4D58-998C-F00AF88703B7}" name="Aパターン" dataDxfId="399" dataCellStyle="標準 2"/>
    <tableColumn id="5" xr3:uid="{46C1E3F1-F642-440B-916D-89FD2F2DFF0B}" name="単価合計" dataDxfId="398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97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96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95" dataCellStyle="標準 2"/>
    <tableColumn id="7" xr3:uid="{CE33E029-0DD7-42E3-9FD0-023409823574}" name="イベンターへ" dataDxfId="394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93" tableBorderDxfId="392" totalsRowBorderDxfId="391">
  <autoFilter ref="A4:J35" xr:uid="{3A894F85-BD10-6A4F-B2E0-7521593B3EE0}"/>
  <tableColumns count="10">
    <tableColumn id="4" xr3:uid="{51A4D3A0-9E33-48DA-8690-AF0787596077}" name="日付" dataDxfId="390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89"/>
    <tableColumn id="2" xr3:uid="{4245F54E-C17A-4B43-B2B6-53D580D1911E}" name="予約番号" dataDxfId="388"/>
    <tableColumn id="3" xr3:uid="{6B0B816E-11A5-BB40-93EA-837A183760CC}" name="人数" dataDxfId="387"/>
    <tableColumn id="8" xr3:uid="{9CC3059A-5D69-48D6-BA86-DC0EFBC17C18}" name="Aパターン" dataDxfId="386" dataCellStyle="標準 2"/>
    <tableColumn id="5" xr3:uid="{8304F367-1DFB-478A-A8F4-FAEEDBFD49A6}" name="単価合計" dataDxfId="385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84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83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82" dataCellStyle="標準 2"/>
    <tableColumn id="7" xr3:uid="{21E07ADA-FE61-4BA4-925E-EC1BB8AF0092}" name="イベンターへ" dataDxfId="381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80" tableBorderDxfId="379" totalsRowBorderDxfId="378">
  <autoFilter ref="L4:U35" xr:uid="{1C62EFD1-52EC-E448-B0B5-10D67D5122F6}"/>
  <tableColumns count="10">
    <tableColumn id="4" xr3:uid="{CA28D983-ECCB-4E22-9AB1-7410E6BF275D}" name="日付" dataDxfId="377"/>
    <tableColumn id="1" xr3:uid="{0D05FBA6-943A-D14F-9C58-BC1FE2CC7F16}" name="件数" dataDxfId="376"/>
    <tableColumn id="2" xr3:uid="{83FB71C7-AD47-4D42-993E-817A0CB423DA}" name="予約番号" dataDxfId="375"/>
    <tableColumn id="3" xr3:uid="{0C363BC2-C7D3-5C42-9A70-32FF44B8E28F}" name="人数" dataDxfId="374" dataCellStyle="標準 2"/>
    <tableColumn id="8" xr3:uid="{D88D2D59-4DCC-492A-8789-5B8C6150763D}" name="Aパターン" dataDxfId="373" dataCellStyle="標準 2"/>
    <tableColumn id="5" xr3:uid="{27E4EEF8-A9FB-410D-B867-40CBFFD0CA82}" name="単価合計" dataDxfId="372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71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70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69" dataCellStyle="標準 2"/>
    <tableColumn id="7" xr3:uid="{A5CD1548-E635-41C4-A9A8-9945C6FBBE7C}" name="イベンターへ" dataDxfId="368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67" tableBorderDxfId="366" totalsRowBorderDxfId="365">
  <autoFilter ref="A4:J35" xr:uid="{9F86C868-34DF-9F43-BD35-62801E1A46B8}"/>
  <tableColumns count="10">
    <tableColumn id="4" xr3:uid="{59EE452C-C4CF-4254-9C46-6BD520CA5F08}" name="日付" dataDxfId="364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63" totalsRowDxfId="362"/>
    <tableColumn id="2" xr3:uid="{805E9BCD-138C-634E-A9E3-4E4FD70BE16D}" name="予約番号" dataDxfId="361" totalsRowDxfId="360"/>
    <tableColumn id="3" xr3:uid="{34A64E34-4316-BC4E-98D8-6FEB3FDCC491}" name="人数" totalsRowFunction="count" dataDxfId="359" totalsRowDxfId="358"/>
    <tableColumn id="8" xr3:uid="{95AFE47F-935C-45F2-9BD7-E03740D3DB56}" name="Aパターン" dataDxfId="357" totalsRowDxfId="356" dataCellStyle="標準 2"/>
    <tableColumn id="5" xr3:uid="{8E20D77D-AC35-490C-8157-954C256C0A03}" name="単価合計" dataDxfId="355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54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53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52" dataCellStyle="標準 2"/>
    <tableColumn id="7" xr3:uid="{D5A50A15-8158-4690-AEB8-94AC1D980209}" name="イベンターへ" dataDxfId="351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50" tableBorderDxfId="349" totalsRowBorderDxfId="348">
  <autoFilter ref="L4:U35" xr:uid="{B632E670-F8B9-1F44-8D9A-C0E936A6E76A}"/>
  <tableColumns count="10">
    <tableColumn id="4" xr3:uid="{0005466B-BE2D-4CAA-B64C-0776FF142915}" name="日付" dataDxfId="347"/>
    <tableColumn id="1" xr3:uid="{15D47755-D3F3-924C-B84D-0CF35FC0A7E5}" name="件数" dataDxfId="346"/>
    <tableColumn id="2" xr3:uid="{DFF34E52-0422-3840-BD52-9886AA5B2ABB}" name="予約番号" dataDxfId="345"/>
    <tableColumn id="3" xr3:uid="{40F37EAE-DAC4-0044-A4ED-40071508F5EC}" name="人数" dataDxfId="344" dataCellStyle="標準 2"/>
    <tableColumn id="8" xr3:uid="{C5562C94-D53F-48C0-B2C2-7ADE635232F6}" name="Aパターン" dataDxfId="343" dataCellStyle="標準 2"/>
    <tableColumn id="5" xr3:uid="{F140D013-E6B1-4F7B-8126-B08E3179E11E}" name="単価合計" dataDxfId="342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41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40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39" dataCellStyle="標準 2"/>
    <tableColumn id="7" xr3:uid="{AF493396-ACCD-427F-B827-7F40059DD747}" name="イベンターへ" dataDxfId="338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37" tableBorderDxfId="336" totalsRowBorderDxfId="335">
  <autoFilter ref="A4:J35" xr:uid="{42414338-E444-BB4D-BA80-49E4335CE2E2}"/>
  <tableColumns count="10">
    <tableColumn id="4" xr3:uid="{22E9A47A-F49D-467F-9DDA-31903DA500BE}" name="日付" dataDxfId="334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33"/>
    <tableColumn id="2" xr3:uid="{4BF66E7A-3B30-654B-A605-CCFBAC441848}" name="予約番号" dataDxfId="332"/>
    <tableColumn id="3" xr3:uid="{2C188A72-23C9-FE41-BDD6-A823AAD0BFCB}" name="人数" dataDxfId="331"/>
    <tableColumn id="8" xr3:uid="{60288A73-20D5-4508-BE42-4FB47F58B012}" name="Aパターン" dataDxfId="330" dataCellStyle="標準 2"/>
    <tableColumn id="5" xr3:uid="{F486775F-119A-42CF-9FD1-63801B9DFF2B}" name="単価合計" dataDxfId="329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28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27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26" dataCellStyle="標準 2"/>
    <tableColumn id="7" xr3:uid="{0BFF34ED-9F1A-4E4E-AC9C-74E571CDBEFA}" name="イベンターへ" dataDxfId="325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324" tableBorderDxfId="323" totalsRowBorderDxfId="322">
  <autoFilter ref="L4:U35" xr:uid="{F7A875AA-1543-644B-A9EF-2AB1CA39FE70}"/>
  <tableColumns count="10">
    <tableColumn id="4" xr3:uid="{E2F695D9-AEDE-482A-BC81-27B8F984826B}" name="日付" dataDxfId="321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320"/>
    <tableColumn id="2" xr3:uid="{029B344B-D744-5D49-A8AA-E3B34531FF96}" name="予約番号" dataDxfId="319"/>
    <tableColumn id="3" xr3:uid="{3339AAB1-64BA-BB4A-9CF5-BAC2D7B2A670}" name="人数" dataDxfId="318" dataCellStyle="標準 2"/>
    <tableColumn id="8" xr3:uid="{B88186CA-9360-4AB3-A122-4EBC448D3C09}" name="Aパターン" dataDxfId="317" dataCellStyle="標準 2"/>
    <tableColumn id="5" xr3:uid="{0C483613-2F19-402E-AA51-597E5B731E02}" name="単価合計" dataDxfId="316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315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314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313" dataCellStyle="標準 2"/>
    <tableColumn id="7" xr3:uid="{511083DE-4120-44B0-A791-95FBE68F9FA7}" name="イベンターへ" dataDxfId="312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/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Aパターン" dataDxfId="278" dataCellStyle="標準 2"/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55" tableBorderDxfId="154" totalsRowBorderDxfId="153">
  <autoFilter ref="A4:J35" xr:uid="{FB72BE44-DBAB-F248-9070-1D2E8211DEA5}"/>
  <tableColumns count="10">
    <tableColumn id="4" xr3:uid="{72BD0D98-3788-424C-9BCA-038F6C7CA77A}" name="日付" dataDxfId="152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51"/>
    <tableColumn id="2" xr3:uid="{A3468406-F05D-644C-B184-8D0611A983A0}" name="イベンター予約名" dataDxfId="150"/>
    <tableColumn id="3" xr3:uid="{7B0DD90E-9037-F447-BAC0-8A7CF65A0FDD}" name="人数" dataDxfId="149"/>
    <tableColumn id="8" xr3:uid="{4F95A94A-B2C0-453B-A42F-4A9CA0181805}" name="Aパターン" dataDxfId="148" dataCellStyle="標準 2"/>
    <tableColumn id="5" xr3:uid="{AF8568C4-FD9F-493A-A99D-406F5D0C146F}" name="単価合計" dataDxfId="147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46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45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44" dataCellStyle="標準 2"/>
    <tableColumn id="7" xr3:uid="{C6786599-D31B-46FA-AAE0-2AE94AFC36BE}" name="イベンターへ" dataDxfId="143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42" tableBorderDxfId="141" totalsRowBorderDxfId="140">
  <autoFilter ref="L4:U35" xr:uid="{961D2311-5680-0E44-9123-4EF8E78CD88C}"/>
  <tableColumns count="10">
    <tableColumn id="4" xr3:uid="{317EBB51-2E4D-48B2-BDCD-318D06C37A22}" name="日付" dataDxfId="139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38"/>
    <tableColumn id="2" xr3:uid="{F1B08CE0-ADFB-024E-9861-4D54069293E4}" name="イベンター予約名" dataDxfId="137"/>
    <tableColumn id="3" xr3:uid="{C7C2D88C-729B-6043-B358-787C903D9923}" name="人数" dataDxfId="136"/>
    <tableColumn id="8" xr3:uid="{BBEB9F95-0FF5-4AEC-A055-B8ED521512F9}" name="Aパターン" dataDxfId="135" dataCellStyle="標準 2"/>
    <tableColumn id="5" xr3:uid="{405D2C93-05D4-4374-B954-83ACC143F205}" name="単価合計" dataDxfId="134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33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32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31" dataCellStyle="標準 2"/>
    <tableColumn id="7" xr3:uid="{8E6C0B9F-BA9C-4CD0-AE72-19380C1A3005}" name="イベンターへ" dataDxfId="130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29" tableBorderDxfId="128" totalsRowBorderDxfId="127">
  <autoFilter ref="A4:J35" xr:uid="{4185201A-A118-8F40-A93C-289AD19C4653}"/>
  <tableColumns count="10">
    <tableColumn id="4" xr3:uid="{2FEE12BF-953C-45B2-8734-E2608887C242}" name="日付" dataDxfId="126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25"/>
    <tableColumn id="2" xr3:uid="{84981969-7AD4-4345-98CD-A237A7EC7065}" name="イベンター予約名" dataDxfId="124"/>
    <tableColumn id="3" xr3:uid="{D125B79D-FB07-824C-9F6B-8F9EB80FDB96}" name="人数" dataDxfId="123"/>
    <tableColumn id="8" xr3:uid="{964B3F0D-7EC8-44EA-9D48-B3320822812E}" name="Aパターン" dataDxfId="122" dataCellStyle="標準 2"/>
    <tableColumn id="5" xr3:uid="{0DC4758D-3F13-494A-9002-73182556C0F1}" name="単価合計" dataDxfId="121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20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19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18" dataCellStyle="標準 2"/>
    <tableColumn id="7" xr3:uid="{DEB02429-E828-4CAC-96F6-59AEFFE6D90F}" name="イベンターへ" dataDxfId="117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16" tableBorderDxfId="115" totalsRowBorderDxfId="114">
  <autoFilter ref="L4:U35" xr:uid="{5EA66BA7-8C44-B74F-97B6-C9945E55A068}"/>
  <tableColumns count="10">
    <tableColumn id="4" xr3:uid="{C9CF63A2-3B51-4D28-AA6D-BD29464C7228}" name="日付" dataDxfId="113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12"/>
    <tableColumn id="2" xr3:uid="{5BCA259A-AC89-104F-AA16-6258ADC1850A}" name="イベンター予約名" dataDxfId="111"/>
    <tableColumn id="3" xr3:uid="{FE10C2C8-CA73-C747-AD4B-0B98B4D3D712}" name="人数" dataDxfId="110"/>
    <tableColumn id="8" xr3:uid="{1E41350F-3ABA-42F5-99B1-F1F1DEE94ABD}" name="Aパターン" dataDxfId="109" dataCellStyle="標準 2"/>
    <tableColumn id="5" xr3:uid="{F9C4CA33-CF69-4E15-BCCF-349702AE179B}" name="単価合計" dataDxfId="108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07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06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05" dataCellStyle="標準 2"/>
    <tableColumn id="7" xr3:uid="{4E93AACE-BBE4-484C-8755-58F4DBD9F545}" name="イベンターへ" dataDxfId="104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103" tableBorderDxfId="102" totalsRowBorderDxfId="101">
  <autoFilter ref="A4:J35" xr:uid="{4185201A-A118-8F40-A93C-289AD19C4653}"/>
  <tableColumns count="10">
    <tableColumn id="4" xr3:uid="{1E09446A-1E76-4EEA-B840-F78B3F04115E}" name="日付" dataDxfId="100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99"/>
    <tableColumn id="2" xr3:uid="{574617BE-CD3F-4A20-AC3A-79642FA8F143}" name="イベンター予約名" dataDxfId="98"/>
    <tableColumn id="3" xr3:uid="{492DE05F-3326-4063-BB7C-42D7B2F5BF50}" name="人数" dataDxfId="97"/>
    <tableColumn id="8" xr3:uid="{CE1CE5CC-F2FB-42C7-8A80-99CEA72CC235}" name="Aパターン" dataDxfId="96" dataCellStyle="標準 2"/>
    <tableColumn id="5" xr3:uid="{26EBFF1D-130B-417E-8393-1B4AFB103072}" name="単価合計" dataDxfId="95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94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93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92" dataCellStyle="標準 2"/>
    <tableColumn id="7" xr3:uid="{829ABD78-27E3-491A-9757-733BFE476D55}" name="イベンターへ" dataDxfId="91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90" tableBorderDxfId="89" totalsRowBorderDxfId="88">
  <autoFilter ref="L4:U35" xr:uid="{5EA66BA7-8C44-B74F-97B6-C9945E55A068}"/>
  <tableColumns count="10">
    <tableColumn id="4" xr3:uid="{CD2916FB-CE0E-41B0-B387-1ABD6B2B7C8E}" name="日付" dataDxfId="87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86"/>
    <tableColumn id="2" xr3:uid="{FD227395-8334-44B2-8542-A0265110ABA9}" name="イベンター予約名" dataDxfId="85"/>
    <tableColumn id="3" xr3:uid="{3AFFC779-9CE6-4F7F-B846-1A51F9C10693}" name="人数" dataDxfId="84"/>
    <tableColumn id="8" xr3:uid="{E19DDDAA-47B4-4519-AB07-3942250CC2FE}" name="Aパターン" dataDxfId="83" dataCellStyle="標準 2"/>
    <tableColumn id="5" xr3:uid="{DD347071-EDA9-46FE-87A4-2C3D3228B945}" name="単価合計" dataDxfId="82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81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80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79" dataCellStyle="標準 2"/>
    <tableColumn id="7" xr3:uid="{336DA8A4-DFD8-4988-8CEF-6E5C1186D60B}" name="イベンターへ" dataDxfId="78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77" tableBorderDxfId="76" totalsRowBorderDxfId="75">
  <autoFilter ref="A4:J35" xr:uid="{61F6387D-37FF-7A4B-B82E-75E08B4A2293}"/>
  <tableColumns count="10">
    <tableColumn id="4" xr3:uid="{80417F51-D138-49B4-A885-CBB8AD1F21E8}" name="日付" dataDxfId="74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73"/>
    <tableColumn id="2" xr3:uid="{4179A2B6-4D39-5747-8C4B-963E2BA513E4}" name="イベンター予約名" dataDxfId="72"/>
    <tableColumn id="3" xr3:uid="{12DC712B-A441-0C4A-A337-BE7CC9ECE5AA}" name="人数" dataDxfId="71"/>
    <tableColumn id="8" xr3:uid="{F4FFBAA9-6B08-41DC-AB39-4B59EF516387}" name="Aパターン" dataDxfId="70" dataCellStyle="標準 2"/>
    <tableColumn id="5" xr3:uid="{99D8A018-068D-498B-B220-3E7E89838030}" name="単価合計" dataDxfId="69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68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67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66" dataCellStyle="標準 2"/>
    <tableColumn id="7" xr3:uid="{2865D948-5D4E-4647-8936-9BC44ED4B6F2}" name="イベンターへ" dataDxfId="65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64" tableBorderDxfId="63" totalsRowBorderDxfId="62">
  <autoFilter ref="L4:U35" xr:uid="{E3A0CE8B-0795-D549-83D1-0871D6D06A86}"/>
  <tableColumns count="10">
    <tableColumn id="4" xr3:uid="{6FE539E2-C406-4060-987D-BA54631168B7}" name="日付" dataDxfId="61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60"/>
    <tableColumn id="2" xr3:uid="{D33EA728-9FF0-BB49-AE0B-EE5B60AA32B0}" name="イベンター予約名" dataDxfId="59"/>
    <tableColumn id="3" xr3:uid="{63E1218F-2FAF-3443-B1E9-6A5220CA1A47}" name="人数" dataDxfId="58"/>
    <tableColumn id="8" xr3:uid="{8D9A6730-7D2F-48DD-B973-7B652016952C}" name="Aパターン" dataDxfId="57" dataCellStyle="標準 2"/>
    <tableColumn id="5" xr3:uid="{2FF122C4-C440-473D-8416-D18D24773246}" name="単価合計" dataDxfId="56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55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54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53" dataCellStyle="標準 2"/>
    <tableColumn id="7" xr3:uid="{D32EDDB1-8DC4-4879-8F23-D35D70DB2937}" name="イベンターへ" dataDxfId="52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D1569B3-5CF8-F047-8A09-A8D521209418}" name="京都枠4000円" displayName="京都枠4000円" ref="A4:J35" totalsRowShown="0" headerRowBorderDxfId="51" tableBorderDxfId="50" totalsRowBorderDxfId="49">
  <autoFilter ref="A4:J35" xr:uid="{040B2466-7E0D-B143-AD66-89B10661CAC6}"/>
  <tableColumns count="10">
    <tableColumn id="4" xr3:uid="{061AA948-CC98-4F2C-96DA-D9054BFD3488}" name="日付" dataDxfId="48">
      <calculatedColumnFormula>IF(DAY(DATE(名前リスト!$N$1,名前リスト!$O$1,ROW()-2))=ROW()-2,DATE(名前リスト!$N$1,名前リスト!$O$1,ROW()-2),"")</calculatedColumnFormula>
    </tableColumn>
    <tableColumn id="1" xr3:uid="{831FDF11-80C0-DA42-A820-F9F086347A28}" name="件数" dataDxfId="47"/>
    <tableColumn id="2" xr3:uid="{A8306EC9-3BA4-E146-9F0D-DEFCC0B2C79D}" name="イベンター予約名" dataDxfId="46"/>
    <tableColumn id="3" xr3:uid="{390EE888-946A-4146-8BB2-0FD1FD4C946F}" name="人数" dataDxfId="45"/>
    <tableColumn id="8" xr3:uid="{8111E4EA-2F0F-4C11-80AF-81BF528DFDB2}" name="Aパターン" dataDxfId="44" dataCellStyle="標準 4"/>
    <tableColumn id="5" xr3:uid="{DFE76046-7E0B-40F8-97D4-7E85CBD9D7BD}" name="単価合計" dataDxfId="43" dataCellStyle="桁区切り 3">
      <calculatedColumnFormula>IF(京都枠4000円[[#This Row],[人数]]="","",IF(京都枠4000円[[#This Row],[人数]]&lt;=7,$B$1*京都枠4000円[[#This Row],[人数]],$B$1*京都枠4000円[[#This Row],[人数]]-京都枠4000円[[#This Row],[幹事無料]]))</calculatedColumnFormula>
    </tableColumn>
    <tableColumn id="6" xr3:uid="{E83ADA91-4D58-4692-812B-5DF0F2AB1228}" name="ゆうき取りに行く" dataDxfId="42" dataCellStyle="桁区切り 3">
      <calculatedColumnFormula>IFERROR(($B$3*京都枠4000円[[#This Row],[人数]])-京都枠4000円[[#This Row],[単価合計]]-(京都枠4000円[[#This Row],[キャンセル人数]]*$B$2),"")</calculatedColumnFormula>
    </tableColumn>
    <tableColumn id="10" xr3:uid="{C51A87DC-F777-4DA1-BF25-5B725C80B248}" name="幹事無料" dataDxfId="41" dataCellStyle="桁区切り 3">
      <calculatedColumnFormula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calculatedColumnFormula>
    </tableColumn>
    <tableColumn id="9" xr3:uid="{3843A8F4-DD83-4C2D-A0AF-A53E3C8BB2B7}" name="キャンセル人数" dataDxfId="40" dataCellStyle="標準 4"/>
    <tableColumn id="7" xr3:uid="{1C4143A0-D675-4806-8AF2-B0AE98EF0936}" name="イベンターへ" dataDxfId="39" dataCellStyle="桁区切り 3">
      <calculatedColumnFormula>IF(京都枠4000円[[#This Row],[人数]]="","",VLOOKUP(京都枠4000円[[#This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4EAEBE3-DA54-1A48-BA48-CE3A08D98430}" name="京都枠3500円" displayName="京都枠3500円" ref="L4:U35" totalsRowShown="0" headerRowBorderDxfId="38" tableBorderDxfId="37" totalsRowBorderDxfId="36">
  <autoFilter ref="L4:U35" xr:uid="{A0DEF83E-8402-6D4F-890F-932A91272C86}"/>
  <tableColumns count="10">
    <tableColumn id="4" xr3:uid="{A1850933-FD7C-4D7E-A12A-1C8395BE9F58}" name="日付" dataDxfId="35" dataCellStyle="標準 4">
      <calculatedColumnFormula>A5</calculatedColumnFormula>
    </tableColumn>
    <tableColumn id="1" xr3:uid="{0D67F66E-8FEB-6C4B-9A8E-1F2C42C84041}" name="件数" dataDxfId="34"/>
    <tableColumn id="2" xr3:uid="{583B9E26-E8D1-6F49-B4AC-659DE4CE9DCB}" name="イベンター予約名" dataDxfId="33"/>
    <tableColumn id="3" xr3:uid="{779DDEB2-9502-A24F-93BF-9816996BC73D}" name="人数" dataDxfId="32"/>
    <tableColumn id="8" xr3:uid="{A5C82EB0-EE09-451C-9AC3-ED5E368A24E1}" name="Aパターン" dataDxfId="31" dataCellStyle="標準 4"/>
    <tableColumn id="5" xr3:uid="{277DE9AA-F6C5-43E6-9DE6-514FBB61E03E}" name="単価合計" dataDxfId="30" dataCellStyle="桁区切り 3">
      <calculatedColumnFormula>IF(京都枠3500円[[#This Row],[人数]]="","",IF(京都枠3500円[[#This Row],[人数]]&lt;=7,$B$1*京都枠3500円[[#This Row],[人数]],$B$1*京都枠3500円[[#This Row],[人数]]-京都枠3500円[[#This Row],[幹事無料]]))</calculatedColumnFormula>
    </tableColumn>
    <tableColumn id="6" xr3:uid="{414A52AD-7C77-432D-9FA4-4872894AEE37}" name="ゆうき取りに行く" dataDxfId="29" dataCellStyle="桁区切り 3">
      <calculatedColumnFormula>IFERROR(($M$3*京都枠3500円[[#This Row],[人数]])-京都枠3500円[[#This Row],[単価合計]]-(京都枠3500円[[#This Row],[キャンセル人数]]*$B$2),"")</calculatedColumnFormula>
    </tableColumn>
    <tableColumn id="10" xr3:uid="{616D1E9F-3759-4514-BD43-55C8B64B3EEF}" name="幹事無料" dataDxfId="28" dataCellStyle="桁区切り 3">
      <calculatedColumnFormula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calculatedColumnFormula>
    </tableColumn>
    <tableColumn id="9" xr3:uid="{1A793B24-97B3-4F06-B56C-6D7B15364C30}" name="キャンセル人数" dataDxfId="27" dataCellStyle="標準 4"/>
    <tableColumn id="7" xr3:uid="{547A5E33-CA66-4F6F-A218-43F884F7FE64}" name="イベンターへ" dataDxfId="26" dataCellStyle="桁区切り 3">
      <calculatedColumnFormula>IF(京都枠3500円[[#This Row],[人数]]="","",VLOOKUP(京都枠3500円[[#This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/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51" t="s">
        <v>400</v>
      </c>
      <c r="B1" s="159" t="s">
        <v>519</v>
      </c>
      <c r="C1" s="1" t="s">
        <v>0</v>
      </c>
      <c r="D1" s="101" t="s">
        <v>392</v>
      </c>
      <c r="E1" s="104" t="s">
        <v>393</v>
      </c>
      <c r="F1" s="129" t="s">
        <v>397</v>
      </c>
      <c r="G1" s="129" t="s">
        <v>396</v>
      </c>
      <c r="H1" s="129" t="s">
        <v>394</v>
      </c>
      <c r="I1" s="129" t="s">
        <v>395</v>
      </c>
      <c r="J1" s="98" t="s">
        <v>345</v>
      </c>
      <c r="K1" s="98"/>
      <c r="M1" s="167" t="s">
        <v>235</v>
      </c>
      <c r="N1" s="164">
        <v>2022</v>
      </c>
      <c r="O1" s="166">
        <v>2</v>
      </c>
    </row>
    <row r="2" spans="1:16" ht="19.5" customHeight="1">
      <c r="A2" s="2">
        <v>1</v>
      </c>
      <c r="B2" s="58" t="s">
        <v>1</v>
      </c>
      <c r="C2" s="59" t="s">
        <v>2</v>
      </c>
      <c r="D2" s="102" t="str">
        <f>VLOOKUP(名前リスト[[#This Row],[管理番号]],まとめ表_バック金額[[#All],[管理番号]:[バック金額合計]],4,FALSE)</f>
        <v/>
      </c>
      <c r="E2" s="105" t="str">
        <f>VLOOKUP(名前リスト[[#This Row],[管理番号]],まとめ表_各店舗件数[[#All],[管理番号]:[合計件数]],4,FALSE)</f>
        <v/>
      </c>
      <c r="F2" s="130" t="str">
        <f>VLOOKUP(名前リスト[[#This Row],[管理番号]],まとめ表_各Aパターン件数[[#All],[管理番号]:[Aパターン]],4,FALSE)</f>
        <v/>
      </c>
      <c r="G2" s="130">
        <v>10</v>
      </c>
      <c r="H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42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103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2" s="99"/>
      <c r="M2" s="167"/>
      <c r="N2" s="165"/>
      <c r="O2" s="165"/>
    </row>
    <row r="3" spans="1:16" ht="19.5" customHeight="1">
      <c r="A3" s="2">
        <v>2</v>
      </c>
      <c r="B3" s="58" t="s">
        <v>3</v>
      </c>
      <c r="C3" s="59" t="s">
        <v>4</v>
      </c>
      <c r="D3" s="102" t="str">
        <f>VLOOKUP(名前リスト[[#This Row],[管理番号]],まとめ表_バック金額[[#All],[管理番号]:[バック金額合計]],4,FALSE)</f>
        <v/>
      </c>
      <c r="E3" s="105" t="str">
        <f>VLOOKUP(名前リスト[[#This Row],[管理番号]],まとめ表_各店舗件数[[#All],[管理番号]:[合計件数]],4,FALSE)</f>
        <v/>
      </c>
      <c r="F3" s="130" t="str">
        <f>VLOOKUP(名前リスト[[#This Row],[管理番号]],まとめ表_各Aパターン件数[[#All],[管理番号]:[Aパターン]],4,FALSE)</f>
        <v/>
      </c>
      <c r="G3" s="130"/>
      <c r="H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99"/>
    </row>
    <row r="4" spans="1:16" ht="19.5" customHeight="1">
      <c r="A4" s="2">
        <v>3</v>
      </c>
      <c r="B4" s="49" t="s">
        <v>368</v>
      </c>
      <c r="C4" s="59" t="s">
        <v>5</v>
      </c>
      <c r="D4" s="102" t="str">
        <f>VLOOKUP(名前リスト[[#This Row],[管理番号]],まとめ表_バック金額[[#All],[管理番号]:[バック金額合計]],4,FALSE)</f>
        <v/>
      </c>
      <c r="E4" s="105" t="str">
        <f>VLOOKUP(名前リスト[[#This Row],[管理番号]],まとめ表_各店舗件数[[#All],[管理番号]:[合計件数]],4,FALSE)</f>
        <v/>
      </c>
      <c r="F4" s="130" t="str">
        <f>VLOOKUP(名前リスト[[#This Row],[管理番号]],まとめ表_各Aパターン件数[[#All],[管理番号]:[Aパターン]],4,FALSE)</f>
        <v/>
      </c>
      <c r="G4" s="130"/>
      <c r="H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99"/>
      <c r="M4" s="100"/>
    </row>
    <row r="5" spans="1:16" ht="19.5" customHeight="1">
      <c r="A5" s="2">
        <v>4</v>
      </c>
      <c r="B5" s="58" t="s">
        <v>6</v>
      </c>
      <c r="C5" s="108" t="s">
        <v>369</v>
      </c>
      <c r="D5" s="102" t="str">
        <f>VLOOKUP(名前リスト[[#This Row],[管理番号]],まとめ表_バック金額[[#All],[管理番号]:[バック金額合計]],4,FALSE)</f>
        <v/>
      </c>
      <c r="E5" s="105" t="str">
        <f>VLOOKUP(名前リスト[[#This Row],[管理番号]],まとめ表_各店舗件数[[#All],[管理番号]:[合計件数]],4,FALSE)</f>
        <v/>
      </c>
      <c r="F5" s="130" t="str">
        <f>VLOOKUP(名前リスト[[#This Row],[管理番号]],まとめ表_各Aパターン件数[[#All],[管理番号]:[Aパターン]],4,FALSE)</f>
        <v/>
      </c>
      <c r="G5" s="130"/>
      <c r="H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99"/>
      <c r="M5" s="100"/>
      <c r="N5" s="100"/>
      <c r="O5" s="100"/>
      <c r="P5" s="100"/>
    </row>
    <row r="6" spans="1:16" ht="19.5" customHeight="1">
      <c r="A6" s="2">
        <v>5</v>
      </c>
      <c r="B6" s="58" t="s">
        <v>7</v>
      </c>
      <c r="C6" s="59" t="s">
        <v>8</v>
      </c>
      <c r="D6" s="102" t="str">
        <f>VLOOKUP(名前リスト[[#This Row],[管理番号]],まとめ表_バック金額[[#All],[管理番号]:[バック金額合計]],4,FALSE)</f>
        <v/>
      </c>
      <c r="E6" s="105" t="str">
        <f>VLOOKUP(名前リスト[[#This Row],[管理番号]],まとめ表_各店舗件数[[#All],[管理番号]:[合計件数]],4,FALSE)</f>
        <v/>
      </c>
      <c r="F6" s="130" t="str">
        <f>VLOOKUP(名前リスト[[#This Row],[管理番号]],まとめ表_各Aパターン件数[[#All],[管理番号]:[Aパターン]],4,FALSE)</f>
        <v/>
      </c>
      <c r="G6" s="130"/>
      <c r="H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99"/>
    </row>
    <row r="7" spans="1:16" ht="19.5" customHeight="1">
      <c r="A7" s="2">
        <v>6</v>
      </c>
      <c r="B7" s="58" t="s">
        <v>9</v>
      </c>
      <c r="C7" s="59" t="s">
        <v>10</v>
      </c>
      <c r="D7" s="102" t="str">
        <f>VLOOKUP(名前リスト[[#This Row],[管理番号]],まとめ表_バック金額[[#All],[管理番号]:[バック金額合計]],4,FALSE)</f>
        <v/>
      </c>
      <c r="E7" s="105" t="str">
        <f>VLOOKUP(名前リスト[[#This Row],[管理番号]],まとめ表_各店舗件数[[#All],[管理番号]:[合計件数]],4,FALSE)</f>
        <v/>
      </c>
      <c r="F7" s="130" t="str">
        <f>VLOOKUP(名前リスト[[#This Row],[管理番号]],まとめ表_各Aパターン件数[[#All],[管理番号]:[Aパターン]],4,FALSE)</f>
        <v/>
      </c>
      <c r="G7" s="130"/>
      <c r="H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99"/>
    </row>
    <row r="8" spans="1:16" ht="19.5" customHeight="1">
      <c r="A8" s="2">
        <v>7</v>
      </c>
      <c r="B8" s="58" t="s">
        <v>11</v>
      </c>
      <c r="C8" s="59" t="s">
        <v>12</v>
      </c>
      <c r="D8" s="102" t="str">
        <f>VLOOKUP(名前リスト[[#This Row],[管理番号]],まとめ表_バック金額[[#All],[管理番号]:[バック金額合計]],4,FALSE)</f>
        <v/>
      </c>
      <c r="E8" s="105" t="str">
        <f>VLOOKUP(名前リスト[[#This Row],[管理番号]],まとめ表_各店舗件数[[#All],[管理番号]:[合計件数]],4,FALSE)</f>
        <v/>
      </c>
      <c r="F8" s="130" t="str">
        <f>VLOOKUP(名前リスト[[#This Row],[管理番号]],まとめ表_各Aパターン件数[[#All],[管理番号]:[Aパターン]],4,FALSE)</f>
        <v/>
      </c>
      <c r="G8" s="130"/>
      <c r="H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99"/>
    </row>
    <row r="9" spans="1:16" ht="19.5" customHeight="1">
      <c r="A9" s="2">
        <v>8</v>
      </c>
      <c r="B9" s="58" t="s">
        <v>13</v>
      </c>
      <c r="C9" s="59" t="s">
        <v>14</v>
      </c>
      <c r="D9" s="102" t="str">
        <f>VLOOKUP(名前リスト[[#This Row],[管理番号]],まとめ表_バック金額[[#All],[管理番号]:[バック金額合計]],4,FALSE)</f>
        <v/>
      </c>
      <c r="E9" s="105" t="str">
        <f>VLOOKUP(名前リスト[[#This Row],[管理番号]],まとめ表_各店舗件数[[#All],[管理番号]:[合計件数]],4,FALSE)</f>
        <v/>
      </c>
      <c r="F9" s="130" t="str">
        <f>VLOOKUP(名前リスト[[#This Row],[管理番号]],まとめ表_各Aパターン件数[[#All],[管理番号]:[Aパターン]],4,FALSE)</f>
        <v/>
      </c>
      <c r="G9" s="130"/>
      <c r="H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99"/>
    </row>
    <row r="10" spans="1:16" ht="19.5" customHeight="1">
      <c r="A10" s="2">
        <v>9</v>
      </c>
      <c r="B10" s="58" t="s">
        <v>15</v>
      </c>
      <c r="C10" s="59" t="s">
        <v>15</v>
      </c>
      <c r="D10" s="102" t="str">
        <f>VLOOKUP(名前リスト[[#This Row],[管理番号]],まとめ表_バック金額[[#All],[管理番号]:[バック金額合計]],4,FALSE)</f>
        <v/>
      </c>
      <c r="E10" s="105" t="str">
        <f>VLOOKUP(名前リスト[[#This Row],[管理番号]],まとめ表_各店舗件数[[#All],[管理番号]:[合計件数]],4,FALSE)</f>
        <v/>
      </c>
      <c r="F10" s="130" t="str">
        <f>VLOOKUP(名前リスト[[#This Row],[管理番号]],まとめ表_各Aパターン件数[[#All],[管理番号]:[Aパターン]],4,FALSE)</f>
        <v/>
      </c>
      <c r="G10" s="130"/>
      <c r="H1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99"/>
    </row>
    <row r="11" spans="1:16" ht="19.5" customHeight="1">
      <c r="A11" s="2">
        <v>10</v>
      </c>
      <c r="B11" s="58" t="s">
        <v>16</v>
      </c>
      <c r="C11" s="59" t="s">
        <v>17</v>
      </c>
      <c r="D11" s="102" t="str">
        <f>VLOOKUP(名前リスト[[#This Row],[管理番号]],まとめ表_バック金額[[#All],[管理番号]:[バック金額合計]],4,FALSE)</f>
        <v/>
      </c>
      <c r="E11" s="105" t="str">
        <f>VLOOKUP(名前リスト[[#This Row],[管理番号]],まとめ表_各店舗件数[[#All],[管理番号]:[合計件数]],4,FALSE)</f>
        <v/>
      </c>
      <c r="F11" s="130" t="str">
        <f>VLOOKUP(名前リスト[[#This Row],[管理番号]],まとめ表_各Aパターン件数[[#All],[管理番号]:[Aパターン]],4,FALSE)</f>
        <v/>
      </c>
      <c r="G11" s="130"/>
      <c r="H1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99"/>
    </row>
    <row r="12" spans="1:16" ht="19.5" customHeight="1">
      <c r="A12" s="2">
        <v>11</v>
      </c>
      <c r="B12" s="58" t="s">
        <v>18</v>
      </c>
      <c r="C12" s="108" t="s">
        <v>401</v>
      </c>
      <c r="D12" s="102" t="str">
        <f>VLOOKUP(名前リスト[[#This Row],[管理番号]],まとめ表_バック金額[[#All],[管理番号]:[バック金額合計]],4,FALSE)</f>
        <v/>
      </c>
      <c r="E12" s="105" t="str">
        <f>VLOOKUP(名前リスト[[#This Row],[管理番号]],まとめ表_各店舗件数[[#All],[管理番号]:[合計件数]],4,FALSE)</f>
        <v/>
      </c>
      <c r="F12" s="130" t="str">
        <f>VLOOKUP(名前リスト[[#This Row],[管理番号]],まとめ表_各Aパターン件数[[#All],[管理番号]:[Aパターン]],4,FALSE)</f>
        <v/>
      </c>
      <c r="G12" s="130"/>
      <c r="H1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99"/>
    </row>
    <row r="13" spans="1:16" ht="19.5" customHeight="1">
      <c r="A13" s="2">
        <v>12</v>
      </c>
      <c r="B13" s="58" t="s">
        <v>19</v>
      </c>
      <c r="C13" s="59" t="s">
        <v>20</v>
      </c>
      <c r="D13" s="102" t="str">
        <f>VLOOKUP(名前リスト[[#This Row],[管理番号]],まとめ表_バック金額[[#All],[管理番号]:[バック金額合計]],4,FALSE)</f>
        <v/>
      </c>
      <c r="E13" s="105" t="str">
        <f>VLOOKUP(名前リスト[[#This Row],[管理番号]],まとめ表_各店舗件数[[#All],[管理番号]:[合計件数]],4,FALSE)</f>
        <v/>
      </c>
      <c r="F13" s="130" t="str">
        <f>VLOOKUP(名前リスト[[#This Row],[管理番号]],まとめ表_各Aパターン件数[[#All],[管理番号]:[Aパターン]],4,FALSE)</f>
        <v/>
      </c>
      <c r="G13" s="130"/>
      <c r="H1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99"/>
    </row>
    <row r="14" spans="1:16" ht="19.5" customHeight="1">
      <c r="A14" s="2">
        <v>13</v>
      </c>
      <c r="B14" s="58" t="s">
        <v>21</v>
      </c>
      <c r="C14" s="59" t="s">
        <v>22</v>
      </c>
      <c r="D14" s="102" t="str">
        <f>VLOOKUP(名前リスト[[#This Row],[管理番号]],まとめ表_バック金額[[#All],[管理番号]:[バック金額合計]],4,FALSE)</f>
        <v/>
      </c>
      <c r="E14" s="105" t="str">
        <f>VLOOKUP(名前リスト[[#This Row],[管理番号]],まとめ表_各店舗件数[[#All],[管理番号]:[合計件数]],4,FALSE)</f>
        <v/>
      </c>
      <c r="F14" s="130" t="str">
        <f>VLOOKUP(名前リスト[[#This Row],[管理番号]],まとめ表_各Aパターン件数[[#All],[管理番号]:[Aパターン]],4,FALSE)</f>
        <v/>
      </c>
      <c r="G14" s="130"/>
      <c r="H1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99"/>
    </row>
    <row r="15" spans="1:16" ht="19.5" customHeight="1">
      <c r="A15" s="2">
        <v>14</v>
      </c>
      <c r="B15" s="58" t="s">
        <v>23</v>
      </c>
      <c r="C15" s="59" t="s">
        <v>24</v>
      </c>
      <c r="D15" s="102" t="str">
        <f>VLOOKUP(名前リスト[[#This Row],[管理番号]],まとめ表_バック金額[[#All],[管理番号]:[バック金額合計]],4,FALSE)</f>
        <v/>
      </c>
      <c r="E15" s="105" t="str">
        <f>VLOOKUP(名前リスト[[#This Row],[管理番号]],まとめ表_各店舗件数[[#All],[管理番号]:[合計件数]],4,FALSE)</f>
        <v/>
      </c>
      <c r="F15" s="130" t="str">
        <f>VLOOKUP(名前リスト[[#This Row],[管理番号]],まとめ表_各Aパターン件数[[#All],[管理番号]:[Aパターン]],4,FALSE)</f>
        <v/>
      </c>
      <c r="G15" s="130"/>
      <c r="H1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99"/>
    </row>
    <row r="16" spans="1:16" ht="19.5" customHeight="1">
      <c r="A16" s="2">
        <v>15</v>
      </c>
      <c r="B16" s="58" t="s">
        <v>25</v>
      </c>
      <c r="C16" s="59" t="s">
        <v>26</v>
      </c>
      <c r="D16" s="102" t="str">
        <f>VLOOKUP(名前リスト[[#This Row],[管理番号]],まとめ表_バック金額[[#All],[管理番号]:[バック金額合計]],4,FALSE)</f>
        <v/>
      </c>
      <c r="E16" s="105" t="str">
        <f>VLOOKUP(名前リスト[[#This Row],[管理番号]],まとめ表_各店舗件数[[#All],[管理番号]:[合計件数]],4,FALSE)</f>
        <v/>
      </c>
      <c r="F16" s="130" t="str">
        <f>VLOOKUP(名前リスト[[#This Row],[管理番号]],まとめ表_各Aパターン件数[[#All],[管理番号]:[Aパターン]],4,FALSE)</f>
        <v/>
      </c>
      <c r="G16" s="130"/>
      <c r="H1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99"/>
    </row>
    <row r="17" spans="1:11" ht="19.5" customHeight="1">
      <c r="A17" s="2">
        <v>16</v>
      </c>
      <c r="B17" s="58" t="s">
        <v>27</v>
      </c>
      <c r="C17" s="59" t="s">
        <v>28</v>
      </c>
      <c r="D17" s="102" t="str">
        <f>VLOOKUP(名前リスト[[#This Row],[管理番号]],まとめ表_バック金額[[#All],[管理番号]:[バック金額合計]],4,FALSE)</f>
        <v/>
      </c>
      <c r="E17" s="105" t="str">
        <f>VLOOKUP(名前リスト[[#This Row],[管理番号]],まとめ表_各店舗件数[[#All],[管理番号]:[合計件数]],4,FALSE)</f>
        <v/>
      </c>
      <c r="F17" s="130" t="str">
        <f>VLOOKUP(名前リスト[[#This Row],[管理番号]],まとめ表_各Aパターン件数[[#All],[管理番号]:[Aパターン]],4,FALSE)</f>
        <v/>
      </c>
      <c r="G17" s="130"/>
      <c r="H1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99"/>
    </row>
    <row r="18" spans="1:11" ht="19.5" customHeight="1">
      <c r="A18" s="2">
        <v>17</v>
      </c>
      <c r="B18" s="58" t="s">
        <v>29</v>
      </c>
      <c r="C18" s="59" t="s">
        <v>30</v>
      </c>
      <c r="D18" s="102" t="str">
        <f>VLOOKUP(名前リスト[[#This Row],[管理番号]],まとめ表_バック金額[[#All],[管理番号]:[バック金額合計]],4,FALSE)</f>
        <v/>
      </c>
      <c r="E18" s="105" t="str">
        <f>VLOOKUP(名前リスト[[#This Row],[管理番号]],まとめ表_各店舗件数[[#All],[管理番号]:[合計件数]],4,FALSE)</f>
        <v/>
      </c>
      <c r="F18" s="130" t="str">
        <f>VLOOKUP(名前リスト[[#This Row],[管理番号]],まとめ表_各Aパターン件数[[#All],[管理番号]:[Aパターン]],4,FALSE)</f>
        <v/>
      </c>
      <c r="G18" s="130"/>
      <c r="H1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99"/>
    </row>
    <row r="19" spans="1:11" ht="19.5" customHeight="1">
      <c r="A19" s="2">
        <v>18</v>
      </c>
      <c r="B19" s="58" t="s">
        <v>31</v>
      </c>
      <c r="C19" s="59" t="s">
        <v>32</v>
      </c>
      <c r="D19" s="102" t="str">
        <f>VLOOKUP(名前リスト[[#This Row],[管理番号]],まとめ表_バック金額[[#All],[管理番号]:[バック金額合計]],4,FALSE)</f>
        <v/>
      </c>
      <c r="E19" s="105" t="str">
        <f>VLOOKUP(名前リスト[[#This Row],[管理番号]],まとめ表_各店舗件数[[#All],[管理番号]:[合計件数]],4,FALSE)</f>
        <v/>
      </c>
      <c r="F19" s="130" t="str">
        <f>VLOOKUP(名前リスト[[#This Row],[管理番号]],まとめ表_各Aパターン件数[[#All],[管理番号]:[Aパターン]],4,FALSE)</f>
        <v/>
      </c>
      <c r="G19" s="130"/>
      <c r="H1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99"/>
    </row>
    <row r="20" spans="1:11" ht="19.5" customHeight="1">
      <c r="A20" s="2">
        <v>19</v>
      </c>
      <c r="B20" s="58" t="s">
        <v>33</v>
      </c>
      <c r="C20" s="59" t="s">
        <v>34</v>
      </c>
      <c r="D20" s="102" t="str">
        <f>VLOOKUP(名前リスト[[#This Row],[管理番号]],まとめ表_バック金額[[#All],[管理番号]:[バック金額合計]],4,FALSE)</f>
        <v/>
      </c>
      <c r="E20" s="105" t="str">
        <f>VLOOKUP(名前リスト[[#This Row],[管理番号]],まとめ表_各店舗件数[[#All],[管理番号]:[合計件数]],4,FALSE)</f>
        <v/>
      </c>
      <c r="F20" s="130" t="str">
        <f>VLOOKUP(名前リスト[[#This Row],[管理番号]],まとめ表_各Aパターン件数[[#All],[管理番号]:[Aパターン]],4,FALSE)</f>
        <v/>
      </c>
      <c r="G20" s="130"/>
      <c r="H2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99"/>
    </row>
    <row r="21" spans="1:11" ht="19.5" customHeight="1">
      <c r="A21" s="2">
        <v>20</v>
      </c>
      <c r="B21" s="58" t="s">
        <v>1</v>
      </c>
      <c r="C21" s="59" t="s">
        <v>35</v>
      </c>
      <c r="D21" s="102" t="str">
        <f>VLOOKUP(名前リスト[[#This Row],[管理番号]],まとめ表_バック金額[[#All],[管理番号]:[バック金額合計]],4,FALSE)</f>
        <v/>
      </c>
      <c r="E21" s="105" t="str">
        <f>VLOOKUP(名前リスト[[#This Row],[管理番号]],まとめ表_各店舗件数[[#All],[管理番号]:[合計件数]],4,FALSE)</f>
        <v/>
      </c>
      <c r="F21" s="130" t="str">
        <f>VLOOKUP(名前リスト[[#This Row],[管理番号]],まとめ表_各Aパターン件数[[#All],[管理番号]:[Aパターン]],4,FALSE)</f>
        <v/>
      </c>
      <c r="G21" s="130"/>
      <c r="H2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99"/>
    </row>
    <row r="22" spans="1:11" ht="19.5" customHeight="1">
      <c r="A22" s="2">
        <v>21</v>
      </c>
      <c r="B22" s="58" t="s">
        <v>36</v>
      </c>
      <c r="C22" s="59" t="s">
        <v>37</v>
      </c>
      <c r="D22" s="102" t="str">
        <f>VLOOKUP(名前リスト[[#This Row],[管理番号]],まとめ表_バック金額[[#All],[管理番号]:[バック金額合計]],4,FALSE)</f>
        <v/>
      </c>
      <c r="E22" s="105" t="str">
        <f>VLOOKUP(名前リスト[[#This Row],[管理番号]],まとめ表_各店舗件数[[#All],[管理番号]:[合計件数]],4,FALSE)</f>
        <v/>
      </c>
      <c r="F22" s="130" t="str">
        <f>VLOOKUP(名前リスト[[#This Row],[管理番号]],まとめ表_各Aパターン件数[[#All],[管理番号]:[Aパターン]],4,FALSE)</f>
        <v/>
      </c>
      <c r="G22" s="130"/>
      <c r="H2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99"/>
    </row>
    <row r="23" spans="1:11" ht="19.5" customHeight="1">
      <c r="A23" s="2">
        <v>22</v>
      </c>
      <c r="B23" s="58" t="s">
        <v>38</v>
      </c>
      <c r="C23" s="59" t="s">
        <v>39</v>
      </c>
      <c r="D23" s="102" t="str">
        <f>VLOOKUP(名前リスト[[#This Row],[管理番号]],まとめ表_バック金額[[#All],[管理番号]:[バック金額合計]],4,FALSE)</f>
        <v/>
      </c>
      <c r="E23" s="105" t="str">
        <f>VLOOKUP(名前リスト[[#This Row],[管理番号]],まとめ表_各店舗件数[[#All],[管理番号]:[合計件数]],4,FALSE)</f>
        <v/>
      </c>
      <c r="F23" s="130" t="str">
        <f>VLOOKUP(名前リスト[[#This Row],[管理番号]],まとめ表_各Aパターン件数[[#All],[管理番号]:[Aパターン]],4,FALSE)</f>
        <v/>
      </c>
      <c r="G23" s="130"/>
      <c r="H2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99"/>
    </row>
    <row r="24" spans="1:11" ht="19.5" customHeight="1">
      <c r="A24" s="2">
        <v>23</v>
      </c>
      <c r="B24" s="58" t="s">
        <v>40</v>
      </c>
      <c r="C24" s="59" t="s">
        <v>41</v>
      </c>
      <c r="D24" s="102" t="str">
        <f>VLOOKUP(名前リスト[[#This Row],[管理番号]],まとめ表_バック金額[[#All],[管理番号]:[バック金額合計]],4,FALSE)</f>
        <v/>
      </c>
      <c r="E24" s="105" t="str">
        <f>VLOOKUP(名前リスト[[#This Row],[管理番号]],まとめ表_各店舗件数[[#All],[管理番号]:[合計件数]],4,FALSE)</f>
        <v/>
      </c>
      <c r="F24" s="130" t="str">
        <f>VLOOKUP(名前リスト[[#This Row],[管理番号]],まとめ表_各Aパターン件数[[#All],[管理番号]:[Aパターン]],4,FALSE)</f>
        <v/>
      </c>
      <c r="G24" s="130"/>
      <c r="H2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99"/>
    </row>
    <row r="25" spans="1:11" ht="19.5" customHeight="1">
      <c r="A25" s="2">
        <v>24</v>
      </c>
      <c r="B25" s="58" t="s">
        <v>42</v>
      </c>
      <c r="C25" s="59" t="s">
        <v>43</v>
      </c>
      <c r="D25" s="102" t="str">
        <f>VLOOKUP(名前リスト[[#This Row],[管理番号]],まとめ表_バック金額[[#All],[管理番号]:[バック金額合計]],4,FALSE)</f>
        <v/>
      </c>
      <c r="E25" s="105" t="str">
        <f>VLOOKUP(名前リスト[[#This Row],[管理番号]],まとめ表_各店舗件数[[#All],[管理番号]:[合計件数]],4,FALSE)</f>
        <v/>
      </c>
      <c r="F25" s="130" t="str">
        <f>VLOOKUP(名前リスト[[#This Row],[管理番号]],まとめ表_各Aパターン件数[[#All],[管理番号]:[Aパターン]],4,FALSE)</f>
        <v/>
      </c>
      <c r="G25" s="130"/>
      <c r="H2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99"/>
    </row>
    <row r="26" spans="1:11" ht="19.5" customHeight="1">
      <c r="A26" s="2">
        <v>25</v>
      </c>
      <c r="B26" s="58" t="s">
        <v>44</v>
      </c>
      <c r="C26" s="59" t="s">
        <v>45</v>
      </c>
      <c r="D26" s="102" t="str">
        <f>VLOOKUP(名前リスト[[#This Row],[管理番号]],まとめ表_バック金額[[#All],[管理番号]:[バック金額合計]],4,FALSE)</f>
        <v/>
      </c>
      <c r="E26" s="105" t="str">
        <f>VLOOKUP(名前リスト[[#This Row],[管理番号]],まとめ表_各店舗件数[[#All],[管理番号]:[合計件数]],4,FALSE)</f>
        <v/>
      </c>
      <c r="F26" s="130" t="str">
        <f>VLOOKUP(名前リスト[[#This Row],[管理番号]],まとめ表_各Aパターン件数[[#All],[管理番号]:[Aパターン]],4,FALSE)</f>
        <v/>
      </c>
      <c r="G26" s="130"/>
      <c r="H2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99"/>
    </row>
    <row r="27" spans="1:11" ht="19.5" customHeight="1">
      <c r="A27" s="2">
        <v>26</v>
      </c>
      <c r="B27" s="58" t="s">
        <v>46</v>
      </c>
      <c r="C27" s="59" t="s">
        <v>47</v>
      </c>
      <c r="D27" s="102" t="str">
        <f>VLOOKUP(名前リスト[[#This Row],[管理番号]],まとめ表_バック金額[[#All],[管理番号]:[バック金額合計]],4,FALSE)</f>
        <v/>
      </c>
      <c r="E27" s="105" t="str">
        <f>VLOOKUP(名前リスト[[#This Row],[管理番号]],まとめ表_各店舗件数[[#All],[管理番号]:[合計件数]],4,FALSE)</f>
        <v/>
      </c>
      <c r="F27" s="130" t="str">
        <f>VLOOKUP(名前リスト[[#This Row],[管理番号]],まとめ表_各Aパターン件数[[#All],[管理番号]:[Aパターン]],4,FALSE)</f>
        <v/>
      </c>
      <c r="G27" s="130"/>
      <c r="H2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99"/>
    </row>
    <row r="28" spans="1:11" ht="19.5" customHeight="1">
      <c r="A28" s="2">
        <v>27</v>
      </c>
      <c r="B28" s="58" t="s">
        <v>48</v>
      </c>
      <c r="C28" s="59" t="s">
        <v>49</v>
      </c>
      <c r="D28" s="102" t="str">
        <f>VLOOKUP(名前リスト[[#This Row],[管理番号]],まとめ表_バック金額[[#All],[管理番号]:[バック金額合計]],4,FALSE)</f>
        <v/>
      </c>
      <c r="E28" s="105" t="str">
        <f>VLOOKUP(名前リスト[[#This Row],[管理番号]],まとめ表_各店舗件数[[#All],[管理番号]:[合計件数]],4,FALSE)</f>
        <v/>
      </c>
      <c r="F28" s="130" t="str">
        <f>VLOOKUP(名前リスト[[#This Row],[管理番号]],まとめ表_各Aパターン件数[[#All],[管理番号]:[Aパターン]],4,FALSE)</f>
        <v/>
      </c>
      <c r="G28" s="130"/>
      <c r="H2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99"/>
    </row>
    <row r="29" spans="1:11" ht="19.5" customHeight="1">
      <c r="A29" s="2">
        <v>28</v>
      </c>
      <c r="B29" s="58" t="s">
        <v>50</v>
      </c>
      <c r="C29" s="59" t="s">
        <v>51</v>
      </c>
      <c r="D29" s="102" t="str">
        <f>VLOOKUP(名前リスト[[#This Row],[管理番号]],まとめ表_バック金額[[#All],[管理番号]:[バック金額合計]],4,FALSE)</f>
        <v/>
      </c>
      <c r="E29" s="105" t="str">
        <f>VLOOKUP(名前リスト[[#This Row],[管理番号]],まとめ表_各店舗件数[[#All],[管理番号]:[合計件数]],4,FALSE)</f>
        <v/>
      </c>
      <c r="F29" s="130" t="str">
        <f>VLOOKUP(名前リスト[[#This Row],[管理番号]],まとめ表_各Aパターン件数[[#All],[管理番号]:[Aパターン]],4,FALSE)</f>
        <v/>
      </c>
      <c r="G29" s="130"/>
      <c r="H2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99"/>
    </row>
    <row r="30" spans="1:11" ht="19.5" customHeight="1">
      <c r="A30" s="2">
        <v>29</v>
      </c>
      <c r="B30" s="58" t="s">
        <v>52</v>
      </c>
      <c r="C30" s="59" t="s">
        <v>53</v>
      </c>
      <c r="D30" s="102" t="str">
        <f>VLOOKUP(名前リスト[[#This Row],[管理番号]],まとめ表_バック金額[[#All],[管理番号]:[バック金額合計]],4,FALSE)</f>
        <v/>
      </c>
      <c r="E30" s="105" t="str">
        <f>VLOOKUP(名前リスト[[#This Row],[管理番号]],まとめ表_各店舗件数[[#All],[管理番号]:[合計件数]],4,FALSE)</f>
        <v/>
      </c>
      <c r="F30" s="130" t="str">
        <f>VLOOKUP(名前リスト[[#This Row],[管理番号]],まとめ表_各Aパターン件数[[#All],[管理番号]:[Aパターン]],4,FALSE)</f>
        <v/>
      </c>
      <c r="G30" s="130"/>
      <c r="H3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99"/>
    </row>
    <row r="31" spans="1:11" ht="19.5" customHeight="1">
      <c r="A31" s="2">
        <v>30</v>
      </c>
      <c r="B31" s="58" t="s">
        <v>54</v>
      </c>
      <c r="C31" s="59" t="s">
        <v>55</v>
      </c>
      <c r="D31" s="102" t="str">
        <f>VLOOKUP(名前リスト[[#This Row],[管理番号]],まとめ表_バック金額[[#All],[管理番号]:[バック金額合計]],4,FALSE)</f>
        <v/>
      </c>
      <c r="E31" s="105" t="str">
        <f>VLOOKUP(名前リスト[[#This Row],[管理番号]],まとめ表_各店舗件数[[#All],[管理番号]:[合計件数]],4,FALSE)</f>
        <v/>
      </c>
      <c r="F31" s="130" t="str">
        <f>VLOOKUP(名前リスト[[#This Row],[管理番号]],まとめ表_各Aパターン件数[[#All],[管理番号]:[Aパターン]],4,FALSE)</f>
        <v/>
      </c>
      <c r="G31" s="130"/>
      <c r="H3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99"/>
    </row>
    <row r="32" spans="1:11" ht="19.5" customHeight="1">
      <c r="A32" s="2">
        <v>31</v>
      </c>
      <c r="B32" s="58" t="s">
        <v>56</v>
      </c>
      <c r="C32" s="59" t="s">
        <v>57</v>
      </c>
      <c r="D32" s="102" t="str">
        <f>VLOOKUP(名前リスト[[#This Row],[管理番号]],まとめ表_バック金額[[#All],[管理番号]:[バック金額合計]],4,FALSE)</f>
        <v/>
      </c>
      <c r="E32" s="105" t="str">
        <f>VLOOKUP(名前リスト[[#This Row],[管理番号]],まとめ表_各店舗件数[[#All],[管理番号]:[合計件数]],4,FALSE)</f>
        <v/>
      </c>
      <c r="F32" s="130" t="str">
        <f>VLOOKUP(名前リスト[[#This Row],[管理番号]],まとめ表_各Aパターン件数[[#All],[管理番号]:[Aパターン]],4,FALSE)</f>
        <v/>
      </c>
      <c r="G32" s="130"/>
      <c r="H3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99"/>
    </row>
    <row r="33" spans="1:11" ht="19.5" customHeight="1">
      <c r="A33" s="2">
        <v>32</v>
      </c>
      <c r="B33" s="58" t="s">
        <v>58</v>
      </c>
      <c r="C33" s="59" t="s">
        <v>59</v>
      </c>
      <c r="D33" s="102" t="str">
        <f>VLOOKUP(名前リスト[[#This Row],[管理番号]],まとめ表_バック金額[[#All],[管理番号]:[バック金額合計]],4,FALSE)</f>
        <v/>
      </c>
      <c r="E33" s="105" t="str">
        <f>VLOOKUP(名前リスト[[#This Row],[管理番号]],まとめ表_各店舗件数[[#All],[管理番号]:[合計件数]],4,FALSE)</f>
        <v/>
      </c>
      <c r="F33" s="130" t="str">
        <f>VLOOKUP(名前リスト[[#This Row],[管理番号]],まとめ表_各Aパターン件数[[#All],[管理番号]:[Aパターン]],4,FALSE)</f>
        <v/>
      </c>
      <c r="G33" s="130"/>
      <c r="H3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99"/>
    </row>
    <row r="34" spans="1:11" ht="19.5" customHeight="1">
      <c r="A34" s="2">
        <v>33</v>
      </c>
      <c r="B34" s="58" t="s">
        <v>60</v>
      </c>
      <c r="C34" s="59" t="s">
        <v>61</v>
      </c>
      <c r="D34" s="102" t="str">
        <f>VLOOKUP(名前リスト[[#This Row],[管理番号]],まとめ表_バック金額[[#All],[管理番号]:[バック金額合計]],4,FALSE)</f>
        <v/>
      </c>
      <c r="E34" s="105" t="str">
        <f>VLOOKUP(名前リスト[[#This Row],[管理番号]],まとめ表_各店舗件数[[#All],[管理番号]:[合計件数]],4,FALSE)</f>
        <v/>
      </c>
      <c r="F34" s="130" t="str">
        <f>VLOOKUP(名前リスト[[#This Row],[管理番号]],まとめ表_各Aパターン件数[[#All],[管理番号]:[Aパターン]],4,FALSE)</f>
        <v/>
      </c>
      <c r="G34" s="130"/>
      <c r="H3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99"/>
    </row>
    <row r="35" spans="1:11" ht="19.5" customHeight="1">
      <c r="A35" s="2">
        <v>34</v>
      </c>
      <c r="B35" s="58" t="s">
        <v>62</v>
      </c>
      <c r="C35" s="59" t="s">
        <v>63</v>
      </c>
      <c r="D35" s="102" t="str">
        <f>VLOOKUP(名前リスト[[#This Row],[管理番号]],まとめ表_バック金額[[#All],[管理番号]:[バック金額合計]],4,FALSE)</f>
        <v/>
      </c>
      <c r="E35" s="105" t="str">
        <f>VLOOKUP(名前リスト[[#This Row],[管理番号]],まとめ表_各店舗件数[[#All],[管理番号]:[合計件数]],4,FALSE)</f>
        <v/>
      </c>
      <c r="F35" s="130" t="str">
        <f>VLOOKUP(名前リスト[[#This Row],[管理番号]],まとめ表_各Aパターン件数[[#All],[管理番号]:[Aパターン]],4,FALSE)</f>
        <v/>
      </c>
      <c r="G35" s="130"/>
      <c r="H3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99"/>
    </row>
    <row r="36" spans="1:11" ht="19.5" customHeight="1">
      <c r="A36" s="2">
        <v>35</v>
      </c>
      <c r="B36" s="58" t="s">
        <v>64</v>
      </c>
      <c r="C36" s="59" t="s">
        <v>65</v>
      </c>
      <c r="D36" s="102" t="str">
        <f>VLOOKUP(名前リスト[[#This Row],[管理番号]],まとめ表_バック金額[[#All],[管理番号]:[バック金額合計]],4,FALSE)</f>
        <v/>
      </c>
      <c r="E36" s="105" t="e">
        <f>VLOOKUP(名前リスト[[#This Row],[管理番号]],まとめ表_各店舗件数[[#All],[管理番号]:[合計件数]],4,FALSE)</f>
        <v>#REF!</v>
      </c>
      <c r="F36" s="130" t="str">
        <f>VLOOKUP(名前リスト[[#This Row],[管理番号]],まとめ表_各Aパターン件数[[#All],[管理番号]:[Aパターン]],4,FALSE)</f>
        <v/>
      </c>
      <c r="G36" s="130"/>
      <c r="H3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99"/>
    </row>
    <row r="37" spans="1:11" ht="19.5" customHeight="1">
      <c r="A37" s="2">
        <v>36</v>
      </c>
      <c r="B37" s="58" t="s">
        <v>66</v>
      </c>
      <c r="C37" s="59" t="s">
        <v>67</v>
      </c>
      <c r="D37" s="102" t="str">
        <f>VLOOKUP(名前リスト[[#This Row],[管理番号]],まとめ表_バック金額[[#All],[管理番号]:[バック金額合計]],4,FALSE)</f>
        <v/>
      </c>
      <c r="E37" s="105" t="str">
        <f>VLOOKUP(名前リスト[[#This Row],[管理番号]],まとめ表_各店舗件数[[#All],[管理番号]:[合計件数]],4,FALSE)</f>
        <v/>
      </c>
      <c r="F37" s="130" t="str">
        <f>VLOOKUP(名前リスト[[#This Row],[管理番号]],まとめ表_各Aパターン件数[[#All],[管理番号]:[Aパターン]],4,FALSE)</f>
        <v/>
      </c>
      <c r="G37" s="130"/>
      <c r="H3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99"/>
    </row>
    <row r="38" spans="1:11" ht="19.5" customHeight="1">
      <c r="A38" s="2">
        <v>37</v>
      </c>
      <c r="B38" s="58" t="s">
        <v>68</v>
      </c>
      <c r="C38" s="59" t="s">
        <v>69</v>
      </c>
      <c r="D38" s="102" t="str">
        <f>VLOOKUP(名前リスト[[#This Row],[管理番号]],まとめ表_バック金額[[#All],[管理番号]:[バック金額合計]],4,FALSE)</f>
        <v/>
      </c>
      <c r="E38" s="105" t="str">
        <f>VLOOKUP(名前リスト[[#This Row],[管理番号]],まとめ表_各店舗件数[[#All],[管理番号]:[合計件数]],4,FALSE)</f>
        <v/>
      </c>
      <c r="F38" s="130" t="str">
        <f>VLOOKUP(名前リスト[[#This Row],[管理番号]],まとめ表_各Aパターン件数[[#All],[管理番号]:[Aパターン]],4,FALSE)</f>
        <v/>
      </c>
      <c r="G38" s="130"/>
      <c r="H3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99"/>
    </row>
    <row r="39" spans="1:11" ht="19.5" customHeight="1">
      <c r="A39" s="2">
        <v>38</v>
      </c>
      <c r="B39" s="58" t="s">
        <v>70</v>
      </c>
      <c r="C39" s="59" t="s">
        <v>71</v>
      </c>
      <c r="D39" s="102" t="str">
        <f>VLOOKUP(名前リスト[[#This Row],[管理番号]],まとめ表_バック金額[[#All],[管理番号]:[バック金額合計]],4,FALSE)</f>
        <v/>
      </c>
      <c r="E39" s="105" t="str">
        <f>VLOOKUP(名前リスト[[#This Row],[管理番号]],まとめ表_各店舗件数[[#All],[管理番号]:[合計件数]],4,FALSE)</f>
        <v/>
      </c>
      <c r="F39" s="130" t="str">
        <f>VLOOKUP(名前リスト[[#This Row],[管理番号]],まとめ表_各Aパターン件数[[#All],[管理番号]:[Aパターン]],4,FALSE)</f>
        <v/>
      </c>
      <c r="G39" s="130"/>
      <c r="H3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99"/>
    </row>
    <row r="40" spans="1:11" ht="19.5" customHeight="1">
      <c r="A40" s="2">
        <v>39</v>
      </c>
      <c r="B40" s="58" t="s">
        <v>72</v>
      </c>
      <c r="C40" s="59" t="s">
        <v>73</v>
      </c>
      <c r="D40" s="102" t="str">
        <f>VLOOKUP(名前リスト[[#This Row],[管理番号]],まとめ表_バック金額[[#All],[管理番号]:[バック金額合計]],4,FALSE)</f>
        <v/>
      </c>
      <c r="E40" s="105" t="str">
        <f>VLOOKUP(名前リスト[[#This Row],[管理番号]],まとめ表_各店舗件数[[#All],[管理番号]:[合計件数]],4,FALSE)</f>
        <v/>
      </c>
      <c r="F40" s="130" t="str">
        <f>VLOOKUP(名前リスト[[#This Row],[管理番号]],まとめ表_各Aパターン件数[[#All],[管理番号]:[Aパターン]],4,FALSE)</f>
        <v/>
      </c>
      <c r="G40" s="130"/>
      <c r="H4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99"/>
    </row>
    <row r="41" spans="1:11" ht="19.5" customHeight="1">
      <c r="A41" s="2">
        <v>40</v>
      </c>
      <c r="B41" s="58" t="s">
        <v>74</v>
      </c>
      <c r="C41" s="59" t="s">
        <v>74</v>
      </c>
      <c r="D41" s="102">
        <f>VLOOKUP(名前リスト[[#This Row],[管理番号]],まとめ表_バック金額[[#All],[管理番号]:[バック金額合計]],4,FALSE)</f>
        <v>2000</v>
      </c>
      <c r="E41" s="105">
        <f>VLOOKUP(名前リスト[[#This Row],[管理番号]],まとめ表_各店舗件数[[#All],[管理番号]:[合計件数]],4,FALSE)</f>
        <v>1</v>
      </c>
      <c r="F41" s="130" t="str">
        <f>VLOOKUP(名前リスト[[#This Row],[管理番号]],まとめ表_各Aパターン件数[[#All],[管理番号]:[Aパターン]],4,FALSE)</f>
        <v/>
      </c>
      <c r="G41" s="130"/>
      <c r="H4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42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2000</v>
      </c>
      <c r="J41" s="103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41" s="99"/>
    </row>
    <row r="42" spans="1:11" ht="19.5" customHeight="1">
      <c r="A42" s="2">
        <v>41</v>
      </c>
      <c r="B42" s="58" t="s">
        <v>75</v>
      </c>
      <c r="C42" s="59" t="s">
        <v>75</v>
      </c>
      <c r="D42" s="102" t="str">
        <f>VLOOKUP(名前リスト[[#This Row],[管理番号]],まとめ表_バック金額[[#All],[管理番号]:[バック金額合計]],4,FALSE)</f>
        <v/>
      </c>
      <c r="E42" s="105" t="str">
        <f>VLOOKUP(名前リスト[[#This Row],[管理番号]],まとめ表_各店舗件数[[#All],[管理番号]:[合計件数]],4,FALSE)</f>
        <v/>
      </c>
      <c r="F42" s="130" t="str">
        <f>VLOOKUP(名前リスト[[#This Row],[管理番号]],まとめ表_各Aパターン件数[[#All],[管理番号]:[Aパターン]],4,FALSE)</f>
        <v/>
      </c>
      <c r="G42" s="130"/>
      <c r="H4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99"/>
    </row>
    <row r="43" spans="1:11" ht="19.5" customHeight="1">
      <c r="A43" s="2">
        <v>42</v>
      </c>
      <c r="B43" s="58" t="s">
        <v>76</v>
      </c>
      <c r="C43" s="59" t="s">
        <v>77</v>
      </c>
      <c r="D43" s="102" t="str">
        <f>VLOOKUP(名前リスト[[#This Row],[管理番号]],まとめ表_バック金額[[#All],[管理番号]:[バック金額合計]],4,FALSE)</f>
        <v/>
      </c>
      <c r="E43" s="105" t="str">
        <f>VLOOKUP(名前リスト[[#This Row],[管理番号]],まとめ表_各店舗件数[[#All],[管理番号]:[合計件数]],4,FALSE)</f>
        <v/>
      </c>
      <c r="F43" s="130" t="str">
        <f>VLOOKUP(名前リスト[[#This Row],[管理番号]],まとめ表_各Aパターン件数[[#All],[管理番号]:[Aパターン]],4,FALSE)</f>
        <v/>
      </c>
      <c r="G43" s="130"/>
      <c r="H43" s="130"/>
      <c r="I4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99"/>
    </row>
    <row r="44" spans="1:11" ht="19.5" customHeight="1">
      <c r="A44" s="2">
        <v>43</v>
      </c>
      <c r="B44" s="58" t="s">
        <v>78</v>
      </c>
      <c r="C44" s="59" t="s">
        <v>79</v>
      </c>
      <c r="D44" s="102" t="str">
        <f>VLOOKUP(名前リスト[[#This Row],[管理番号]],まとめ表_バック金額[[#All],[管理番号]:[バック金額合計]],4,FALSE)</f>
        <v/>
      </c>
      <c r="E44" s="105" t="str">
        <f>VLOOKUP(名前リスト[[#This Row],[管理番号]],まとめ表_各店舗件数[[#All],[管理番号]:[合計件数]],4,FALSE)</f>
        <v/>
      </c>
      <c r="F44" s="130" t="str">
        <f>VLOOKUP(名前リスト[[#This Row],[管理番号]],まとめ表_各Aパターン件数[[#All],[管理番号]:[Aパターン]],4,FALSE)</f>
        <v/>
      </c>
      <c r="G44" s="130"/>
      <c r="H44" s="130"/>
      <c r="I4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99"/>
    </row>
    <row r="45" spans="1:11" ht="19.5" customHeight="1">
      <c r="A45" s="2">
        <v>44</v>
      </c>
      <c r="B45" s="58" t="s">
        <v>80</v>
      </c>
      <c r="C45" s="59" t="s">
        <v>80</v>
      </c>
      <c r="D45" s="102" t="str">
        <f>VLOOKUP(名前リスト[[#This Row],[管理番号]],まとめ表_バック金額[[#All],[管理番号]:[バック金額合計]],4,FALSE)</f>
        <v/>
      </c>
      <c r="E45" s="105" t="str">
        <f>VLOOKUP(名前リスト[[#This Row],[管理番号]],まとめ表_各店舗件数[[#All],[管理番号]:[合計件数]],4,FALSE)</f>
        <v/>
      </c>
      <c r="F45" s="130" t="str">
        <f>VLOOKUP(名前リスト[[#This Row],[管理番号]],まとめ表_各Aパターン件数[[#All],[管理番号]:[Aパターン]],4,FALSE)</f>
        <v/>
      </c>
      <c r="G45" s="130"/>
      <c r="H4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99"/>
    </row>
    <row r="46" spans="1:11" ht="19.5" customHeight="1">
      <c r="A46" s="2">
        <v>45</v>
      </c>
      <c r="B46" s="58" t="s">
        <v>81</v>
      </c>
      <c r="C46" s="59" t="s">
        <v>82</v>
      </c>
      <c r="D46" s="102" t="str">
        <f>VLOOKUP(名前リスト[[#This Row],[管理番号]],まとめ表_バック金額[[#All],[管理番号]:[バック金額合計]],4,FALSE)</f>
        <v/>
      </c>
      <c r="E46" s="105" t="str">
        <f>VLOOKUP(名前リスト[[#This Row],[管理番号]],まとめ表_各店舗件数[[#All],[管理番号]:[合計件数]],4,FALSE)</f>
        <v/>
      </c>
      <c r="F46" s="130" t="str">
        <f>VLOOKUP(名前リスト[[#This Row],[管理番号]],まとめ表_各Aパターン件数[[#All],[管理番号]:[Aパターン]],4,FALSE)</f>
        <v/>
      </c>
      <c r="G46" s="130"/>
      <c r="H4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99"/>
    </row>
    <row r="47" spans="1:11" ht="19.5" customHeight="1">
      <c r="A47" s="2">
        <v>46</v>
      </c>
      <c r="B47" s="58" t="s">
        <v>83</v>
      </c>
      <c r="C47" s="59" t="s">
        <v>84</v>
      </c>
      <c r="D47" s="102" t="str">
        <f>VLOOKUP(名前リスト[[#This Row],[管理番号]],まとめ表_バック金額[[#All],[管理番号]:[バック金額合計]],4,FALSE)</f>
        <v/>
      </c>
      <c r="E47" s="105" t="str">
        <f>VLOOKUP(名前リスト[[#This Row],[管理番号]],まとめ表_各店舗件数[[#All],[管理番号]:[合計件数]],4,FALSE)</f>
        <v/>
      </c>
      <c r="F47" s="130" t="str">
        <f>VLOOKUP(名前リスト[[#This Row],[管理番号]],まとめ表_各Aパターン件数[[#All],[管理番号]:[Aパターン]],4,FALSE)</f>
        <v/>
      </c>
      <c r="G47" s="130"/>
      <c r="H4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99"/>
    </row>
    <row r="48" spans="1:11" ht="19.5" customHeight="1">
      <c r="A48" s="2">
        <v>47</v>
      </c>
      <c r="B48" s="58" t="s">
        <v>85</v>
      </c>
      <c r="C48" s="59" t="s">
        <v>86</v>
      </c>
      <c r="D48" s="102" t="str">
        <f>VLOOKUP(名前リスト[[#This Row],[管理番号]],まとめ表_バック金額[[#All],[管理番号]:[バック金額合計]],4,FALSE)</f>
        <v/>
      </c>
      <c r="E48" s="105" t="str">
        <f>VLOOKUP(名前リスト[[#This Row],[管理番号]],まとめ表_各店舗件数[[#All],[管理番号]:[合計件数]],4,FALSE)</f>
        <v/>
      </c>
      <c r="F48" s="130" t="str">
        <f>VLOOKUP(名前リスト[[#This Row],[管理番号]],まとめ表_各Aパターン件数[[#All],[管理番号]:[Aパターン]],4,FALSE)</f>
        <v/>
      </c>
      <c r="G48" s="130"/>
      <c r="H4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99"/>
    </row>
    <row r="49" spans="1:11" ht="19.5" customHeight="1">
      <c r="A49" s="2">
        <v>48</v>
      </c>
      <c r="B49" s="58" t="s">
        <v>87</v>
      </c>
      <c r="C49" s="59" t="s">
        <v>88</v>
      </c>
      <c r="D49" s="102" t="str">
        <f>VLOOKUP(名前リスト[[#This Row],[管理番号]],まとめ表_バック金額[[#All],[管理番号]:[バック金額合計]],4,FALSE)</f>
        <v/>
      </c>
      <c r="E49" s="105" t="str">
        <f>VLOOKUP(名前リスト[[#This Row],[管理番号]],まとめ表_各店舗件数[[#All],[管理番号]:[合計件数]],4,FALSE)</f>
        <v/>
      </c>
      <c r="F49" s="130" t="str">
        <f>VLOOKUP(名前リスト[[#This Row],[管理番号]],まとめ表_各Aパターン件数[[#All],[管理番号]:[Aパターン]],4,FALSE)</f>
        <v/>
      </c>
      <c r="G49" s="130"/>
      <c r="H4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99"/>
    </row>
    <row r="50" spans="1:11" ht="19.5" customHeight="1">
      <c r="A50" s="2">
        <v>49</v>
      </c>
      <c r="B50" s="58" t="s">
        <v>89</v>
      </c>
      <c r="C50" s="59" t="s">
        <v>90</v>
      </c>
      <c r="D50" s="102" t="str">
        <f>VLOOKUP(名前リスト[[#This Row],[管理番号]],まとめ表_バック金額[[#All],[管理番号]:[バック金額合計]],4,FALSE)</f>
        <v/>
      </c>
      <c r="E50" s="105" t="str">
        <f>VLOOKUP(名前リスト[[#This Row],[管理番号]],まとめ表_各店舗件数[[#All],[管理番号]:[合計件数]],4,FALSE)</f>
        <v/>
      </c>
      <c r="F50" s="130" t="str">
        <f>VLOOKUP(名前リスト[[#This Row],[管理番号]],まとめ表_各Aパターン件数[[#All],[管理番号]:[Aパターン]],4,FALSE)</f>
        <v/>
      </c>
      <c r="G50" s="130"/>
      <c r="H5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99"/>
    </row>
    <row r="51" spans="1:11" ht="19.5" customHeight="1">
      <c r="A51" s="2">
        <v>50</v>
      </c>
      <c r="B51" s="58" t="s">
        <v>91</v>
      </c>
      <c r="C51" s="59" t="s">
        <v>92</v>
      </c>
      <c r="D51" s="102" t="str">
        <f>VLOOKUP(名前リスト[[#This Row],[管理番号]],まとめ表_バック金額[[#All],[管理番号]:[バック金額合計]],4,FALSE)</f>
        <v/>
      </c>
      <c r="E51" s="105" t="str">
        <f>VLOOKUP(名前リスト[[#This Row],[管理番号]],まとめ表_各店舗件数[[#All],[管理番号]:[合計件数]],4,FALSE)</f>
        <v/>
      </c>
      <c r="F51" s="130" t="str">
        <f>VLOOKUP(名前リスト[[#This Row],[管理番号]],まとめ表_各Aパターン件数[[#All],[管理番号]:[Aパターン]],4,FALSE)</f>
        <v/>
      </c>
      <c r="G51" s="130"/>
      <c r="H5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99"/>
    </row>
    <row r="52" spans="1:11" ht="19.5" customHeight="1">
      <c r="A52" s="2">
        <v>51</v>
      </c>
      <c r="B52" s="58" t="s">
        <v>93</v>
      </c>
      <c r="C52" s="59" t="s">
        <v>94</v>
      </c>
      <c r="D52" s="102" t="str">
        <f>VLOOKUP(名前リスト[[#This Row],[管理番号]],まとめ表_バック金額[[#All],[管理番号]:[バック金額合計]],4,FALSE)</f>
        <v/>
      </c>
      <c r="E52" s="105" t="str">
        <f>VLOOKUP(名前リスト[[#This Row],[管理番号]],まとめ表_各店舗件数[[#All],[管理番号]:[合計件数]],4,FALSE)</f>
        <v/>
      </c>
      <c r="F52" s="130" t="str">
        <f>VLOOKUP(名前リスト[[#This Row],[管理番号]],まとめ表_各Aパターン件数[[#All],[管理番号]:[Aパターン]],4,FALSE)</f>
        <v/>
      </c>
      <c r="G52" s="130"/>
      <c r="H5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99"/>
    </row>
    <row r="53" spans="1:11" ht="19.5" customHeight="1">
      <c r="A53" s="2">
        <v>52</v>
      </c>
      <c r="B53" s="58" t="s">
        <v>95</v>
      </c>
      <c r="C53" s="59" t="s">
        <v>96</v>
      </c>
      <c r="D53" s="102" t="str">
        <f>VLOOKUP(名前リスト[[#This Row],[管理番号]],まとめ表_バック金額[[#All],[管理番号]:[バック金額合計]],4,FALSE)</f>
        <v/>
      </c>
      <c r="E53" s="105" t="str">
        <f>VLOOKUP(名前リスト[[#This Row],[管理番号]],まとめ表_各店舗件数[[#All],[管理番号]:[合計件数]],4,FALSE)</f>
        <v/>
      </c>
      <c r="F53" s="130" t="str">
        <f>VLOOKUP(名前リスト[[#This Row],[管理番号]],まとめ表_各Aパターン件数[[#All],[管理番号]:[Aパターン]],4,FALSE)</f>
        <v/>
      </c>
      <c r="G53" s="130"/>
      <c r="H5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99"/>
    </row>
    <row r="54" spans="1:11" ht="19.5" customHeight="1">
      <c r="A54" s="2">
        <v>53</v>
      </c>
      <c r="B54" s="58" t="s">
        <v>97</v>
      </c>
      <c r="C54" s="59" t="s">
        <v>98</v>
      </c>
      <c r="D54" s="102" t="str">
        <f>VLOOKUP(名前リスト[[#This Row],[管理番号]],まとめ表_バック金額[[#All],[管理番号]:[バック金額合計]],4,FALSE)</f>
        <v/>
      </c>
      <c r="E54" s="105" t="str">
        <f>VLOOKUP(名前リスト[[#This Row],[管理番号]],まとめ表_各店舗件数[[#All],[管理番号]:[合計件数]],4,FALSE)</f>
        <v/>
      </c>
      <c r="F54" s="130" t="str">
        <f>VLOOKUP(名前リスト[[#This Row],[管理番号]],まとめ表_各Aパターン件数[[#All],[管理番号]:[Aパターン]],4,FALSE)</f>
        <v/>
      </c>
      <c r="G54" s="130"/>
      <c r="H5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99"/>
    </row>
    <row r="55" spans="1:11" ht="19.5" customHeight="1">
      <c r="A55" s="2">
        <v>54</v>
      </c>
      <c r="B55" s="58" t="s">
        <v>99</v>
      </c>
      <c r="C55" s="59" t="s">
        <v>100</v>
      </c>
      <c r="D55" s="102" t="str">
        <f>VLOOKUP(名前リスト[[#This Row],[管理番号]],まとめ表_バック金額[[#All],[管理番号]:[バック金額合計]],4,FALSE)</f>
        <v/>
      </c>
      <c r="E55" s="105" t="str">
        <f>VLOOKUP(名前リスト[[#This Row],[管理番号]],まとめ表_各店舗件数[[#All],[管理番号]:[合計件数]],4,FALSE)</f>
        <v/>
      </c>
      <c r="F55" s="130" t="str">
        <f>VLOOKUP(名前リスト[[#This Row],[管理番号]],まとめ表_各Aパターン件数[[#All],[管理番号]:[Aパターン]],4,FALSE)</f>
        <v/>
      </c>
      <c r="G55" s="130"/>
      <c r="H5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99"/>
    </row>
    <row r="56" spans="1:11" ht="19.5" customHeight="1">
      <c r="A56" s="2">
        <v>55</v>
      </c>
      <c r="B56" s="58" t="s">
        <v>101</v>
      </c>
      <c r="C56" s="59" t="s">
        <v>102</v>
      </c>
      <c r="D56" s="102" t="str">
        <f>VLOOKUP(名前リスト[[#This Row],[管理番号]],まとめ表_バック金額[[#All],[管理番号]:[バック金額合計]],4,FALSE)</f>
        <v/>
      </c>
      <c r="E56" s="105" t="str">
        <f>VLOOKUP(名前リスト[[#This Row],[管理番号]],まとめ表_各店舗件数[[#All],[管理番号]:[合計件数]],4,FALSE)</f>
        <v/>
      </c>
      <c r="F56" s="130" t="str">
        <f>VLOOKUP(名前リスト[[#This Row],[管理番号]],まとめ表_各Aパターン件数[[#All],[管理番号]:[Aパターン]],4,FALSE)</f>
        <v/>
      </c>
      <c r="G56" s="130"/>
      <c r="H5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99"/>
    </row>
    <row r="57" spans="1:11" ht="19.5" customHeight="1">
      <c r="A57" s="2">
        <v>56</v>
      </c>
      <c r="B57" s="58" t="s">
        <v>103</v>
      </c>
      <c r="C57" s="59" t="s">
        <v>104</v>
      </c>
      <c r="D57" s="102" t="str">
        <f>VLOOKUP(名前リスト[[#This Row],[管理番号]],まとめ表_バック金額[[#All],[管理番号]:[バック金額合計]],4,FALSE)</f>
        <v/>
      </c>
      <c r="E57" s="105" t="str">
        <f>VLOOKUP(名前リスト[[#This Row],[管理番号]],まとめ表_各店舗件数[[#All],[管理番号]:[合計件数]],4,FALSE)</f>
        <v/>
      </c>
      <c r="F57" s="130" t="str">
        <f>VLOOKUP(名前リスト[[#This Row],[管理番号]],まとめ表_各Aパターン件数[[#All],[管理番号]:[Aパターン]],4,FALSE)</f>
        <v/>
      </c>
      <c r="G57" s="130"/>
      <c r="H5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99"/>
    </row>
    <row r="58" spans="1:11" ht="19.5" customHeight="1">
      <c r="A58" s="2">
        <v>57</v>
      </c>
      <c r="B58" s="58" t="s">
        <v>105</v>
      </c>
      <c r="C58" s="59" t="s">
        <v>106</v>
      </c>
      <c r="D58" s="102" t="str">
        <f>VLOOKUP(名前リスト[[#This Row],[管理番号]],まとめ表_バック金額[[#All],[管理番号]:[バック金額合計]],4,FALSE)</f>
        <v/>
      </c>
      <c r="E58" s="105" t="str">
        <f>VLOOKUP(名前リスト[[#This Row],[管理番号]],まとめ表_各店舗件数[[#All],[管理番号]:[合計件数]],4,FALSE)</f>
        <v/>
      </c>
      <c r="F58" s="130" t="str">
        <f>VLOOKUP(名前リスト[[#This Row],[管理番号]],まとめ表_各Aパターン件数[[#All],[管理番号]:[Aパターン]],4,FALSE)</f>
        <v/>
      </c>
      <c r="G58" s="130"/>
      <c r="H5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99"/>
    </row>
    <row r="59" spans="1:11" ht="19.5" customHeight="1">
      <c r="A59" s="2">
        <v>58</v>
      </c>
      <c r="B59" s="58" t="s">
        <v>107</v>
      </c>
      <c r="C59" s="59" t="s">
        <v>108</v>
      </c>
      <c r="D59" s="102" t="str">
        <f>VLOOKUP(名前リスト[[#This Row],[管理番号]],まとめ表_バック金額[[#All],[管理番号]:[バック金額合計]],4,FALSE)</f>
        <v/>
      </c>
      <c r="E59" s="105" t="str">
        <f>VLOOKUP(名前リスト[[#This Row],[管理番号]],まとめ表_各店舗件数[[#All],[管理番号]:[合計件数]],4,FALSE)</f>
        <v/>
      </c>
      <c r="F59" s="130" t="str">
        <f>VLOOKUP(名前リスト[[#This Row],[管理番号]],まとめ表_各Aパターン件数[[#All],[管理番号]:[Aパターン]],4,FALSE)</f>
        <v/>
      </c>
      <c r="G59" s="130"/>
      <c r="H5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99"/>
    </row>
    <row r="60" spans="1:11" ht="19.5" customHeight="1">
      <c r="A60" s="2">
        <v>59</v>
      </c>
      <c r="B60" s="58" t="s">
        <v>109</v>
      </c>
      <c r="C60" s="59" t="s">
        <v>110</v>
      </c>
      <c r="D60" s="102" t="str">
        <f>VLOOKUP(名前リスト[[#This Row],[管理番号]],まとめ表_バック金額[[#All],[管理番号]:[バック金額合計]],4,FALSE)</f>
        <v/>
      </c>
      <c r="E60" s="105" t="str">
        <f>VLOOKUP(名前リスト[[#This Row],[管理番号]],まとめ表_各店舗件数[[#All],[管理番号]:[合計件数]],4,FALSE)</f>
        <v/>
      </c>
      <c r="F60" s="130" t="str">
        <f>VLOOKUP(名前リスト[[#This Row],[管理番号]],まとめ表_各Aパターン件数[[#All],[管理番号]:[Aパターン]],4,FALSE)</f>
        <v/>
      </c>
      <c r="G60" s="130"/>
      <c r="H6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99"/>
    </row>
    <row r="61" spans="1:11" ht="19.5" customHeight="1">
      <c r="A61" s="2">
        <v>60</v>
      </c>
      <c r="B61" s="58" t="s">
        <v>111</v>
      </c>
      <c r="C61" s="59" t="s">
        <v>112</v>
      </c>
      <c r="D61" s="102" t="str">
        <f>VLOOKUP(名前リスト[[#This Row],[管理番号]],まとめ表_バック金額[[#All],[管理番号]:[バック金額合計]],4,FALSE)</f>
        <v/>
      </c>
      <c r="E61" s="105" t="str">
        <f>VLOOKUP(名前リスト[[#This Row],[管理番号]],まとめ表_各店舗件数[[#All],[管理番号]:[合計件数]],4,FALSE)</f>
        <v/>
      </c>
      <c r="F61" s="130" t="str">
        <f>VLOOKUP(名前リスト[[#This Row],[管理番号]],まとめ表_各Aパターン件数[[#All],[管理番号]:[Aパターン]],4,FALSE)</f>
        <v/>
      </c>
      <c r="G61" s="130"/>
      <c r="H6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99"/>
    </row>
    <row r="62" spans="1:11" ht="19.5" customHeight="1">
      <c r="A62" s="2">
        <v>61</v>
      </c>
      <c r="B62" s="58" t="s">
        <v>113</v>
      </c>
      <c r="C62" s="59" t="s">
        <v>114</v>
      </c>
      <c r="D62" s="102" t="str">
        <f>VLOOKUP(名前リスト[[#This Row],[管理番号]],まとめ表_バック金額[[#All],[管理番号]:[バック金額合計]],4,FALSE)</f>
        <v/>
      </c>
      <c r="E62" s="105" t="str">
        <f>VLOOKUP(名前リスト[[#This Row],[管理番号]],まとめ表_各店舗件数[[#All],[管理番号]:[合計件数]],4,FALSE)</f>
        <v/>
      </c>
      <c r="F62" s="130" t="str">
        <f>VLOOKUP(名前リスト[[#This Row],[管理番号]],まとめ表_各Aパターン件数[[#All],[管理番号]:[Aパターン]],4,FALSE)</f>
        <v/>
      </c>
      <c r="G62" s="130"/>
      <c r="H6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99"/>
    </row>
    <row r="63" spans="1:11" ht="19.5" customHeight="1">
      <c r="A63" s="2">
        <v>62</v>
      </c>
      <c r="B63" s="58" t="s">
        <v>115</v>
      </c>
      <c r="C63" s="59" t="s">
        <v>116</v>
      </c>
      <c r="D63" s="102" t="str">
        <f>VLOOKUP(名前リスト[[#This Row],[管理番号]],まとめ表_バック金額[[#All],[管理番号]:[バック金額合計]],4,FALSE)</f>
        <v/>
      </c>
      <c r="E63" s="105" t="str">
        <f>VLOOKUP(名前リスト[[#This Row],[管理番号]],まとめ表_各店舗件数[[#All],[管理番号]:[合計件数]],4,FALSE)</f>
        <v/>
      </c>
      <c r="F63" s="130" t="str">
        <f>VLOOKUP(名前リスト[[#This Row],[管理番号]],まとめ表_各Aパターン件数[[#All],[管理番号]:[Aパターン]],4,FALSE)</f>
        <v/>
      </c>
      <c r="G63" s="130"/>
      <c r="H6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99"/>
    </row>
    <row r="64" spans="1:11" ht="19.5" customHeight="1">
      <c r="A64" s="2">
        <v>63</v>
      </c>
      <c r="B64" s="58" t="s">
        <v>117</v>
      </c>
      <c r="C64" s="59" t="s">
        <v>118</v>
      </c>
      <c r="D64" s="102" t="str">
        <f>VLOOKUP(名前リスト[[#This Row],[管理番号]],まとめ表_バック金額[[#All],[管理番号]:[バック金額合計]],4,FALSE)</f>
        <v/>
      </c>
      <c r="E64" s="105" t="str">
        <f>VLOOKUP(名前リスト[[#This Row],[管理番号]],まとめ表_各店舗件数[[#All],[管理番号]:[合計件数]],4,FALSE)</f>
        <v/>
      </c>
      <c r="F64" s="130" t="str">
        <f>VLOOKUP(名前リスト[[#This Row],[管理番号]],まとめ表_各Aパターン件数[[#All],[管理番号]:[Aパターン]],4,FALSE)</f>
        <v/>
      </c>
      <c r="G64" s="130"/>
      <c r="H6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99"/>
    </row>
    <row r="65" spans="1:11" ht="19.5" customHeight="1">
      <c r="A65" s="2">
        <v>64</v>
      </c>
      <c r="B65" s="58" t="s">
        <v>119</v>
      </c>
      <c r="C65" s="59" t="s">
        <v>120</v>
      </c>
      <c r="D65" s="102" t="str">
        <f>VLOOKUP(名前リスト[[#This Row],[管理番号]],まとめ表_バック金額[[#All],[管理番号]:[バック金額合計]],4,FALSE)</f>
        <v/>
      </c>
      <c r="E65" s="105" t="str">
        <f>VLOOKUP(名前リスト[[#This Row],[管理番号]],まとめ表_各店舗件数[[#All],[管理番号]:[合計件数]],4,FALSE)</f>
        <v/>
      </c>
      <c r="F65" s="130" t="str">
        <f>VLOOKUP(名前リスト[[#This Row],[管理番号]],まとめ表_各Aパターン件数[[#All],[管理番号]:[Aパターン]],4,FALSE)</f>
        <v/>
      </c>
      <c r="G65" s="130"/>
      <c r="H6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99"/>
    </row>
    <row r="66" spans="1:11" ht="19.5" customHeight="1">
      <c r="A66" s="2">
        <v>65</v>
      </c>
      <c r="B66" s="58" t="s">
        <v>121</v>
      </c>
      <c r="C66" s="59" t="s">
        <v>122</v>
      </c>
      <c r="D66" s="102" t="str">
        <f>VLOOKUP(名前リスト[[#This Row],[管理番号]],まとめ表_バック金額[[#All],[管理番号]:[バック金額合計]],4,FALSE)</f>
        <v/>
      </c>
      <c r="E66" s="105" t="str">
        <f>VLOOKUP(名前リスト[[#This Row],[管理番号]],まとめ表_各店舗件数[[#All],[管理番号]:[合計件数]],4,FALSE)</f>
        <v/>
      </c>
      <c r="F66" s="130" t="str">
        <f>VLOOKUP(名前リスト[[#This Row],[管理番号]],まとめ表_各Aパターン件数[[#All],[管理番号]:[Aパターン]],4,FALSE)</f>
        <v/>
      </c>
      <c r="G66" s="130"/>
      <c r="H6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99"/>
    </row>
    <row r="67" spans="1:11" ht="19.5" customHeight="1">
      <c r="A67" s="2">
        <v>66</v>
      </c>
      <c r="B67" s="58" t="s">
        <v>123</v>
      </c>
      <c r="C67" s="59" t="s">
        <v>124</v>
      </c>
      <c r="D67" s="102" t="str">
        <f>VLOOKUP(名前リスト[[#This Row],[管理番号]],まとめ表_バック金額[[#All],[管理番号]:[バック金額合計]],4,FALSE)</f>
        <v/>
      </c>
      <c r="E67" s="105" t="str">
        <f>VLOOKUP(名前リスト[[#This Row],[管理番号]],まとめ表_各店舗件数[[#All],[管理番号]:[合計件数]],4,FALSE)</f>
        <v/>
      </c>
      <c r="F67" s="130" t="str">
        <f>VLOOKUP(名前リスト[[#This Row],[管理番号]],まとめ表_各Aパターン件数[[#All],[管理番号]:[Aパターン]],4,FALSE)</f>
        <v/>
      </c>
      <c r="G67" s="130"/>
      <c r="H6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99"/>
    </row>
    <row r="68" spans="1:11" ht="19.5" customHeight="1">
      <c r="A68" s="2">
        <v>67</v>
      </c>
      <c r="B68" s="58" t="s">
        <v>125</v>
      </c>
      <c r="C68" s="59" t="s">
        <v>126</v>
      </c>
      <c r="D68" s="102" t="str">
        <f>VLOOKUP(名前リスト[[#This Row],[管理番号]],まとめ表_バック金額[[#All],[管理番号]:[バック金額合計]],4,FALSE)</f>
        <v/>
      </c>
      <c r="E68" s="105" t="str">
        <f>VLOOKUP(名前リスト[[#This Row],[管理番号]],まとめ表_各店舗件数[[#All],[管理番号]:[合計件数]],4,FALSE)</f>
        <v/>
      </c>
      <c r="F68" s="130" t="str">
        <f>VLOOKUP(名前リスト[[#This Row],[管理番号]],まとめ表_各Aパターン件数[[#All],[管理番号]:[Aパターン]],4,FALSE)</f>
        <v/>
      </c>
      <c r="G68" s="130"/>
      <c r="H6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99"/>
    </row>
    <row r="69" spans="1:11" ht="19.5" customHeight="1">
      <c r="A69" s="2">
        <v>68</v>
      </c>
      <c r="B69" s="58" t="s">
        <v>127</v>
      </c>
      <c r="C69" s="59" t="s">
        <v>127</v>
      </c>
      <c r="D69" s="102" t="str">
        <f>VLOOKUP(名前リスト[[#This Row],[管理番号]],まとめ表_バック金額[[#All],[管理番号]:[バック金額合計]],4,FALSE)</f>
        <v/>
      </c>
      <c r="E69" s="105" t="str">
        <f>VLOOKUP(名前リスト[[#This Row],[管理番号]],まとめ表_各店舗件数[[#All],[管理番号]:[合計件数]],4,FALSE)</f>
        <v/>
      </c>
      <c r="F69" s="130" t="str">
        <f>VLOOKUP(名前リスト[[#This Row],[管理番号]],まとめ表_各Aパターン件数[[#All],[管理番号]:[Aパターン]],4,FALSE)</f>
        <v/>
      </c>
      <c r="G69" s="130"/>
      <c r="H6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99"/>
    </row>
    <row r="70" spans="1:11" ht="19.5" customHeight="1">
      <c r="A70" s="2">
        <v>69</v>
      </c>
      <c r="B70" s="58" t="s">
        <v>128</v>
      </c>
      <c r="C70" s="59" t="s">
        <v>129</v>
      </c>
      <c r="D70" s="102" t="str">
        <f>VLOOKUP(名前リスト[[#This Row],[管理番号]],まとめ表_バック金額[[#All],[管理番号]:[バック金額合計]],4,FALSE)</f>
        <v/>
      </c>
      <c r="E70" s="105" t="str">
        <f>VLOOKUP(名前リスト[[#This Row],[管理番号]],まとめ表_各店舗件数[[#All],[管理番号]:[合計件数]],4,FALSE)</f>
        <v/>
      </c>
      <c r="F70" s="130" t="str">
        <f>VLOOKUP(名前リスト[[#This Row],[管理番号]],まとめ表_各Aパターン件数[[#All],[管理番号]:[Aパターン]],4,FALSE)</f>
        <v/>
      </c>
      <c r="G70" s="130"/>
      <c r="H7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99"/>
    </row>
    <row r="71" spans="1:11" ht="19.5" customHeight="1">
      <c r="A71" s="2">
        <v>70</v>
      </c>
      <c r="B71" s="58" t="s">
        <v>130</v>
      </c>
      <c r="C71" s="59" t="s">
        <v>131</v>
      </c>
      <c r="D71" s="102" t="str">
        <f>VLOOKUP(名前リスト[[#This Row],[管理番号]],まとめ表_バック金額[[#All],[管理番号]:[バック金額合計]],4,FALSE)</f>
        <v/>
      </c>
      <c r="E71" s="105" t="str">
        <f>VLOOKUP(名前リスト[[#This Row],[管理番号]],まとめ表_各店舗件数[[#All],[管理番号]:[合計件数]],4,FALSE)</f>
        <v/>
      </c>
      <c r="F71" s="130" t="str">
        <f>VLOOKUP(名前リスト[[#This Row],[管理番号]],まとめ表_各Aパターン件数[[#All],[管理番号]:[Aパターン]],4,FALSE)</f>
        <v/>
      </c>
      <c r="G71" s="130"/>
      <c r="H7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99"/>
    </row>
    <row r="72" spans="1:11" ht="19.5" customHeight="1">
      <c r="A72" s="2">
        <v>71</v>
      </c>
      <c r="B72" s="58" t="s">
        <v>132</v>
      </c>
      <c r="C72" s="59" t="s">
        <v>133</v>
      </c>
      <c r="D72" s="102" t="str">
        <f>VLOOKUP(名前リスト[[#This Row],[管理番号]],まとめ表_バック金額[[#All],[管理番号]:[バック金額合計]],4,FALSE)</f>
        <v/>
      </c>
      <c r="E72" s="105" t="str">
        <f>VLOOKUP(名前リスト[[#This Row],[管理番号]],まとめ表_各店舗件数[[#All],[管理番号]:[合計件数]],4,FALSE)</f>
        <v/>
      </c>
      <c r="F72" s="130" t="str">
        <f>VLOOKUP(名前リスト[[#This Row],[管理番号]],まとめ表_各Aパターン件数[[#All],[管理番号]:[Aパターン]],4,FALSE)</f>
        <v/>
      </c>
      <c r="G72" s="130"/>
      <c r="H7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99"/>
    </row>
    <row r="73" spans="1:11" ht="19.5" customHeight="1">
      <c r="A73" s="2">
        <v>72</v>
      </c>
      <c r="B73" s="58" t="s">
        <v>134</v>
      </c>
      <c r="C73" s="59" t="s">
        <v>135</v>
      </c>
      <c r="D73" s="102" t="str">
        <f>VLOOKUP(名前リスト[[#This Row],[管理番号]],まとめ表_バック金額[[#All],[管理番号]:[バック金額合計]],4,FALSE)</f>
        <v/>
      </c>
      <c r="E73" s="105" t="str">
        <f>VLOOKUP(名前リスト[[#This Row],[管理番号]],まとめ表_各店舗件数[[#All],[管理番号]:[合計件数]],4,FALSE)</f>
        <v/>
      </c>
      <c r="F73" s="130" t="str">
        <f>VLOOKUP(名前リスト[[#This Row],[管理番号]],まとめ表_各Aパターン件数[[#All],[管理番号]:[Aパターン]],4,FALSE)</f>
        <v/>
      </c>
      <c r="G73" s="130"/>
      <c r="H7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99"/>
    </row>
    <row r="74" spans="1:11" ht="19.5" customHeight="1">
      <c r="A74" s="2">
        <v>73</v>
      </c>
      <c r="B74" s="58" t="s">
        <v>136</v>
      </c>
      <c r="C74" s="59" t="s">
        <v>137</v>
      </c>
      <c r="D74" s="102" t="str">
        <f>VLOOKUP(名前リスト[[#This Row],[管理番号]],まとめ表_バック金額[[#All],[管理番号]:[バック金額合計]],4,FALSE)</f>
        <v/>
      </c>
      <c r="E74" s="105" t="str">
        <f>VLOOKUP(名前リスト[[#This Row],[管理番号]],まとめ表_各店舗件数[[#All],[管理番号]:[合計件数]],4,FALSE)</f>
        <v/>
      </c>
      <c r="F74" s="130" t="str">
        <f>VLOOKUP(名前リスト[[#This Row],[管理番号]],まとめ表_各Aパターン件数[[#All],[管理番号]:[Aパターン]],4,FALSE)</f>
        <v/>
      </c>
      <c r="G74" s="130"/>
      <c r="H7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99"/>
    </row>
    <row r="75" spans="1:11" ht="19.5" customHeight="1">
      <c r="A75" s="2">
        <v>74</v>
      </c>
      <c r="B75" s="58" t="s">
        <v>138</v>
      </c>
      <c r="C75" s="59" t="s">
        <v>139</v>
      </c>
      <c r="D75" s="102" t="str">
        <f>VLOOKUP(名前リスト[[#This Row],[管理番号]],まとめ表_バック金額[[#All],[管理番号]:[バック金額合計]],4,FALSE)</f>
        <v/>
      </c>
      <c r="E75" s="105" t="str">
        <f>VLOOKUP(名前リスト[[#This Row],[管理番号]],まとめ表_各店舗件数[[#All],[管理番号]:[合計件数]],4,FALSE)</f>
        <v/>
      </c>
      <c r="F75" s="130" t="str">
        <f>VLOOKUP(名前リスト[[#This Row],[管理番号]],まとめ表_各Aパターン件数[[#All],[管理番号]:[Aパターン]],4,FALSE)</f>
        <v/>
      </c>
      <c r="G75" s="130"/>
      <c r="H7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99"/>
    </row>
    <row r="76" spans="1:11" ht="19.5" customHeight="1">
      <c r="A76" s="2">
        <v>75</v>
      </c>
      <c r="B76" s="58" t="s">
        <v>140</v>
      </c>
      <c r="C76" s="59" t="s">
        <v>141</v>
      </c>
      <c r="D76" s="102" t="str">
        <f>VLOOKUP(名前リスト[[#This Row],[管理番号]],まとめ表_バック金額[[#All],[管理番号]:[バック金額合計]],4,FALSE)</f>
        <v/>
      </c>
      <c r="E76" s="105" t="str">
        <f>VLOOKUP(名前リスト[[#This Row],[管理番号]],まとめ表_各店舗件数[[#All],[管理番号]:[合計件数]],4,FALSE)</f>
        <v/>
      </c>
      <c r="F76" s="130" t="str">
        <f>VLOOKUP(名前リスト[[#This Row],[管理番号]],まとめ表_各Aパターン件数[[#All],[管理番号]:[Aパターン]],4,FALSE)</f>
        <v/>
      </c>
      <c r="G76" s="130"/>
      <c r="H7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99"/>
    </row>
    <row r="77" spans="1:11" ht="19.5" customHeight="1">
      <c r="A77" s="2">
        <v>76</v>
      </c>
      <c r="B77" s="58" t="s">
        <v>142</v>
      </c>
      <c r="C77" s="59" t="s">
        <v>143</v>
      </c>
      <c r="D77" s="102" t="str">
        <f>VLOOKUP(名前リスト[[#This Row],[管理番号]],まとめ表_バック金額[[#All],[管理番号]:[バック金額合計]],4,FALSE)</f>
        <v/>
      </c>
      <c r="E77" s="105" t="str">
        <f>VLOOKUP(名前リスト[[#This Row],[管理番号]],まとめ表_各店舗件数[[#All],[管理番号]:[合計件数]],4,FALSE)</f>
        <v/>
      </c>
      <c r="F77" s="130" t="str">
        <f>VLOOKUP(名前リスト[[#This Row],[管理番号]],まとめ表_各Aパターン件数[[#All],[管理番号]:[Aパターン]],4,FALSE)</f>
        <v/>
      </c>
      <c r="G77" s="130"/>
      <c r="H7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99"/>
    </row>
    <row r="78" spans="1:11" ht="19.5" customHeight="1">
      <c r="A78" s="2">
        <v>77</v>
      </c>
      <c r="B78" s="58" t="s">
        <v>144</v>
      </c>
      <c r="C78" s="59" t="s">
        <v>145</v>
      </c>
      <c r="D78" s="102" t="str">
        <f>VLOOKUP(名前リスト[[#This Row],[管理番号]],まとめ表_バック金額[[#All],[管理番号]:[バック金額合計]],4,FALSE)</f>
        <v/>
      </c>
      <c r="E78" s="105" t="str">
        <f>VLOOKUP(名前リスト[[#This Row],[管理番号]],まとめ表_各店舗件数[[#All],[管理番号]:[合計件数]],4,FALSE)</f>
        <v/>
      </c>
      <c r="F78" s="130" t="str">
        <f>VLOOKUP(名前リスト[[#This Row],[管理番号]],まとめ表_各Aパターン件数[[#All],[管理番号]:[Aパターン]],4,FALSE)</f>
        <v/>
      </c>
      <c r="G78" s="130"/>
      <c r="H7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99"/>
    </row>
    <row r="79" spans="1:11" ht="19.5" customHeight="1">
      <c r="A79" s="2">
        <v>78</v>
      </c>
      <c r="B79" s="58" t="s">
        <v>146</v>
      </c>
      <c r="C79" s="59" t="s">
        <v>147</v>
      </c>
      <c r="D79" s="102" t="str">
        <f>VLOOKUP(名前リスト[[#This Row],[管理番号]],まとめ表_バック金額[[#All],[管理番号]:[バック金額合計]],4,FALSE)</f>
        <v/>
      </c>
      <c r="E79" s="105" t="str">
        <f>VLOOKUP(名前リスト[[#This Row],[管理番号]],まとめ表_各店舗件数[[#All],[管理番号]:[合計件数]],4,FALSE)</f>
        <v/>
      </c>
      <c r="F79" s="130" t="str">
        <f>VLOOKUP(名前リスト[[#This Row],[管理番号]],まとめ表_各Aパターン件数[[#All],[管理番号]:[Aパターン]],4,FALSE)</f>
        <v/>
      </c>
      <c r="G79" s="130"/>
      <c r="H7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99"/>
    </row>
    <row r="80" spans="1:11" ht="19.5" customHeight="1">
      <c r="A80" s="2">
        <v>79</v>
      </c>
      <c r="B80" s="60"/>
      <c r="C80" s="61"/>
      <c r="D80" s="102" t="str">
        <f>VLOOKUP(名前リスト[[#This Row],[管理番号]],まとめ表_バック金額[[#All],[管理番号]:[バック金額合計]],4,FALSE)</f>
        <v/>
      </c>
      <c r="E80" s="105" t="str">
        <f>VLOOKUP(名前リスト[[#This Row],[管理番号]],まとめ表_各店舗件数[[#All],[管理番号]:[合計件数]],4,FALSE)</f>
        <v/>
      </c>
      <c r="F80" s="130" t="str">
        <f>VLOOKUP(名前リスト[[#This Row],[管理番号]],まとめ表_各Aパターン件数[[#All],[管理番号]:[Aパターン]],4,FALSE)</f>
        <v/>
      </c>
      <c r="G80" s="130"/>
      <c r="H8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99"/>
    </row>
    <row r="81" spans="1:11" ht="19.5" customHeight="1">
      <c r="A81" s="2">
        <v>80</v>
      </c>
      <c r="B81" s="58" t="s">
        <v>148</v>
      </c>
      <c r="C81" s="58" t="s">
        <v>148</v>
      </c>
      <c r="D81" s="102" t="str">
        <f>VLOOKUP(名前リスト[[#This Row],[管理番号]],まとめ表_バック金額[[#All],[管理番号]:[バック金額合計]],4,FALSE)</f>
        <v/>
      </c>
      <c r="E81" s="105" t="str">
        <f>VLOOKUP(名前リスト[[#This Row],[管理番号]],まとめ表_各店舗件数[[#All],[管理番号]:[合計件数]],4,FALSE)</f>
        <v/>
      </c>
      <c r="F81" s="130" t="str">
        <f>VLOOKUP(名前リスト[[#This Row],[管理番号]],まとめ表_各Aパターン件数[[#All],[管理番号]:[Aパターン]],4,FALSE)</f>
        <v/>
      </c>
      <c r="G81" s="130"/>
      <c r="H8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99"/>
    </row>
    <row r="82" spans="1:11" ht="19.5" customHeight="1">
      <c r="A82" s="2">
        <v>81</v>
      </c>
      <c r="B82" s="58" t="s">
        <v>149</v>
      </c>
      <c r="C82" s="58" t="s">
        <v>149</v>
      </c>
      <c r="D82" s="102" t="str">
        <f>VLOOKUP(名前リスト[[#This Row],[管理番号]],まとめ表_バック金額[[#All],[管理番号]:[バック金額合計]],4,FALSE)</f>
        <v/>
      </c>
      <c r="E82" s="105" t="str">
        <f>VLOOKUP(名前リスト[[#This Row],[管理番号]],まとめ表_各店舗件数[[#All],[管理番号]:[合計件数]],4,FALSE)</f>
        <v/>
      </c>
      <c r="F82" s="130" t="str">
        <f>VLOOKUP(名前リスト[[#This Row],[管理番号]],まとめ表_各Aパターン件数[[#All],[管理番号]:[Aパターン]],4,FALSE)</f>
        <v/>
      </c>
      <c r="G82" s="130"/>
      <c r="H8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99"/>
    </row>
    <row r="83" spans="1:11" ht="19.5" customHeight="1">
      <c r="A83" s="2">
        <v>82</v>
      </c>
      <c r="B83" s="49" t="s">
        <v>344</v>
      </c>
      <c r="C83" s="49" t="s">
        <v>344</v>
      </c>
      <c r="D83" s="102" t="str">
        <f>VLOOKUP(名前リスト[[#This Row],[管理番号]],まとめ表_バック金額[[#All],[管理番号]:[バック金額合計]],4,FALSE)</f>
        <v/>
      </c>
      <c r="E83" s="105" t="str">
        <f>VLOOKUP(名前リスト[[#This Row],[管理番号]],まとめ表_各店舗件数[[#All],[管理番号]:[合計件数]],4,FALSE)</f>
        <v/>
      </c>
      <c r="F83" s="130" t="str">
        <f>VLOOKUP(名前リスト[[#This Row],[管理番号]],まとめ表_各Aパターン件数[[#All],[管理番号]:[Aパターン]],4,FALSE)</f>
        <v/>
      </c>
      <c r="G83" s="130"/>
      <c r="H8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99"/>
    </row>
    <row r="84" spans="1:11" ht="19.5" customHeight="1">
      <c r="A84" s="2">
        <v>83</v>
      </c>
      <c r="B84" s="58" t="s">
        <v>150</v>
      </c>
      <c r="C84" s="59" t="s">
        <v>150</v>
      </c>
      <c r="D84" s="102" t="str">
        <f>VLOOKUP(名前リスト[[#This Row],[管理番号]],まとめ表_バック金額[[#All],[管理番号]:[バック金額合計]],4,FALSE)</f>
        <v/>
      </c>
      <c r="E84" s="105" t="str">
        <f>VLOOKUP(名前リスト[[#This Row],[管理番号]],まとめ表_各店舗件数[[#All],[管理番号]:[合計件数]],4,FALSE)</f>
        <v/>
      </c>
      <c r="F84" s="130" t="str">
        <f>VLOOKUP(名前リスト[[#This Row],[管理番号]],まとめ表_各Aパターン件数[[#All],[管理番号]:[Aパターン]],4,FALSE)</f>
        <v/>
      </c>
      <c r="G84" s="130"/>
      <c r="H8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99"/>
    </row>
    <row r="85" spans="1:11" ht="19.5" customHeight="1">
      <c r="A85" s="2">
        <v>84</v>
      </c>
      <c r="B85" s="58" t="s">
        <v>151</v>
      </c>
      <c r="C85" s="59" t="s">
        <v>151</v>
      </c>
      <c r="D85" s="102" t="str">
        <f>VLOOKUP(名前リスト[[#This Row],[管理番号]],まとめ表_バック金額[[#All],[管理番号]:[バック金額合計]],4,FALSE)</f>
        <v/>
      </c>
      <c r="E85" s="105" t="str">
        <f>VLOOKUP(名前リスト[[#This Row],[管理番号]],まとめ表_各店舗件数[[#All],[管理番号]:[合計件数]],4,FALSE)</f>
        <v/>
      </c>
      <c r="F85" s="130" t="str">
        <f>VLOOKUP(名前リスト[[#This Row],[管理番号]],まとめ表_各Aパターン件数[[#All],[管理番号]:[Aパターン]],4,FALSE)</f>
        <v/>
      </c>
      <c r="G85" s="130"/>
      <c r="H8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99"/>
    </row>
    <row r="86" spans="1:11" ht="19.5" customHeight="1">
      <c r="A86" s="2">
        <v>85</v>
      </c>
      <c r="B86" s="58" t="s">
        <v>152</v>
      </c>
      <c r="C86" s="59" t="s">
        <v>153</v>
      </c>
      <c r="D86" s="102" t="str">
        <f>VLOOKUP(名前リスト[[#This Row],[管理番号]],まとめ表_バック金額[[#All],[管理番号]:[バック金額合計]],4,FALSE)</f>
        <v/>
      </c>
      <c r="E86" s="105" t="str">
        <f>VLOOKUP(名前リスト[[#This Row],[管理番号]],まとめ表_各店舗件数[[#All],[管理番号]:[合計件数]],4,FALSE)</f>
        <v/>
      </c>
      <c r="F86" s="130" t="str">
        <f>VLOOKUP(名前リスト[[#This Row],[管理番号]],まとめ表_各Aパターン件数[[#All],[管理番号]:[Aパターン]],4,FALSE)</f>
        <v/>
      </c>
      <c r="G86" s="130"/>
      <c r="H8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99"/>
    </row>
    <row r="87" spans="1:11" ht="19.5" customHeight="1">
      <c r="A87" s="2">
        <v>86</v>
      </c>
      <c r="B87" s="58" t="s">
        <v>154</v>
      </c>
      <c r="C87" s="59" t="s">
        <v>155</v>
      </c>
      <c r="D87" s="102" t="str">
        <f>VLOOKUP(名前リスト[[#This Row],[管理番号]],まとめ表_バック金額[[#All],[管理番号]:[バック金額合計]],4,FALSE)</f>
        <v/>
      </c>
      <c r="E87" s="105" t="str">
        <f>VLOOKUP(名前リスト[[#This Row],[管理番号]],まとめ表_各店舗件数[[#All],[管理番号]:[合計件数]],4,FALSE)</f>
        <v/>
      </c>
      <c r="F87" s="130" t="str">
        <f>VLOOKUP(名前リスト[[#This Row],[管理番号]],まとめ表_各Aパターン件数[[#All],[管理番号]:[Aパターン]],4,FALSE)</f>
        <v/>
      </c>
      <c r="G87" s="130"/>
      <c r="H8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99"/>
    </row>
    <row r="88" spans="1:11" ht="19.5" customHeight="1">
      <c r="A88" s="2">
        <v>87</v>
      </c>
      <c r="B88" s="58" t="s">
        <v>156</v>
      </c>
      <c r="C88" s="59" t="s">
        <v>157</v>
      </c>
      <c r="D88" s="102" t="str">
        <f>VLOOKUP(名前リスト[[#This Row],[管理番号]],まとめ表_バック金額[[#All],[管理番号]:[バック金額合計]],4,FALSE)</f>
        <v/>
      </c>
      <c r="E88" s="105" t="str">
        <f>VLOOKUP(名前リスト[[#This Row],[管理番号]],まとめ表_各店舗件数[[#All],[管理番号]:[合計件数]],4,FALSE)</f>
        <v/>
      </c>
      <c r="F88" s="130" t="str">
        <f>VLOOKUP(名前リスト[[#This Row],[管理番号]],まとめ表_各Aパターン件数[[#All],[管理番号]:[Aパターン]],4,FALSE)</f>
        <v/>
      </c>
      <c r="G88" s="130"/>
      <c r="H8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99"/>
    </row>
    <row r="89" spans="1:11" ht="19.5" customHeight="1">
      <c r="A89" s="2">
        <v>88</v>
      </c>
      <c r="B89" s="58" t="s">
        <v>158</v>
      </c>
      <c r="C89" s="59" t="s">
        <v>159</v>
      </c>
      <c r="D89" s="102" t="str">
        <f>VLOOKUP(名前リスト[[#This Row],[管理番号]],まとめ表_バック金額[[#All],[管理番号]:[バック金額合計]],4,FALSE)</f>
        <v/>
      </c>
      <c r="E89" s="105" t="str">
        <f>VLOOKUP(名前リスト[[#This Row],[管理番号]],まとめ表_各店舗件数[[#All],[管理番号]:[合計件数]],4,FALSE)</f>
        <v/>
      </c>
      <c r="F89" s="130" t="str">
        <f>VLOOKUP(名前リスト[[#This Row],[管理番号]],まとめ表_各Aパターン件数[[#All],[管理番号]:[Aパターン]],4,FALSE)</f>
        <v/>
      </c>
      <c r="G89" s="130"/>
      <c r="H8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99"/>
    </row>
    <row r="90" spans="1:11" ht="19.5" customHeight="1">
      <c r="A90" s="2">
        <v>89</v>
      </c>
      <c r="B90" s="58" t="s">
        <v>160</v>
      </c>
      <c r="C90" s="59" t="s">
        <v>161</v>
      </c>
      <c r="D90" s="102" t="str">
        <f>VLOOKUP(名前リスト[[#This Row],[管理番号]],まとめ表_バック金額[[#All],[管理番号]:[バック金額合計]],4,FALSE)</f>
        <v/>
      </c>
      <c r="E90" s="105" t="str">
        <f>VLOOKUP(名前リスト[[#This Row],[管理番号]],まとめ表_各店舗件数[[#All],[管理番号]:[合計件数]],4,FALSE)</f>
        <v/>
      </c>
      <c r="F90" s="130" t="str">
        <f>VLOOKUP(名前リスト[[#This Row],[管理番号]],まとめ表_各Aパターン件数[[#All],[管理番号]:[Aパターン]],4,FALSE)</f>
        <v/>
      </c>
      <c r="G90" s="130"/>
      <c r="H9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99"/>
    </row>
    <row r="91" spans="1:11" ht="19.5" customHeight="1">
      <c r="A91" s="2">
        <v>90</v>
      </c>
      <c r="B91" s="58" t="s">
        <v>162</v>
      </c>
      <c r="C91" s="59" t="s">
        <v>162</v>
      </c>
      <c r="D91" s="102" t="str">
        <f>VLOOKUP(名前リスト[[#This Row],[管理番号]],まとめ表_バック金額[[#All],[管理番号]:[バック金額合計]],4,FALSE)</f>
        <v/>
      </c>
      <c r="E91" s="105" t="str">
        <f>VLOOKUP(名前リスト[[#This Row],[管理番号]],まとめ表_各店舗件数[[#All],[管理番号]:[合計件数]],4,FALSE)</f>
        <v/>
      </c>
      <c r="F91" s="130" t="str">
        <f>VLOOKUP(名前リスト[[#This Row],[管理番号]],まとめ表_各Aパターン件数[[#All],[管理番号]:[Aパターン]],4,FALSE)</f>
        <v/>
      </c>
      <c r="G91" s="130"/>
      <c r="H9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99"/>
    </row>
    <row r="92" spans="1:11" ht="19.5" customHeight="1">
      <c r="A92" s="2">
        <v>91</v>
      </c>
      <c r="B92" s="58" t="s">
        <v>163</v>
      </c>
      <c r="C92" s="59" t="s">
        <v>164</v>
      </c>
      <c r="D92" s="102" t="str">
        <f>VLOOKUP(名前リスト[[#This Row],[管理番号]],まとめ表_バック金額[[#All],[管理番号]:[バック金額合計]],4,FALSE)</f>
        <v/>
      </c>
      <c r="E92" s="105" t="str">
        <f>VLOOKUP(名前リスト[[#This Row],[管理番号]],まとめ表_各店舗件数[[#All],[管理番号]:[合計件数]],4,FALSE)</f>
        <v/>
      </c>
      <c r="F92" s="130" t="str">
        <f>VLOOKUP(名前リスト[[#This Row],[管理番号]],まとめ表_各Aパターン件数[[#All],[管理番号]:[Aパターン]],4,FALSE)</f>
        <v/>
      </c>
      <c r="G92" s="130"/>
      <c r="H9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99"/>
    </row>
    <row r="93" spans="1:11" ht="19.5" customHeight="1">
      <c r="A93" s="2">
        <v>92</v>
      </c>
      <c r="B93" s="58" t="s">
        <v>165</v>
      </c>
      <c r="C93" s="59" t="s">
        <v>166</v>
      </c>
      <c r="D93" s="102" t="str">
        <f>VLOOKUP(名前リスト[[#This Row],[管理番号]],まとめ表_バック金額[[#All],[管理番号]:[バック金額合計]],4,FALSE)</f>
        <v/>
      </c>
      <c r="E93" s="105" t="str">
        <f>VLOOKUP(名前リスト[[#This Row],[管理番号]],まとめ表_各店舗件数[[#All],[管理番号]:[合計件数]],4,FALSE)</f>
        <v/>
      </c>
      <c r="F93" s="130" t="str">
        <f>VLOOKUP(名前リスト[[#This Row],[管理番号]],まとめ表_各Aパターン件数[[#All],[管理番号]:[Aパターン]],4,FALSE)</f>
        <v/>
      </c>
      <c r="G93" s="130"/>
      <c r="H9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99"/>
    </row>
    <row r="94" spans="1:11" ht="19.5" customHeight="1">
      <c r="A94" s="2">
        <v>93</v>
      </c>
      <c r="B94" s="58" t="s">
        <v>167</v>
      </c>
      <c r="C94" s="59" t="s">
        <v>167</v>
      </c>
      <c r="D94" s="102" t="str">
        <f>VLOOKUP(名前リスト[[#This Row],[管理番号]],まとめ表_バック金額[[#All],[管理番号]:[バック金額合計]],4,FALSE)</f>
        <v/>
      </c>
      <c r="E94" s="105" t="str">
        <f>VLOOKUP(名前リスト[[#This Row],[管理番号]],まとめ表_各店舗件数[[#All],[管理番号]:[合計件数]],4,FALSE)</f>
        <v/>
      </c>
      <c r="F94" s="130" t="str">
        <f>VLOOKUP(名前リスト[[#This Row],[管理番号]],まとめ表_各Aパターン件数[[#All],[管理番号]:[Aパターン]],4,FALSE)</f>
        <v/>
      </c>
      <c r="G94" s="130"/>
      <c r="H9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99"/>
    </row>
    <row r="95" spans="1:11" ht="19.5" customHeight="1">
      <c r="A95" s="2">
        <v>94</v>
      </c>
      <c r="B95" s="58" t="s">
        <v>168</v>
      </c>
      <c r="C95" s="59" t="s">
        <v>169</v>
      </c>
      <c r="D95" s="102" t="str">
        <f>VLOOKUP(名前リスト[[#This Row],[管理番号]],まとめ表_バック金額[[#All],[管理番号]:[バック金額合計]],4,FALSE)</f>
        <v/>
      </c>
      <c r="E95" s="105" t="str">
        <f>VLOOKUP(名前リスト[[#This Row],[管理番号]],まとめ表_各店舗件数[[#All],[管理番号]:[合計件数]],4,FALSE)</f>
        <v/>
      </c>
      <c r="F95" s="130" t="str">
        <f>VLOOKUP(名前リスト[[#This Row],[管理番号]],まとめ表_各Aパターン件数[[#All],[管理番号]:[Aパターン]],4,FALSE)</f>
        <v/>
      </c>
      <c r="G95" s="130"/>
      <c r="H9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99"/>
    </row>
    <row r="96" spans="1:11" ht="19.5" customHeight="1">
      <c r="A96" s="2">
        <v>95</v>
      </c>
      <c r="B96" s="58" t="s">
        <v>170</v>
      </c>
      <c r="C96" s="59" t="s">
        <v>170</v>
      </c>
      <c r="D96" s="102" t="str">
        <f>VLOOKUP(名前リスト[[#This Row],[管理番号]],まとめ表_バック金額[[#All],[管理番号]:[バック金額合計]],4,FALSE)</f>
        <v/>
      </c>
      <c r="E96" s="105" t="str">
        <f>VLOOKUP(名前リスト[[#This Row],[管理番号]],まとめ表_各店舗件数[[#All],[管理番号]:[合計件数]],4,FALSE)</f>
        <v/>
      </c>
      <c r="F96" s="130" t="str">
        <f>VLOOKUP(名前リスト[[#This Row],[管理番号]],まとめ表_各Aパターン件数[[#All],[管理番号]:[Aパターン]],4,FALSE)</f>
        <v/>
      </c>
      <c r="G96" s="130"/>
      <c r="H9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99"/>
    </row>
    <row r="97" spans="1:11" ht="19.5" customHeight="1">
      <c r="A97" s="2">
        <v>96</v>
      </c>
      <c r="B97" s="58" t="s">
        <v>171</v>
      </c>
      <c r="C97" s="59" t="s">
        <v>171</v>
      </c>
      <c r="D97" s="102" t="str">
        <f>VLOOKUP(名前リスト[[#This Row],[管理番号]],まとめ表_バック金額[[#All],[管理番号]:[バック金額合計]],4,FALSE)</f>
        <v/>
      </c>
      <c r="E97" s="105" t="str">
        <f>VLOOKUP(名前リスト[[#This Row],[管理番号]],まとめ表_各店舗件数[[#All],[管理番号]:[合計件数]],4,FALSE)</f>
        <v/>
      </c>
      <c r="F97" s="130" t="str">
        <f>VLOOKUP(名前リスト[[#This Row],[管理番号]],まとめ表_各Aパターン件数[[#All],[管理番号]:[Aパターン]],4,FALSE)</f>
        <v/>
      </c>
      <c r="G97" s="130"/>
      <c r="H9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99"/>
    </row>
    <row r="98" spans="1:11" ht="19.5" customHeight="1">
      <c r="A98" s="2">
        <v>97</v>
      </c>
      <c r="B98" s="58" t="s">
        <v>172</v>
      </c>
      <c r="C98" s="59" t="s">
        <v>172</v>
      </c>
      <c r="D98" s="102" t="str">
        <f>VLOOKUP(名前リスト[[#This Row],[管理番号]],まとめ表_バック金額[[#All],[管理番号]:[バック金額合計]],4,FALSE)</f>
        <v/>
      </c>
      <c r="E98" s="105" t="str">
        <f>VLOOKUP(名前リスト[[#This Row],[管理番号]],まとめ表_各店舗件数[[#All],[管理番号]:[合計件数]],4,FALSE)</f>
        <v/>
      </c>
      <c r="F98" s="130" t="str">
        <f>VLOOKUP(名前リスト[[#This Row],[管理番号]],まとめ表_各Aパターン件数[[#All],[管理番号]:[Aパターン]],4,FALSE)</f>
        <v/>
      </c>
      <c r="G98" s="130"/>
      <c r="H9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99"/>
    </row>
    <row r="99" spans="1:11" ht="19.5" customHeight="1">
      <c r="A99" s="2">
        <v>98</v>
      </c>
      <c r="B99" s="58" t="s">
        <v>173</v>
      </c>
      <c r="C99" s="59" t="s">
        <v>173</v>
      </c>
      <c r="D99" s="102" t="str">
        <f>VLOOKUP(名前リスト[[#This Row],[管理番号]],まとめ表_バック金額[[#All],[管理番号]:[バック金額合計]],4,FALSE)</f>
        <v/>
      </c>
      <c r="E99" s="105" t="str">
        <f>VLOOKUP(名前リスト[[#This Row],[管理番号]],まとめ表_各店舗件数[[#All],[管理番号]:[合計件数]],4,FALSE)</f>
        <v/>
      </c>
      <c r="F99" s="130" t="str">
        <f>VLOOKUP(名前リスト[[#This Row],[管理番号]],まとめ表_各Aパターン件数[[#All],[管理番号]:[Aパターン]],4,FALSE)</f>
        <v/>
      </c>
      <c r="G99" s="130"/>
      <c r="H9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99"/>
    </row>
    <row r="100" spans="1:11" ht="19.5" customHeight="1">
      <c r="A100" s="2">
        <v>99</v>
      </c>
      <c r="B100" s="58" t="s">
        <v>174</v>
      </c>
      <c r="C100" s="59" t="s">
        <v>174</v>
      </c>
      <c r="D100" s="102" t="str">
        <f>VLOOKUP(名前リスト[[#This Row],[管理番号]],まとめ表_バック金額[[#All],[管理番号]:[バック金額合計]],4,FALSE)</f>
        <v/>
      </c>
      <c r="E100" s="105" t="str">
        <f>VLOOKUP(名前リスト[[#This Row],[管理番号]],まとめ表_各店舗件数[[#All],[管理番号]:[合計件数]],4,FALSE)</f>
        <v/>
      </c>
      <c r="F100" s="130" t="str">
        <f>VLOOKUP(名前リスト[[#This Row],[管理番号]],まとめ表_各Aパターン件数[[#All],[管理番号]:[Aパターン]],4,FALSE)</f>
        <v/>
      </c>
      <c r="G100" s="130"/>
      <c r="H10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99"/>
    </row>
    <row r="101" spans="1:11" ht="19.5" customHeight="1">
      <c r="A101" s="2">
        <v>100</v>
      </c>
      <c r="B101" s="58" t="s">
        <v>175</v>
      </c>
      <c r="C101" s="59" t="s">
        <v>175</v>
      </c>
      <c r="D101" s="102" t="str">
        <f>VLOOKUP(名前リスト[[#This Row],[管理番号]],まとめ表_バック金額[[#All],[管理番号]:[バック金額合計]],4,FALSE)</f>
        <v/>
      </c>
      <c r="E101" s="105" t="str">
        <f>VLOOKUP(名前リスト[[#This Row],[管理番号]],まとめ表_各店舗件数[[#All],[管理番号]:[合計件数]],4,FALSE)</f>
        <v/>
      </c>
      <c r="F101" s="130" t="str">
        <f>VLOOKUP(名前リスト[[#This Row],[管理番号]],まとめ表_各Aパターン件数[[#All],[管理番号]:[Aパターン]],4,FALSE)</f>
        <v/>
      </c>
      <c r="G101" s="130"/>
      <c r="H10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99"/>
    </row>
    <row r="102" spans="1:11" ht="19.5" customHeight="1">
      <c r="A102" s="2">
        <v>101</v>
      </c>
      <c r="B102" s="49" t="s">
        <v>287</v>
      </c>
      <c r="C102" s="59" t="s">
        <v>176</v>
      </c>
      <c r="D102" s="102" t="str">
        <f>VLOOKUP(名前リスト[[#This Row],[管理番号]],まとめ表_バック金額[[#All],[管理番号]:[バック金額合計]],4,FALSE)</f>
        <v/>
      </c>
      <c r="E102" s="105" t="str">
        <f>VLOOKUP(名前リスト[[#This Row],[管理番号]],まとめ表_各店舗件数[[#All],[管理番号]:[合計件数]],4,FALSE)</f>
        <v/>
      </c>
      <c r="F102" s="130" t="str">
        <f>VLOOKUP(名前リスト[[#This Row],[管理番号]],まとめ表_各Aパターン件数[[#All],[管理番号]:[Aパターン]],4,FALSE)</f>
        <v/>
      </c>
      <c r="G102" s="130"/>
      <c r="H10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99"/>
    </row>
    <row r="103" spans="1:11" ht="19.5" customHeight="1">
      <c r="A103" s="2">
        <v>102</v>
      </c>
      <c r="B103" s="58" t="s">
        <v>177</v>
      </c>
      <c r="C103" s="59" t="s">
        <v>177</v>
      </c>
      <c r="D103" s="102" t="str">
        <f>VLOOKUP(名前リスト[[#This Row],[管理番号]],まとめ表_バック金額[[#All],[管理番号]:[バック金額合計]],4,FALSE)</f>
        <v/>
      </c>
      <c r="E103" s="105" t="str">
        <f>VLOOKUP(名前リスト[[#This Row],[管理番号]],まとめ表_各店舗件数[[#All],[管理番号]:[合計件数]],4,FALSE)</f>
        <v/>
      </c>
      <c r="F103" s="130" t="str">
        <f>VLOOKUP(名前リスト[[#This Row],[管理番号]],まとめ表_各Aパターン件数[[#All],[管理番号]:[Aパターン]],4,FALSE)</f>
        <v/>
      </c>
      <c r="G103" s="130"/>
      <c r="H10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99"/>
    </row>
    <row r="104" spans="1:11" ht="19.5" customHeight="1">
      <c r="A104" s="2">
        <v>103</v>
      </c>
      <c r="B104" s="58" t="s">
        <v>178</v>
      </c>
      <c r="C104" s="59" t="s">
        <v>178</v>
      </c>
      <c r="D104" s="102" t="str">
        <f>VLOOKUP(名前リスト[[#This Row],[管理番号]],まとめ表_バック金額[[#All],[管理番号]:[バック金額合計]],4,FALSE)</f>
        <v/>
      </c>
      <c r="E104" s="105" t="str">
        <f>VLOOKUP(名前リスト[[#This Row],[管理番号]],まとめ表_各店舗件数[[#All],[管理番号]:[合計件数]],4,FALSE)</f>
        <v/>
      </c>
      <c r="F104" s="130" t="str">
        <f>VLOOKUP(名前リスト[[#This Row],[管理番号]],まとめ表_各Aパターン件数[[#All],[管理番号]:[Aパターン]],4,FALSE)</f>
        <v/>
      </c>
      <c r="G104" s="130"/>
      <c r="H10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99"/>
    </row>
    <row r="105" spans="1:11" ht="19.5" customHeight="1">
      <c r="A105" s="2">
        <v>104</v>
      </c>
      <c r="B105" s="58" t="s">
        <v>179</v>
      </c>
      <c r="C105" s="59" t="s">
        <v>179</v>
      </c>
      <c r="D105" s="102" t="str">
        <f>VLOOKUP(名前リスト[[#This Row],[管理番号]],まとめ表_バック金額[[#All],[管理番号]:[バック金額合計]],4,FALSE)</f>
        <v/>
      </c>
      <c r="E105" s="105" t="str">
        <f>VLOOKUP(名前リスト[[#This Row],[管理番号]],まとめ表_各店舗件数[[#All],[管理番号]:[合計件数]],4,FALSE)</f>
        <v/>
      </c>
      <c r="F105" s="130" t="str">
        <f>VLOOKUP(名前リスト[[#This Row],[管理番号]],まとめ表_各Aパターン件数[[#All],[管理番号]:[Aパターン]],4,FALSE)</f>
        <v/>
      </c>
      <c r="G105" s="130"/>
      <c r="H10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99"/>
    </row>
    <row r="106" spans="1:11" ht="19.5" customHeight="1">
      <c r="A106" s="2">
        <v>105</v>
      </c>
      <c r="B106" s="58" t="s">
        <v>180</v>
      </c>
      <c r="C106" s="59" t="s">
        <v>180</v>
      </c>
      <c r="D106" s="102" t="str">
        <f>VLOOKUP(名前リスト[[#This Row],[管理番号]],まとめ表_バック金額[[#All],[管理番号]:[バック金額合計]],4,FALSE)</f>
        <v/>
      </c>
      <c r="E106" s="105" t="str">
        <f>VLOOKUP(名前リスト[[#This Row],[管理番号]],まとめ表_各店舗件数[[#All],[管理番号]:[合計件数]],4,FALSE)</f>
        <v/>
      </c>
      <c r="F106" s="130" t="str">
        <f>VLOOKUP(名前リスト[[#This Row],[管理番号]],まとめ表_各Aパターン件数[[#All],[管理番号]:[Aパターン]],4,FALSE)</f>
        <v/>
      </c>
      <c r="G106" s="130"/>
      <c r="H10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99"/>
    </row>
    <row r="107" spans="1:11" ht="19.5" customHeight="1">
      <c r="A107" s="2">
        <v>106</v>
      </c>
      <c r="B107" s="58" t="s">
        <v>181</v>
      </c>
      <c r="C107" s="59" t="s">
        <v>181</v>
      </c>
      <c r="D107" s="102" t="str">
        <f>VLOOKUP(名前リスト[[#This Row],[管理番号]],まとめ表_バック金額[[#All],[管理番号]:[バック金額合計]],4,FALSE)</f>
        <v/>
      </c>
      <c r="E107" s="105" t="str">
        <f>VLOOKUP(名前リスト[[#This Row],[管理番号]],まとめ表_各店舗件数[[#All],[管理番号]:[合計件数]],4,FALSE)</f>
        <v/>
      </c>
      <c r="F107" s="130" t="str">
        <f>VLOOKUP(名前リスト[[#This Row],[管理番号]],まとめ表_各Aパターン件数[[#All],[管理番号]:[Aパターン]],4,FALSE)</f>
        <v/>
      </c>
      <c r="G107" s="130"/>
      <c r="H10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99"/>
    </row>
    <row r="108" spans="1:11" ht="19.5" customHeight="1">
      <c r="A108" s="2">
        <v>107</v>
      </c>
      <c r="B108" s="58" t="s">
        <v>182</v>
      </c>
      <c r="C108" s="58" t="s">
        <v>182</v>
      </c>
      <c r="D108" s="102" t="str">
        <f>VLOOKUP(名前リスト[[#This Row],[管理番号]],まとめ表_バック金額[[#All],[管理番号]:[バック金額合計]],4,FALSE)</f>
        <v/>
      </c>
      <c r="E108" s="105" t="str">
        <f>VLOOKUP(名前リスト[[#This Row],[管理番号]],まとめ表_各店舗件数[[#All],[管理番号]:[合計件数]],4,FALSE)</f>
        <v/>
      </c>
      <c r="F108" s="130" t="str">
        <f>VLOOKUP(名前リスト[[#This Row],[管理番号]],まとめ表_各Aパターン件数[[#All],[管理番号]:[Aパターン]],4,FALSE)</f>
        <v/>
      </c>
      <c r="G108" s="130"/>
      <c r="H10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99"/>
    </row>
    <row r="109" spans="1:11" ht="19.5" customHeight="1">
      <c r="A109" s="2">
        <v>108</v>
      </c>
      <c r="B109" s="58" t="s">
        <v>183</v>
      </c>
      <c r="C109" s="58" t="s">
        <v>183</v>
      </c>
      <c r="D109" s="102" t="str">
        <f>VLOOKUP(名前リスト[[#This Row],[管理番号]],まとめ表_バック金額[[#All],[管理番号]:[バック金額合計]],4,FALSE)</f>
        <v/>
      </c>
      <c r="E109" s="105" t="str">
        <f>VLOOKUP(名前リスト[[#This Row],[管理番号]],まとめ表_各店舗件数[[#All],[管理番号]:[合計件数]],4,FALSE)</f>
        <v/>
      </c>
      <c r="F109" s="130" t="str">
        <f>VLOOKUP(名前リスト[[#This Row],[管理番号]],まとめ表_各Aパターン件数[[#All],[管理番号]:[Aパターン]],4,FALSE)</f>
        <v/>
      </c>
      <c r="G109" s="130"/>
      <c r="H10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99"/>
    </row>
    <row r="110" spans="1:11" ht="19.5" customHeight="1">
      <c r="A110" s="2">
        <v>109</v>
      </c>
      <c r="B110" s="58" t="s">
        <v>184</v>
      </c>
      <c r="C110" s="58" t="s">
        <v>184</v>
      </c>
      <c r="D110" s="102" t="str">
        <f>VLOOKUP(名前リスト[[#This Row],[管理番号]],まとめ表_バック金額[[#All],[管理番号]:[バック金額合計]],4,FALSE)</f>
        <v/>
      </c>
      <c r="E110" s="105" t="str">
        <f>VLOOKUP(名前リスト[[#This Row],[管理番号]],まとめ表_各店舗件数[[#All],[管理番号]:[合計件数]],4,FALSE)</f>
        <v/>
      </c>
      <c r="F110" s="130" t="str">
        <f>VLOOKUP(名前リスト[[#This Row],[管理番号]],まとめ表_各Aパターン件数[[#All],[管理番号]:[Aパターン]],4,FALSE)</f>
        <v/>
      </c>
      <c r="G110" s="130"/>
      <c r="H11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99"/>
    </row>
    <row r="111" spans="1:11" ht="19.5" customHeight="1">
      <c r="A111" s="2">
        <v>110</v>
      </c>
      <c r="B111" s="58" t="s">
        <v>185</v>
      </c>
      <c r="C111" s="58" t="s">
        <v>185</v>
      </c>
      <c r="D111" s="102" t="str">
        <f>VLOOKUP(名前リスト[[#This Row],[管理番号]],まとめ表_バック金額[[#All],[管理番号]:[バック金額合計]],4,FALSE)</f>
        <v/>
      </c>
      <c r="E111" s="105" t="str">
        <f>VLOOKUP(名前リスト[[#This Row],[管理番号]],まとめ表_各店舗件数[[#All],[管理番号]:[合計件数]],4,FALSE)</f>
        <v/>
      </c>
      <c r="F111" s="130" t="str">
        <f>VLOOKUP(名前リスト[[#This Row],[管理番号]],まとめ表_各Aパターン件数[[#All],[管理番号]:[Aパターン]],4,FALSE)</f>
        <v/>
      </c>
      <c r="G111" s="130"/>
      <c r="H11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99"/>
    </row>
    <row r="112" spans="1:11" ht="19.5" customHeight="1">
      <c r="A112" s="2">
        <v>111</v>
      </c>
      <c r="B112" s="58" t="s">
        <v>186</v>
      </c>
      <c r="C112" s="58" t="s">
        <v>186</v>
      </c>
      <c r="D112" s="102" t="str">
        <f>VLOOKUP(名前リスト[[#This Row],[管理番号]],まとめ表_バック金額[[#All],[管理番号]:[バック金額合計]],4,FALSE)</f>
        <v/>
      </c>
      <c r="E112" s="105" t="str">
        <f>VLOOKUP(名前リスト[[#This Row],[管理番号]],まとめ表_各店舗件数[[#All],[管理番号]:[合計件数]],4,FALSE)</f>
        <v/>
      </c>
      <c r="F112" s="130" t="str">
        <f>VLOOKUP(名前リスト[[#This Row],[管理番号]],まとめ表_各Aパターン件数[[#All],[管理番号]:[Aパターン]],4,FALSE)</f>
        <v/>
      </c>
      <c r="G112" s="130"/>
      <c r="H11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99"/>
    </row>
    <row r="113" spans="1:11" ht="19.5" customHeight="1">
      <c r="A113" s="2">
        <v>112</v>
      </c>
      <c r="B113" s="58" t="s">
        <v>187</v>
      </c>
      <c r="C113" s="58" t="s">
        <v>187</v>
      </c>
      <c r="D113" s="102" t="str">
        <f>VLOOKUP(名前リスト[[#This Row],[管理番号]],まとめ表_バック金額[[#All],[管理番号]:[バック金額合計]],4,FALSE)</f>
        <v/>
      </c>
      <c r="E113" s="105" t="str">
        <f>VLOOKUP(名前リスト[[#This Row],[管理番号]],まとめ表_各店舗件数[[#All],[管理番号]:[合計件数]],4,FALSE)</f>
        <v/>
      </c>
      <c r="F113" s="130" t="str">
        <f>VLOOKUP(名前リスト[[#This Row],[管理番号]],まとめ表_各Aパターン件数[[#All],[管理番号]:[Aパターン]],4,FALSE)</f>
        <v/>
      </c>
      <c r="G113" s="130"/>
      <c r="H11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99"/>
    </row>
    <row r="114" spans="1:11" ht="19.5" customHeight="1">
      <c r="A114" s="2">
        <v>113</v>
      </c>
      <c r="B114" s="58" t="s">
        <v>188</v>
      </c>
      <c r="C114" s="58" t="s">
        <v>188</v>
      </c>
      <c r="D114" s="102" t="str">
        <f>VLOOKUP(名前リスト[[#This Row],[管理番号]],まとめ表_バック金額[[#All],[管理番号]:[バック金額合計]],4,FALSE)</f>
        <v/>
      </c>
      <c r="E114" s="105" t="str">
        <f>VLOOKUP(名前リスト[[#This Row],[管理番号]],まとめ表_各店舗件数[[#All],[管理番号]:[合計件数]],4,FALSE)</f>
        <v/>
      </c>
      <c r="F114" s="130" t="str">
        <f>VLOOKUP(名前リスト[[#This Row],[管理番号]],まとめ表_各Aパターン件数[[#All],[管理番号]:[Aパターン]],4,FALSE)</f>
        <v/>
      </c>
      <c r="G114" s="130"/>
      <c r="H11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99"/>
    </row>
    <row r="115" spans="1:11" ht="19.5" customHeight="1">
      <c r="A115" s="2">
        <v>114</v>
      </c>
      <c r="B115" s="58" t="s">
        <v>189</v>
      </c>
      <c r="C115" s="58" t="s">
        <v>189</v>
      </c>
      <c r="D115" s="102" t="str">
        <f>VLOOKUP(名前リスト[[#This Row],[管理番号]],まとめ表_バック金額[[#All],[管理番号]:[バック金額合計]],4,FALSE)</f>
        <v/>
      </c>
      <c r="E115" s="105" t="str">
        <f>VLOOKUP(名前リスト[[#This Row],[管理番号]],まとめ表_各店舗件数[[#All],[管理番号]:[合計件数]],4,FALSE)</f>
        <v/>
      </c>
      <c r="F115" s="130" t="str">
        <f>VLOOKUP(名前リスト[[#This Row],[管理番号]],まとめ表_各Aパターン件数[[#All],[管理番号]:[Aパターン]],4,FALSE)</f>
        <v/>
      </c>
      <c r="G115" s="130"/>
      <c r="H11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99"/>
    </row>
    <row r="116" spans="1:11" ht="19.5" customHeight="1">
      <c r="A116" s="2">
        <v>115</v>
      </c>
      <c r="B116" s="58" t="s">
        <v>190</v>
      </c>
      <c r="C116" s="58" t="s">
        <v>190</v>
      </c>
      <c r="D116" s="102" t="str">
        <f>VLOOKUP(名前リスト[[#This Row],[管理番号]],まとめ表_バック金額[[#All],[管理番号]:[バック金額合計]],4,FALSE)</f>
        <v/>
      </c>
      <c r="E116" s="105" t="str">
        <f>VLOOKUP(名前リスト[[#This Row],[管理番号]],まとめ表_各店舗件数[[#All],[管理番号]:[合計件数]],4,FALSE)</f>
        <v/>
      </c>
      <c r="F116" s="130" t="str">
        <f>VLOOKUP(名前リスト[[#This Row],[管理番号]],まとめ表_各Aパターン件数[[#All],[管理番号]:[Aパターン]],4,FALSE)</f>
        <v/>
      </c>
      <c r="G116" s="130"/>
      <c r="H11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99"/>
    </row>
    <row r="117" spans="1:11" ht="19.5" customHeight="1">
      <c r="A117" s="2">
        <v>116</v>
      </c>
      <c r="B117" s="58" t="s">
        <v>191</v>
      </c>
      <c r="C117" s="58" t="s">
        <v>191</v>
      </c>
      <c r="D117" s="102" t="str">
        <f>VLOOKUP(名前リスト[[#This Row],[管理番号]],まとめ表_バック金額[[#All],[管理番号]:[バック金額合計]],4,FALSE)</f>
        <v/>
      </c>
      <c r="E117" s="105" t="str">
        <f>VLOOKUP(名前リスト[[#This Row],[管理番号]],まとめ表_各店舗件数[[#All],[管理番号]:[合計件数]],4,FALSE)</f>
        <v/>
      </c>
      <c r="F117" s="130" t="str">
        <f>VLOOKUP(名前リスト[[#This Row],[管理番号]],まとめ表_各Aパターン件数[[#All],[管理番号]:[Aパターン]],4,FALSE)</f>
        <v/>
      </c>
      <c r="G117" s="130"/>
      <c r="H11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99"/>
    </row>
    <row r="118" spans="1:11" ht="19.5" customHeight="1">
      <c r="A118" s="2">
        <v>117</v>
      </c>
      <c r="B118" s="58" t="s">
        <v>192</v>
      </c>
      <c r="C118" s="58" t="s">
        <v>192</v>
      </c>
      <c r="D118" s="102" t="str">
        <f>VLOOKUP(名前リスト[[#This Row],[管理番号]],まとめ表_バック金額[[#All],[管理番号]:[バック金額合計]],4,FALSE)</f>
        <v/>
      </c>
      <c r="E118" s="105" t="str">
        <f>VLOOKUP(名前リスト[[#This Row],[管理番号]],まとめ表_各店舗件数[[#All],[管理番号]:[合計件数]],4,FALSE)</f>
        <v/>
      </c>
      <c r="F118" s="130" t="str">
        <f>VLOOKUP(名前リスト[[#This Row],[管理番号]],まとめ表_各Aパターン件数[[#All],[管理番号]:[Aパターン]],4,FALSE)</f>
        <v/>
      </c>
      <c r="G118" s="130"/>
      <c r="H11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99"/>
    </row>
    <row r="119" spans="1:11" ht="19.5" customHeight="1">
      <c r="A119" s="2">
        <v>118</v>
      </c>
      <c r="B119" s="58" t="s">
        <v>193</v>
      </c>
      <c r="C119" s="58" t="s">
        <v>193</v>
      </c>
      <c r="D119" s="102" t="str">
        <f>VLOOKUP(名前リスト[[#This Row],[管理番号]],まとめ表_バック金額[[#All],[管理番号]:[バック金額合計]],4,FALSE)</f>
        <v/>
      </c>
      <c r="E119" s="105" t="str">
        <f>VLOOKUP(名前リスト[[#This Row],[管理番号]],まとめ表_各店舗件数[[#All],[管理番号]:[合計件数]],4,FALSE)</f>
        <v/>
      </c>
      <c r="F119" s="130" t="str">
        <f>VLOOKUP(名前リスト[[#This Row],[管理番号]],まとめ表_各Aパターン件数[[#All],[管理番号]:[Aパターン]],4,FALSE)</f>
        <v/>
      </c>
      <c r="G119" s="130"/>
      <c r="H11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99"/>
    </row>
    <row r="120" spans="1:11" ht="19.5" customHeight="1">
      <c r="A120" s="2">
        <v>119</v>
      </c>
      <c r="B120" s="58" t="s">
        <v>194</v>
      </c>
      <c r="C120" s="58" t="s">
        <v>194</v>
      </c>
      <c r="D120" s="102" t="str">
        <f>VLOOKUP(名前リスト[[#This Row],[管理番号]],まとめ表_バック金額[[#All],[管理番号]:[バック金額合計]],4,FALSE)</f>
        <v/>
      </c>
      <c r="E120" s="105" t="str">
        <f>VLOOKUP(名前リスト[[#This Row],[管理番号]],まとめ表_各店舗件数[[#All],[管理番号]:[合計件数]],4,FALSE)</f>
        <v/>
      </c>
      <c r="F120" s="130" t="str">
        <f>VLOOKUP(名前リスト[[#This Row],[管理番号]],まとめ表_各Aパターン件数[[#All],[管理番号]:[Aパターン]],4,FALSE)</f>
        <v/>
      </c>
      <c r="G120" s="130"/>
      <c r="H12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99"/>
    </row>
    <row r="121" spans="1:11" ht="19.5" customHeight="1">
      <c r="A121" s="2">
        <v>120</v>
      </c>
      <c r="B121" s="58" t="s">
        <v>195</v>
      </c>
      <c r="C121" s="58" t="s">
        <v>195</v>
      </c>
      <c r="D121" s="102" t="str">
        <f>VLOOKUP(名前リスト[[#This Row],[管理番号]],まとめ表_バック金額[[#All],[管理番号]:[バック金額合計]],4,FALSE)</f>
        <v/>
      </c>
      <c r="E121" s="105" t="str">
        <f>VLOOKUP(名前リスト[[#This Row],[管理番号]],まとめ表_各店舗件数[[#All],[管理番号]:[合計件数]],4,FALSE)</f>
        <v/>
      </c>
      <c r="F121" s="130" t="str">
        <f>VLOOKUP(名前リスト[[#This Row],[管理番号]],まとめ表_各Aパターン件数[[#All],[管理番号]:[Aパターン]],4,FALSE)</f>
        <v/>
      </c>
      <c r="G121" s="130"/>
      <c r="H12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99"/>
    </row>
    <row r="122" spans="1:11" ht="19.5" customHeight="1">
      <c r="A122" s="2">
        <v>121</v>
      </c>
      <c r="B122" s="58" t="s">
        <v>196</v>
      </c>
      <c r="C122" s="59" t="s">
        <v>196</v>
      </c>
      <c r="D122" s="102" t="str">
        <f>VLOOKUP(名前リスト[[#This Row],[管理番号]],まとめ表_バック金額[[#All],[管理番号]:[バック金額合計]],4,FALSE)</f>
        <v/>
      </c>
      <c r="E122" s="105" t="str">
        <f>VLOOKUP(名前リスト[[#This Row],[管理番号]],まとめ表_各店舗件数[[#All],[管理番号]:[合計件数]],4,FALSE)</f>
        <v/>
      </c>
      <c r="F122" s="130" t="str">
        <f>VLOOKUP(名前リスト[[#This Row],[管理番号]],まとめ表_各Aパターン件数[[#All],[管理番号]:[Aパターン]],4,FALSE)</f>
        <v/>
      </c>
      <c r="G122" s="130"/>
      <c r="H12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99"/>
    </row>
    <row r="123" spans="1:11" ht="19.5" customHeight="1">
      <c r="A123" s="2">
        <v>122</v>
      </c>
      <c r="B123" s="49" t="s">
        <v>261</v>
      </c>
      <c r="C123" s="49" t="s">
        <v>261</v>
      </c>
      <c r="D123" s="102" t="str">
        <f>VLOOKUP(名前リスト[[#This Row],[管理番号]],まとめ表_バック金額[[#All],[管理番号]:[バック金額合計]],4,FALSE)</f>
        <v/>
      </c>
      <c r="E123" s="105" t="str">
        <f>VLOOKUP(名前リスト[[#This Row],[管理番号]],まとめ表_各店舗件数[[#All],[管理番号]:[合計件数]],4,FALSE)</f>
        <v/>
      </c>
      <c r="F123" s="130" t="str">
        <f>VLOOKUP(名前リスト[[#This Row],[管理番号]],まとめ表_各Aパターン件数[[#All],[管理番号]:[Aパターン]],4,FALSE)</f>
        <v/>
      </c>
      <c r="G123" s="130"/>
      <c r="H12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99"/>
    </row>
    <row r="124" spans="1:11" ht="19.5" customHeight="1">
      <c r="A124" s="2">
        <v>123</v>
      </c>
      <c r="B124" s="49" t="s">
        <v>262</v>
      </c>
      <c r="C124" s="49" t="s">
        <v>262</v>
      </c>
      <c r="D124" s="102" t="str">
        <f>VLOOKUP(名前リスト[[#This Row],[管理番号]],まとめ表_バック金額[[#All],[管理番号]:[バック金額合計]],4,FALSE)</f>
        <v/>
      </c>
      <c r="E124" s="105" t="str">
        <f>VLOOKUP(名前リスト[[#This Row],[管理番号]],まとめ表_各店舗件数[[#All],[管理番号]:[合計件数]],4,FALSE)</f>
        <v/>
      </c>
      <c r="F124" s="130" t="str">
        <f>VLOOKUP(名前リスト[[#This Row],[管理番号]],まとめ表_各Aパターン件数[[#All],[管理番号]:[Aパターン]],4,FALSE)</f>
        <v/>
      </c>
      <c r="G124" s="130"/>
      <c r="H12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99"/>
    </row>
    <row r="125" spans="1:11" ht="19.5" customHeight="1">
      <c r="A125" s="2">
        <v>124</v>
      </c>
      <c r="B125" s="49" t="s">
        <v>263</v>
      </c>
      <c r="C125" s="49" t="s">
        <v>263</v>
      </c>
      <c r="D125" s="102" t="str">
        <f>VLOOKUP(名前リスト[[#This Row],[管理番号]],まとめ表_バック金額[[#All],[管理番号]:[バック金額合計]],4,FALSE)</f>
        <v/>
      </c>
      <c r="E125" s="105" t="str">
        <f>VLOOKUP(名前リスト[[#This Row],[管理番号]],まとめ表_各店舗件数[[#All],[管理番号]:[合計件数]],4,FALSE)</f>
        <v/>
      </c>
      <c r="F125" s="130" t="str">
        <f>VLOOKUP(名前リスト[[#This Row],[管理番号]],まとめ表_各Aパターン件数[[#All],[管理番号]:[Aパターン]],4,FALSE)</f>
        <v/>
      </c>
      <c r="G125" s="130"/>
      <c r="H12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99"/>
    </row>
    <row r="126" spans="1:11" ht="19.5" customHeight="1">
      <c r="A126" s="2">
        <v>125</v>
      </c>
      <c r="B126" s="49" t="s">
        <v>264</v>
      </c>
      <c r="C126" s="49" t="s">
        <v>264</v>
      </c>
      <c r="D126" s="102" t="str">
        <f>VLOOKUP(名前リスト[[#This Row],[管理番号]],まとめ表_バック金額[[#All],[管理番号]:[バック金額合計]],4,FALSE)</f>
        <v/>
      </c>
      <c r="E126" s="105" t="str">
        <f>VLOOKUP(名前リスト[[#This Row],[管理番号]],まとめ表_各店舗件数[[#All],[管理番号]:[合計件数]],4,FALSE)</f>
        <v/>
      </c>
      <c r="F126" s="130" t="str">
        <f>VLOOKUP(名前リスト[[#This Row],[管理番号]],まとめ表_各Aパターン件数[[#All],[管理番号]:[Aパターン]],4,FALSE)</f>
        <v/>
      </c>
      <c r="G126" s="130"/>
      <c r="H12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99"/>
    </row>
    <row r="127" spans="1:11" ht="19.5" customHeight="1">
      <c r="A127" s="2">
        <v>126</v>
      </c>
      <c r="B127" s="49" t="s">
        <v>265</v>
      </c>
      <c r="C127" s="49" t="s">
        <v>265</v>
      </c>
      <c r="D127" s="102" t="str">
        <f>VLOOKUP(名前リスト[[#This Row],[管理番号]],まとめ表_バック金額[[#All],[管理番号]:[バック金額合計]],4,FALSE)</f>
        <v/>
      </c>
      <c r="E127" s="105" t="str">
        <f>VLOOKUP(名前リスト[[#This Row],[管理番号]],まとめ表_各店舗件数[[#All],[管理番号]:[合計件数]],4,FALSE)</f>
        <v/>
      </c>
      <c r="F127" s="130" t="str">
        <f>VLOOKUP(名前リスト[[#This Row],[管理番号]],まとめ表_各Aパターン件数[[#All],[管理番号]:[Aパターン]],4,FALSE)</f>
        <v/>
      </c>
      <c r="G127" s="130"/>
      <c r="H12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99"/>
    </row>
    <row r="128" spans="1:11" ht="19.5" customHeight="1">
      <c r="A128" s="2">
        <v>127</v>
      </c>
      <c r="B128" s="49" t="s">
        <v>266</v>
      </c>
      <c r="C128" s="49" t="s">
        <v>266</v>
      </c>
      <c r="D128" s="102" t="str">
        <f>VLOOKUP(名前リスト[[#This Row],[管理番号]],まとめ表_バック金額[[#All],[管理番号]:[バック金額合計]],4,FALSE)</f>
        <v/>
      </c>
      <c r="E128" s="105" t="str">
        <f>VLOOKUP(名前リスト[[#This Row],[管理番号]],まとめ表_各店舗件数[[#All],[管理番号]:[合計件数]],4,FALSE)</f>
        <v/>
      </c>
      <c r="F128" s="130" t="str">
        <f>VLOOKUP(名前リスト[[#This Row],[管理番号]],まとめ表_各Aパターン件数[[#All],[管理番号]:[Aパターン]],4,FALSE)</f>
        <v/>
      </c>
      <c r="G128" s="130"/>
      <c r="H12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99"/>
    </row>
    <row r="129" spans="1:11" ht="19.5" customHeight="1">
      <c r="A129" s="2">
        <v>128</v>
      </c>
      <c r="B129" s="49" t="s">
        <v>267</v>
      </c>
      <c r="C129" s="49" t="s">
        <v>267</v>
      </c>
      <c r="D129" s="102" t="str">
        <f>VLOOKUP(名前リスト[[#This Row],[管理番号]],まとめ表_バック金額[[#All],[管理番号]:[バック金額合計]],4,FALSE)</f>
        <v/>
      </c>
      <c r="E129" s="105" t="str">
        <f>VLOOKUP(名前リスト[[#This Row],[管理番号]],まとめ表_各店舗件数[[#All],[管理番号]:[合計件数]],4,FALSE)</f>
        <v/>
      </c>
      <c r="F129" s="130" t="str">
        <f>VLOOKUP(名前リスト[[#This Row],[管理番号]],まとめ表_各Aパターン件数[[#All],[管理番号]:[Aパターン]],4,FALSE)</f>
        <v/>
      </c>
      <c r="G129" s="130"/>
      <c r="H12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99"/>
    </row>
    <row r="130" spans="1:11" ht="19.5" customHeight="1">
      <c r="A130" s="2">
        <v>129</v>
      </c>
      <c r="B130" s="49" t="s">
        <v>268</v>
      </c>
      <c r="C130" s="49" t="s">
        <v>268</v>
      </c>
      <c r="D130" s="102" t="str">
        <f>VLOOKUP(名前リスト[[#This Row],[管理番号]],まとめ表_バック金額[[#All],[管理番号]:[バック金額合計]],4,FALSE)</f>
        <v/>
      </c>
      <c r="E130" s="105" t="str">
        <f>VLOOKUP(名前リスト[[#This Row],[管理番号]],まとめ表_各店舗件数[[#All],[管理番号]:[合計件数]],4,FALSE)</f>
        <v/>
      </c>
      <c r="F130" s="130" t="str">
        <f>VLOOKUP(名前リスト[[#This Row],[管理番号]],まとめ表_各Aパターン件数[[#All],[管理番号]:[Aパターン]],4,FALSE)</f>
        <v/>
      </c>
      <c r="G130" s="130"/>
      <c r="H13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99"/>
    </row>
    <row r="131" spans="1:11" ht="19.5" customHeight="1">
      <c r="A131" s="2">
        <v>130</v>
      </c>
      <c r="B131" s="49" t="s">
        <v>269</v>
      </c>
      <c r="C131" s="49" t="s">
        <v>269</v>
      </c>
      <c r="D131" s="102" t="str">
        <f>VLOOKUP(名前リスト[[#This Row],[管理番号]],まとめ表_バック金額[[#All],[管理番号]:[バック金額合計]],4,FALSE)</f>
        <v/>
      </c>
      <c r="E131" s="105" t="str">
        <f>VLOOKUP(名前リスト[[#This Row],[管理番号]],まとめ表_各店舗件数[[#All],[管理番号]:[合計件数]],4,FALSE)</f>
        <v/>
      </c>
      <c r="F131" s="130" t="str">
        <f>VLOOKUP(名前リスト[[#This Row],[管理番号]],まとめ表_各Aパターン件数[[#All],[管理番号]:[Aパターン]],4,FALSE)</f>
        <v/>
      </c>
      <c r="G131" s="130"/>
      <c r="H13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99"/>
    </row>
    <row r="132" spans="1:11" ht="19.5" customHeight="1">
      <c r="A132" s="2">
        <v>131</v>
      </c>
      <c r="B132" s="49" t="s">
        <v>270</v>
      </c>
      <c r="C132" s="49" t="s">
        <v>270</v>
      </c>
      <c r="D132" s="102" t="str">
        <f>VLOOKUP(名前リスト[[#This Row],[管理番号]],まとめ表_バック金額[[#All],[管理番号]:[バック金額合計]],4,FALSE)</f>
        <v/>
      </c>
      <c r="E132" s="105" t="str">
        <f>VLOOKUP(名前リスト[[#This Row],[管理番号]],まとめ表_各店舗件数[[#All],[管理番号]:[合計件数]],4,FALSE)</f>
        <v/>
      </c>
      <c r="F132" s="130" t="str">
        <f>VLOOKUP(名前リスト[[#This Row],[管理番号]],まとめ表_各Aパターン件数[[#All],[管理番号]:[Aパターン]],4,FALSE)</f>
        <v/>
      </c>
      <c r="G132" s="130"/>
      <c r="H13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99"/>
    </row>
    <row r="133" spans="1:11" ht="19.5" customHeight="1">
      <c r="A133" s="2">
        <v>132</v>
      </c>
      <c r="B133" s="49" t="s">
        <v>271</v>
      </c>
      <c r="C133" s="49" t="s">
        <v>271</v>
      </c>
      <c r="D133" s="102" t="str">
        <f>VLOOKUP(名前リスト[[#This Row],[管理番号]],まとめ表_バック金額[[#All],[管理番号]:[バック金額合計]],4,FALSE)</f>
        <v/>
      </c>
      <c r="E133" s="105" t="str">
        <f>VLOOKUP(名前リスト[[#This Row],[管理番号]],まとめ表_各店舗件数[[#All],[管理番号]:[合計件数]],4,FALSE)</f>
        <v/>
      </c>
      <c r="F133" s="130" t="str">
        <f>VLOOKUP(名前リスト[[#This Row],[管理番号]],まとめ表_各Aパターン件数[[#All],[管理番号]:[Aパターン]],4,FALSE)</f>
        <v/>
      </c>
      <c r="G133" s="130"/>
      <c r="H13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99"/>
    </row>
    <row r="134" spans="1:11" ht="19.5" customHeight="1">
      <c r="A134" s="2">
        <v>133</v>
      </c>
      <c r="B134" s="49" t="s">
        <v>272</v>
      </c>
      <c r="C134" s="49" t="s">
        <v>272</v>
      </c>
      <c r="D134" s="102" t="str">
        <f>VLOOKUP(名前リスト[[#This Row],[管理番号]],まとめ表_バック金額[[#All],[管理番号]:[バック金額合計]],4,FALSE)</f>
        <v/>
      </c>
      <c r="E134" s="105" t="str">
        <f>VLOOKUP(名前リスト[[#This Row],[管理番号]],まとめ表_各店舗件数[[#All],[管理番号]:[合計件数]],4,FALSE)</f>
        <v/>
      </c>
      <c r="F134" s="130" t="str">
        <f>VLOOKUP(名前リスト[[#This Row],[管理番号]],まとめ表_各Aパターン件数[[#All],[管理番号]:[Aパターン]],4,FALSE)</f>
        <v/>
      </c>
      <c r="G134" s="130"/>
      <c r="H13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99"/>
    </row>
    <row r="135" spans="1:11" ht="19.5" customHeight="1">
      <c r="A135" s="2">
        <v>134</v>
      </c>
      <c r="B135" s="49" t="s">
        <v>273</v>
      </c>
      <c r="C135" s="49" t="s">
        <v>273</v>
      </c>
      <c r="D135" s="102" t="str">
        <f>VLOOKUP(名前リスト[[#This Row],[管理番号]],まとめ表_バック金額[[#All],[管理番号]:[バック金額合計]],4,FALSE)</f>
        <v/>
      </c>
      <c r="E135" s="105" t="str">
        <f>VLOOKUP(名前リスト[[#This Row],[管理番号]],まとめ表_各店舗件数[[#All],[管理番号]:[合計件数]],4,FALSE)</f>
        <v/>
      </c>
      <c r="F135" s="130" t="str">
        <f>VLOOKUP(名前リスト[[#This Row],[管理番号]],まとめ表_各Aパターン件数[[#All],[管理番号]:[Aパターン]],4,FALSE)</f>
        <v/>
      </c>
      <c r="G135" s="130"/>
      <c r="H13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99"/>
    </row>
    <row r="136" spans="1:11" ht="19.5" customHeight="1">
      <c r="A136" s="2">
        <v>135</v>
      </c>
      <c r="B136" s="49" t="s">
        <v>274</v>
      </c>
      <c r="C136" s="49" t="s">
        <v>274</v>
      </c>
      <c r="D136" s="102" t="str">
        <f>VLOOKUP(名前リスト[[#This Row],[管理番号]],まとめ表_バック金額[[#All],[管理番号]:[バック金額合計]],4,FALSE)</f>
        <v/>
      </c>
      <c r="E136" s="105" t="str">
        <f>VLOOKUP(名前リスト[[#This Row],[管理番号]],まとめ表_各店舗件数[[#All],[管理番号]:[合計件数]],4,FALSE)</f>
        <v/>
      </c>
      <c r="F136" s="130" t="str">
        <f>VLOOKUP(名前リスト[[#This Row],[管理番号]],まとめ表_各Aパターン件数[[#All],[管理番号]:[Aパターン]],4,FALSE)</f>
        <v/>
      </c>
      <c r="G136" s="130"/>
      <c r="H13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99"/>
    </row>
    <row r="137" spans="1:11" ht="19.5" customHeight="1">
      <c r="A137" s="2">
        <v>136</v>
      </c>
      <c r="B137" s="49" t="s">
        <v>275</v>
      </c>
      <c r="C137" s="49" t="s">
        <v>275</v>
      </c>
      <c r="D137" s="102" t="str">
        <f>VLOOKUP(名前リスト[[#This Row],[管理番号]],まとめ表_バック金額[[#All],[管理番号]:[バック金額合計]],4,FALSE)</f>
        <v/>
      </c>
      <c r="E137" s="105" t="str">
        <f>VLOOKUP(名前リスト[[#This Row],[管理番号]],まとめ表_各店舗件数[[#All],[管理番号]:[合計件数]],4,FALSE)</f>
        <v/>
      </c>
      <c r="F137" s="130" t="str">
        <f>VLOOKUP(名前リスト[[#This Row],[管理番号]],まとめ表_各Aパターン件数[[#All],[管理番号]:[Aパターン]],4,FALSE)</f>
        <v/>
      </c>
      <c r="G137" s="130"/>
      <c r="H13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99"/>
    </row>
    <row r="138" spans="1:11" ht="19.5" customHeight="1">
      <c r="A138" s="2">
        <v>137</v>
      </c>
      <c r="B138" s="49" t="s">
        <v>276</v>
      </c>
      <c r="C138" s="49" t="s">
        <v>276</v>
      </c>
      <c r="D138" s="102" t="str">
        <f>VLOOKUP(名前リスト[[#This Row],[管理番号]],まとめ表_バック金額[[#All],[管理番号]:[バック金額合計]],4,FALSE)</f>
        <v/>
      </c>
      <c r="E138" s="105" t="str">
        <f>VLOOKUP(名前リスト[[#This Row],[管理番号]],まとめ表_各店舗件数[[#All],[管理番号]:[合計件数]],4,FALSE)</f>
        <v/>
      </c>
      <c r="F138" s="130" t="str">
        <f>VLOOKUP(名前リスト[[#This Row],[管理番号]],まとめ表_各Aパターン件数[[#All],[管理番号]:[Aパターン]],4,FALSE)</f>
        <v/>
      </c>
      <c r="G138" s="130"/>
      <c r="H13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99"/>
    </row>
    <row r="139" spans="1:11" ht="19.5" customHeight="1">
      <c r="A139" s="2">
        <v>138</v>
      </c>
      <c r="B139" s="49" t="s">
        <v>277</v>
      </c>
      <c r="C139" s="49" t="s">
        <v>277</v>
      </c>
      <c r="D139" s="102" t="str">
        <f>VLOOKUP(名前リスト[[#This Row],[管理番号]],まとめ表_バック金額[[#All],[管理番号]:[バック金額合計]],4,FALSE)</f>
        <v/>
      </c>
      <c r="E139" s="105" t="str">
        <f>VLOOKUP(名前リスト[[#This Row],[管理番号]],まとめ表_各店舗件数[[#All],[管理番号]:[合計件数]],4,FALSE)</f>
        <v/>
      </c>
      <c r="F139" s="130" t="str">
        <f>VLOOKUP(名前リスト[[#This Row],[管理番号]],まとめ表_各Aパターン件数[[#All],[管理番号]:[Aパターン]],4,FALSE)</f>
        <v/>
      </c>
      <c r="G139" s="130"/>
      <c r="H13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99"/>
    </row>
    <row r="140" spans="1:11" ht="19.5" customHeight="1">
      <c r="A140" s="2">
        <v>139</v>
      </c>
      <c r="B140" s="49" t="s">
        <v>278</v>
      </c>
      <c r="C140" s="49" t="s">
        <v>278</v>
      </c>
      <c r="D140" s="102" t="str">
        <f>VLOOKUP(名前リスト[[#This Row],[管理番号]],まとめ表_バック金額[[#All],[管理番号]:[バック金額合計]],4,FALSE)</f>
        <v/>
      </c>
      <c r="E140" s="105" t="str">
        <f>VLOOKUP(名前リスト[[#This Row],[管理番号]],まとめ表_各店舗件数[[#All],[管理番号]:[合計件数]],4,FALSE)</f>
        <v/>
      </c>
      <c r="F140" s="130" t="str">
        <f>VLOOKUP(名前リスト[[#This Row],[管理番号]],まとめ表_各Aパターン件数[[#All],[管理番号]:[Aパターン]],4,FALSE)</f>
        <v/>
      </c>
      <c r="G140" s="130"/>
      <c r="H14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99"/>
    </row>
    <row r="141" spans="1:11" ht="19.5" customHeight="1">
      <c r="A141" s="2">
        <v>140</v>
      </c>
      <c r="B141" s="49" t="s">
        <v>279</v>
      </c>
      <c r="C141" s="49" t="s">
        <v>279</v>
      </c>
      <c r="D141" s="102" t="str">
        <f>VLOOKUP(名前リスト[[#This Row],[管理番号]],まとめ表_バック金額[[#All],[管理番号]:[バック金額合計]],4,FALSE)</f>
        <v/>
      </c>
      <c r="E141" s="105" t="str">
        <f>VLOOKUP(名前リスト[[#This Row],[管理番号]],まとめ表_各店舗件数[[#All],[管理番号]:[合計件数]],4,FALSE)</f>
        <v/>
      </c>
      <c r="F141" s="130" t="str">
        <f>VLOOKUP(名前リスト[[#This Row],[管理番号]],まとめ表_各Aパターン件数[[#All],[管理番号]:[Aパターン]],4,FALSE)</f>
        <v/>
      </c>
      <c r="G141" s="130"/>
      <c r="H14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99"/>
    </row>
    <row r="142" spans="1:11" ht="19.5" customHeight="1">
      <c r="A142" s="2">
        <v>141</v>
      </c>
      <c r="B142" s="49" t="s">
        <v>280</v>
      </c>
      <c r="C142" s="49" t="s">
        <v>280</v>
      </c>
      <c r="D142" s="102" t="str">
        <f>VLOOKUP(名前リスト[[#This Row],[管理番号]],まとめ表_バック金額[[#All],[管理番号]:[バック金額合計]],4,FALSE)</f>
        <v/>
      </c>
      <c r="E142" s="105" t="str">
        <f>VLOOKUP(名前リスト[[#This Row],[管理番号]],まとめ表_各店舗件数[[#All],[管理番号]:[合計件数]],4,FALSE)</f>
        <v/>
      </c>
      <c r="F142" s="130" t="str">
        <f>VLOOKUP(名前リスト[[#This Row],[管理番号]],まとめ表_各Aパターン件数[[#All],[管理番号]:[Aパターン]],4,FALSE)</f>
        <v/>
      </c>
      <c r="G142" s="130"/>
      <c r="H14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99"/>
    </row>
    <row r="143" spans="1:11" ht="19.5" customHeight="1">
      <c r="A143" s="2">
        <v>142</v>
      </c>
      <c r="B143" s="49" t="s">
        <v>282</v>
      </c>
      <c r="C143" s="49" t="s">
        <v>282</v>
      </c>
      <c r="D143" s="102" t="str">
        <f>VLOOKUP(名前リスト[[#This Row],[管理番号]],まとめ表_バック金額[[#All],[管理番号]:[バック金額合計]],4,FALSE)</f>
        <v/>
      </c>
      <c r="E143" s="105" t="str">
        <f>VLOOKUP(名前リスト[[#This Row],[管理番号]],まとめ表_各店舗件数[[#All],[管理番号]:[合計件数]],4,FALSE)</f>
        <v/>
      </c>
      <c r="F143" s="130" t="str">
        <f>VLOOKUP(名前リスト[[#This Row],[管理番号]],まとめ表_各Aパターン件数[[#All],[管理番号]:[Aパターン]],4,FALSE)</f>
        <v/>
      </c>
      <c r="G143" s="130"/>
      <c r="H14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99"/>
    </row>
    <row r="144" spans="1:11" ht="19.5" customHeight="1">
      <c r="A144" s="2">
        <v>143</v>
      </c>
      <c r="B144" s="49" t="s">
        <v>283</v>
      </c>
      <c r="C144" s="49" t="s">
        <v>283</v>
      </c>
      <c r="D144" s="102" t="str">
        <f>VLOOKUP(名前リスト[[#This Row],[管理番号]],まとめ表_バック金額[[#All],[管理番号]:[バック金額合計]],4,FALSE)</f>
        <v/>
      </c>
      <c r="E144" s="105" t="str">
        <f>VLOOKUP(名前リスト[[#This Row],[管理番号]],まとめ表_各店舗件数[[#All],[管理番号]:[合計件数]],4,FALSE)</f>
        <v/>
      </c>
      <c r="F144" s="130" t="str">
        <f>VLOOKUP(名前リスト[[#This Row],[管理番号]],まとめ表_各Aパターン件数[[#All],[管理番号]:[Aパターン]],4,FALSE)</f>
        <v/>
      </c>
      <c r="G144" s="130"/>
      <c r="H14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99"/>
    </row>
    <row r="145" spans="1:11" ht="19.5" customHeight="1">
      <c r="A145" s="2">
        <v>144</v>
      </c>
      <c r="B145" s="49" t="s">
        <v>284</v>
      </c>
      <c r="C145" s="49" t="s">
        <v>284</v>
      </c>
      <c r="D145" s="102" t="str">
        <f>VLOOKUP(名前リスト[[#This Row],[管理番号]],まとめ表_バック金額[[#All],[管理番号]:[バック金額合計]],4,FALSE)</f>
        <v/>
      </c>
      <c r="E145" s="105" t="str">
        <f>VLOOKUP(名前リスト[[#This Row],[管理番号]],まとめ表_各店舗件数[[#All],[管理番号]:[合計件数]],4,FALSE)</f>
        <v/>
      </c>
      <c r="F145" s="130" t="str">
        <f>VLOOKUP(名前リスト[[#This Row],[管理番号]],まとめ表_各Aパターン件数[[#All],[管理番号]:[Aパターン]],4,FALSE)</f>
        <v/>
      </c>
      <c r="G145" s="130"/>
      <c r="H14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99"/>
    </row>
    <row r="146" spans="1:11" ht="19.5" customHeight="1">
      <c r="A146" s="2">
        <v>145</v>
      </c>
      <c r="B146" s="49" t="s">
        <v>285</v>
      </c>
      <c r="C146" s="49" t="s">
        <v>285</v>
      </c>
      <c r="D146" s="102" t="str">
        <f>VLOOKUP(名前リスト[[#This Row],[管理番号]],まとめ表_バック金額[[#All],[管理番号]:[バック金額合計]],4,FALSE)</f>
        <v/>
      </c>
      <c r="E146" s="105" t="str">
        <f>VLOOKUP(名前リスト[[#This Row],[管理番号]],まとめ表_各店舗件数[[#All],[管理番号]:[合計件数]],4,FALSE)</f>
        <v/>
      </c>
      <c r="F146" s="130" t="str">
        <f>VLOOKUP(名前リスト[[#This Row],[管理番号]],まとめ表_各Aパターン件数[[#All],[管理番号]:[Aパターン]],4,FALSE)</f>
        <v/>
      </c>
      <c r="G146" s="130"/>
      <c r="H14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99"/>
    </row>
    <row r="147" spans="1:11" ht="19.5" customHeight="1">
      <c r="A147" s="2">
        <v>146</v>
      </c>
      <c r="B147" s="49" t="s">
        <v>286</v>
      </c>
      <c r="C147" s="49" t="s">
        <v>286</v>
      </c>
      <c r="D147" s="102" t="str">
        <f>VLOOKUP(名前リスト[[#This Row],[管理番号]],まとめ表_バック金額[[#All],[管理番号]:[バック金額合計]],4,FALSE)</f>
        <v/>
      </c>
      <c r="E147" s="105" t="str">
        <f>VLOOKUP(名前リスト[[#This Row],[管理番号]],まとめ表_各店舗件数[[#All],[管理番号]:[合計件数]],4,FALSE)</f>
        <v/>
      </c>
      <c r="F147" s="130" t="str">
        <f>VLOOKUP(名前リスト[[#This Row],[管理番号]],まとめ表_各Aパターン件数[[#All],[管理番号]:[Aパターン]],4,FALSE)</f>
        <v/>
      </c>
      <c r="G147" s="130"/>
      <c r="H14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99"/>
    </row>
    <row r="148" spans="1:11" ht="19.5" customHeight="1">
      <c r="A148" s="2">
        <v>147</v>
      </c>
      <c r="B148" s="49" t="s">
        <v>288</v>
      </c>
      <c r="C148" s="49" t="s">
        <v>288</v>
      </c>
      <c r="D148" s="102" t="str">
        <f>VLOOKUP(名前リスト[[#This Row],[管理番号]],まとめ表_バック金額[[#All],[管理番号]:[バック金額合計]],4,FALSE)</f>
        <v/>
      </c>
      <c r="E148" s="105" t="str">
        <f>VLOOKUP(名前リスト[[#This Row],[管理番号]],まとめ表_各店舗件数[[#All],[管理番号]:[合計件数]],4,FALSE)</f>
        <v/>
      </c>
      <c r="F148" s="130" t="str">
        <f>VLOOKUP(名前リスト[[#This Row],[管理番号]],まとめ表_各Aパターン件数[[#All],[管理番号]:[Aパターン]],4,FALSE)</f>
        <v/>
      </c>
      <c r="G148" s="130"/>
      <c r="H14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99"/>
    </row>
    <row r="149" spans="1:11" ht="19.5" customHeight="1">
      <c r="A149" s="2">
        <v>148</v>
      </c>
      <c r="B149" s="58" t="s">
        <v>289</v>
      </c>
      <c r="C149" s="58" t="s">
        <v>289</v>
      </c>
      <c r="D149" s="102" t="str">
        <f>VLOOKUP(名前リスト[[#This Row],[管理番号]],まとめ表_バック金額[[#All],[管理番号]:[バック金額合計]],4,FALSE)</f>
        <v/>
      </c>
      <c r="E149" s="105" t="str">
        <f>VLOOKUP(名前リスト[[#This Row],[管理番号]],まとめ表_各店舗件数[[#All],[管理番号]:[合計件数]],4,FALSE)</f>
        <v/>
      </c>
      <c r="F149" s="130" t="str">
        <f>VLOOKUP(名前リスト[[#This Row],[管理番号]],まとめ表_各Aパターン件数[[#All],[管理番号]:[Aパターン]],4,FALSE)</f>
        <v/>
      </c>
      <c r="G149" s="130"/>
      <c r="H14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99"/>
    </row>
    <row r="150" spans="1:11" ht="19.5" customHeight="1">
      <c r="A150" s="2">
        <v>149</v>
      </c>
      <c r="B150" s="58" t="s">
        <v>290</v>
      </c>
      <c r="C150" s="58" t="s">
        <v>290</v>
      </c>
      <c r="D150" s="102" t="str">
        <f>VLOOKUP(名前リスト[[#This Row],[管理番号]],まとめ表_バック金額[[#All],[管理番号]:[バック金額合計]],4,FALSE)</f>
        <v/>
      </c>
      <c r="E150" s="105" t="str">
        <f>VLOOKUP(名前リスト[[#This Row],[管理番号]],まとめ表_各店舗件数[[#All],[管理番号]:[合計件数]],4,FALSE)</f>
        <v/>
      </c>
      <c r="F150" s="130" t="str">
        <f>VLOOKUP(名前リスト[[#This Row],[管理番号]],まとめ表_各Aパターン件数[[#All],[管理番号]:[Aパターン]],4,FALSE)</f>
        <v/>
      </c>
      <c r="G150" s="130"/>
      <c r="H150" s="130"/>
      <c r="I15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99"/>
    </row>
    <row r="151" spans="1:11" ht="19.5" customHeight="1">
      <c r="A151" s="2">
        <v>150</v>
      </c>
      <c r="B151" s="58" t="s">
        <v>291</v>
      </c>
      <c r="C151" s="58" t="s">
        <v>291</v>
      </c>
      <c r="D151" s="102" t="str">
        <f>VLOOKUP(名前リスト[[#This Row],[管理番号]],まとめ表_バック金額[[#All],[管理番号]:[バック金額合計]],4,FALSE)</f>
        <v/>
      </c>
      <c r="E151" s="105" t="str">
        <f>VLOOKUP(名前リスト[[#This Row],[管理番号]],まとめ表_各店舗件数[[#All],[管理番号]:[合計件数]],4,FALSE)</f>
        <v/>
      </c>
      <c r="F151" s="130" t="str">
        <f>VLOOKUP(名前リスト[[#This Row],[管理番号]],まとめ表_各Aパターン件数[[#All],[管理番号]:[Aパターン]],4,FALSE)</f>
        <v/>
      </c>
      <c r="G151" s="130"/>
      <c r="H15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99"/>
    </row>
    <row r="152" spans="1:11" ht="19.5" customHeight="1">
      <c r="A152" s="3">
        <v>151</v>
      </c>
      <c r="B152" s="62" t="s">
        <v>292</v>
      </c>
      <c r="C152" s="62" t="s">
        <v>292</v>
      </c>
      <c r="D152" s="102" t="str">
        <f>VLOOKUP(名前リスト[[#This Row],[管理番号]],まとめ表_バック金額[[#All],[管理番号]:[バック金額合計]],4,FALSE)</f>
        <v/>
      </c>
      <c r="E152" s="105" t="str">
        <f>VLOOKUP(名前リスト[[#This Row],[管理番号]],まとめ表_各店舗件数[[#All],[管理番号]:[合計件数]],4,FALSE)</f>
        <v/>
      </c>
      <c r="F152" s="130" t="str">
        <f>VLOOKUP(名前リスト[[#This Row],[管理番号]],まとめ表_各Aパターン件数[[#All],[管理番号]:[Aパターン]],4,FALSE)</f>
        <v/>
      </c>
      <c r="G152" s="130"/>
      <c r="H15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99"/>
    </row>
    <row r="153" spans="1:11" ht="19.5" customHeight="1">
      <c r="A153" s="3">
        <v>152</v>
      </c>
      <c r="B153" s="62" t="s">
        <v>293</v>
      </c>
      <c r="C153" s="62" t="s">
        <v>293</v>
      </c>
      <c r="D153" s="102" t="str">
        <f>VLOOKUP(名前リスト[[#This Row],[管理番号]],まとめ表_バック金額[[#All],[管理番号]:[バック金額合計]],4,FALSE)</f>
        <v/>
      </c>
      <c r="E153" s="105" t="str">
        <f>VLOOKUP(名前リスト[[#This Row],[管理番号]],まとめ表_各店舗件数[[#All],[管理番号]:[合計件数]],4,FALSE)</f>
        <v/>
      </c>
      <c r="F153" s="130" t="str">
        <f>VLOOKUP(名前リスト[[#This Row],[管理番号]],まとめ表_各Aパターン件数[[#All],[管理番号]:[Aパターン]],4,FALSE)</f>
        <v/>
      </c>
      <c r="G153" s="130"/>
      <c r="H15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99"/>
    </row>
    <row r="154" spans="1:11" ht="19.5" customHeight="1">
      <c r="A154" s="3">
        <v>153</v>
      </c>
      <c r="B154" s="63" t="s">
        <v>294</v>
      </c>
      <c r="C154" s="64" t="s">
        <v>295</v>
      </c>
      <c r="D154" s="102" t="str">
        <f>VLOOKUP(名前リスト[[#This Row],[管理番号]],まとめ表_バック金額[[#All],[管理番号]:[バック金額合計]],4,FALSE)</f>
        <v/>
      </c>
      <c r="E154" s="105" t="str">
        <f>VLOOKUP(名前リスト[[#This Row],[管理番号]],まとめ表_各店舗件数[[#All],[管理番号]:[合計件数]],4,FALSE)</f>
        <v/>
      </c>
      <c r="F154" s="130" t="str">
        <f>VLOOKUP(名前リスト[[#This Row],[管理番号]],まとめ表_各Aパターン件数[[#All],[管理番号]:[Aパターン]],4,FALSE)</f>
        <v/>
      </c>
      <c r="G154" s="130"/>
      <c r="H15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99"/>
    </row>
    <row r="155" spans="1:11" ht="15" customHeight="1">
      <c r="A155" s="3">
        <v>154</v>
      </c>
      <c r="B155" s="63" t="s">
        <v>296</v>
      </c>
      <c r="C155" s="64" t="s">
        <v>297</v>
      </c>
      <c r="D155" s="102" t="str">
        <f>VLOOKUP(名前リスト[[#This Row],[管理番号]],まとめ表_バック金額[[#All],[管理番号]:[バック金額合計]],4,FALSE)</f>
        <v/>
      </c>
      <c r="E155" s="105" t="str">
        <f>VLOOKUP(名前リスト[[#This Row],[管理番号]],まとめ表_各店舗件数[[#All],[管理番号]:[合計件数]],4,FALSE)</f>
        <v/>
      </c>
      <c r="F155" s="130" t="str">
        <f>VLOOKUP(名前リスト[[#This Row],[管理番号]],まとめ表_各Aパターン件数[[#All],[管理番号]:[Aパターン]],4,FALSE)</f>
        <v/>
      </c>
      <c r="G155" s="130"/>
      <c r="H15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99"/>
    </row>
    <row r="156" spans="1:11" ht="15" customHeight="1">
      <c r="A156" s="3">
        <v>155</v>
      </c>
      <c r="B156" s="63" t="s">
        <v>298</v>
      </c>
      <c r="C156" s="64" t="s">
        <v>299</v>
      </c>
      <c r="D156" s="102" t="str">
        <f>VLOOKUP(名前リスト[[#This Row],[管理番号]],まとめ表_バック金額[[#All],[管理番号]:[バック金額合計]],4,FALSE)</f>
        <v/>
      </c>
      <c r="E156" s="105" t="str">
        <f>VLOOKUP(名前リスト[[#This Row],[管理番号]],まとめ表_各店舗件数[[#All],[管理番号]:[合計件数]],4,FALSE)</f>
        <v/>
      </c>
      <c r="F156" s="130" t="str">
        <f>VLOOKUP(名前リスト[[#This Row],[管理番号]],まとめ表_各Aパターン件数[[#All],[管理番号]:[Aパターン]],4,FALSE)</f>
        <v/>
      </c>
      <c r="G156" s="130"/>
      <c r="H15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99"/>
    </row>
    <row r="157" spans="1:11" ht="15" customHeight="1">
      <c r="A157" s="3">
        <v>156</v>
      </c>
      <c r="B157" s="63" t="s">
        <v>300</v>
      </c>
      <c r="C157" s="64" t="s">
        <v>301</v>
      </c>
      <c r="D157" s="102" t="str">
        <f>VLOOKUP(名前リスト[[#This Row],[管理番号]],まとめ表_バック金額[[#All],[管理番号]:[バック金額合計]],4,FALSE)</f>
        <v/>
      </c>
      <c r="E157" s="105" t="str">
        <f>VLOOKUP(名前リスト[[#This Row],[管理番号]],まとめ表_各店舗件数[[#All],[管理番号]:[合計件数]],4,FALSE)</f>
        <v/>
      </c>
      <c r="F157" s="130" t="str">
        <f>VLOOKUP(名前リスト[[#This Row],[管理番号]],まとめ表_各Aパターン件数[[#All],[管理番号]:[Aパターン]],4,FALSE)</f>
        <v/>
      </c>
      <c r="G157" s="130"/>
      <c r="H15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99"/>
    </row>
    <row r="158" spans="1:11" ht="15" customHeight="1">
      <c r="A158" s="3">
        <v>157</v>
      </c>
      <c r="B158" s="63" t="s">
        <v>302</v>
      </c>
      <c r="C158" s="64" t="s">
        <v>303</v>
      </c>
      <c r="D158" s="102" t="str">
        <f>VLOOKUP(名前リスト[[#This Row],[管理番号]],まとめ表_バック金額[[#All],[管理番号]:[バック金額合計]],4,FALSE)</f>
        <v/>
      </c>
      <c r="E158" s="105" t="str">
        <f>VLOOKUP(名前リスト[[#This Row],[管理番号]],まとめ表_各店舗件数[[#All],[管理番号]:[合計件数]],4,FALSE)</f>
        <v/>
      </c>
      <c r="F158" s="130" t="str">
        <f>VLOOKUP(名前リスト[[#This Row],[管理番号]],まとめ表_各Aパターン件数[[#All],[管理番号]:[Aパターン]],4,FALSE)</f>
        <v/>
      </c>
      <c r="G158" s="130"/>
      <c r="H15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99"/>
    </row>
    <row r="159" spans="1:11" ht="15" customHeight="1">
      <c r="A159" s="3">
        <v>158</v>
      </c>
      <c r="B159" s="63" t="s">
        <v>304</v>
      </c>
      <c r="C159" s="64" t="s">
        <v>305</v>
      </c>
      <c r="D159" s="102" t="str">
        <f>VLOOKUP(名前リスト[[#This Row],[管理番号]],まとめ表_バック金額[[#All],[管理番号]:[バック金額合計]],4,FALSE)</f>
        <v/>
      </c>
      <c r="E159" s="105" t="str">
        <f>VLOOKUP(名前リスト[[#This Row],[管理番号]],まとめ表_各店舗件数[[#All],[管理番号]:[合計件数]],4,FALSE)</f>
        <v/>
      </c>
      <c r="F159" s="130" t="str">
        <f>VLOOKUP(名前リスト[[#This Row],[管理番号]],まとめ表_各Aパターン件数[[#All],[管理番号]:[Aパターン]],4,FALSE)</f>
        <v/>
      </c>
      <c r="G159" s="130"/>
      <c r="H15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99"/>
    </row>
    <row r="160" spans="1:11" ht="15" customHeight="1">
      <c r="A160" s="3">
        <v>159</v>
      </c>
      <c r="B160" s="63" t="s">
        <v>306</v>
      </c>
      <c r="C160" s="64" t="s">
        <v>307</v>
      </c>
      <c r="D160" s="102" t="str">
        <f>VLOOKUP(名前リスト[[#This Row],[管理番号]],まとめ表_バック金額[[#All],[管理番号]:[バック金額合計]],4,FALSE)</f>
        <v/>
      </c>
      <c r="E160" s="105" t="str">
        <f>VLOOKUP(名前リスト[[#This Row],[管理番号]],まとめ表_各店舗件数[[#All],[管理番号]:[合計件数]],4,FALSE)</f>
        <v/>
      </c>
      <c r="F160" s="130" t="str">
        <f>VLOOKUP(名前リスト[[#This Row],[管理番号]],まとめ表_各Aパターン件数[[#All],[管理番号]:[Aパターン]],4,FALSE)</f>
        <v/>
      </c>
      <c r="G160" s="130"/>
      <c r="H16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99"/>
    </row>
    <row r="161" spans="1:11" ht="15" customHeight="1">
      <c r="A161" s="3">
        <v>160</v>
      </c>
      <c r="B161" s="63" t="s">
        <v>308</v>
      </c>
      <c r="C161" s="64" t="s">
        <v>309</v>
      </c>
      <c r="D161" s="102" t="str">
        <f>VLOOKUP(名前リスト[[#This Row],[管理番号]],まとめ表_バック金額[[#All],[管理番号]:[バック金額合計]],4,FALSE)</f>
        <v/>
      </c>
      <c r="E161" s="105" t="str">
        <f>VLOOKUP(名前リスト[[#This Row],[管理番号]],まとめ表_各店舗件数[[#All],[管理番号]:[合計件数]],4,FALSE)</f>
        <v/>
      </c>
      <c r="F161" s="130" t="str">
        <f>VLOOKUP(名前リスト[[#This Row],[管理番号]],まとめ表_各Aパターン件数[[#All],[管理番号]:[Aパターン]],4,FALSE)</f>
        <v/>
      </c>
      <c r="G161" s="130"/>
      <c r="H16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99"/>
    </row>
    <row r="162" spans="1:11" ht="15" customHeight="1">
      <c r="A162" s="3">
        <v>161</v>
      </c>
      <c r="B162" s="63" t="s">
        <v>310</v>
      </c>
      <c r="C162" s="64" t="s">
        <v>311</v>
      </c>
      <c r="D162" s="102" t="str">
        <f>VLOOKUP(名前リスト[[#This Row],[管理番号]],まとめ表_バック金額[[#All],[管理番号]:[バック金額合計]],4,FALSE)</f>
        <v/>
      </c>
      <c r="E162" s="105" t="str">
        <f>VLOOKUP(名前リスト[[#This Row],[管理番号]],まとめ表_各店舗件数[[#All],[管理番号]:[合計件数]],4,FALSE)</f>
        <v/>
      </c>
      <c r="F162" s="130" t="str">
        <f>VLOOKUP(名前リスト[[#This Row],[管理番号]],まとめ表_各Aパターン件数[[#All],[管理番号]:[Aパターン]],4,FALSE)</f>
        <v/>
      </c>
      <c r="G162" s="130"/>
      <c r="H16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99"/>
    </row>
    <row r="163" spans="1:11" ht="15" customHeight="1">
      <c r="A163" s="3">
        <v>162</v>
      </c>
      <c r="B163" s="63" t="s">
        <v>312</v>
      </c>
      <c r="C163" s="64" t="s">
        <v>313</v>
      </c>
      <c r="D163" s="102" t="str">
        <f>VLOOKUP(名前リスト[[#This Row],[管理番号]],まとめ表_バック金額[[#All],[管理番号]:[バック金額合計]],4,FALSE)</f>
        <v/>
      </c>
      <c r="E163" s="105" t="str">
        <f>VLOOKUP(名前リスト[[#This Row],[管理番号]],まとめ表_各店舗件数[[#All],[管理番号]:[合計件数]],4,FALSE)</f>
        <v/>
      </c>
      <c r="F163" s="130" t="str">
        <f>VLOOKUP(名前リスト[[#This Row],[管理番号]],まとめ表_各Aパターン件数[[#All],[管理番号]:[Aパターン]],4,FALSE)</f>
        <v/>
      </c>
      <c r="G163" s="130"/>
      <c r="H16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99"/>
    </row>
    <row r="164" spans="1:11" ht="15" customHeight="1">
      <c r="A164" s="3">
        <v>163</v>
      </c>
      <c r="B164" s="63" t="s">
        <v>314</v>
      </c>
      <c r="C164" s="64" t="s">
        <v>315</v>
      </c>
      <c r="D164" s="102" t="str">
        <f>VLOOKUP(名前リスト[[#This Row],[管理番号]],まとめ表_バック金額[[#All],[管理番号]:[バック金額合計]],4,FALSE)</f>
        <v/>
      </c>
      <c r="E164" s="105" t="str">
        <f>VLOOKUP(名前リスト[[#This Row],[管理番号]],まとめ表_各店舗件数[[#All],[管理番号]:[合計件数]],4,FALSE)</f>
        <v/>
      </c>
      <c r="F164" s="130" t="str">
        <f>VLOOKUP(名前リスト[[#This Row],[管理番号]],まとめ表_各Aパターン件数[[#All],[管理番号]:[Aパターン]],4,FALSE)</f>
        <v/>
      </c>
      <c r="G164" s="130"/>
      <c r="H16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99"/>
    </row>
    <row r="165" spans="1:11" ht="15" customHeight="1">
      <c r="A165" s="3">
        <v>164</v>
      </c>
      <c r="B165" s="63" t="s">
        <v>316</v>
      </c>
      <c r="C165" s="64" t="s">
        <v>317</v>
      </c>
      <c r="D165" s="102" t="str">
        <f>VLOOKUP(名前リスト[[#This Row],[管理番号]],まとめ表_バック金額[[#All],[管理番号]:[バック金額合計]],4,FALSE)</f>
        <v/>
      </c>
      <c r="E165" s="105" t="str">
        <f>VLOOKUP(名前リスト[[#This Row],[管理番号]],まとめ表_各店舗件数[[#All],[管理番号]:[合計件数]],4,FALSE)</f>
        <v/>
      </c>
      <c r="F165" s="130" t="str">
        <f>VLOOKUP(名前リスト[[#This Row],[管理番号]],まとめ表_各Aパターン件数[[#All],[管理番号]:[Aパターン]],4,FALSE)</f>
        <v/>
      </c>
      <c r="G165" s="130"/>
      <c r="H16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99"/>
    </row>
    <row r="166" spans="1:11" ht="15" customHeight="1">
      <c r="A166" s="3">
        <v>165</v>
      </c>
      <c r="B166" s="63" t="s">
        <v>332</v>
      </c>
      <c r="C166" s="63" t="s">
        <v>332</v>
      </c>
      <c r="D166" s="102" t="str">
        <f>VLOOKUP(名前リスト[[#This Row],[管理番号]],まとめ表_バック金額[[#All],[管理番号]:[バック金額合計]],4,FALSE)</f>
        <v/>
      </c>
      <c r="E166" s="105" t="str">
        <f>VLOOKUP(名前リスト[[#This Row],[管理番号]],まとめ表_各店舗件数[[#All],[管理番号]:[合計件数]],4,FALSE)</f>
        <v/>
      </c>
      <c r="F166" s="130" t="str">
        <f>VLOOKUP(名前リスト[[#This Row],[管理番号]],まとめ表_各Aパターン件数[[#All],[管理番号]:[Aパターン]],4,FALSE)</f>
        <v/>
      </c>
      <c r="G166" s="130"/>
      <c r="H16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99"/>
    </row>
    <row r="167" spans="1:11" ht="15" customHeight="1">
      <c r="A167" s="3">
        <v>166</v>
      </c>
      <c r="B167" s="63" t="s">
        <v>333</v>
      </c>
      <c r="C167" s="63" t="s">
        <v>333</v>
      </c>
      <c r="D167" s="102" t="str">
        <f>VLOOKUP(名前リスト[[#This Row],[管理番号]],まとめ表_バック金額[[#All],[管理番号]:[バック金額合計]],4,FALSE)</f>
        <v/>
      </c>
      <c r="E167" s="105" t="str">
        <f>VLOOKUP(名前リスト[[#This Row],[管理番号]],まとめ表_各店舗件数[[#All],[管理番号]:[合計件数]],4,FALSE)</f>
        <v/>
      </c>
      <c r="F167" s="130" t="str">
        <f>VLOOKUP(名前リスト[[#This Row],[管理番号]],まとめ表_各Aパターン件数[[#All],[管理番号]:[Aパターン]],4,FALSE)</f>
        <v/>
      </c>
      <c r="G167" s="130"/>
      <c r="H16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99"/>
    </row>
    <row r="168" spans="1:11" ht="15" customHeight="1">
      <c r="A168" s="3">
        <v>167</v>
      </c>
      <c r="B168" s="63" t="s">
        <v>334</v>
      </c>
      <c r="C168" s="63" t="s">
        <v>334</v>
      </c>
      <c r="D168" s="102" t="str">
        <f>VLOOKUP(名前リスト[[#This Row],[管理番号]],まとめ表_バック金額[[#All],[管理番号]:[バック金額合計]],4,FALSE)</f>
        <v/>
      </c>
      <c r="E168" s="105" t="str">
        <f>VLOOKUP(名前リスト[[#This Row],[管理番号]],まとめ表_各店舗件数[[#All],[管理番号]:[合計件数]],4,FALSE)</f>
        <v/>
      </c>
      <c r="F168" s="130" t="str">
        <f>VLOOKUP(名前リスト[[#This Row],[管理番号]],まとめ表_各Aパターン件数[[#All],[管理番号]:[Aパターン]],4,FALSE)</f>
        <v/>
      </c>
      <c r="G168" s="130"/>
      <c r="H16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99"/>
    </row>
    <row r="169" spans="1:11" ht="15" customHeight="1">
      <c r="A169" s="3">
        <v>168</v>
      </c>
      <c r="B169" s="63" t="s">
        <v>335</v>
      </c>
      <c r="C169" s="63" t="s">
        <v>335</v>
      </c>
      <c r="D169" s="102" t="str">
        <f>VLOOKUP(名前リスト[[#This Row],[管理番号]],まとめ表_バック金額[[#All],[管理番号]:[バック金額合計]],4,FALSE)</f>
        <v/>
      </c>
      <c r="E169" s="105" t="str">
        <f>VLOOKUP(名前リスト[[#This Row],[管理番号]],まとめ表_各店舗件数[[#All],[管理番号]:[合計件数]],4,FALSE)</f>
        <v/>
      </c>
      <c r="F169" s="130" t="str">
        <f>VLOOKUP(名前リスト[[#This Row],[管理番号]],まとめ表_各Aパターン件数[[#All],[管理番号]:[Aパターン]],4,FALSE)</f>
        <v/>
      </c>
      <c r="G169" s="130"/>
      <c r="H16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99"/>
    </row>
    <row r="170" spans="1:11" ht="15" customHeight="1">
      <c r="A170" s="3">
        <v>169</v>
      </c>
      <c r="B170" s="63" t="s">
        <v>336</v>
      </c>
      <c r="C170" s="63" t="s">
        <v>336</v>
      </c>
      <c r="D170" s="102" t="str">
        <f>VLOOKUP(名前リスト[[#This Row],[管理番号]],まとめ表_バック金額[[#All],[管理番号]:[バック金額合計]],4,FALSE)</f>
        <v/>
      </c>
      <c r="E170" s="105" t="str">
        <f>VLOOKUP(名前リスト[[#This Row],[管理番号]],まとめ表_各店舗件数[[#All],[管理番号]:[合計件数]],4,FALSE)</f>
        <v/>
      </c>
      <c r="F170" s="130" t="str">
        <f>VLOOKUP(名前リスト[[#This Row],[管理番号]],まとめ表_各Aパターン件数[[#All],[管理番号]:[Aパターン]],4,FALSE)</f>
        <v/>
      </c>
      <c r="G170" s="130"/>
      <c r="H17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99"/>
    </row>
    <row r="171" spans="1:11" ht="15" customHeight="1">
      <c r="A171" s="3">
        <v>170</v>
      </c>
      <c r="B171" s="63" t="s">
        <v>337</v>
      </c>
      <c r="C171" s="63" t="s">
        <v>337</v>
      </c>
      <c r="D171" s="102" t="str">
        <f>VLOOKUP(名前リスト[[#This Row],[管理番号]],まとめ表_バック金額[[#All],[管理番号]:[バック金額合計]],4,FALSE)</f>
        <v/>
      </c>
      <c r="E171" s="105" t="str">
        <f>VLOOKUP(名前リスト[[#This Row],[管理番号]],まとめ表_各店舗件数[[#All],[管理番号]:[合計件数]],4,FALSE)</f>
        <v/>
      </c>
      <c r="F171" s="130" t="str">
        <f>VLOOKUP(名前リスト[[#This Row],[管理番号]],まとめ表_各Aパターン件数[[#All],[管理番号]:[Aパターン]],4,FALSE)</f>
        <v/>
      </c>
      <c r="G171" s="130"/>
      <c r="H17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99"/>
    </row>
    <row r="172" spans="1:11" ht="15" customHeight="1">
      <c r="A172" s="3">
        <v>171</v>
      </c>
      <c r="B172" s="63" t="s">
        <v>338</v>
      </c>
      <c r="C172" s="63" t="s">
        <v>338</v>
      </c>
      <c r="D172" s="102" t="str">
        <f>VLOOKUP(名前リスト[[#This Row],[管理番号]],まとめ表_バック金額[[#All],[管理番号]:[バック金額合計]],4,FALSE)</f>
        <v/>
      </c>
      <c r="E172" s="105" t="str">
        <f>VLOOKUP(名前リスト[[#This Row],[管理番号]],まとめ表_各店舗件数[[#All],[管理番号]:[合計件数]],4,FALSE)</f>
        <v/>
      </c>
      <c r="F172" s="130" t="str">
        <f>VLOOKUP(名前リスト[[#This Row],[管理番号]],まとめ表_各Aパターン件数[[#All],[管理番号]:[Aパターン]],4,FALSE)</f>
        <v/>
      </c>
      <c r="G172" s="130"/>
      <c r="H17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99"/>
    </row>
    <row r="173" spans="1:11" ht="15" customHeight="1">
      <c r="A173" s="3">
        <v>172</v>
      </c>
      <c r="B173" s="63" t="s">
        <v>339</v>
      </c>
      <c r="C173" s="63" t="s">
        <v>339</v>
      </c>
      <c r="D173" s="102" t="str">
        <f>VLOOKUP(名前リスト[[#This Row],[管理番号]],まとめ表_バック金額[[#All],[管理番号]:[バック金額合計]],4,FALSE)</f>
        <v/>
      </c>
      <c r="E173" s="105" t="str">
        <f>VLOOKUP(名前リスト[[#This Row],[管理番号]],まとめ表_各店舗件数[[#All],[管理番号]:[合計件数]],4,FALSE)</f>
        <v/>
      </c>
      <c r="F173" s="130" t="str">
        <f>VLOOKUP(名前リスト[[#This Row],[管理番号]],まとめ表_各Aパターン件数[[#All],[管理番号]:[Aパターン]],4,FALSE)</f>
        <v/>
      </c>
      <c r="G173" s="130"/>
      <c r="H17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99"/>
    </row>
    <row r="174" spans="1:11" ht="15" customHeight="1">
      <c r="A174" s="3">
        <v>173</v>
      </c>
      <c r="B174" s="63" t="s">
        <v>340</v>
      </c>
      <c r="C174" s="63" t="s">
        <v>340</v>
      </c>
      <c r="D174" s="102" t="str">
        <f>VLOOKUP(名前リスト[[#This Row],[管理番号]],まとめ表_バック金額[[#All],[管理番号]:[バック金額合計]],4,FALSE)</f>
        <v/>
      </c>
      <c r="E174" s="105" t="str">
        <f>VLOOKUP(名前リスト[[#This Row],[管理番号]],まとめ表_各店舗件数[[#All],[管理番号]:[合計件数]],4,FALSE)</f>
        <v/>
      </c>
      <c r="F174" s="130" t="str">
        <f>VLOOKUP(名前リスト[[#This Row],[管理番号]],まとめ表_各Aパターン件数[[#All],[管理番号]:[Aパターン]],4,FALSE)</f>
        <v/>
      </c>
      <c r="G174" s="130"/>
      <c r="H17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99"/>
    </row>
    <row r="175" spans="1:11" ht="15" customHeight="1">
      <c r="A175" s="3">
        <v>174</v>
      </c>
      <c r="B175" s="63" t="s">
        <v>341</v>
      </c>
      <c r="C175" s="63" t="s">
        <v>341</v>
      </c>
      <c r="D175" s="102" t="str">
        <f>VLOOKUP(名前リスト[[#This Row],[管理番号]],まとめ表_バック金額[[#All],[管理番号]:[バック金額合計]],4,FALSE)</f>
        <v/>
      </c>
      <c r="E175" s="105" t="str">
        <f>VLOOKUP(名前リスト[[#This Row],[管理番号]],まとめ表_各店舗件数[[#All],[管理番号]:[合計件数]],4,FALSE)</f>
        <v/>
      </c>
      <c r="F175" s="130" t="str">
        <f>VLOOKUP(名前リスト[[#This Row],[管理番号]],まとめ表_各Aパターン件数[[#All],[管理番号]:[Aパターン]],4,FALSE)</f>
        <v/>
      </c>
      <c r="G175" s="130"/>
      <c r="H17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99"/>
    </row>
    <row r="176" spans="1:11" ht="15" customHeight="1">
      <c r="A176" s="3">
        <v>175</v>
      </c>
      <c r="B176" s="63" t="s">
        <v>342</v>
      </c>
      <c r="C176" s="63" t="s">
        <v>342</v>
      </c>
      <c r="D176" s="102" t="str">
        <f>VLOOKUP(名前リスト[[#This Row],[管理番号]],まとめ表_バック金額[[#All],[管理番号]:[バック金額合計]],4,FALSE)</f>
        <v/>
      </c>
      <c r="E176" s="105" t="str">
        <f>VLOOKUP(名前リスト[[#This Row],[管理番号]],まとめ表_各店舗件数[[#All],[管理番号]:[合計件数]],4,FALSE)</f>
        <v/>
      </c>
      <c r="F176" s="130" t="str">
        <f>VLOOKUP(名前リスト[[#This Row],[管理番号]],まとめ表_各Aパターン件数[[#All],[管理番号]:[Aパターン]],4,FALSE)</f>
        <v/>
      </c>
      <c r="G176" s="130"/>
      <c r="H17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99"/>
    </row>
    <row r="177" spans="1:11" ht="15" customHeight="1">
      <c r="A177" s="3">
        <v>176</v>
      </c>
      <c r="B177" s="63" t="s">
        <v>343</v>
      </c>
      <c r="C177" s="63" t="s">
        <v>343</v>
      </c>
      <c r="D177" s="102" t="str">
        <f>VLOOKUP(名前リスト[[#This Row],[管理番号]],まとめ表_バック金額[[#All],[管理番号]:[バック金額合計]],4,FALSE)</f>
        <v/>
      </c>
      <c r="E177" s="105" t="str">
        <f>VLOOKUP(名前リスト[[#This Row],[管理番号]],まとめ表_各店舗件数[[#All],[管理番号]:[合計件数]],4,FALSE)</f>
        <v/>
      </c>
      <c r="F177" s="130" t="str">
        <f>VLOOKUP(名前リスト[[#This Row],[管理番号]],まとめ表_各Aパターン件数[[#All],[管理番号]:[Aパターン]],4,FALSE)</f>
        <v/>
      </c>
      <c r="G177" s="130"/>
      <c r="H17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99"/>
    </row>
    <row r="178" spans="1:11" ht="15" customHeight="1">
      <c r="A178" s="3">
        <v>177</v>
      </c>
      <c r="B178" s="4" t="s">
        <v>347</v>
      </c>
      <c r="C178" s="5" t="s">
        <v>347</v>
      </c>
      <c r="D178" s="102" t="str">
        <f>VLOOKUP(名前リスト[[#This Row],[管理番号]],まとめ表_バック金額[[#All],[管理番号]:[バック金額合計]],4,FALSE)</f>
        <v/>
      </c>
      <c r="E178" s="105" t="str">
        <f>VLOOKUP(名前リスト[[#This Row],[管理番号]],まとめ表_各店舗件数[[#All],[管理番号]:[合計件数]],4,FALSE)</f>
        <v/>
      </c>
      <c r="F178" s="130" t="str">
        <f>VLOOKUP(名前リスト[[#This Row],[管理番号]],まとめ表_各Aパターン件数[[#All],[管理番号]:[Aパターン]],4,FALSE)</f>
        <v/>
      </c>
      <c r="G178" s="130"/>
      <c r="H17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99"/>
    </row>
    <row r="179" spans="1:11" ht="15" customHeight="1">
      <c r="A179" s="3">
        <v>178</v>
      </c>
      <c r="B179" s="4" t="s">
        <v>348</v>
      </c>
      <c r="C179" s="5" t="s">
        <v>348</v>
      </c>
      <c r="D179" s="102" t="str">
        <f>VLOOKUP(名前リスト[[#This Row],[管理番号]],まとめ表_バック金額[[#All],[管理番号]:[バック金額合計]],4,FALSE)</f>
        <v/>
      </c>
      <c r="E179" s="105" t="str">
        <f>VLOOKUP(名前リスト[[#This Row],[管理番号]],まとめ表_各店舗件数[[#All],[管理番号]:[合計件数]],4,FALSE)</f>
        <v/>
      </c>
      <c r="F179" s="130" t="str">
        <f>VLOOKUP(名前リスト[[#This Row],[管理番号]],まとめ表_各Aパターン件数[[#All],[管理番号]:[Aパターン]],4,FALSE)</f>
        <v/>
      </c>
      <c r="G179" s="130"/>
      <c r="H17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99"/>
    </row>
    <row r="180" spans="1:11" ht="15" customHeight="1">
      <c r="A180" s="3">
        <v>179</v>
      </c>
      <c r="B180" s="4" t="s">
        <v>349</v>
      </c>
      <c r="C180" s="5" t="s">
        <v>349</v>
      </c>
      <c r="D180" s="102" t="str">
        <f>VLOOKUP(名前リスト[[#This Row],[管理番号]],まとめ表_バック金額[[#All],[管理番号]:[バック金額合計]],4,FALSE)</f>
        <v/>
      </c>
      <c r="E180" s="105" t="str">
        <f>VLOOKUP(名前リスト[[#This Row],[管理番号]],まとめ表_各店舗件数[[#All],[管理番号]:[合計件数]],4,FALSE)</f>
        <v/>
      </c>
      <c r="F180" s="130" t="str">
        <f>VLOOKUP(名前リスト[[#This Row],[管理番号]],まとめ表_各Aパターン件数[[#All],[管理番号]:[Aパターン]],4,FALSE)</f>
        <v/>
      </c>
      <c r="G180" s="130"/>
      <c r="H18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99"/>
    </row>
    <row r="181" spans="1:11" ht="15" customHeight="1">
      <c r="A181" s="3">
        <v>180</v>
      </c>
      <c r="B181" s="4" t="s">
        <v>350</v>
      </c>
      <c r="C181" s="5" t="s">
        <v>350</v>
      </c>
      <c r="D181" s="102" t="str">
        <f>VLOOKUP(名前リスト[[#This Row],[管理番号]],まとめ表_バック金額[[#All],[管理番号]:[バック金額合計]],4,FALSE)</f>
        <v/>
      </c>
      <c r="E181" s="105" t="str">
        <f>VLOOKUP(名前リスト[[#This Row],[管理番号]],まとめ表_各店舗件数[[#All],[管理番号]:[合計件数]],4,FALSE)</f>
        <v/>
      </c>
      <c r="F181" s="130" t="str">
        <f>VLOOKUP(名前リスト[[#This Row],[管理番号]],まとめ表_各Aパターン件数[[#All],[管理番号]:[Aパターン]],4,FALSE)</f>
        <v/>
      </c>
      <c r="G181" s="130"/>
      <c r="H18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99"/>
    </row>
    <row r="182" spans="1:11" ht="15" customHeight="1">
      <c r="A182" s="3">
        <v>181</v>
      </c>
      <c r="B182" s="4" t="s">
        <v>351</v>
      </c>
      <c r="C182" s="5" t="s">
        <v>351</v>
      </c>
      <c r="D182" s="102" t="str">
        <f>VLOOKUP(名前リスト[[#This Row],[管理番号]],まとめ表_バック金額[[#All],[管理番号]:[バック金額合計]],4,FALSE)</f>
        <v/>
      </c>
      <c r="E182" s="105" t="str">
        <f>VLOOKUP(名前リスト[[#This Row],[管理番号]],まとめ表_各店舗件数[[#All],[管理番号]:[合計件数]],4,FALSE)</f>
        <v/>
      </c>
      <c r="F182" s="130" t="str">
        <f>VLOOKUP(名前リスト[[#This Row],[管理番号]],まとめ表_各Aパターン件数[[#All],[管理番号]:[Aパターン]],4,FALSE)</f>
        <v/>
      </c>
      <c r="G182" s="130"/>
      <c r="H18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99"/>
    </row>
    <row r="183" spans="1:11" ht="15" customHeight="1">
      <c r="A183" s="3">
        <v>182</v>
      </c>
      <c r="B183" s="4" t="s">
        <v>352</v>
      </c>
      <c r="C183" s="5" t="s">
        <v>352</v>
      </c>
      <c r="D183" s="102" t="str">
        <f>VLOOKUP(名前リスト[[#This Row],[管理番号]],まとめ表_バック金額[[#All],[管理番号]:[バック金額合計]],4,FALSE)</f>
        <v/>
      </c>
      <c r="E183" s="105" t="str">
        <f>VLOOKUP(名前リスト[[#This Row],[管理番号]],まとめ表_各店舗件数[[#All],[管理番号]:[合計件数]],4,FALSE)</f>
        <v/>
      </c>
      <c r="F183" s="130" t="str">
        <f>VLOOKUP(名前リスト[[#This Row],[管理番号]],まとめ表_各Aパターン件数[[#All],[管理番号]:[Aパターン]],4,FALSE)</f>
        <v/>
      </c>
      <c r="G183" s="130"/>
      <c r="H18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99"/>
    </row>
    <row r="184" spans="1:11" ht="15" customHeight="1">
      <c r="A184" s="3">
        <v>183</v>
      </c>
      <c r="B184" s="4" t="s">
        <v>353</v>
      </c>
      <c r="C184" s="5" t="s">
        <v>353</v>
      </c>
      <c r="D184" s="102" t="str">
        <f>VLOOKUP(名前リスト[[#This Row],[管理番号]],まとめ表_バック金額[[#All],[管理番号]:[バック金額合計]],4,FALSE)</f>
        <v/>
      </c>
      <c r="E184" s="105" t="str">
        <f>VLOOKUP(名前リスト[[#This Row],[管理番号]],まとめ表_各店舗件数[[#All],[管理番号]:[合計件数]],4,FALSE)</f>
        <v/>
      </c>
      <c r="F184" s="130" t="str">
        <f>VLOOKUP(名前リスト[[#This Row],[管理番号]],まとめ表_各Aパターン件数[[#All],[管理番号]:[Aパターン]],4,FALSE)</f>
        <v/>
      </c>
      <c r="G184" s="130"/>
      <c r="H18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99"/>
    </row>
    <row r="185" spans="1:11" ht="15" customHeight="1">
      <c r="A185" s="3">
        <v>184</v>
      </c>
      <c r="B185" s="63" t="s">
        <v>354</v>
      </c>
      <c r="C185" s="107" t="s">
        <v>354</v>
      </c>
      <c r="D185" s="102" t="str">
        <f>VLOOKUP(名前リスト[[#This Row],[管理番号]],まとめ表_バック金額[[#All],[管理番号]:[バック金額合計]],4,FALSE)</f>
        <v/>
      </c>
      <c r="E185" s="105" t="str">
        <f>VLOOKUP(名前リスト[[#This Row],[管理番号]],まとめ表_各店舗件数[[#All],[管理番号]:[合計件数]],4,FALSE)</f>
        <v/>
      </c>
      <c r="F185" s="130" t="str">
        <f>VLOOKUP(名前リスト[[#This Row],[管理番号]],まとめ表_各Aパターン件数[[#All],[管理番号]:[Aパターン]],4,FALSE)</f>
        <v/>
      </c>
      <c r="G185" s="130"/>
      <c r="H18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99"/>
    </row>
    <row r="186" spans="1:11" ht="15" customHeight="1">
      <c r="A186" s="3">
        <v>185</v>
      </c>
      <c r="B186" s="63" t="s">
        <v>355</v>
      </c>
      <c r="C186" s="107" t="s">
        <v>355</v>
      </c>
      <c r="D186" s="102" t="str">
        <f>VLOOKUP(名前リスト[[#This Row],[管理番号]],まとめ表_バック金額[[#All],[管理番号]:[バック金額合計]],4,FALSE)</f>
        <v/>
      </c>
      <c r="E186" s="105" t="str">
        <f>VLOOKUP(名前リスト[[#This Row],[管理番号]],まとめ表_各店舗件数[[#All],[管理番号]:[合計件数]],4,FALSE)</f>
        <v/>
      </c>
      <c r="F186" s="130" t="str">
        <f>VLOOKUP(名前リスト[[#This Row],[管理番号]],まとめ表_各Aパターン件数[[#All],[管理番号]:[Aパターン]],4,FALSE)</f>
        <v/>
      </c>
      <c r="G186" s="130"/>
      <c r="H18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99"/>
    </row>
    <row r="187" spans="1:11" ht="15" customHeight="1">
      <c r="A187" s="3">
        <v>186</v>
      </c>
      <c r="B187" s="63" t="s">
        <v>356</v>
      </c>
      <c r="C187" s="107" t="s">
        <v>356</v>
      </c>
      <c r="D187" s="102" t="str">
        <f>VLOOKUP(名前リスト[[#This Row],[管理番号]],まとめ表_バック金額[[#All],[管理番号]:[バック金額合計]],4,FALSE)</f>
        <v/>
      </c>
      <c r="E187" s="105" t="str">
        <f>VLOOKUP(名前リスト[[#This Row],[管理番号]],まとめ表_各店舗件数[[#All],[管理番号]:[合計件数]],4,FALSE)</f>
        <v/>
      </c>
      <c r="F187" s="130" t="str">
        <f>VLOOKUP(名前リスト[[#This Row],[管理番号]],まとめ表_各Aパターン件数[[#All],[管理番号]:[Aパターン]],4,FALSE)</f>
        <v/>
      </c>
      <c r="G187" s="130"/>
      <c r="H18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99"/>
    </row>
    <row r="188" spans="1:11" ht="15" customHeight="1">
      <c r="A188" s="3">
        <v>187</v>
      </c>
      <c r="B188" s="63" t="s">
        <v>357</v>
      </c>
      <c r="C188" s="107" t="s">
        <v>357</v>
      </c>
      <c r="D188" s="102" t="str">
        <f>VLOOKUP(名前リスト[[#This Row],[管理番号]],まとめ表_バック金額[[#All],[管理番号]:[バック金額合計]],4,FALSE)</f>
        <v/>
      </c>
      <c r="E188" s="105" t="str">
        <f>VLOOKUP(名前リスト[[#This Row],[管理番号]],まとめ表_各店舗件数[[#All],[管理番号]:[合計件数]],4,FALSE)</f>
        <v/>
      </c>
      <c r="F188" s="130" t="str">
        <f>VLOOKUP(名前リスト[[#This Row],[管理番号]],まとめ表_各Aパターン件数[[#All],[管理番号]:[Aパターン]],4,FALSE)</f>
        <v/>
      </c>
      <c r="G188" s="130"/>
      <c r="H18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99"/>
    </row>
    <row r="189" spans="1:11" ht="15" customHeight="1">
      <c r="A189" s="3">
        <v>188</v>
      </c>
      <c r="B189" s="63" t="s">
        <v>358</v>
      </c>
      <c r="C189" s="107" t="s">
        <v>358</v>
      </c>
      <c r="D189" s="102" t="str">
        <f>VLOOKUP(名前リスト[[#This Row],[管理番号]],まとめ表_バック金額[[#All],[管理番号]:[バック金額合計]],4,FALSE)</f>
        <v/>
      </c>
      <c r="E189" s="105" t="str">
        <f>VLOOKUP(名前リスト[[#This Row],[管理番号]],まとめ表_各店舗件数[[#All],[管理番号]:[合計件数]],4,FALSE)</f>
        <v/>
      </c>
      <c r="F189" s="130" t="str">
        <f>VLOOKUP(名前リスト[[#This Row],[管理番号]],まとめ表_各Aパターン件数[[#All],[管理番号]:[Aパターン]],4,FALSE)</f>
        <v/>
      </c>
      <c r="G189" s="130"/>
      <c r="H18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99"/>
    </row>
    <row r="190" spans="1:11" ht="15" customHeight="1">
      <c r="A190" s="3">
        <v>189</v>
      </c>
      <c r="B190" s="63" t="s">
        <v>360</v>
      </c>
      <c r="C190" s="107" t="s">
        <v>360</v>
      </c>
      <c r="D190" s="102" t="str">
        <f>VLOOKUP(名前リスト[[#This Row],[管理番号]],まとめ表_バック金額[[#All],[管理番号]:[バック金額合計]],4,FALSE)</f>
        <v/>
      </c>
      <c r="E190" s="105" t="str">
        <f>VLOOKUP(名前リスト[[#This Row],[管理番号]],まとめ表_各店舗件数[[#All],[管理番号]:[合計件数]],4,FALSE)</f>
        <v/>
      </c>
      <c r="F190" s="130" t="str">
        <f>VLOOKUP(名前リスト[[#This Row],[管理番号]],まとめ表_各Aパターン件数[[#All],[管理番号]:[Aパターン]],4,FALSE)</f>
        <v/>
      </c>
      <c r="G190" s="130"/>
      <c r="H19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99"/>
    </row>
    <row r="191" spans="1:11" ht="15" customHeight="1">
      <c r="A191" s="3">
        <v>190</v>
      </c>
      <c r="B191" s="63" t="s">
        <v>361</v>
      </c>
      <c r="C191" s="63" t="s">
        <v>361</v>
      </c>
      <c r="D191" s="102" t="str">
        <f>VLOOKUP(名前リスト[[#This Row],[管理番号]],まとめ表_バック金額[[#All],[管理番号]:[バック金額合計]],4,FALSE)</f>
        <v/>
      </c>
      <c r="E191" s="105" t="str">
        <f>VLOOKUP(名前リスト[[#This Row],[管理番号]],まとめ表_各店舗件数[[#All],[管理番号]:[合計件数]],4,FALSE)</f>
        <v/>
      </c>
      <c r="F191" s="130" t="str">
        <f>VLOOKUP(名前リスト[[#This Row],[管理番号]],まとめ表_各Aパターン件数[[#All],[管理番号]:[Aパターン]],4,FALSE)</f>
        <v/>
      </c>
      <c r="G191" s="130"/>
      <c r="H19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99"/>
    </row>
    <row r="192" spans="1:11" ht="15" customHeight="1">
      <c r="A192" s="3">
        <v>191</v>
      </c>
      <c r="B192" s="4" t="s">
        <v>359</v>
      </c>
      <c r="C192" s="4" t="s">
        <v>359</v>
      </c>
      <c r="D192" s="102" t="str">
        <f>VLOOKUP(名前リスト[[#This Row],[管理番号]],まとめ表_バック金額[[#All],[管理番号]:[バック金額合計]],4,FALSE)</f>
        <v/>
      </c>
      <c r="E192" s="105" t="str">
        <f>VLOOKUP(名前リスト[[#This Row],[管理番号]],まとめ表_各店舗件数[[#All],[管理番号]:[合計件数]],4,FALSE)</f>
        <v/>
      </c>
      <c r="F192" s="130" t="str">
        <f>VLOOKUP(名前リスト[[#This Row],[管理番号]],まとめ表_各Aパターン件数[[#All],[管理番号]:[Aパターン]],4,FALSE)</f>
        <v/>
      </c>
      <c r="G192" s="130"/>
      <c r="H19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99"/>
    </row>
    <row r="193" spans="1:11" ht="15" customHeight="1">
      <c r="A193" s="3">
        <v>192</v>
      </c>
      <c r="B193" s="63" t="s">
        <v>362</v>
      </c>
      <c r="C193" s="63" t="s">
        <v>362</v>
      </c>
      <c r="D193" s="102" t="str">
        <f>VLOOKUP(名前リスト[[#This Row],[管理番号]],まとめ表_バック金額[[#All],[管理番号]:[バック金額合計]],4,FALSE)</f>
        <v/>
      </c>
      <c r="E193" s="105" t="str">
        <f>VLOOKUP(名前リスト[[#This Row],[管理番号]],まとめ表_各店舗件数[[#All],[管理番号]:[合計件数]],4,FALSE)</f>
        <v/>
      </c>
      <c r="F193" s="130" t="str">
        <f>VLOOKUP(名前リスト[[#This Row],[管理番号]],まとめ表_各Aパターン件数[[#All],[管理番号]:[Aパターン]],4,FALSE)</f>
        <v/>
      </c>
      <c r="G193" s="130"/>
      <c r="H19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99"/>
    </row>
    <row r="194" spans="1:11" ht="15" customHeight="1">
      <c r="A194" s="3">
        <v>193</v>
      </c>
      <c r="B194" s="4" t="s">
        <v>363</v>
      </c>
      <c r="C194" s="4" t="s">
        <v>363</v>
      </c>
      <c r="D194" s="102" t="str">
        <f>VLOOKUP(名前リスト[[#This Row],[管理番号]],まとめ表_バック金額[[#All],[管理番号]:[バック金額合計]],4,FALSE)</f>
        <v/>
      </c>
      <c r="E194" s="105" t="str">
        <f>VLOOKUP(名前リスト[[#This Row],[管理番号]],まとめ表_各店舗件数[[#All],[管理番号]:[合計件数]],4,FALSE)</f>
        <v/>
      </c>
      <c r="F194" s="130" t="str">
        <f>VLOOKUP(名前リスト[[#This Row],[管理番号]],まとめ表_各Aパターン件数[[#All],[管理番号]:[Aパターン]],4,FALSE)</f>
        <v/>
      </c>
      <c r="G194" s="130"/>
      <c r="H19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99"/>
    </row>
    <row r="195" spans="1:11" ht="15" customHeight="1">
      <c r="A195" s="3">
        <v>194</v>
      </c>
      <c r="B195" s="4" t="s">
        <v>364</v>
      </c>
      <c r="C195" s="4" t="s">
        <v>364</v>
      </c>
      <c r="D195" s="102" t="str">
        <f>VLOOKUP(名前リスト[[#This Row],[管理番号]],まとめ表_バック金額[[#All],[管理番号]:[バック金額合計]],4,FALSE)</f>
        <v/>
      </c>
      <c r="E195" s="105" t="str">
        <f>VLOOKUP(名前リスト[[#This Row],[管理番号]],まとめ表_各店舗件数[[#All],[管理番号]:[合計件数]],4,FALSE)</f>
        <v/>
      </c>
      <c r="F195" s="130" t="str">
        <f>VLOOKUP(名前リスト[[#This Row],[管理番号]],まとめ表_各Aパターン件数[[#All],[管理番号]:[Aパターン]],4,FALSE)</f>
        <v/>
      </c>
      <c r="G195" s="130"/>
      <c r="H19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99"/>
    </row>
    <row r="196" spans="1:11" ht="15" customHeight="1">
      <c r="A196" s="3">
        <v>195</v>
      </c>
      <c r="B196" s="4" t="s">
        <v>365</v>
      </c>
      <c r="C196" s="4" t="s">
        <v>365</v>
      </c>
      <c r="D196" s="102" t="str">
        <f>VLOOKUP(名前リスト[[#This Row],[管理番号]],まとめ表_バック金額[[#All],[管理番号]:[バック金額合計]],4,FALSE)</f>
        <v/>
      </c>
      <c r="E196" s="105" t="str">
        <f>VLOOKUP(名前リスト[[#This Row],[管理番号]],まとめ表_各店舗件数[[#All],[管理番号]:[合計件数]],4,FALSE)</f>
        <v/>
      </c>
      <c r="F196" s="130" t="str">
        <f>VLOOKUP(名前リスト[[#This Row],[管理番号]],まとめ表_各Aパターン件数[[#All],[管理番号]:[Aパターン]],4,FALSE)</f>
        <v/>
      </c>
      <c r="G196" s="130"/>
      <c r="H19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99"/>
    </row>
    <row r="197" spans="1:11" ht="15" customHeight="1">
      <c r="A197" s="3">
        <v>196</v>
      </c>
      <c r="B197" s="4" t="s">
        <v>366</v>
      </c>
      <c r="C197" s="4" t="s">
        <v>366</v>
      </c>
      <c r="D197" s="102" t="str">
        <f>VLOOKUP(名前リスト[[#This Row],[管理番号]],まとめ表_バック金額[[#All],[管理番号]:[バック金額合計]],4,FALSE)</f>
        <v/>
      </c>
      <c r="E197" s="105" t="str">
        <f>VLOOKUP(名前リスト[[#This Row],[管理番号]],まとめ表_各店舗件数[[#All],[管理番号]:[合計件数]],4,FALSE)</f>
        <v/>
      </c>
      <c r="F197" s="130" t="str">
        <f>VLOOKUP(名前リスト[[#This Row],[管理番号]],まとめ表_各Aパターン件数[[#All],[管理番号]:[Aパターン]],4,FALSE)</f>
        <v/>
      </c>
      <c r="G197" s="130"/>
      <c r="H19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99"/>
    </row>
    <row r="198" spans="1:11" ht="15" customHeight="1">
      <c r="A198" s="3">
        <v>197</v>
      </c>
      <c r="B198" s="4" t="s">
        <v>367</v>
      </c>
      <c r="C198" s="4" t="s">
        <v>367</v>
      </c>
      <c r="D198" s="102" t="str">
        <f>VLOOKUP(名前リスト[[#This Row],[管理番号]],まとめ表_バック金額[[#All],[管理番号]:[バック金額合計]],4,FALSE)</f>
        <v/>
      </c>
      <c r="E198" s="105" t="str">
        <f>VLOOKUP(名前リスト[[#This Row],[管理番号]],まとめ表_各店舗件数[[#All],[管理番号]:[合計件数]],4,FALSE)</f>
        <v/>
      </c>
      <c r="F198" s="130" t="str">
        <f>VLOOKUP(名前リスト[[#This Row],[管理番号]],まとめ表_各Aパターン件数[[#All],[管理番号]:[Aパターン]],4,FALSE)</f>
        <v/>
      </c>
      <c r="G198" s="130"/>
      <c r="H19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99"/>
    </row>
    <row r="199" spans="1:11" ht="15" customHeight="1">
      <c r="A199" s="3">
        <v>198</v>
      </c>
      <c r="B199" s="4" t="s">
        <v>384</v>
      </c>
      <c r="C199" s="4" t="s">
        <v>384</v>
      </c>
      <c r="D199" s="102" t="str">
        <f>VLOOKUP(名前リスト[[#This Row],[管理番号]],まとめ表_バック金額[[#All],[管理番号]:[バック金額合計]],4,FALSE)</f>
        <v/>
      </c>
      <c r="E199" s="105" t="str">
        <f>VLOOKUP(名前リスト[[#This Row],[管理番号]],まとめ表_各店舗件数[[#All],[管理番号]:[合計件数]],4,FALSE)</f>
        <v/>
      </c>
      <c r="F199" s="130" t="str">
        <f>VLOOKUP(名前リスト[[#This Row],[管理番号]],まとめ表_各Aパターン件数[[#All],[管理番号]:[Aパターン]],4,FALSE)</f>
        <v/>
      </c>
      <c r="G199" s="130"/>
      <c r="H19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99"/>
    </row>
    <row r="200" spans="1:11" ht="15" customHeight="1">
      <c r="A200" s="3">
        <v>199</v>
      </c>
      <c r="B200" s="4" t="s">
        <v>385</v>
      </c>
      <c r="C200" s="4" t="s">
        <v>385</v>
      </c>
      <c r="D200" s="102" t="str">
        <f>VLOOKUP(名前リスト[[#This Row],[管理番号]],まとめ表_バック金額[[#All],[管理番号]:[バック金額合計]],4,FALSE)</f>
        <v/>
      </c>
      <c r="E200" s="105" t="str">
        <f>VLOOKUP(名前リスト[[#This Row],[管理番号]],まとめ表_各店舗件数[[#All],[管理番号]:[合計件数]],4,FALSE)</f>
        <v/>
      </c>
      <c r="F200" s="130" t="str">
        <f>VLOOKUP(名前リスト[[#This Row],[管理番号]],まとめ表_各Aパターン件数[[#All],[管理番号]:[Aパターン]],4,FALSE)</f>
        <v/>
      </c>
      <c r="G200" s="130"/>
      <c r="H200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99"/>
    </row>
    <row r="201" spans="1:11" ht="15" customHeight="1">
      <c r="A201" s="3">
        <v>200</v>
      </c>
      <c r="B201" s="4" t="s">
        <v>386</v>
      </c>
      <c r="C201" s="4" t="s">
        <v>386</v>
      </c>
      <c r="D201" s="102" t="str">
        <f>VLOOKUP(名前リスト[[#This Row],[管理番号]],まとめ表_バック金額[[#All],[管理番号]:[バック金額合計]],4,FALSE)</f>
        <v/>
      </c>
      <c r="E201" s="105" t="str">
        <f>VLOOKUP(名前リスト[[#This Row],[管理番号]],まとめ表_各店舗件数[[#All],[管理番号]:[合計件数]],4,FALSE)</f>
        <v/>
      </c>
      <c r="F201" s="130" t="str">
        <f>VLOOKUP(名前リスト[[#This Row],[管理番号]],まとめ表_各Aパターン件数[[#All],[管理番号]:[Aパターン]],4,FALSE)</f>
        <v/>
      </c>
      <c r="G201" s="130"/>
      <c r="H201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99"/>
    </row>
    <row r="202" spans="1:11" ht="15" customHeight="1">
      <c r="A202" s="3">
        <v>201</v>
      </c>
      <c r="B202" s="4" t="s">
        <v>387</v>
      </c>
      <c r="C202" s="4" t="s">
        <v>387</v>
      </c>
      <c r="D202" s="102" t="str">
        <f>VLOOKUP(名前リスト[[#This Row],[管理番号]],まとめ表_バック金額[[#All],[管理番号]:[バック金額合計]],4,FALSE)</f>
        <v/>
      </c>
      <c r="E202" s="105" t="str">
        <f>VLOOKUP(名前リスト[[#This Row],[管理番号]],まとめ表_各店舗件数[[#All],[管理番号]:[合計件数]],4,FALSE)</f>
        <v/>
      </c>
      <c r="F202" s="130" t="str">
        <f>VLOOKUP(名前リスト[[#This Row],[管理番号]],まとめ表_各Aパターン件数[[#All],[管理番号]:[Aパターン]],4,FALSE)</f>
        <v/>
      </c>
      <c r="G202" s="130"/>
      <c r="H202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99"/>
    </row>
    <row r="203" spans="1:11" ht="15" customHeight="1">
      <c r="A203" s="95">
        <v>202</v>
      </c>
      <c r="B203" s="96" t="s">
        <v>388</v>
      </c>
      <c r="C203" s="96" t="s">
        <v>388</v>
      </c>
      <c r="D203" s="102" t="str">
        <f>VLOOKUP(名前リスト[[#This Row],[管理番号]],まとめ表_バック金額[[#All],[管理番号]:[バック金額合計]],4,FALSE)</f>
        <v/>
      </c>
      <c r="E203" s="105" t="str">
        <f>VLOOKUP(名前リスト[[#This Row],[管理番号]],まとめ表_各店舗件数[[#All],[管理番号]:[合計件数]],4,FALSE)</f>
        <v/>
      </c>
      <c r="F203" s="130" t="str">
        <f>VLOOKUP(名前リスト[[#This Row],[管理番号]],まとめ表_各Aパターン件数[[#All],[管理番号]:[Aパターン]],4,FALSE)</f>
        <v/>
      </c>
      <c r="G203" s="130"/>
      <c r="H203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99"/>
    </row>
    <row r="204" spans="1:11" ht="15" customHeight="1">
      <c r="A204" s="95">
        <v>203</v>
      </c>
      <c r="B204" s="106" t="s">
        <v>389</v>
      </c>
      <c r="C204" s="106" t="s">
        <v>389</v>
      </c>
      <c r="D204" s="102" t="str">
        <f>VLOOKUP(名前リスト[[#This Row],[管理番号]],まとめ表_バック金額[[#All],[管理番号]:[バック金額合計]],4,FALSE)</f>
        <v/>
      </c>
      <c r="E204" s="105" t="str">
        <f>VLOOKUP(名前リスト[[#This Row],[管理番号]],まとめ表_各店舗件数[[#All],[管理番号]:[合計件数]],4,FALSE)</f>
        <v/>
      </c>
      <c r="F204" s="130" t="str">
        <f>VLOOKUP(名前リスト[[#This Row],[管理番号]],まとめ表_各Aパターン件数[[#All],[管理番号]:[Aパターン]],4,FALSE)</f>
        <v/>
      </c>
      <c r="G204" s="130"/>
      <c r="H204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99"/>
    </row>
    <row r="205" spans="1:11" ht="15" customHeight="1">
      <c r="A205" s="95">
        <v>204</v>
      </c>
      <c r="B205" s="95" t="s">
        <v>390</v>
      </c>
      <c r="C205" s="95" t="s">
        <v>390</v>
      </c>
      <c r="D205" s="102" t="str">
        <f>VLOOKUP(名前リスト[[#This Row],[管理番号]],まとめ表_バック金額[[#All],[管理番号]:[バック金額合計]],4,FALSE)</f>
        <v/>
      </c>
      <c r="E205" s="105" t="str">
        <f>VLOOKUP(名前リスト[[#This Row],[管理番号]],まとめ表_各店舗件数[[#All],[管理番号]:[合計件数]],4,FALSE)</f>
        <v/>
      </c>
      <c r="F205" s="130" t="str">
        <f>VLOOKUP(名前リスト[[#This Row],[管理番号]],まとめ表_各Aパターン件数[[#All],[管理番号]:[Aパターン]],4,FALSE)</f>
        <v/>
      </c>
      <c r="G205" s="130"/>
      <c r="H205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95">
        <v>205</v>
      </c>
      <c r="B206" s="95" t="s">
        <v>391</v>
      </c>
      <c r="C206" s="95" t="s">
        <v>391</v>
      </c>
      <c r="D206" s="102" t="str">
        <f>VLOOKUP(名前リスト[[#This Row],[管理番号]],まとめ表_バック金額[[#All],[管理番号]:[バック金額合計]],4,FALSE)</f>
        <v/>
      </c>
      <c r="E206" s="105" t="str">
        <f>VLOOKUP(名前リスト[[#This Row],[管理番号]],まとめ表_各店舗件数[[#All],[管理番号]:[合計件数]],4,FALSE)</f>
        <v/>
      </c>
      <c r="F206" s="130" t="str">
        <f>VLOOKUP(名前リスト[[#This Row],[管理番号]],まとめ表_各Aパターン件数[[#All],[管理番号]:[Aパターン]],4,FALSE)</f>
        <v/>
      </c>
      <c r="G206" s="130"/>
      <c r="H206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95">
        <v>206</v>
      </c>
      <c r="B207" s="152" t="s">
        <v>403</v>
      </c>
      <c r="C207" s="95" t="s">
        <v>402</v>
      </c>
      <c r="D207" s="102" t="str">
        <f>VLOOKUP(名前リスト[[#This Row],[管理番号]],まとめ表_バック金額[[#All],[管理番号]:[バック金額合計]],4,FALSE)</f>
        <v/>
      </c>
      <c r="E207" s="105" t="str">
        <f>VLOOKUP(名前リスト[[#This Row],[管理番号]],まとめ表_各店舗件数[[#All],[管理番号]:[合計件数]],4,FALSE)</f>
        <v/>
      </c>
      <c r="F207" s="130" t="str">
        <f>VLOOKUP(名前リスト[[#This Row],[管理番号]],まとめ表_各Aパターン件数[[#All],[管理番号]:[Aパターン]],4,FALSE)</f>
        <v/>
      </c>
      <c r="G207" s="130"/>
      <c r="H20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95">
        <v>207</v>
      </c>
      <c r="B208" s="152" t="s">
        <v>405</v>
      </c>
      <c r="C208" s="95" t="s">
        <v>404</v>
      </c>
      <c r="D208" s="102" t="str">
        <f>VLOOKUP(名前リスト[[#This Row],[管理番号]],まとめ表_バック金額[[#All],[管理番号]:[バック金額合計]],4,FALSE)</f>
        <v/>
      </c>
      <c r="E208" s="105" t="str">
        <f>VLOOKUP(名前リスト[[#This Row],[管理番号]],まとめ表_各店舗件数[[#All],[管理番号]:[合計件数]],4,FALSE)</f>
        <v/>
      </c>
      <c r="F208" s="130" t="str">
        <f>VLOOKUP(名前リスト[[#This Row],[管理番号]],まとめ表_各Aパターン件数[[#All],[管理番号]:[Aパターン]],4,FALSE)</f>
        <v/>
      </c>
      <c r="G208" s="130"/>
      <c r="H208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95">
        <v>208</v>
      </c>
      <c r="B209" s="152" t="s">
        <v>407</v>
      </c>
      <c r="C209" s="95" t="s">
        <v>406</v>
      </c>
      <c r="D209" s="102" t="str">
        <f>VLOOKUP(名前リスト[[#This Row],[管理番号]],まとめ表_バック金額[[#All],[管理番号]:[バック金額合計]],4,FALSE)</f>
        <v/>
      </c>
      <c r="E209" s="105" t="str">
        <f>VLOOKUP(名前リスト[[#This Row],[管理番号]],まとめ表_各店舗件数[[#All],[管理番号]:[合計件数]],4,FALSE)</f>
        <v/>
      </c>
      <c r="F209" s="130" t="str">
        <f>VLOOKUP(名前リスト[[#This Row],[管理番号]],まとめ表_各Aパターン件数[[#All],[管理番号]:[Aパターン]],4,FALSE)</f>
        <v/>
      </c>
      <c r="G209" s="130"/>
      <c r="H209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95">
        <v>209</v>
      </c>
      <c r="B210" s="152" t="s">
        <v>502</v>
      </c>
      <c r="C210" s="95" t="s">
        <v>502</v>
      </c>
      <c r="D210" s="102" t="str">
        <f>VLOOKUP(名前リスト[[#This Row],[管理番号]],まとめ表_バック金額[[#All],[管理番号]:[バック金額合計]],4,FALSE)</f>
        <v/>
      </c>
      <c r="E210" s="105" t="str">
        <f>VLOOKUP(名前リスト[[#This Row],[管理番号]],まとめ表_各店舗件数[[#All],[管理番号]:[合計件数]],4,FALSE)</f>
        <v/>
      </c>
      <c r="F210" s="130" t="str">
        <f>VLOOKUP(名前リスト[[#This Row],[管理番号]],まとめ表_各Aパターン件数[[#All],[管理番号]:[Aパターン]],4,FALSE)</f>
        <v/>
      </c>
      <c r="G210" s="153"/>
      <c r="H21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95">
        <v>210</v>
      </c>
      <c r="B211" s="152" t="s">
        <v>503</v>
      </c>
      <c r="C211" s="95" t="s">
        <v>503</v>
      </c>
      <c r="D211" s="102" t="str">
        <f>VLOOKUP(名前リスト[[#This Row],[管理番号]],まとめ表_バック金額[[#All],[管理番号]:[バック金額合計]],4,FALSE)</f>
        <v/>
      </c>
      <c r="E211" s="105" t="str">
        <f>VLOOKUP(名前リスト[[#This Row],[管理番号]],まとめ表_各店舗件数[[#All],[管理番号]:[合計件数]],4,FALSE)</f>
        <v/>
      </c>
      <c r="F211" s="130" t="str">
        <f>VLOOKUP(名前リスト[[#This Row],[管理番号]],まとめ表_各Aパターン件数[[#All],[管理番号]:[Aパターン]],4,FALSE)</f>
        <v/>
      </c>
      <c r="G211" s="153"/>
      <c r="H21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95">
        <v>211</v>
      </c>
      <c r="B212" s="152" t="s">
        <v>504</v>
      </c>
      <c r="C212" s="95" t="s">
        <v>504</v>
      </c>
      <c r="D212" s="102" t="str">
        <f>VLOOKUP(名前リスト[[#This Row],[管理番号]],まとめ表_バック金額[[#All],[管理番号]:[バック金額合計]],4,FALSE)</f>
        <v/>
      </c>
      <c r="E212" s="105" t="str">
        <f>VLOOKUP(名前リスト[[#This Row],[管理番号]],まとめ表_各店舗件数[[#All],[管理番号]:[合計件数]],4,FALSE)</f>
        <v/>
      </c>
      <c r="F212" s="130" t="str">
        <f>VLOOKUP(名前リスト[[#This Row],[管理番号]],まとめ表_各Aパターン件数[[#All],[管理番号]:[Aパターン]],4,FALSE)</f>
        <v/>
      </c>
      <c r="G212" s="153"/>
      <c r="H21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95">
        <v>212</v>
      </c>
      <c r="B213" s="152" t="s">
        <v>505</v>
      </c>
      <c r="C213" s="95" t="s">
        <v>505</v>
      </c>
      <c r="D213" s="102" t="str">
        <f>VLOOKUP(名前リスト[[#This Row],[管理番号]],まとめ表_バック金額[[#All],[管理番号]:[バック金額合計]],4,FALSE)</f>
        <v/>
      </c>
      <c r="E213" s="105" t="str">
        <f>VLOOKUP(名前リスト[[#This Row],[管理番号]],まとめ表_各店舗件数[[#All],[管理番号]:[合計件数]],4,FALSE)</f>
        <v/>
      </c>
      <c r="F213" s="130" t="str">
        <f>VLOOKUP(名前リスト[[#This Row],[管理番号]],まとめ表_各Aパターン件数[[#All],[管理番号]:[Aパターン]],4,FALSE)</f>
        <v/>
      </c>
      <c r="G213" s="153"/>
      <c r="H21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95">
        <v>213</v>
      </c>
      <c r="B214" s="152" t="s">
        <v>506</v>
      </c>
      <c r="C214" s="95" t="s">
        <v>506</v>
      </c>
      <c r="D214" s="102" t="str">
        <f>VLOOKUP(名前リスト[[#This Row],[管理番号]],まとめ表_バック金額[[#All],[管理番号]:[バック金額合計]],4,FALSE)</f>
        <v/>
      </c>
      <c r="E214" s="105" t="str">
        <f>VLOOKUP(名前リスト[[#This Row],[管理番号]],まとめ表_各店舗件数[[#All],[管理番号]:[合計件数]],4,FALSE)</f>
        <v/>
      </c>
      <c r="F214" s="130" t="str">
        <f>VLOOKUP(名前リスト[[#This Row],[管理番号]],まとめ表_各Aパターン件数[[#All],[管理番号]:[Aパターン]],4,FALSE)</f>
        <v/>
      </c>
      <c r="G214" s="153"/>
      <c r="H21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95">
        <v>214</v>
      </c>
      <c r="B215" s="152" t="s">
        <v>510</v>
      </c>
      <c r="C215" s="152" t="s">
        <v>510</v>
      </c>
      <c r="D215" s="102" t="str">
        <f>VLOOKUP(名前リスト[[#This Row],[管理番号]],まとめ表_バック金額[[#All],[管理番号]:[バック金額合計]],4,FALSE)</f>
        <v/>
      </c>
      <c r="E215" s="105" t="str">
        <f>VLOOKUP(名前リスト[[#This Row],[管理番号]],まとめ表_各店舗件数[[#All],[管理番号]:[合計件数]],4,FALSE)</f>
        <v/>
      </c>
      <c r="F215" s="130" t="str">
        <f>VLOOKUP(名前リスト[[#This Row],[管理番号]],まとめ表_各Aパターン件数[[#All],[管理番号]:[Aパターン]],4,FALSE)</f>
        <v/>
      </c>
      <c r="G215" s="153"/>
      <c r="H21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95">
        <v>215</v>
      </c>
      <c r="B216" s="152" t="s">
        <v>507</v>
      </c>
      <c r="C216" s="95" t="s">
        <v>507</v>
      </c>
      <c r="D216" s="102" t="str">
        <f>VLOOKUP(名前リスト[[#This Row],[管理番号]],まとめ表_バック金額[[#All],[管理番号]:[バック金額合計]],4,FALSE)</f>
        <v/>
      </c>
      <c r="E216" s="105" t="str">
        <f>VLOOKUP(名前リスト[[#This Row],[管理番号]],まとめ表_各店舗件数[[#All],[管理番号]:[合計件数]],4,FALSE)</f>
        <v/>
      </c>
      <c r="F216" s="130" t="str">
        <f>VLOOKUP(名前リスト[[#This Row],[管理番号]],まとめ表_各Aパターン件数[[#All],[管理番号]:[Aパターン]],4,FALSE)</f>
        <v/>
      </c>
      <c r="G216" s="153"/>
      <c r="H21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95">
        <v>216</v>
      </c>
      <c r="B217" s="152" t="s">
        <v>508</v>
      </c>
      <c r="C217" s="95" t="s">
        <v>508</v>
      </c>
      <c r="D217" s="102" t="str">
        <f>VLOOKUP(名前リスト[[#This Row],[管理番号]],まとめ表_バック金額[[#All],[管理番号]:[バック金額合計]],4,FALSE)</f>
        <v/>
      </c>
      <c r="E217" s="105" t="str">
        <f>VLOOKUP(名前リスト[[#This Row],[管理番号]],まとめ表_各店舗件数[[#All],[管理番号]:[合計件数]],4,FALSE)</f>
        <v/>
      </c>
      <c r="F217" s="130" t="str">
        <f>VLOOKUP(名前リスト[[#This Row],[管理番号]],まとめ表_各Aパターン件数[[#All],[管理番号]:[Aパターン]],4,FALSE)</f>
        <v/>
      </c>
      <c r="G217" s="153"/>
      <c r="H21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95">
        <v>217</v>
      </c>
      <c r="B218" s="152" t="s">
        <v>509</v>
      </c>
      <c r="C218" s="95" t="s">
        <v>509</v>
      </c>
      <c r="D218" s="102" t="str">
        <f>VLOOKUP(名前リスト[[#This Row],[管理番号]],まとめ表_バック金額[[#All],[管理番号]:[バック金額合計]],4,FALSE)</f>
        <v/>
      </c>
      <c r="E218" s="105" t="str">
        <f>VLOOKUP(名前リスト[[#This Row],[管理番号]],まとめ表_各店舗件数[[#All],[管理番号]:[合計件数]],4,FALSE)</f>
        <v/>
      </c>
      <c r="F218" s="130" t="str">
        <f>VLOOKUP(名前リスト[[#This Row],[管理番号]],まとめ表_各Aパターン件数[[#All],[管理番号]:[Aパターン]],4,FALSE)</f>
        <v/>
      </c>
      <c r="G218" s="153"/>
      <c r="H21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95">
        <v>218</v>
      </c>
      <c r="B219" s="152" t="s">
        <v>511</v>
      </c>
      <c r="C219" s="95" t="s">
        <v>511</v>
      </c>
      <c r="D219" s="102" t="str">
        <f>VLOOKUP(名前リスト[[#This Row],[管理番号]],まとめ表_バック金額[[#All],[管理番号]:[バック金額合計]],4,FALSE)</f>
        <v/>
      </c>
      <c r="E219" s="105" t="str">
        <f>VLOOKUP(名前リスト[[#This Row],[管理番号]],まとめ表_各店舗件数[[#All],[管理番号]:[合計件数]],4,FALSE)</f>
        <v/>
      </c>
      <c r="F219" s="130" t="str">
        <f>VLOOKUP(名前リスト[[#This Row],[管理番号]],まとめ表_各Aパターン件数[[#All],[管理番号]:[Aパターン]],4,FALSE)</f>
        <v/>
      </c>
      <c r="G219" s="153"/>
      <c r="H21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95">
        <v>219</v>
      </c>
      <c r="B220" s="152"/>
      <c r="C220" s="95" t="s">
        <v>514</v>
      </c>
      <c r="D220" s="102" t="str">
        <f>VLOOKUP(名前リスト[[#This Row],[管理番号]],まとめ表_バック金額[[#All],[管理番号]:[バック金額合計]],4,FALSE)</f>
        <v/>
      </c>
      <c r="E220" s="105" t="str">
        <f>VLOOKUP(名前リスト[[#This Row],[管理番号]],まとめ表_各店舗件数[[#All],[管理番号]:[合計件数]],4,FALSE)</f>
        <v/>
      </c>
      <c r="F220" s="130" t="str">
        <f>VLOOKUP(名前リスト[[#This Row],[管理番号]],まとめ表_各Aパターン件数[[#All],[管理番号]:[Aパターン]],4,FALSE)</f>
        <v/>
      </c>
      <c r="G220" s="153"/>
      <c r="H22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95">
        <v>220</v>
      </c>
      <c r="B221" s="152"/>
      <c r="C221" s="95" t="s">
        <v>515</v>
      </c>
      <c r="D221" s="102" t="str">
        <f>VLOOKUP(名前リスト[[#This Row],[管理番号]],まとめ表_バック金額[[#All],[管理番号]:[バック金額合計]],4,FALSE)</f>
        <v/>
      </c>
      <c r="E221" s="105" t="str">
        <f>VLOOKUP(名前リスト[[#This Row],[管理番号]],まとめ表_各店舗件数[[#All],[管理番号]:[合計件数]],4,FALSE)</f>
        <v/>
      </c>
      <c r="F221" s="130" t="str">
        <f>VLOOKUP(名前リスト[[#This Row],[管理番号]],まとめ表_各Aパターン件数[[#All],[管理番号]:[Aパターン]],4,FALSE)</f>
        <v/>
      </c>
      <c r="G221" s="153"/>
      <c r="H22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95">
        <v>221</v>
      </c>
      <c r="B222" s="152"/>
      <c r="C222" s="95" t="s">
        <v>516</v>
      </c>
      <c r="D222" s="102" t="str">
        <f>VLOOKUP(名前リスト[[#This Row],[管理番号]],まとめ表_バック金額[[#All],[管理番号]:[バック金額合計]],4,FALSE)</f>
        <v/>
      </c>
      <c r="E222" s="105" t="str">
        <f>VLOOKUP(名前リスト[[#This Row],[管理番号]],まとめ表_各店舗件数[[#All],[管理番号]:[合計件数]],4,FALSE)</f>
        <v/>
      </c>
      <c r="F222" s="130" t="str">
        <f>VLOOKUP(名前リスト[[#This Row],[管理番号]],まとめ表_各Aパターン件数[[#All],[管理番号]:[Aパターン]],4,FALSE)</f>
        <v/>
      </c>
      <c r="G222" s="153"/>
      <c r="H22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60">
        <v>222</v>
      </c>
      <c r="B223" s="160"/>
      <c r="C223" s="160" t="s">
        <v>525</v>
      </c>
      <c r="D223" s="102" t="str">
        <f>VLOOKUP(名前リスト[[#This Row],[管理番号]],まとめ表_バック金額[[#All],[管理番号]:[バック金額合計]],4,FALSE)</f>
        <v/>
      </c>
      <c r="E223" s="161" t="str">
        <f>VLOOKUP(名前リスト[[#This Row],[管理番号]],まとめ表_各店舗件数[[#All],[管理番号]:[合計件数]],4,FALSE)</f>
        <v/>
      </c>
      <c r="F223" s="153" t="str">
        <f>VLOOKUP(名前リスト[[#This Row],[管理番号]],まとめ表_各Aパターン件数[[#All],[管理番号]:[Aパターン]],4,FALSE)</f>
        <v/>
      </c>
      <c r="G223" s="153"/>
      <c r="H22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60">
        <v>223</v>
      </c>
      <c r="B224" s="160"/>
      <c r="C224" s="160" t="s">
        <v>526</v>
      </c>
      <c r="D224" s="102" t="str">
        <f>VLOOKUP(名前リスト[[#This Row],[管理番号]],まとめ表_バック金額[[#All],[管理番号]:[バック金額合計]],4,FALSE)</f>
        <v/>
      </c>
      <c r="E224" s="161" t="str">
        <f>VLOOKUP(名前リスト[[#This Row],[管理番号]],まとめ表_各店舗件数[[#All],[管理番号]:[合計件数]],4,FALSE)</f>
        <v/>
      </c>
      <c r="F224" s="153" t="str">
        <f>VLOOKUP(名前リスト[[#This Row],[管理番号]],まとめ表_各Aパターン件数[[#All],[管理番号]:[Aパターン]],4,FALSE)</f>
        <v/>
      </c>
      <c r="G224" s="153"/>
      <c r="H22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60">
        <v>224</v>
      </c>
      <c r="B225" s="160"/>
      <c r="C225" s="160" t="s">
        <v>527</v>
      </c>
      <c r="D225" s="102" t="str">
        <f>VLOOKUP(名前リスト[[#This Row],[管理番号]],まとめ表_バック金額[[#All],[管理番号]:[バック金額合計]],4,FALSE)</f>
        <v/>
      </c>
      <c r="E225" s="161" t="str">
        <f>VLOOKUP(名前リスト[[#This Row],[管理番号]],まとめ表_各店舗件数[[#All],[管理番号]:[合計件数]],4,FALSE)</f>
        <v/>
      </c>
      <c r="F225" s="153" t="str">
        <f>VLOOKUP(名前リスト[[#This Row],[管理番号]],まとめ表_各Aパターン件数[[#All],[管理番号]:[Aパターン]],4,FALSE)</f>
        <v/>
      </c>
      <c r="G225" s="153"/>
      <c r="H22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60">
        <v>225</v>
      </c>
      <c r="B226" s="160"/>
      <c r="C226" s="160" t="s">
        <v>528</v>
      </c>
      <c r="D226" s="102" t="str">
        <f>VLOOKUP(名前リスト[[#This Row],[管理番号]],まとめ表_バック金額[[#All],[管理番号]:[バック金額合計]],4,FALSE)</f>
        <v/>
      </c>
      <c r="E226" s="161" t="str">
        <f>VLOOKUP(名前リスト[[#This Row],[管理番号]],まとめ表_各店舗件数[[#All],[管理番号]:[合計件数]],4,FALSE)</f>
        <v/>
      </c>
      <c r="F226" s="153" t="str">
        <f>VLOOKUP(名前リスト[[#This Row],[管理番号]],まとめ表_各Aパターン件数[[#All],[管理番号]:[Aパターン]],4,FALSE)</f>
        <v/>
      </c>
      <c r="G226" s="153"/>
      <c r="H22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60">
        <v>226</v>
      </c>
      <c r="B227" s="160"/>
      <c r="C227" s="160" t="s">
        <v>529</v>
      </c>
      <c r="D227" s="102" t="str">
        <f>VLOOKUP(名前リスト[[#This Row],[管理番号]],まとめ表_バック金額[[#All],[管理番号]:[バック金額合計]],4,FALSE)</f>
        <v/>
      </c>
      <c r="E227" s="161" t="str">
        <f>VLOOKUP(名前リスト[[#This Row],[管理番号]],まとめ表_各店舗件数[[#All],[管理番号]:[合計件数]],4,FALSE)</f>
        <v/>
      </c>
      <c r="F227" s="153" t="str">
        <f>VLOOKUP(名前リスト[[#This Row],[管理番号]],まとめ表_各Aパターン件数[[#All],[管理番号]:[Aパターン]],4,FALSE)</f>
        <v/>
      </c>
      <c r="G227" s="153"/>
      <c r="H22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60">
        <v>227</v>
      </c>
      <c r="B228" s="160"/>
      <c r="C228" s="160" t="s">
        <v>530</v>
      </c>
      <c r="D228" s="102" t="str">
        <f>VLOOKUP(名前リスト[[#This Row],[管理番号]],まとめ表_バック金額[[#All],[管理番号]:[バック金額合計]],4,FALSE)</f>
        <v/>
      </c>
      <c r="E228" s="161" t="str">
        <f>VLOOKUP(名前リスト[[#This Row],[管理番号]],まとめ表_各店舗件数[[#All],[管理番号]:[合計件数]],4,FALSE)</f>
        <v/>
      </c>
      <c r="F228" s="153" t="str">
        <f>VLOOKUP(名前リスト[[#This Row],[管理番号]],まとめ表_各Aパターン件数[[#All],[管理番号]:[Aパターン]],4,FALSE)</f>
        <v/>
      </c>
      <c r="G228" s="153"/>
      <c r="H22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60">
        <v>228</v>
      </c>
      <c r="B229" s="160"/>
      <c r="C229" s="160" t="s">
        <v>531</v>
      </c>
      <c r="D229" s="102" t="str">
        <f>VLOOKUP(名前リスト[[#This Row],[管理番号]],まとめ表_バック金額[[#All],[管理番号]:[バック金額合計]],4,FALSE)</f>
        <v/>
      </c>
      <c r="E229" s="161" t="str">
        <f>VLOOKUP(名前リスト[[#This Row],[管理番号]],まとめ表_各店舗件数[[#All],[管理番号]:[合計件数]],4,FALSE)</f>
        <v/>
      </c>
      <c r="F229" s="153" t="str">
        <f>VLOOKUP(名前リスト[[#This Row],[管理番号]],まとめ表_各Aパターン件数[[#All],[管理番号]:[Aパターン]],4,FALSE)</f>
        <v/>
      </c>
      <c r="G229" s="153"/>
      <c r="H22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60">
        <v>229</v>
      </c>
      <c r="B230" s="160"/>
      <c r="C230" s="160" t="s">
        <v>532</v>
      </c>
      <c r="D230" s="102" t="str">
        <f>VLOOKUP(名前リスト[[#This Row],[管理番号]],まとめ表_バック金額[[#All],[管理番号]:[バック金額合計]],4,FALSE)</f>
        <v/>
      </c>
      <c r="E230" s="161" t="str">
        <f>VLOOKUP(名前リスト[[#This Row],[管理番号]],まとめ表_各店舗件数[[#All],[管理番号]:[合計件数]],4,FALSE)</f>
        <v/>
      </c>
      <c r="F230" s="153" t="str">
        <f>VLOOKUP(名前リスト[[#This Row],[管理番号]],まとめ表_各Aパターン件数[[#All],[管理番号]:[Aパターン]],4,FALSE)</f>
        <v/>
      </c>
      <c r="G230" s="153"/>
      <c r="H23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60">
        <v>230</v>
      </c>
      <c r="B231" s="160"/>
      <c r="C231" s="160" t="s">
        <v>533</v>
      </c>
      <c r="D231" s="102" t="str">
        <f>VLOOKUP(名前リスト[[#This Row],[管理番号]],まとめ表_バック金額[[#All],[管理番号]:[バック金額合計]],4,FALSE)</f>
        <v/>
      </c>
      <c r="E231" s="161" t="str">
        <f>VLOOKUP(名前リスト[[#This Row],[管理番号]],まとめ表_各店舗件数[[#All],[管理番号]:[合計件数]],4,FALSE)</f>
        <v/>
      </c>
      <c r="F231" s="153" t="str">
        <f>VLOOKUP(名前リスト[[#This Row],[管理番号]],まとめ表_各Aパターン件数[[#All],[管理番号]:[Aパターン]],4,FALSE)</f>
        <v/>
      </c>
      <c r="G231" s="153"/>
      <c r="H23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60">
        <v>231</v>
      </c>
      <c r="B232" s="160"/>
      <c r="C232" s="160" t="s">
        <v>534</v>
      </c>
      <c r="D232" s="102" t="str">
        <f>VLOOKUP(名前リスト[[#This Row],[管理番号]],まとめ表_バック金額[[#All],[管理番号]:[バック金額合計]],4,FALSE)</f>
        <v/>
      </c>
      <c r="E232" s="161" t="str">
        <f>VLOOKUP(名前リスト[[#This Row],[管理番号]],まとめ表_各店舗件数[[#All],[管理番号]:[合計件数]],4,FALSE)</f>
        <v/>
      </c>
      <c r="F232" s="153" t="str">
        <f>VLOOKUP(名前リスト[[#This Row],[管理番号]],まとめ表_各Aパターン件数[[#All],[管理番号]:[Aパターン]],4,FALSE)</f>
        <v/>
      </c>
      <c r="G232" s="153"/>
      <c r="H23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60">
        <v>232</v>
      </c>
      <c r="B233" s="160"/>
      <c r="C233" s="160" t="s">
        <v>535</v>
      </c>
      <c r="D233" s="102" t="str">
        <f>VLOOKUP(名前リスト[[#This Row],[管理番号]],まとめ表_バック金額[[#All],[管理番号]:[バック金額合計]],4,FALSE)</f>
        <v/>
      </c>
      <c r="E233" s="161" t="str">
        <f>VLOOKUP(名前リスト[[#This Row],[管理番号]],まとめ表_各店舗件数[[#All],[管理番号]:[合計件数]],4,FALSE)</f>
        <v/>
      </c>
      <c r="F233" s="153" t="str">
        <f>VLOOKUP(名前リスト[[#This Row],[管理番号]],まとめ表_各Aパターン件数[[#All],[管理番号]:[Aパターン]],4,FALSE)</f>
        <v/>
      </c>
      <c r="G233" s="153"/>
      <c r="H23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60">
        <v>233</v>
      </c>
      <c r="B234" s="160"/>
      <c r="C234" s="160" t="s">
        <v>536</v>
      </c>
      <c r="D234" s="102" t="str">
        <f>VLOOKUP(名前リスト[[#This Row],[管理番号]],まとめ表_バック金額[[#All],[管理番号]:[バック金額合計]],4,FALSE)</f>
        <v/>
      </c>
      <c r="E234" s="161" t="str">
        <f>VLOOKUP(名前リスト[[#This Row],[管理番号]],まとめ表_各店舗件数[[#All],[管理番号]:[合計件数]],4,FALSE)</f>
        <v/>
      </c>
      <c r="F234" s="153" t="str">
        <f>VLOOKUP(名前リスト[[#This Row],[管理番号]],まとめ表_各Aパターン件数[[#All],[管理番号]:[Aパターン]],4,FALSE)</f>
        <v/>
      </c>
      <c r="G234" s="153"/>
      <c r="H23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60">
        <v>234</v>
      </c>
      <c r="B235" s="160"/>
      <c r="C235" s="160" t="s">
        <v>537</v>
      </c>
      <c r="D235" s="102" t="str">
        <f>VLOOKUP(名前リスト[[#This Row],[管理番号]],まとめ表_バック金額[[#All],[管理番号]:[バック金額合計]],4,FALSE)</f>
        <v/>
      </c>
      <c r="E235" s="161" t="str">
        <f>VLOOKUP(名前リスト[[#This Row],[管理番号]],まとめ表_各店舗件数[[#All],[管理番号]:[合計件数]],4,FALSE)</f>
        <v/>
      </c>
      <c r="F235" s="153" t="str">
        <f>VLOOKUP(名前リスト[[#This Row],[管理番号]],まとめ表_各Aパターン件数[[#All],[管理番号]:[Aパターン]],4,FALSE)</f>
        <v/>
      </c>
      <c r="G235" s="153"/>
      <c r="H23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60">
        <v>235</v>
      </c>
      <c r="B236" s="160"/>
      <c r="C236" s="160"/>
      <c r="D236" s="102" t="str">
        <f>VLOOKUP(名前リスト[[#This Row],[管理番号]],まとめ表_バック金額[[#All],[管理番号]:[バック金額合計]],4,FALSE)</f>
        <v/>
      </c>
      <c r="E236" s="161" t="str">
        <f>VLOOKUP(名前リスト[[#This Row],[管理番号]],まとめ表_各店舗件数[[#All],[管理番号]:[合計件数]],4,FALSE)</f>
        <v/>
      </c>
      <c r="F236" s="153" t="str">
        <f>VLOOKUP(名前リスト[[#This Row],[管理番号]],まとめ表_各Aパターン件数[[#All],[管理番号]:[Aパターン]],4,FALSE)</f>
        <v/>
      </c>
      <c r="G236" s="153"/>
      <c r="H23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60">
        <v>236</v>
      </c>
      <c r="B237" s="160"/>
      <c r="C237" s="160" t="s">
        <v>538</v>
      </c>
      <c r="D237" s="102" t="str">
        <f>VLOOKUP(名前リスト[[#This Row],[管理番号]],まとめ表_バック金額[[#All],[管理番号]:[バック金額合計]],4,FALSE)</f>
        <v/>
      </c>
      <c r="E237" s="161" t="str">
        <f>VLOOKUP(名前リスト[[#This Row],[管理番号]],まとめ表_各店舗件数[[#All],[管理番号]:[合計件数]],4,FALSE)</f>
        <v/>
      </c>
      <c r="F237" s="153" t="str">
        <f>VLOOKUP(名前リスト[[#This Row],[管理番号]],まとめ表_各Aパターン件数[[#All],[管理番号]:[Aパターン]],4,FALSE)</f>
        <v/>
      </c>
      <c r="G237" s="153"/>
      <c r="H23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60">
        <v>237</v>
      </c>
      <c r="B238" s="160"/>
      <c r="C238" s="160" t="s">
        <v>539</v>
      </c>
      <c r="D238" s="102" t="str">
        <f>VLOOKUP(名前リスト[[#This Row],[管理番号]],まとめ表_バック金額[[#All],[管理番号]:[バック金額合計]],4,FALSE)</f>
        <v/>
      </c>
      <c r="E238" s="161" t="str">
        <f>VLOOKUP(名前リスト[[#This Row],[管理番号]],まとめ表_各店舗件数[[#All],[管理番号]:[合計件数]],4,FALSE)</f>
        <v/>
      </c>
      <c r="F238" s="153" t="str">
        <f>VLOOKUP(名前リスト[[#This Row],[管理番号]],まとめ表_各Aパターン件数[[#All],[管理番号]:[Aパターン]],4,FALSE)</f>
        <v/>
      </c>
      <c r="G238" s="153"/>
      <c r="H23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60">
        <v>238</v>
      </c>
      <c r="B239" s="160"/>
      <c r="C239" s="160" t="s">
        <v>540</v>
      </c>
      <c r="D239" s="102" t="str">
        <f>VLOOKUP(名前リスト[[#This Row],[管理番号]],まとめ表_バック金額[[#All],[管理番号]:[バック金額合計]],4,FALSE)</f>
        <v/>
      </c>
      <c r="E239" s="161" t="str">
        <f>VLOOKUP(名前リスト[[#This Row],[管理番号]],まとめ表_各店舗件数[[#All],[管理番号]:[合計件数]],4,FALSE)</f>
        <v/>
      </c>
      <c r="F239" s="153" t="str">
        <f>VLOOKUP(名前リスト[[#This Row],[管理番号]],まとめ表_各Aパターン件数[[#All],[管理番号]:[Aパターン]],4,FALSE)</f>
        <v/>
      </c>
      <c r="G239" s="153"/>
      <c r="H23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60">
        <v>239</v>
      </c>
      <c r="B240" s="160"/>
      <c r="C240" s="160" t="s">
        <v>541</v>
      </c>
      <c r="D240" s="102" t="str">
        <f>VLOOKUP(名前リスト[[#This Row],[管理番号]],まとめ表_バック金額[[#All],[管理番号]:[バック金額合計]],4,FALSE)</f>
        <v/>
      </c>
      <c r="E240" s="161" t="str">
        <f>VLOOKUP(名前リスト[[#This Row],[管理番号]],まとめ表_各店舗件数[[#All],[管理番号]:[合計件数]],4,FALSE)</f>
        <v/>
      </c>
      <c r="F240" s="153" t="str">
        <f>VLOOKUP(名前リスト[[#This Row],[管理番号]],まとめ表_各Aパターン件数[[#All],[管理番号]:[Aパターン]],4,FALSE)</f>
        <v/>
      </c>
      <c r="G240" s="153"/>
      <c r="H24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60">
        <v>240</v>
      </c>
      <c r="B241" s="160"/>
      <c r="C241" s="160" t="s">
        <v>542</v>
      </c>
      <c r="D241" s="102" t="str">
        <f>VLOOKUP(名前リスト[[#This Row],[管理番号]],まとめ表_バック金額[[#All],[管理番号]:[バック金額合計]],4,FALSE)</f>
        <v/>
      </c>
      <c r="E241" s="161" t="str">
        <f>VLOOKUP(名前リスト[[#This Row],[管理番号]],まとめ表_各店舗件数[[#All],[管理番号]:[合計件数]],4,FALSE)</f>
        <v/>
      </c>
      <c r="F241" s="153" t="str">
        <f>VLOOKUP(名前リスト[[#This Row],[管理番号]],まとめ表_各Aパターン件数[[#All],[管理番号]:[Aパターン]],4,FALSE)</f>
        <v/>
      </c>
      <c r="G241" s="153"/>
      <c r="H24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60">
        <v>241</v>
      </c>
      <c r="B242" s="160"/>
      <c r="C242" s="160" t="s">
        <v>543</v>
      </c>
      <c r="D242" s="102" t="str">
        <f>VLOOKUP(名前リスト[[#This Row],[管理番号]],まとめ表_バック金額[[#All],[管理番号]:[バック金額合計]],4,FALSE)</f>
        <v/>
      </c>
      <c r="E242" s="161" t="str">
        <f>VLOOKUP(名前リスト[[#This Row],[管理番号]],まとめ表_各店舗件数[[#All],[管理番号]:[合計件数]],4,FALSE)</f>
        <v/>
      </c>
      <c r="F242" s="153" t="str">
        <f>VLOOKUP(名前リスト[[#This Row],[管理番号]],まとめ表_各Aパターン件数[[#All],[管理番号]:[Aパターン]],4,FALSE)</f>
        <v/>
      </c>
      <c r="G242" s="153"/>
      <c r="H24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60">
        <v>242</v>
      </c>
      <c r="B243" s="160"/>
      <c r="C243" s="160" t="s">
        <v>546</v>
      </c>
      <c r="D243" s="102" t="str">
        <f>VLOOKUP(名前リスト[[#This Row],[管理番号]],まとめ表_バック金額[[#All],[管理番号]:[バック金額合計]],4,FALSE)</f>
        <v/>
      </c>
      <c r="E243" s="161" t="str">
        <f>VLOOKUP(名前リスト[[#This Row],[管理番号]],まとめ表_各店舗件数[[#All],[管理番号]:[合計件数]],4,FALSE)</f>
        <v/>
      </c>
      <c r="F243" s="153" t="str">
        <f>VLOOKUP(名前リスト[[#This Row],[管理番号]],まとめ表_各Aパターン件数[[#All],[管理番号]:[Aパターン]],4,FALSE)</f>
        <v/>
      </c>
      <c r="G243" s="153"/>
      <c r="H24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60">
        <v>243</v>
      </c>
      <c r="B244" s="160"/>
      <c r="C244" s="160" t="s">
        <v>547</v>
      </c>
      <c r="D244" s="102" t="str">
        <f>VLOOKUP(名前リスト[[#This Row],[管理番号]],まとめ表_バック金額[[#All],[管理番号]:[バック金額合計]],4,FALSE)</f>
        <v/>
      </c>
      <c r="E244" s="161" t="str">
        <f>VLOOKUP(名前リスト[[#This Row],[管理番号]],まとめ表_各店舗件数[[#All],[管理番号]:[合計件数]],4,FALSE)</f>
        <v/>
      </c>
      <c r="F244" s="153" t="str">
        <f>VLOOKUP(名前リスト[[#This Row],[管理番号]],まとめ表_各Aパターン件数[[#All],[管理番号]:[Aパターン]],4,FALSE)</f>
        <v/>
      </c>
      <c r="G244" s="153"/>
      <c r="H24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60">
        <v>244</v>
      </c>
      <c r="B245" s="160"/>
      <c r="C245" s="160" t="s">
        <v>548</v>
      </c>
      <c r="D245" s="102" t="str">
        <f>VLOOKUP(名前リスト[[#This Row],[管理番号]],まとめ表_バック金額[[#All],[管理番号]:[バック金額合計]],4,FALSE)</f>
        <v/>
      </c>
      <c r="E245" s="161" t="str">
        <f>VLOOKUP(名前リスト[[#This Row],[管理番号]],まとめ表_各店舗件数[[#All],[管理番号]:[合計件数]],4,FALSE)</f>
        <v/>
      </c>
      <c r="F245" s="153" t="str">
        <f>VLOOKUP(名前リスト[[#This Row],[管理番号]],まとめ表_各Aパターン件数[[#All],[管理番号]:[Aパターン]],4,FALSE)</f>
        <v/>
      </c>
      <c r="G245" s="153"/>
      <c r="H24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60">
        <v>255</v>
      </c>
      <c r="B246" s="160"/>
      <c r="C246" s="160" t="s">
        <v>549</v>
      </c>
      <c r="D246" s="102" t="str">
        <f>VLOOKUP(名前リスト[[#This Row],[管理番号]],まとめ表_バック金額[[#All],[管理番号]:[バック金額合計]],4,FALSE)</f>
        <v/>
      </c>
      <c r="E246" s="161" t="str">
        <f>VLOOKUP(名前リスト[[#This Row],[管理番号]],まとめ表_各店舗件数[[#All],[管理番号]:[合計件数]],4,FALSE)</f>
        <v/>
      </c>
      <c r="F246" s="153" t="str">
        <f>VLOOKUP(名前リスト[[#This Row],[管理番号]],まとめ表_各Aパターン件数[[#All],[管理番号]:[Aパターン]],4,FALSE)</f>
        <v/>
      </c>
      <c r="G246" s="153"/>
      <c r="H24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60">
        <v>256</v>
      </c>
      <c r="B247" s="160"/>
      <c r="C247" s="160" t="s">
        <v>550</v>
      </c>
      <c r="D247" s="102" t="str">
        <f>VLOOKUP(名前リスト[[#This Row],[管理番号]],まとめ表_バック金額[[#All],[管理番号]:[バック金額合計]],4,FALSE)</f>
        <v/>
      </c>
      <c r="E247" s="161" t="str">
        <f>VLOOKUP(名前リスト[[#This Row],[管理番号]],まとめ表_各店舗件数[[#All],[管理番号]:[合計件数]],4,FALSE)</f>
        <v/>
      </c>
      <c r="F247" s="153" t="str">
        <f>VLOOKUP(名前リスト[[#This Row],[管理番号]],まとめ表_各Aパターン件数[[#All],[管理番号]:[Aパターン]],4,FALSE)</f>
        <v/>
      </c>
      <c r="G247" s="153"/>
      <c r="H24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60">
        <v>257</v>
      </c>
      <c r="B248" s="160"/>
      <c r="C248" s="160" t="s">
        <v>551</v>
      </c>
      <c r="D248" s="102" t="str">
        <f>VLOOKUP(名前リスト[[#This Row],[管理番号]],まとめ表_バック金額[[#All],[管理番号]:[バック金額合計]],4,FALSE)</f>
        <v/>
      </c>
      <c r="E248" s="161" t="str">
        <f>VLOOKUP(名前リスト[[#This Row],[管理番号]],まとめ表_各店舗件数[[#All],[管理番号]:[合計件数]],4,FALSE)</f>
        <v/>
      </c>
      <c r="F248" s="153" t="str">
        <f>VLOOKUP(名前リスト[[#This Row],[管理番号]],まとめ表_各Aパターン件数[[#All],[管理番号]:[Aパターン]],4,FALSE)</f>
        <v/>
      </c>
      <c r="G248" s="153"/>
      <c r="H24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60">
        <v>258</v>
      </c>
      <c r="B249" s="160"/>
      <c r="C249" s="160" t="s">
        <v>552</v>
      </c>
      <c r="D249" s="102" t="str">
        <f>VLOOKUP(名前リスト[[#This Row],[管理番号]],まとめ表_バック金額[[#All],[管理番号]:[バック金額合計]],4,FALSE)</f>
        <v/>
      </c>
      <c r="E249" s="161" t="str">
        <f>VLOOKUP(名前リスト[[#This Row],[管理番号]],まとめ表_各店舗件数[[#All],[管理番号]:[合計件数]],4,FALSE)</f>
        <v/>
      </c>
      <c r="F249" s="153" t="str">
        <f>VLOOKUP(名前リスト[[#This Row],[管理番号]],まとめ表_各Aパターン件数[[#All],[管理番号]:[Aパターン]],4,FALSE)</f>
        <v/>
      </c>
      <c r="G249" s="153"/>
      <c r="H24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60">
        <v>259</v>
      </c>
      <c r="B250" s="160"/>
      <c r="C250" s="160" t="s">
        <v>553</v>
      </c>
      <c r="D250" s="102" t="str">
        <f>VLOOKUP(名前リスト[[#This Row],[管理番号]],まとめ表_バック金額[[#All],[管理番号]:[バック金額合計]],4,FALSE)</f>
        <v/>
      </c>
      <c r="E250" s="161" t="str">
        <f>VLOOKUP(名前リスト[[#This Row],[管理番号]],まとめ表_各店舗件数[[#All],[管理番号]:[合計件数]],4,FALSE)</f>
        <v/>
      </c>
      <c r="F250" s="153" t="str">
        <f>VLOOKUP(名前リスト[[#This Row],[管理番号]],まとめ表_各Aパターン件数[[#All],[管理番号]:[Aパターン]],4,FALSE)</f>
        <v/>
      </c>
      <c r="G250" s="153"/>
      <c r="H25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60">
        <v>260</v>
      </c>
      <c r="B251" s="160"/>
      <c r="C251" s="160" t="s">
        <v>554</v>
      </c>
      <c r="D251" s="102" t="str">
        <f>VLOOKUP(名前リスト[[#This Row],[管理番号]],まとめ表_バック金額[[#All],[管理番号]:[バック金額合計]],4,FALSE)</f>
        <v/>
      </c>
      <c r="E251" s="161" t="str">
        <f>VLOOKUP(名前リスト[[#This Row],[管理番号]],まとめ表_各店舗件数[[#All],[管理番号]:[合計件数]],4,FALSE)</f>
        <v/>
      </c>
      <c r="F251" s="153" t="str">
        <f>VLOOKUP(名前リスト[[#This Row],[管理番号]],まとめ表_各Aパターン件数[[#All],[管理番号]:[Aパターン]],4,FALSE)</f>
        <v/>
      </c>
      <c r="G251" s="153"/>
      <c r="H25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60">
        <v>261</v>
      </c>
      <c r="B252" s="160"/>
      <c r="C252" s="160" t="s">
        <v>555</v>
      </c>
      <c r="D252" s="102" t="str">
        <f>VLOOKUP(名前リスト[[#This Row],[管理番号]],まとめ表_バック金額[[#All],[管理番号]:[バック金額合計]],4,FALSE)</f>
        <v/>
      </c>
      <c r="E252" s="161" t="str">
        <f>VLOOKUP(名前リスト[[#This Row],[管理番号]],まとめ表_各店舗件数[[#All],[管理番号]:[合計件数]],4,FALSE)</f>
        <v/>
      </c>
      <c r="F252" s="153" t="str">
        <f>VLOOKUP(名前リスト[[#This Row],[管理番号]],まとめ表_各Aパターン件数[[#All],[管理番号]:[Aパターン]],4,FALSE)</f>
        <v/>
      </c>
      <c r="G252" s="153"/>
      <c r="H25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60">
        <v>262</v>
      </c>
      <c r="B253" s="160"/>
      <c r="C253" s="160" t="s">
        <v>556</v>
      </c>
      <c r="D253" s="102" t="str">
        <f>VLOOKUP(名前リスト[[#This Row],[管理番号]],まとめ表_バック金額[[#All],[管理番号]:[バック金額合計]],4,FALSE)</f>
        <v/>
      </c>
      <c r="E253" s="161" t="str">
        <f>VLOOKUP(名前リスト[[#This Row],[管理番号]],まとめ表_各店舗件数[[#All],[管理番号]:[合計件数]],4,FALSE)</f>
        <v/>
      </c>
      <c r="F253" s="153" t="str">
        <f>VLOOKUP(名前リスト[[#This Row],[管理番号]],まとめ表_各Aパターン件数[[#All],[管理番号]:[Aパターン]],4,FALSE)</f>
        <v/>
      </c>
      <c r="G253" s="153"/>
      <c r="H25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60">
        <v>263</v>
      </c>
      <c r="B254" s="160"/>
      <c r="C254" s="160" t="s">
        <v>557</v>
      </c>
      <c r="D254" s="102" t="str">
        <f>VLOOKUP(名前リスト[[#This Row],[管理番号]],まとめ表_バック金額[[#All],[管理番号]:[バック金額合計]],4,FALSE)</f>
        <v/>
      </c>
      <c r="E254" s="161" t="str">
        <f>VLOOKUP(名前リスト[[#This Row],[管理番号]],まとめ表_各店舗件数[[#All],[管理番号]:[合計件数]],4,FALSE)</f>
        <v/>
      </c>
      <c r="F254" s="153" t="str">
        <f>VLOOKUP(名前リスト[[#This Row],[管理番号]],まとめ表_各Aパターン件数[[#All],[管理番号]:[Aパターン]],4,FALSE)</f>
        <v/>
      </c>
      <c r="G254" s="153"/>
      <c r="H25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60">
        <v>264</v>
      </c>
      <c r="B255" s="160"/>
      <c r="C255" s="160" t="s">
        <v>558</v>
      </c>
      <c r="D255" s="102" t="str">
        <f>VLOOKUP(名前リスト[[#This Row],[管理番号]],まとめ表_バック金額[[#All],[管理番号]:[バック金額合計]],4,FALSE)</f>
        <v/>
      </c>
      <c r="E255" s="161" t="str">
        <f>VLOOKUP(名前リスト[[#This Row],[管理番号]],まとめ表_各店舗件数[[#All],[管理番号]:[合計件数]],4,FALSE)</f>
        <v/>
      </c>
      <c r="F255" s="153" t="str">
        <f>VLOOKUP(名前リスト[[#This Row],[管理番号]],まとめ表_各Aパターン件数[[#All],[管理番号]:[Aパターン]],4,FALSE)</f>
        <v/>
      </c>
      <c r="G255" s="153"/>
      <c r="H25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60">
        <v>265</v>
      </c>
      <c r="B256" s="160"/>
      <c r="C256" s="160" t="s">
        <v>559</v>
      </c>
      <c r="D256" s="102" t="str">
        <f>VLOOKUP(名前リスト[[#This Row],[管理番号]],まとめ表_バック金額[[#All],[管理番号]:[バック金額合計]],4,FALSE)</f>
        <v/>
      </c>
      <c r="E256" s="161" t="str">
        <f>VLOOKUP(名前リスト[[#This Row],[管理番号]],まとめ表_各店舗件数[[#All],[管理番号]:[合計件数]],4,FALSE)</f>
        <v/>
      </c>
      <c r="F256" s="153" t="str">
        <f>VLOOKUP(名前リスト[[#This Row],[管理番号]],まとめ表_各Aパターン件数[[#All],[管理番号]:[Aパターン]],4,FALSE)</f>
        <v/>
      </c>
      <c r="G256" s="153"/>
      <c r="H25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53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62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95">
        <v>1000</v>
      </c>
      <c r="B257" s="95"/>
      <c r="C257" s="152" t="s">
        <v>408</v>
      </c>
      <c r="D257" s="102" t="str">
        <f>VLOOKUP(名前リスト[[#This Row],[管理番号]],まとめ表_バック金額[[#All],[管理番号]:[バック金額合計]],4,FALSE)</f>
        <v/>
      </c>
      <c r="E257" s="105" t="str">
        <f>VLOOKUP(名前リスト[[#This Row],[管理番号]],まとめ表_各店舗件数[[#All],[管理番号]:[合計件数]],4,FALSE)</f>
        <v/>
      </c>
      <c r="F257" s="130" t="str">
        <f>VLOOKUP(名前リスト[[#This Row],[管理番号]],まとめ表_各Aパターン件数[[#All],[管理番号]:[Aパターン]],4,FALSE)</f>
        <v/>
      </c>
      <c r="G257" s="130"/>
      <c r="H257" s="13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95">
        <v>1001</v>
      </c>
      <c r="B258" s="95"/>
      <c r="C258" s="95" t="s">
        <v>409</v>
      </c>
      <c r="D258" s="102" t="str">
        <f>VLOOKUP(名前リスト[[#This Row],[管理番号]],まとめ表_バック金額[[#All],[管理番号]:[バック金額合計]],4,FALSE)</f>
        <v/>
      </c>
      <c r="E258" s="105" t="str">
        <f>VLOOKUP(名前リスト[[#This Row],[管理番号]],まとめ表_各店舗件数[[#All],[管理番号]:[合計件数]],4,FALSE)</f>
        <v/>
      </c>
      <c r="F258" s="130" t="str">
        <f>VLOOKUP(名前リスト[[#This Row],[管理番号]],まとめ表_各Aパターン件数[[#All],[管理番号]:[Aパターン]],4,FALSE)</f>
        <v/>
      </c>
      <c r="G258" s="154"/>
      <c r="H258" s="15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95">
        <v>1002</v>
      </c>
      <c r="B259" s="95"/>
      <c r="C259" s="95" t="s">
        <v>410</v>
      </c>
      <c r="D259" s="102" t="str">
        <f>VLOOKUP(名前リスト[[#This Row],[管理番号]],まとめ表_バック金額[[#All],[管理番号]:[バック金額合計]],4,FALSE)</f>
        <v/>
      </c>
      <c r="E259" s="105" t="str">
        <f>VLOOKUP(名前リスト[[#This Row],[管理番号]],まとめ表_各店舗件数[[#All],[管理番号]:[合計件数]],4,FALSE)</f>
        <v/>
      </c>
      <c r="F259" s="130" t="str">
        <f>VLOOKUP(名前リスト[[#This Row],[管理番号]],まとめ表_各Aパターン件数[[#All],[管理番号]:[Aパターン]],4,FALSE)</f>
        <v/>
      </c>
      <c r="G259" s="154"/>
      <c r="H259" s="154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95">
        <v>1003</v>
      </c>
      <c r="B260" s="95"/>
      <c r="C260" s="95" t="s">
        <v>411</v>
      </c>
      <c r="D260" s="102" t="str">
        <f>VLOOKUP(名前リスト[[#This Row],[管理番号]],まとめ表_バック金額[[#All],[管理番号]:[バック金額合計]],4,FALSE)</f>
        <v/>
      </c>
      <c r="E260" s="105" t="str">
        <f>VLOOKUP(名前リスト[[#This Row],[管理番号]],まとめ表_各店舗件数[[#All],[管理番号]:[合計件数]],4,FALSE)</f>
        <v/>
      </c>
      <c r="F260" s="130" t="str">
        <f>VLOOKUP(名前リスト[[#This Row],[管理番号]],まとめ表_各Aパターン件数[[#All],[管理番号]:[Aパターン]],4,FALSE)</f>
        <v/>
      </c>
      <c r="G260" s="153"/>
      <c r="H26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95">
        <v>1004</v>
      </c>
      <c r="B261" s="95"/>
      <c r="C261" s="95" t="s">
        <v>412</v>
      </c>
      <c r="D261" s="102" t="str">
        <f>VLOOKUP(名前リスト[[#This Row],[管理番号]],まとめ表_バック金額[[#All],[管理番号]:[バック金額合計]],4,FALSE)</f>
        <v/>
      </c>
      <c r="E261" s="105" t="str">
        <f>VLOOKUP(名前リスト[[#This Row],[管理番号]],まとめ表_各店舗件数[[#All],[管理番号]:[合計件数]],4,FALSE)</f>
        <v/>
      </c>
      <c r="F261" s="130" t="str">
        <f>VLOOKUP(名前リスト[[#This Row],[管理番号]],まとめ表_各Aパターン件数[[#All],[管理番号]:[Aパターン]],4,FALSE)</f>
        <v/>
      </c>
      <c r="G261" s="153"/>
      <c r="H26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95">
        <v>1005</v>
      </c>
      <c r="B262" s="95"/>
      <c r="C262" s="95" t="s">
        <v>413</v>
      </c>
      <c r="D262" s="102" t="str">
        <f>VLOOKUP(名前リスト[[#This Row],[管理番号]],まとめ表_バック金額[[#All],[管理番号]:[バック金額合計]],4,FALSE)</f>
        <v/>
      </c>
      <c r="E262" s="105" t="str">
        <f>VLOOKUP(名前リスト[[#This Row],[管理番号]],まとめ表_各店舗件数[[#All],[管理番号]:[合計件数]],4,FALSE)</f>
        <v/>
      </c>
      <c r="F262" s="130" t="str">
        <f>VLOOKUP(名前リスト[[#This Row],[管理番号]],まとめ表_各Aパターン件数[[#All],[管理番号]:[Aパターン]],4,FALSE)</f>
        <v/>
      </c>
      <c r="G262" s="153"/>
      <c r="H26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95">
        <v>1006</v>
      </c>
      <c r="B263" s="95"/>
      <c r="C263" s="95" t="s">
        <v>414</v>
      </c>
      <c r="D263" s="102" t="str">
        <f>VLOOKUP(名前リスト[[#This Row],[管理番号]],まとめ表_バック金額[[#All],[管理番号]:[バック金額合計]],4,FALSE)</f>
        <v/>
      </c>
      <c r="E263" s="105" t="str">
        <f>VLOOKUP(名前リスト[[#This Row],[管理番号]],まとめ表_各店舗件数[[#All],[管理番号]:[合計件数]],4,FALSE)</f>
        <v/>
      </c>
      <c r="F263" s="130" t="str">
        <f>VLOOKUP(名前リスト[[#This Row],[管理番号]],まとめ表_各Aパターン件数[[#All],[管理番号]:[Aパターン]],4,FALSE)</f>
        <v/>
      </c>
      <c r="G263" s="153"/>
      <c r="H26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95">
        <v>1007</v>
      </c>
      <c r="B264" s="95"/>
      <c r="C264" s="95" t="s">
        <v>415</v>
      </c>
      <c r="D264" s="102" t="str">
        <f>VLOOKUP(名前リスト[[#This Row],[管理番号]],まとめ表_バック金額[[#All],[管理番号]:[バック金額合計]],4,FALSE)</f>
        <v/>
      </c>
      <c r="E264" s="105" t="str">
        <f>VLOOKUP(名前リスト[[#This Row],[管理番号]],まとめ表_各店舗件数[[#All],[管理番号]:[合計件数]],4,FALSE)</f>
        <v/>
      </c>
      <c r="F264" s="130" t="str">
        <f>VLOOKUP(名前リスト[[#This Row],[管理番号]],まとめ表_各Aパターン件数[[#All],[管理番号]:[Aパターン]],4,FALSE)</f>
        <v/>
      </c>
      <c r="G264" s="153"/>
      <c r="H26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95">
        <v>1008</v>
      </c>
      <c r="B265" s="95"/>
      <c r="C265" s="95" t="s">
        <v>416</v>
      </c>
      <c r="D265" s="102" t="str">
        <f>VLOOKUP(名前リスト[[#This Row],[管理番号]],まとめ表_バック金額[[#All],[管理番号]:[バック金額合計]],4,FALSE)</f>
        <v/>
      </c>
      <c r="E265" s="105" t="str">
        <f>VLOOKUP(名前リスト[[#This Row],[管理番号]],まとめ表_各店舗件数[[#All],[管理番号]:[合計件数]],4,FALSE)</f>
        <v/>
      </c>
      <c r="F265" s="130" t="str">
        <f>VLOOKUP(名前リスト[[#This Row],[管理番号]],まとめ表_各Aパターン件数[[#All],[管理番号]:[Aパターン]],4,FALSE)</f>
        <v/>
      </c>
      <c r="G265" s="153"/>
      <c r="H26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95">
        <v>1009</v>
      </c>
      <c r="B266" s="95"/>
      <c r="C266" s="95" t="s">
        <v>417</v>
      </c>
      <c r="D266" s="102" t="str">
        <f>VLOOKUP(名前リスト[[#This Row],[管理番号]],まとめ表_バック金額[[#All],[管理番号]:[バック金額合計]],4,FALSE)</f>
        <v/>
      </c>
      <c r="E266" s="105" t="str">
        <f>VLOOKUP(名前リスト[[#This Row],[管理番号]],まとめ表_各店舗件数[[#All],[管理番号]:[合計件数]],4,FALSE)</f>
        <v/>
      </c>
      <c r="F266" s="130" t="str">
        <f>VLOOKUP(名前リスト[[#This Row],[管理番号]],まとめ表_各Aパターン件数[[#All],[管理番号]:[Aパターン]],4,FALSE)</f>
        <v/>
      </c>
      <c r="G266" s="153"/>
      <c r="H26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95">
        <v>1010</v>
      </c>
      <c r="B267" s="95"/>
      <c r="C267" s="95" t="s">
        <v>418</v>
      </c>
      <c r="D267" s="102" t="str">
        <f>VLOOKUP(名前リスト[[#This Row],[管理番号]],まとめ表_バック金額[[#All],[管理番号]:[バック金額合計]],4,FALSE)</f>
        <v/>
      </c>
      <c r="E267" s="105" t="str">
        <f>VLOOKUP(名前リスト[[#This Row],[管理番号]],まとめ表_各店舗件数[[#All],[管理番号]:[合計件数]],4,FALSE)</f>
        <v/>
      </c>
      <c r="F267" s="130" t="str">
        <f>VLOOKUP(名前リスト[[#This Row],[管理番号]],まとめ表_各Aパターン件数[[#All],[管理番号]:[Aパターン]],4,FALSE)</f>
        <v/>
      </c>
      <c r="G267" s="153"/>
      <c r="H26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95">
        <v>1011</v>
      </c>
      <c r="B268" s="95"/>
      <c r="C268" s="95" t="s">
        <v>419</v>
      </c>
      <c r="D268" s="102" t="str">
        <f>VLOOKUP(名前リスト[[#This Row],[管理番号]],まとめ表_バック金額[[#All],[管理番号]:[バック金額合計]],4,FALSE)</f>
        <v/>
      </c>
      <c r="E268" s="105" t="str">
        <f>VLOOKUP(名前リスト[[#This Row],[管理番号]],まとめ表_各店舗件数[[#All],[管理番号]:[合計件数]],4,FALSE)</f>
        <v/>
      </c>
      <c r="F268" s="130" t="str">
        <f>VLOOKUP(名前リスト[[#This Row],[管理番号]],まとめ表_各Aパターン件数[[#All],[管理番号]:[Aパターン]],4,FALSE)</f>
        <v/>
      </c>
      <c r="G268" s="153"/>
      <c r="H26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95">
        <v>1012</v>
      </c>
      <c r="B269" s="95"/>
      <c r="C269" s="95" t="s">
        <v>420</v>
      </c>
      <c r="D269" s="102" t="str">
        <f>VLOOKUP(名前リスト[[#This Row],[管理番号]],まとめ表_バック金額[[#All],[管理番号]:[バック金額合計]],4,FALSE)</f>
        <v/>
      </c>
      <c r="E269" s="105" t="str">
        <f>VLOOKUP(名前リスト[[#This Row],[管理番号]],まとめ表_各店舗件数[[#All],[管理番号]:[合計件数]],4,FALSE)</f>
        <v/>
      </c>
      <c r="F269" s="130" t="str">
        <f>VLOOKUP(名前リスト[[#This Row],[管理番号]],まとめ表_各Aパターン件数[[#All],[管理番号]:[Aパターン]],4,FALSE)</f>
        <v/>
      </c>
      <c r="G269" s="153"/>
      <c r="H26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95">
        <v>1013</v>
      </c>
      <c r="B270" s="95"/>
      <c r="C270" s="95" t="s">
        <v>421</v>
      </c>
      <c r="D270" s="102" t="str">
        <f>VLOOKUP(名前リスト[[#This Row],[管理番号]],まとめ表_バック金額[[#All],[管理番号]:[バック金額合計]],4,FALSE)</f>
        <v/>
      </c>
      <c r="E270" s="105" t="str">
        <f>VLOOKUP(名前リスト[[#This Row],[管理番号]],まとめ表_各店舗件数[[#All],[管理番号]:[合計件数]],4,FALSE)</f>
        <v/>
      </c>
      <c r="F270" s="130" t="str">
        <f>VLOOKUP(名前リスト[[#This Row],[管理番号]],まとめ表_各Aパターン件数[[#All],[管理番号]:[Aパターン]],4,FALSE)</f>
        <v/>
      </c>
      <c r="G270" s="153"/>
      <c r="H27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95">
        <v>1014</v>
      </c>
      <c r="B271" s="95"/>
      <c r="C271" s="95" t="s">
        <v>422</v>
      </c>
      <c r="D271" s="102" t="str">
        <f>VLOOKUP(名前リスト[[#This Row],[管理番号]],まとめ表_バック金額[[#All],[管理番号]:[バック金額合計]],4,FALSE)</f>
        <v/>
      </c>
      <c r="E271" s="105" t="str">
        <f>VLOOKUP(名前リスト[[#This Row],[管理番号]],まとめ表_各店舗件数[[#All],[管理番号]:[合計件数]],4,FALSE)</f>
        <v/>
      </c>
      <c r="F271" s="130" t="str">
        <f>VLOOKUP(名前リスト[[#This Row],[管理番号]],まとめ表_各Aパターン件数[[#All],[管理番号]:[Aパターン]],4,FALSE)</f>
        <v/>
      </c>
      <c r="G271" s="153"/>
      <c r="H27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95">
        <v>1015</v>
      </c>
      <c r="B272" s="95"/>
      <c r="C272" s="95" t="s">
        <v>423</v>
      </c>
      <c r="D272" s="102" t="str">
        <f>VLOOKUP(名前リスト[[#This Row],[管理番号]],まとめ表_バック金額[[#All],[管理番号]:[バック金額合計]],4,FALSE)</f>
        <v/>
      </c>
      <c r="E272" s="105" t="str">
        <f>VLOOKUP(名前リスト[[#This Row],[管理番号]],まとめ表_各店舗件数[[#All],[管理番号]:[合計件数]],4,FALSE)</f>
        <v/>
      </c>
      <c r="F272" s="130" t="str">
        <f>VLOOKUP(名前リスト[[#This Row],[管理番号]],まとめ表_各Aパターン件数[[#All],[管理番号]:[Aパターン]],4,FALSE)</f>
        <v/>
      </c>
      <c r="G272" s="153"/>
      <c r="H27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95">
        <v>1016</v>
      </c>
      <c r="B273" s="95"/>
      <c r="C273" s="95" t="s">
        <v>424</v>
      </c>
      <c r="D273" s="102" t="str">
        <f>VLOOKUP(名前リスト[[#This Row],[管理番号]],まとめ表_バック金額[[#All],[管理番号]:[バック金額合計]],4,FALSE)</f>
        <v/>
      </c>
      <c r="E273" s="105" t="str">
        <f>VLOOKUP(名前リスト[[#This Row],[管理番号]],まとめ表_各店舗件数[[#All],[管理番号]:[合計件数]],4,FALSE)</f>
        <v/>
      </c>
      <c r="F273" s="130" t="str">
        <f>VLOOKUP(名前リスト[[#This Row],[管理番号]],まとめ表_各Aパターン件数[[#All],[管理番号]:[Aパターン]],4,FALSE)</f>
        <v/>
      </c>
      <c r="G273" s="153"/>
      <c r="H27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95">
        <v>1017</v>
      </c>
      <c r="B274" s="95"/>
      <c r="C274" s="95" t="s">
        <v>425</v>
      </c>
      <c r="D274" s="102" t="str">
        <f>VLOOKUP(名前リスト[[#This Row],[管理番号]],まとめ表_バック金額[[#All],[管理番号]:[バック金額合計]],4,FALSE)</f>
        <v/>
      </c>
      <c r="E274" s="105" t="str">
        <f>VLOOKUP(名前リスト[[#This Row],[管理番号]],まとめ表_各店舗件数[[#All],[管理番号]:[合計件数]],4,FALSE)</f>
        <v/>
      </c>
      <c r="F274" s="130" t="str">
        <f>VLOOKUP(名前リスト[[#This Row],[管理番号]],まとめ表_各Aパターン件数[[#All],[管理番号]:[Aパターン]],4,FALSE)</f>
        <v/>
      </c>
      <c r="G274" s="153"/>
      <c r="H27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95">
        <v>1018</v>
      </c>
      <c r="B275" s="95"/>
      <c r="C275" s="95" t="s">
        <v>426</v>
      </c>
      <c r="D275" s="102" t="str">
        <f>VLOOKUP(名前リスト[[#This Row],[管理番号]],まとめ表_バック金額[[#All],[管理番号]:[バック金額合計]],4,FALSE)</f>
        <v/>
      </c>
      <c r="E275" s="105" t="str">
        <f>VLOOKUP(名前リスト[[#This Row],[管理番号]],まとめ表_各店舗件数[[#All],[管理番号]:[合計件数]],4,FALSE)</f>
        <v/>
      </c>
      <c r="F275" s="130" t="str">
        <f>VLOOKUP(名前リスト[[#This Row],[管理番号]],まとめ表_各Aパターン件数[[#All],[管理番号]:[Aパターン]],4,FALSE)</f>
        <v/>
      </c>
      <c r="G275" s="153"/>
      <c r="H27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95">
        <v>1019</v>
      </c>
      <c r="B276" s="95"/>
      <c r="C276" s="95" t="s">
        <v>427</v>
      </c>
      <c r="D276" s="102" t="str">
        <f>VLOOKUP(名前リスト[[#This Row],[管理番号]],まとめ表_バック金額[[#All],[管理番号]:[バック金額合計]],4,FALSE)</f>
        <v/>
      </c>
      <c r="E276" s="105" t="str">
        <f>VLOOKUP(名前リスト[[#This Row],[管理番号]],まとめ表_各店舗件数[[#All],[管理番号]:[合計件数]],4,FALSE)</f>
        <v/>
      </c>
      <c r="F276" s="130" t="str">
        <f>VLOOKUP(名前リスト[[#This Row],[管理番号]],まとめ表_各Aパターン件数[[#All],[管理番号]:[Aパターン]],4,FALSE)</f>
        <v/>
      </c>
      <c r="G276" s="153"/>
      <c r="H27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95">
        <v>1020</v>
      </c>
      <c r="B277" s="95"/>
      <c r="C277" s="95" t="s">
        <v>428</v>
      </c>
      <c r="D277" s="102" t="str">
        <f>VLOOKUP(名前リスト[[#This Row],[管理番号]],まとめ表_バック金額[[#All],[管理番号]:[バック金額合計]],4,FALSE)</f>
        <v/>
      </c>
      <c r="E277" s="105" t="str">
        <f>VLOOKUP(名前リスト[[#This Row],[管理番号]],まとめ表_各店舗件数[[#All],[管理番号]:[合計件数]],4,FALSE)</f>
        <v/>
      </c>
      <c r="F277" s="130" t="str">
        <f>VLOOKUP(名前リスト[[#This Row],[管理番号]],まとめ表_各Aパターン件数[[#All],[管理番号]:[Aパターン]],4,FALSE)</f>
        <v/>
      </c>
      <c r="G277" s="153"/>
      <c r="H27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95">
        <v>1021</v>
      </c>
      <c r="B278" s="95"/>
      <c r="C278" s="95" t="s">
        <v>429</v>
      </c>
      <c r="D278" s="102" t="str">
        <f>VLOOKUP(名前リスト[[#This Row],[管理番号]],まとめ表_バック金額[[#All],[管理番号]:[バック金額合計]],4,FALSE)</f>
        <v/>
      </c>
      <c r="E278" s="105" t="str">
        <f>VLOOKUP(名前リスト[[#This Row],[管理番号]],まとめ表_各店舗件数[[#All],[管理番号]:[合計件数]],4,FALSE)</f>
        <v/>
      </c>
      <c r="F278" s="130" t="str">
        <f>VLOOKUP(名前リスト[[#This Row],[管理番号]],まとめ表_各Aパターン件数[[#All],[管理番号]:[Aパターン]],4,FALSE)</f>
        <v/>
      </c>
      <c r="G278" s="153"/>
      <c r="H27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95">
        <v>1022</v>
      </c>
      <c r="B279" s="95"/>
      <c r="C279" s="95" t="s">
        <v>430</v>
      </c>
      <c r="D279" s="102" t="str">
        <f>VLOOKUP(名前リスト[[#This Row],[管理番号]],まとめ表_バック金額[[#All],[管理番号]:[バック金額合計]],4,FALSE)</f>
        <v/>
      </c>
      <c r="E279" s="105" t="str">
        <f>VLOOKUP(名前リスト[[#This Row],[管理番号]],まとめ表_各店舗件数[[#All],[管理番号]:[合計件数]],4,FALSE)</f>
        <v/>
      </c>
      <c r="F279" s="130" t="str">
        <f>VLOOKUP(名前リスト[[#This Row],[管理番号]],まとめ表_各Aパターン件数[[#All],[管理番号]:[Aパターン]],4,FALSE)</f>
        <v/>
      </c>
      <c r="G279" s="153"/>
      <c r="H27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95">
        <v>1023</v>
      </c>
      <c r="B280" s="95"/>
      <c r="C280" s="95" t="s">
        <v>431</v>
      </c>
      <c r="D280" s="102" t="str">
        <f>VLOOKUP(名前リスト[[#This Row],[管理番号]],まとめ表_バック金額[[#All],[管理番号]:[バック金額合計]],4,FALSE)</f>
        <v/>
      </c>
      <c r="E280" s="105" t="str">
        <f>VLOOKUP(名前リスト[[#This Row],[管理番号]],まとめ表_各店舗件数[[#All],[管理番号]:[合計件数]],4,FALSE)</f>
        <v/>
      </c>
      <c r="F280" s="130" t="str">
        <f>VLOOKUP(名前リスト[[#This Row],[管理番号]],まとめ表_各Aパターン件数[[#All],[管理番号]:[Aパターン]],4,FALSE)</f>
        <v/>
      </c>
      <c r="G280" s="153"/>
      <c r="H28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95">
        <v>1024</v>
      </c>
      <c r="B281" s="95"/>
      <c r="C281" s="95" t="s">
        <v>432</v>
      </c>
      <c r="D281" s="102" t="str">
        <f>VLOOKUP(名前リスト[[#This Row],[管理番号]],まとめ表_バック金額[[#All],[管理番号]:[バック金額合計]],4,FALSE)</f>
        <v/>
      </c>
      <c r="E281" s="105" t="str">
        <f>VLOOKUP(名前リスト[[#This Row],[管理番号]],まとめ表_各店舗件数[[#All],[管理番号]:[合計件数]],4,FALSE)</f>
        <v/>
      </c>
      <c r="F281" s="130" t="str">
        <f>VLOOKUP(名前リスト[[#This Row],[管理番号]],まとめ表_各Aパターン件数[[#All],[管理番号]:[Aパターン]],4,FALSE)</f>
        <v/>
      </c>
      <c r="G281" s="153"/>
      <c r="H28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95">
        <v>1025</v>
      </c>
      <c r="B282" s="95"/>
      <c r="C282" s="95" t="s">
        <v>433</v>
      </c>
      <c r="D282" s="102" t="str">
        <f>VLOOKUP(名前リスト[[#This Row],[管理番号]],まとめ表_バック金額[[#All],[管理番号]:[バック金額合計]],4,FALSE)</f>
        <v/>
      </c>
      <c r="E282" s="105" t="str">
        <f>VLOOKUP(名前リスト[[#This Row],[管理番号]],まとめ表_各店舗件数[[#All],[管理番号]:[合計件数]],4,FALSE)</f>
        <v/>
      </c>
      <c r="F282" s="130" t="str">
        <f>VLOOKUP(名前リスト[[#This Row],[管理番号]],まとめ表_各Aパターン件数[[#All],[管理番号]:[Aパターン]],4,FALSE)</f>
        <v/>
      </c>
      <c r="G282" s="153"/>
      <c r="H28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95">
        <v>1026</v>
      </c>
      <c r="B283" s="95"/>
      <c r="C283" s="95" t="s">
        <v>434</v>
      </c>
      <c r="D283" s="102" t="str">
        <f>VLOOKUP(名前リスト[[#This Row],[管理番号]],まとめ表_バック金額[[#All],[管理番号]:[バック金額合計]],4,FALSE)</f>
        <v/>
      </c>
      <c r="E283" s="105" t="str">
        <f>VLOOKUP(名前リスト[[#This Row],[管理番号]],まとめ表_各店舗件数[[#All],[管理番号]:[合計件数]],4,FALSE)</f>
        <v/>
      </c>
      <c r="F283" s="130" t="str">
        <f>VLOOKUP(名前リスト[[#This Row],[管理番号]],まとめ表_各Aパターン件数[[#All],[管理番号]:[Aパターン]],4,FALSE)</f>
        <v/>
      </c>
      <c r="G283" s="153"/>
      <c r="H28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95">
        <v>1027</v>
      </c>
      <c r="B284" s="95"/>
      <c r="C284" s="95" t="s">
        <v>435</v>
      </c>
      <c r="D284" s="102" t="str">
        <f>VLOOKUP(名前リスト[[#This Row],[管理番号]],まとめ表_バック金額[[#All],[管理番号]:[バック金額合計]],4,FALSE)</f>
        <v/>
      </c>
      <c r="E284" s="105" t="str">
        <f>VLOOKUP(名前リスト[[#This Row],[管理番号]],まとめ表_各店舗件数[[#All],[管理番号]:[合計件数]],4,FALSE)</f>
        <v/>
      </c>
      <c r="F284" s="130" t="str">
        <f>VLOOKUP(名前リスト[[#This Row],[管理番号]],まとめ表_各Aパターン件数[[#All],[管理番号]:[Aパターン]],4,FALSE)</f>
        <v/>
      </c>
      <c r="G284" s="153"/>
      <c r="H28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95">
        <v>1028</v>
      </c>
      <c r="B285" s="95"/>
      <c r="C285" s="95" t="s">
        <v>436</v>
      </c>
      <c r="D285" s="102" t="str">
        <f>VLOOKUP(名前リスト[[#This Row],[管理番号]],まとめ表_バック金額[[#All],[管理番号]:[バック金額合計]],4,FALSE)</f>
        <v/>
      </c>
      <c r="E285" s="105" t="str">
        <f>VLOOKUP(名前リスト[[#This Row],[管理番号]],まとめ表_各店舗件数[[#All],[管理番号]:[合計件数]],4,FALSE)</f>
        <v/>
      </c>
      <c r="F285" s="130" t="str">
        <f>VLOOKUP(名前リスト[[#This Row],[管理番号]],まとめ表_各Aパターン件数[[#All],[管理番号]:[Aパターン]],4,FALSE)</f>
        <v/>
      </c>
      <c r="G285" s="153"/>
      <c r="H28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95">
        <v>1029</v>
      </c>
      <c r="B286" s="95"/>
      <c r="C286" s="95" t="s">
        <v>437</v>
      </c>
      <c r="D286" s="102" t="str">
        <f>VLOOKUP(名前リスト[[#This Row],[管理番号]],まとめ表_バック金額[[#All],[管理番号]:[バック金額合計]],4,FALSE)</f>
        <v/>
      </c>
      <c r="E286" s="105" t="str">
        <f>VLOOKUP(名前リスト[[#This Row],[管理番号]],まとめ表_各店舗件数[[#All],[管理番号]:[合計件数]],4,FALSE)</f>
        <v/>
      </c>
      <c r="F286" s="130" t="str">
        <f>VLOOKUP(名前リスト[[#This Row],[管理番号]],まとめ表_各Aパターン件数[[#All],[管理番号]:[Aパターン]],4,FALSE)</f>
        <v/>
      </c>
      <c r="G286" s="153"/>
      <c r="H28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95">
        <v>1030</v>
      </c>
      <c r="B287" s="95"/>
      <c r="C287" s="95" t="s">
        <v>438</v>
      </c>
      <c r="D287" s="102" t="str">
        <f>VLOOKUP(名前リスト[[#This Row],[管理番号]],まとめ表_バック金額[[#All],[管理番号]:[バック金額合計]],4,FALSE)</f>
        <v/>
      </c>
      <c r="E287" s="105" t="str">
        <f>VLOOKUP(名前リスト[[#This Row],[管理番号]],まとめ表_各店舗件数[[#All],[管理番号]:[合計件数]],4,FALSE)</f>
        <v/>
      </c>
      <c r="F287" s="130" t="str">
        <f>VLOOKUP(名前リスト[[#This Row],[管理番号]],まとめ表_各Aパターン件数[[#All],[管理番号]:[Aパターン]],4,FALSE)</f>
        <v/>
      </c>
      <c r="G287" s="153"/>
      <c r="H28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95">
        <v>1031</v>
      </c>
      <c r="B288" s="95"/>
      <c r="C288" s="95" t="s">
        <v>439</v>
      </c>
      <c r="D288" s="102" t="str">
        <f>VLOOKUP(名前リスト[[#This Row],[管理番号]],まとめ表_バック金額[[#All],[管理番号]:[バック金額合計]],4,FALSE)</f>
        <v/>
      </c>
      <c r="E288" s="105" t="str">
        <f>VLOOKUP(名前リスト[[#This Row],[管理番号]],まとめ表_各店舗件数[[#All],[管理番号]:[合計件数]],4,FALSE)</f>
        <v/>
      </c>
      <c r="F288" s="130" t="str">
        <f>VLOOKUP(名前リスト[[#This Row],[管理番号]],まとめ表_各Aパターン件数[[#All],[管理番号]:[Aパターン]],4,FALSE)</f>
        <v/>
      </c>
      <c r="G288" s="153"/>
      <c r="H28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95">
        <v>1032</v>
      </c>
      <c r="B289" s="95"/>
      <c r="C289" s="95" t="s">
        <v>440</v>
      </c>
      <c r="D289" s="102" t="str">
        <f>VLOOKUP(名前リスト[[#This Row],[管理番号]],まとめ表_バック金額[[#All],[管理番号]:[バック金額合計]],4,FALSE)</f>
        <v/>
      </c>
      <c r="E289" s="105" t="str">
        <f>VLOOKUP(名前リスト[[#This Row],[管理番号]],まとめ表_各店舗件数[[#All],[管理番号]:[合計件数]],4,FALSE)</f>
        <v/>
      </c>
      <c r="F289" s="130" t="str">
        <f>VLOOKUP(名前リスト[[#This Row],[管理番号]],まとめ表_各Aパターン件数[[#All],[管理番号]:[Aパターン]],4,FALSE)</f>
        <v/>
      </c>
      <c r="G289" s="153"/>
      <c r="H28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95">
        <v>1033</v>
      </c>
      <c r="B290" s="95"/>
      <c r="C290" s="95" t="s">
        <v>441</v>
      </c>
      <c r="D290" s="102" t="str">
        <f>VLOOKUP(名前リスト[[#This Row],[管理番号]],まとめ表_バック金額[[#All],[管理番号]:[バック金額合計]],4,FALSE)</f>
        <v/>
      </c>
      <c r="E290" s="105" t="str">
        <f>VLOOKUP(名前リスト[[#This Row],[管理番号]],まとめ表_各店舗件数[[#All],[管理番号]:[合計件数]],4,FALSE)</f>
        <v/>
      </c>
      <c r="F290" s="130" t="str">
        <f>VLOOKUP(名前リスト[[#This Row],[管理番号]],まとめ表_各Aパターン件数[[#All],[管理番号]:[Aパターン]],4,FALSE)</f>
        <v/>
      </c>
      <c r="G290" s="153"/>
      <c r="H29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95">
        <v>1034</v>
      </c>
      <c r="B291" s="95"/>
      <c r="C291" s="95" t="s">
        <v>442</v>
      </c>
      <c r="D291" s="102" t="str">
        <f>VLOOKUP(名前リスト[[#This Row],[管理番号]],まとめ表_バック金額[[#All],[管理番号]:[バック金額合計]],4,FALSE)</f>
        <v/>
      </c>
      <c r="E291" s="105" t="str">
        <f>VLOOKUP(名前リスト[[#This Row],[管理番号]],まとめ表_各店舗件数[[#All],[管理番号]:[合計件数]],4,FALSE)</f>
        <v/>
      </c>
      <c r="F291" s="130" t="str">
        <f>VLOOKUP(名前リスト[[#This Row],[管理番号]],まとめ表_各Aパターン件数[[#All],[管理番号]:[Aパターン]],4,FALSE)</f>
        <v/>
      </c>
      <c r="G291" s="153"/>
      <c r="H29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95">
        <v>1035</v>
      </c>
      <c r="B292" s="95"/>
      <c r="C292" s="95" t="s">
        <v>443</v>
      </c>
      <c r="D292" s="102" t="str">
        <f>VLOOKUP(名前リスト[[#This Row],[管理番号]],まとめ表_バック金額[[#All],[管理番号]:[バック金額合計]],4,FALSE)</f>
        <v/>
      </c>
      <c r="E292" s="105" t="str">
        <f>VLOOKUP(名前リスト[[#This Row],[管理番号]],まとめ表_各店舗件数[[#All],[管理番号]:[合計件数]],4,FALSE)</f>
        <v/>
      </c>
      <c r="F292" s="130" t="str">
        <f>VLOOKUP(名前リスト[[#This Row],[管理番号]],まとめ表_各Aパターン件数[[#All],[管理番号]:[Aパターン]],4,FALSE)</f>
        <v/>
      </c>
      <c r="G292" s="153"/>
      <c r="H29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95">
        <v>1036</v>
      </c>
      <c r="B293" s="95"/>
      <c r="C293" s="152" t="s">
        <v>501</v>
      </c>
      <c r="D293" s="102" t="str">
        <f>VLOOKUP(名前リスト[[#This Row],[管理番号]],まとめ表_バック金額[[#All],[管理番号]:[バック金額合計]],4,FALSE)</f>
        <v/>
      </c>
      <c r="E293" s="105" t="str">
        <f>VLOOKUP(名前リスト[[#This Row],[管理番号]],まとめ表_各店舗件数[[#All],[管理番号]:[合計件数]],4,FALSE)</f>
        <v/>
      </c>
      <c r="F293" s="130" t="str">
        <f>VLOOKUP(名前リスト[[#This Row],[管理番号]],まとめ表_各Aパターン件数[[#All],[管理番号]:[Aパターン]],4,FALSE)</f>
        <v/>
      </c>
      <c r="G293" s="153"/>
      <c r="H29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95">
        <v>1037</v>
      </c>
      <c r="B294" s="95"/>
      <c r="C294" s="95" t="s">
        <v>444</v>
      </c>
      <c r="D294" s="102" t="str">
        <f>VLOOKUP(名前リスト[[#This Row],[管理番号]],まとめ表_バック金額[[#All],[管理番号]:[バック金額合計]],4,FALSE)</f>
        <v/>
      </c>
      <c r="E294" s="105" t="str">
        <f>VLOOKUP(名前リスト[[#This Row],[管理番号]],まとめ表_各店舗件数[[#All],[管理番号]:[合計件数]],4,FALSE)</f>
        <v/>
      </c>
      <c r="F294" s="130" t="str">
        <f>VLOOKUP(名前リスト[[#This Row],[管理番号]],まとめ表_各Aパターン件数[[#All],[管理番号]:[Aパターン]],4,FALSE)</f>
        <v/>
      </c>
      <c r="G294" s="153"/>
      <c r="H29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95">
        <v>1038</v>
      </c>
      <c r="B295" s="95"/>
      <c r="C295" s="95" t="s">
        <v>445</v>
      </c>
      <c r="D295" s="102" t="str">
        <f>VLOOKUP(名前リスト[[#This Row],[管理番号]],まとめ表_バック金額[[#All],[管理番号]:[バック金額合計]],4,FALSE)</f>
        <v/>
      </c>
      <c r="E295" s="105" t="str">
        <f>VLOOKUP(名前リスト[[#This Row],[管理番号]],まとめ表_各店舗件数[[#All],[管理番号]:[合計件数]],4,FALSE)</f>
        <v/>
      </c>
      <c r="F295" s="130" t="str">
        <f>VLOOKUP(名前リスト[[#This Row],[管理番号]],まとめ表_各Aパターン件数[[#All],[管理番号]:[Aパターン]],4,FALSE)</f>
        <v/>
      </c>
      <c r="G295" s="153"/>
      <c r="H29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95">
        <v>1039</v>
      </c>
      <c r="B296" s="95"/>
      <c r="C296" s="95" t="s">
        <v>446</v>
      </c>
      <c r="D296" s="102" t="str">
        <f>VLOOKUP(名前リスト[[#This Row],[管理番号]],まとめ表_バック金額[[#All],[管理番号]:[バック金額合計]],4,FALSE)</f>
        <v/>
      </c>
      <c r="E296" s="105" t="str">
        <f>VLOOKUP(名前リスト[[#This Row],[管理番号]],まとめ表_各店舗件数[[#All],[管理番号]:[合計件数]],4,FALSE)</f>
        <v/>
      </c>
      <c r="F296" s="130" t="str">
        <f>VLOOKUP(名前リスト[[#This Row],[管理番号]],まとめ表_各Aパターン件数[[#All],[管理番号]:[Aパターン]],4,FALSE)</f>
        <v/>
      </c>
      <c r="G296" s="153"/>
      <c r="H29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95">
        <v>1040</v>
      </c>
      <c r="B297" s="95"/>
      <c r="C297" s="95" t="s">
        <v>447</v>
      </c>
      <c r="D297" s="102" t="str">
        <f>VLOOKUP(名前リスト[[#This Row],[管理番号]],まとめ表_バック金額[[#All],[管理番号]:[バック金額合計]],4,FALSE)</f>
        <v/>
      </c>
      <c r="E297" s="105" t="str">
        <f>VLOOKUP(名前リスト[[#This Row],[管理番号]],まとめ表_各店舗件数[[#All],[管理番号]:[合計件数]],4,FALSE)</f>
        <v/>
      </c>
      <c r="F297" s="130" t="str">
        <f>VLOOKUP(名前リスト[[#This Row],[管理番号]],まとめ表_各Aパターン件数[[#All],[管理番号]:[Aパターン]],4,FALSE)</f>
        <v/>
      </c>
      <c r="G297" s="153"/>
      <c r="H29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95">
        <v>1041</v>
      </c>
      <c r="B298" s="95"/>
      <c r="C298" s="95" t="s">
        <v>448</v>
      </c>
      <c r="D298" s="102" t="str">
        <f>VLOOKUP(名前リスト[[#This Row],[管理番号]],まとめ表_バック金額[[#All],[管理番号]:[バック金額合計]],4,FALSE)</f>
        <v/>
      </c>
      <c r="E298" s="105" t="str">
        <f>VLOOKUP(名前リスト[[#This Row],[管理番号]],まとめ表_各店舗件数[[#All],[管理番号]:[合計件数]],4,FALSE)</f>
        <v/>
      </c>
      <c r="F298" s="130" t="str">
        <f>VLOOKUP(名前リスト[[#This Row],[管理番号]],まとめ表_各Aパターン件数[[#All],[管理番号]:[Aパターン]],4,FALSE)</f>
        <v/>
      </c>
      <c r="G298" s="153"/>
      <c r="H29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95">
        <v>1042</v>
      </c>
      <c r="B299" s="95"/>
      <c r="C299" s="95" t="s">
        <v>449</v>
      </c>
      <c r="D299" s="102" t="str">
        <f>VLOOKUP(名前リスト[[#This Row],[管理番号]],まとめ表_バック金額[[#All],[管理番号]:[バック金額合計]],4,FALSE)</f>
        <v/>
      </c>
      <c r="E299" s="105" t="str">
        <f>VLOOKUP(名前リスト[[#This Row],[管理番号]],まとめ表_各店舗件数[[#All],[管理番号]:[合計件数]],4,FALSE)</f>
        <v/>
      </c>
      <c r="F299" s="130" t="str">
        <f>VLOOKUP(名前リスト[[#This Row],[管理番号]],まとめ表_各Aパターン件数[[#All],[管理番号]:[Aパターン]],4,FALSE)</f>
        <v/>
      </c>
      <c r="G299" s="153"/>
      <c r="H29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95">
        <v>1043</v>
      </c>
      <c r="B300" s="95"/>
      <c r="C300" s="95" t="s">
        <v>450</v>
      </c>
      <c r="D300" s="102" t="str">
        <f>VLOOKUP(名前リスト[[#This Row],[管理番号]],まとめ表_バック金額[[#All],[管理番号]:[バック金額合計]],4,FALSE)</f>
        <v/>
      </c>
      <c r="E300" s="105" t="str">
        <f>VLOOKUP(名前リスト[[#This Row],[管理番号]],まとめ表_各店舗件数[[#All],[管理番号]:[合計件数]],4,FALSE)</f>
        <v/>
      </c>
      <c r="F300" s="130" t="str">
        <f>VLOOKUP(名前リスト[[#This Row],[管理番号]],まとめ表_各Aパターン件数[[#All],[管理番号]:[Aパターン]],4,FALSE)</f>
        <v/>
      </c>
      <c r="G300" s="153"/>
      <c r="H30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95">
        <v>1044</v>
      </c>
      <c r="B301" s="95"/>
      <c r="C301" s="95" t="s">
        <v>451</v>
      </c>
      <c r="D301" s="102" t="str">
        <f>VLOOKUP(名前リスト[[#This Row],[管理番号]],まとめ表_バック金額[[#All],[管理番号]:[バック金額合計]],4,FALSE)</f>
        <v/>
      </c>
      <c r="E301" s="105" t="str">
        <f>VLOOKUP(名前リスト[[#This Row],[管理番号]],まとめ表_各店舗件数[[#All],[管理番号]:[合計件数]],4,FALSE)</f>
        <v/>
      </c>
      <c r="F301" s="130" t="str">
        <f>VLOOKUP(名前リスト[[#This Row],[管理番号]],まとめ表_各Aパターン件数[[#All],[管理番号]:[Aパターン]],4,FALSE)</f>
        <v/>
      </c>
      <c r="G301" s="153"/>
      <c r="H30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95">
        <v>1045</v>
      </c>
      <c r="B302" s="95"/>
      <c r="C302" s="95" t="s">
        <v>452</v>
      </c>
      <c r="D302" s="102" t="str">
        <f>VLOOKUP(名前リスト[[#This Row],[管理番号]],まとめ表_バック金額[[#All],[管理番号]:[バック金額合計]],4,FALSE)</f>
        <v/>
      </c>
      <c r="E302" s="105" t="str">
        <f>VLOOKUP(名前リスト[[#This Row],[管理番号]],まとめ表_各店舗件数[[#All],[管理番号]:[合計件数]],4,FALSE)</f>
        <v/>
      </c>
      <c r="F302" s="130" t="str">
        <f>VLOOKUP(名前リスト[[#This Row],[管理番号]],まとめ表_各Aパターン件数[[#All],[管理番号]:[Aパターン]],4,FALSE)</f>
        <v/>
      </c>
      <c r="G302" s="153"/>
      <c r="H30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95">
        <v>1046</v>
      </c>
      <c r="B303" s="95"/>
      <c r="C303" s="95" t="s">
        <v>453</v>
      </c>
      <c r="D303" s="102" t="str">
        <f>VLOOKUP(名前リスト[[#This Row],[管理番号]],まとめ表_バック金額[[#All],[管理番号]:[バック金額合計]],4,FALSE)</f>
        <v/>
      </c>
      <c r="E303" s="105" t="str">
        <f>VLOOKUP(名前リスト[[#This Row],[管理番号]],まとめ表_各店舗件数[[#All],[管理番号]:[合計件数]],4,FALSE)</f>
        <v/>
      </c>
      <c r="F303" s="130" t="str">
        <f>VLOOKUP(名前リスト[[#This Row],[管理番号]],まとめ表_各Aパターン件数[[#All],[管理番号]:[Aパターン]],4,FALSE)</f>
        <v/>
      </c>
      <c r="G303" s="153"/>
      <c r="H30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95">
        <v>1047</v>
      </c>
      <c r="B304" s="95"/>
      <c r="C304" s="95" t="s">
        <v>454</v>
      </c>
      <c r="D304" s="102" t="str">
        <f>VLOOKUP(名前リスト[[#This Row],[管理番号]],まとめ表_バック金額[[#All],[管理番号]:[バック金額合計]],4,FALSE)</f>
        <v/>
      </c>
      <c r="E304" s="105" t="str">
        <f>VLOOKUP(名前リスト[[#This Row],[管理番号]],まとめ表_各店舗件数[[#All],[管理番号]:[合計件数]],4,FALSE)</f>
        <v/>
      </c>
      <c r="F304" s="130" t="str">
        <f>VLOOKUP(名前リスト[[#This Row],[管理番号]],まとめ表_各Aパターン件数[[#All],[管理番号]:[Aパターン]],4,FALSE)</f>
        <v/>
      </c>
      <c r="G304" s="153"/>
      <c r="H30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95">
        <v>1048</v>
      </c>
      <c r="B305" s="95"/>
      <c r="C305" s="95" t="s">
        <v>455</v>
      </c>
      <c r="D305" s="102" t="str">
        <f>VLOOKUP(名前リスト[[#This Row],[管理番号]],まとめ表_バック金額[[#All],[管理番号]:[バック金額合計]],4,FALSE)</f>
        <v/>
      </c>
      <c r="E305" s="105" t="str">
        <f>VLOOKUP(名前リスト[[#This Row],[管理番号]],まとめ表_各店舗件数[[#All],[管理番号]:[合計件数]],4,FALSE)</f>
        <v/>
      </c>
      <c r="F305" s="130" t="str">
        <f>VLOOKUP(名前リスト[[#This Row],[管理番号]],まとめ表_各Aパターン件数[[#All],[管理番号]:[Aパターン]],4,FALSE)</f>
        <v/>
      </c>
      <c r="G305" s="153"/>
      <c r="H30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95">
        <v>1049</v>
      </c>
      <c r="B306" s="95"/>
      <c r="C306" s="95" t="s">
        <v>456</v>
      </c>
      <c r="D306" s="102" t="str">
        <f>VLOOKUP(名前リスト[[#This Row],[管理番号]],まとめ表_バック金額[[#All],[管理番号]:[バック金額合計]],4,FALSE)</f>
        <v/>
      </c>
      <c r="E306" s="105" t="str">
        <f>VLOOKUP(名前リスト[[#This Row],[管理番号]],まとめ表_各店舗件数[[#All],[管理番号]:[合計件数]],4,FALSE)</f>
        <v/>
      </c>
      <c r="F306" s="130" t="str">
        <f>VLOOKUP(名前リスト[[#This Row],[管理番号]],まとめ表_各Aパターン件数[[#All],[管理番号]:[Aパターン]],4,FALSE)</f>
        <v/>
      </c>
      <c r="G306" s="153"/>
      <c r="H30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95">
        <v>1050</v>
      </c>
      <c r="B307" s="95"/>
      <c r="C307" s="95" t="s">
        <v>457</v>
      </c>
      <c r="D307" s="102" t="str">
        <f>VLOOKUP(名前リスト[[#This Row],[管理番号]],まとめ表_バック金額[[#All],[管理番号]:[バック金額合計]],4,FALSE)</f>
        <v/>
      </c>
      <c r="E307" s="105" t="str">
        <f>VLOOKUP(名前リスト[[#This Row],[管理番号]],まとめ表_各店舗件数[[#All],[管理番号]:[合計件数]],4,FALSE)</f>
        <v/>
      </c>
      <c r="F307" s="130" t="str">
        <f>VLOOKUP(名前リスト[[#This Row],[管理番号]],まとめ表_各Aパターン件数[[#All],[管理番号]:[Aパターン]],4,FALSE)</f>
        <v/>
      </c>
      <c r="G307" s="153"/>
      <c r="H30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95">
        <v>1051</v>
      </c>
      <c r="B308" s="95"/>
      <c r="C308" s="95" t="s">
        <v>458</v>
      </c>
      <c r="D308" s="102" t="str">
        <f>VLOOKUP(名前リスト[[#This Row],[管理番号]],まとめ表_バック金額[[#All],[管理番号]:[バック金額合計]],4,FALSE)</f>
        <v/>
      </c>
      <c r="E308" s="105" t="str">
        <f>VLOOKUP(名前リスト[[#This Row],[管理番号]],まとめ表_各店舗件数[[#All],[管理番号]:[合計件数]],4,FALSE)</f>
        <v/>
      </c>
      <c r="F308" s="130" t="str">
        <f>VLOOKUP(名前リスト[[#This Row],[管理番号]],まとめ表_各Aパターン件数[[#All],[管理番号]:[Aパターン]],4,FALSE)</f>
        <v/>
      </c>
      <c r="G308" s="153"/>
      <c r="H30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95">
        <v>1052</v>
      </c>
      <c r="B309" s="95"/>
      <c r="C309" s="95" t="s">
        <v>459</v>
      </c>
      <c r="D309" s="102" t="str">
        <f>VLOOKUP(名前リスト[[#This Row],[管理番号]],まとめ表_バック金額[[#All],[管理番号]:[バック金額合計]],4,FALSE)</f>
        <v/>
      </c>
      <c r="E309" s="105" t="str">
        <f>VLOOKUP(名前リスト[[#This Row],[管理番号]],まとめ表_各店舗件数[[#All],[管理番号]:[合計件数]],4,FALSE)</f>
        <v/>
      </c>
      <c r="F309" s="130" t="str">
        <f>VLOOKUP(名前リスト[[#This Row],[管理番号]],まとめ表_各Aパターン件数[[#All],[管理番号]:[Aパターン]],4,FALSE)</f>
        <v/>
      </c>
      <c r="G309" s="153"/>
      <c r="H30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95">
        <v>1053</v>
      </c>
      <c r="B310" s="95"/>
      <c r="C310" s="95" t="s">
        <v>460</v>
      </c>
      <c r="D310" s="102" t="str">
        <f>VLOOKUP(名前リスト[[#This Row],[管理番号]],まとめ表_バック金額[[#All],[管理番号]:[バック金額合計]],4,FALSE)</f>
        <v/>
      </c>
      <c r="E310" s="105" t="str">
        <f>VLOOKUP(名前リスト[[#This Row],[管理番号]],まとめ表_各店舗件数[[#All],[管理番号]:[合計件数]],4,FALSE)</f>
        <v/>
      </c>
      <c r="F310" s="130" t="str">
        <f>VLOOKUP(名前リスト[[#This Row],[管理番号]],まとめ表_各Aパターン件数[[#All],[管理番号]:[Aパターン]],4,FALSE)</f>
        <v/>
      </c>
      <c r="G310" s="153"/>
      <c r="H31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95">
        <v>1054</v>
      </c>
      <c r="B311" s="95"/>
      <c r="C311" s="95" t="s">
        <v>461</v>
      </c>
      <c r="D311" s="102" t="str">
        <f>VLOOKUP(名前リスト[[#This Row],[管理番号]],まとめ表_バック金額[[#All],[管理番号]:[バック金額合計]],4,FALSE)</f>
        <v/>
      </c>
      <c r="E311" s="105" t="str">
        <f>VLOOKUP(名前リスト[[#This Row],[管理番号]],まとめ表_各店舗件数[[#All],[管理番号]:[合計件数]],4,FALSE)</f>
        <v/>
      </c>
      <c r="F311" s="130" t="str">
        <f>VLOOKUP(名前リスト[[#This Row],[管理番号]],まとめ表_各Aパターン件数[[#All],[管理番号]:[Aパターン]],4,FALSE)</f>
        <v/>
      </c>
      <c r="G311" s="153"/>
      <c r="H31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95">
        <v>1055</v>
      </c>
      <c r="B312" s="95"/>
      <c r="C312" s="95" t="s">
        <v>462</v>
      </c>
      <c r="D312" s="102" t="str">
        <f>VLOOKUP(名前リスト[[#This Row],[管理番号]],まとめ表_バック金額[[#All],[管理番号]:[バック金額合計]],4,FALSE)</f>
        <v/>
      </c>
      <c r="E312" s="105" t="str">
        <f>VLOOKUP(名前リスト[[#This Row],[管理番号]],まとめ表_各店舗件数[[#All],[管理番号]:[合計件数]],4,FALSE)</f>
        <v/>
      </c>
      <c r="F312" s="130" t="str">
        <f>VLOOKUP(名前リスト[[#This Row],[管理番号]],まとめ表_各Aパターン件数[[#All],[管理番号]:[Aパターン]],4,FALSE)</f>
        <v/>
      </c>
      <c r="G312" s="153"/>
      <c r="H31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95">
        <v>1056</v>
      </c>
      <c r="B313" s="95"/>
      <c r="C313" s="95" t="s">
        <v>463</v>
      </c>
      <c r="D313" s="102" t="str">
        <f>VLOOKUP(名前リスト[[#This Row],[管理番号]],まとめ表_バック金額[[#All],[管理番号]:[バック金額合計]],4,FALSE)</f>
        <v/>
      </c>
      <c r="E313" s="105" t="str">
        <f>VLOOKUP(名前リスト[[#This Row],[管理番号]],まとめ表_各店舗件数[[#All],[管理番号]:[合計件数]],4,FALSE)</f>
        <v/>
      </c>
      <c r="F313" s="130" t="str">
        <f>VLOOKUP(名前リスト[[#This Row],[管理番号]],まとめ表_各Aパターン件数[[#All],[管理番号]:[Aパターン]],4,FALSE)</f>
        <v/>
      </c>
      <c r="G313" s="153"/>
      <c r="H31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95">
        <v>1057</v>
      </c>
      <c r="B314" s="95"/>
      <c r="C314" s="95" t="s">
        <v>464</v>
      </c>
      <c r="D314" s="102" t="str">
        <f>VLOOKUP(名前リスト[[#This Row],[管理番号]],まとめ表_バック金額[[#All],[管理番号]:[バック金額合計]],4,FALSE)</f>
        <v/>
      </c>
      <c r="E314" s="105" t="str">
        <f>VLOOKUP(名前リスト[[#This Row],[管理番号]],まとめ表_各店舗件数[[#All],[管理番号]:[合計件数]],4,FALSE)</f>
        <v/>
      </c>
      <c r="F314" s="130" t="str">
        <f>VLOOKUP(名前リスト[[#This Row],[管理番号]],まとめ表_各Aパターン件数[[#All],[管理番号]:[Aパターン]],4,FALSE)</f>
        <v/>
      </c>
      <c r="G314" s="153"/>
      <c r="H31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95">
        <v>1058</v>
      </c>
      <c r="B315" s="95"/>
      <c r="C315" s="95" t="s">
        <v>465</v>
      </c>
      <c r="D315" s="102" t="str">
        <f>VLOOKUP(名前リスト[[#This Row],[管理番号]],まとめ表_バック金額[[#All],[管理番号]:[バック金額合計]],4,FALSE)</f>
        <v/>
      </c>
      <c r="E315" s="105" t="str">
        <f>VLOOKUP(名前リスト[[#This Row],[管理番号]],まとめ表_各店舗件数[[#All],[管理番号]:[合計件数]],4,FALSE)</f>
        <v/>
      </c>
      <c r="F315" s="130" t="str">
        <f>VLOOKUP(名前リスト[[#This Row],[管理番号]],まとめ表_各Aパターン件数[[#All],[管理番号]:[Aパターン]],4,FALSE)</f>
        <v/>
      </c>
      <c r="G315" s="153"/>
      <c r="H31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95">
        <v>1059</v>
      </c>
      <c r="B316" s="95"/>
      <c r="C316" s="95" t="s">
        <v>466</v>
      </c>
      <c r="D316" s="102" t="str">
        <f>VLOOKUP(名前リスト[[#This Row],[管理番号]],まとめ表_バック金額[[#All],[管理番号]:[バック金額合計]],4,FALSE)</f>
        <v/>
      </c>
      <c r="E316" s="105" t="str">
        <f>VLOOKUP(名前リスト[[#This Row],[管理番号]],まとめ表_各店舗件数[[#All],[管理番号]:[合計件数]],4,FALSE)</f>
        <v/>
      </c>
      <c r="F316" s="130" t="str">
        <f>VLOOKUP(名前リスト[[#This Row],[管理番号]],まとめ表_各Aパターン件数[[#All],[管理番号]:[Aパターン]],4,FALSE)</f>
        <v/>
      </c>
      <c r="G316" s="153"/>
      <c r="H31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95">
        <v>1060</v>
      </c>
      <c r="B317" s="95"/>
      <c r="C317" s="95" t="s">
        <v>467</v>
      </c>
      <c r="D317" s="102" t="str">
        <f>VLOOKUP(名前リスト[[#This Row],[管理番号]],まとめ表_バック金額[[#All],[管理番号]:[バック金額合計]],4,FALSE)</f>
        <v/>
      </c>
      <c r="E317" s="105" t="str">
        <f>VLOOKUP(名前リスト[[#This Row],[管理番号]],まとめ表_各店舗件数[[#All],[管理番号]:[合計件数]],4,FALSE)</f>
        <v/>
      </c>
      <c r="F317" s="130" t="str">
        <f>VLOOKUP(名前リスト[[#This Row],[管理番号]],まとめ表_各Aパターン件数[[#All],[管理番号]:[Aパターン]],4,FALSE)</f>
        <v/>
      </c>
      <c r="G317" s="153"/>
      <c r="H31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95">
        <v>1061</v>
      </c>
      <c r="B318" s="95"/>
      <c r="C318" s="95" t="s">
        <v>468</v>
      </c>
      <c r="D318" s="102" t="str">
        <f>VLOOKUP(名前リスト[[#This Row],[管理番号]],まとめ表_バック金額[[#All],[管理番号]:[バック金額合計]],4,FALSE)</f>
        <v/>
      </c>
      <c r="E318" s="105" t="str">
        <f>VLOOKUP(名前リスト[[#This Row],[管理番号]],まとめ表_各店舗件数[[#All],[管理番号]:[合計件数]],4,FALSE)</f>
        <v/>
      </c>
      <c r="F318" s="130" t="str">
        <f>VLOOKUP(名前リスト[[#This Row],[管理番号]],まとめ表_各Aパターン件数[[#All],[管理番号]:[Aパターン]],4,FALSE)</f>
        <v/>
      </c>
      <c r="G318" s="153"/>
      <c r="H31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95">
        <v>1062</v>
      </c>
      <c r="B319" s="95"/>
      <c r="C319" s="95" t="s">
        <v>469</v>
      </c>
      <c r="D319" s="102" t="str">
        <f>VLOOKUP(名前リスト[[#This Row],[管理番号]],まとめ表_バック金額[[#All],[管理番号]:[バック金額合計]],4,FALSE)</f>
        <v/>
      </c>
      <c r="E319" s="105" t="str">
        <f>VLOOKUP(名前リスト[[#This Row],[管理番号]],まとめ表_各店舗件数[[#All],[管理番号]:[合計件数]],4,FALSE)</f>
        <v/>
      </c>
      <c r="F319" s="130" t="str">
        <f>VLOOKUP(名前リスト[[#This Row],[管理番号]],まとめ表_各Aパターン件数[[#All],[管理番号]:[Aパターン]],4,FALSE)</f>
        <v/>
      </c>
      <c r="G319" s="153"/>
      <c r="H31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95">
        <v>1063</v>
      </c>
      <c r="B320" s="95"/>
      <c r="C320" s="95" t="s">
        <v>470</v>
      </c>
      <c r="D320" s="102" t="str">
        <f>VLOOKUP(名前リスト[[#This Row],[管理番号]],まとめ表_バック金額[[#All],[管理番号]:[バック金額合計]],4,FALSE)</f>
        <v/>
      </c>
      <c r="E320" s="105" t="str">
        <f>VLOOKUP(名前リスト[[#This Row],[管理番号]],まとめ表_各店舗件数[[#All],[管理番号]:[合計件数]],4,FALSE)</f>
        <v/>
      </c>
      <c r="F320" s="130" t="str">
        <f>VLOOKUP(名前リスト[[#This Row],[管理番号]],まとめ表_各Aパターン件数[[#All],[管理番号]:[Aパターン]],4,FALSE)</f>
        <v/>
      </c>
      <c r="G320" s="153"/>
      <c r="H32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95">
        <v>1064</v>
      </c>
      <c r="B321" s="95"/>
      <c r="C321" s="95" t="s">
        <v>471</v>
      </c>
      <c r="D321" s="102" t="str">
        <f>VLOOKUP(名前リスト[[#This Row],[管理番号]],まとめ表_バック金額[[#All],[管理番号]:[バック金額合計]],4,FALSE)</f>
        <v/>
      </c>
      <c r="E321" s="105" t="str">
        <f>VLOOKUP(名前リスト[[#This Row],[管理番号]],まとめ表_各店舗件数[[#All],[管理番号]:[合計件数]],4,FALSE)</f>
        <v/>
      </c>
      <c r="F321" s="130" t="str">
        <f>VLOOKUP(名前リスト[[#This Row],[管理番号]],まとめ表_各Aパターン件数[[#All],[管理番号]:[Aパターン]],4,FALSE)</f>
        <v/>
      </c>
      <c r="G321" s="153"/>
      <c r="H32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95">
        <v>1065</v>
      </c>
      <c r="B322" s="95"/>
      <c r="C322" s="95" t="s">
        <v>472</v>
      </c>
      <c r="D322" s="102" t="str">
        <f>VLOOKUP(名前リスト[[#This Row],[管理番号]],まとめ表_バック金額[[#All],[管理番号]:[バック金額合計]],4,FALSE)</f>
        <v/>
      </c>
      <c r="E322" s="105" t="str">
        <f>VLOOKUP(名前リスト[[#This Row],[管理番号]],まとめ表_各店舗件数[[#All],[管理番号]:[合計件数]],4,FALSE)</f>
        <v/>
      </c>
      <c r="F322" s="130" t="str">
        <f>VLOOKUP(名前リスト[[#This Row],[管理番号]],まとめ表_各Aパターン件数[[#All],[管理番号]:[Aパターン]],4,FALSE)</f>
        <v/>
      </c>
      <c r="G322" s="153"/>
      <c r="H32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95">
        <v>1066</v>
      </c>
      <c r="B323" s="95"/>
      <c r="C323" s="95" t="s">
        <v>473</v>
      </c>
      <c r="D323" s="102" t="str">
        <f>VLOOKUP(名前リスト[[#This Row],[管理番号]],まとめ表_バック金額[[#All],[管理番号]:[バック金額合計]],4,FALSE)</f>
        <v/>
      </c>
      <c r="E323" s="105" t="str">
        <f>VLOOKUP(名前リスト[[#This Row],[管理番号]],まとめ表_各店舗件数[[#All],[管理番号]:[合計件数]],4,FALSE)</f>
        <v/>
      </c>
      <c r="F323" s="130" t="str">
        <f>VLOOKUP(名前リスト[[#This Row],[管理番号]],まとめ表_各Aパターン件数[[#All],[管理番号]:[Aパターン]],4,FALSE)</f>
        <v/>
      </c>
      <c r="G323" s="153"/>
      <c r="H32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95">
        <v>1067</v>
      </c>
      <c r="B324" s="95"/>
      <c r="C324" s="95" t="s">
        <v>473</v>
      </c>
      <c r="D324" s="102" t="str">
        <f>VLOOKUP(名前リスト[[#This Row],[管理番号]],まとめ表_バック金額[[#All],[管理番号]:[バック金額合計]],4,FALSE)</f>
        <v/>
      </c>
      <c r="E324" s="105" t="str">
        <f>VLOOKUP(名前リスト[[#This Row],[管理番号]],まとめ表_各店舗件数[[#All],[管理番号]:[合計件数]],4,FALSE)</f>
        <v/>
      </c>
      <c r="F324" s="130" t="str">
        <f>VLOOKUP(名前リスト[[#This Row],[管理番号]],まとめ表_各Aパターン件数[[#All],[管理番号]:[Aパターン]],4,FALSE)</f>
        <v/>
      </c>
      <c r="G324" s="153"/>
      <c r="H32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95">
        <v>1068</v>
      </c>
      <c r="B325" s="95"/>
      <c r="C325" s="95" t="s">
        <v>474</v>
      </c>
      <c r="D325" s="102" t="str">
        <f>VLOOKUP(名前リスト[[#This Row],[管理番号]],まとめ表_バック金額[[#All],[管理番号]:[バック金額合計]],4,FALSE)</f>
        <v/>
      </c>
      <c r="E325" s="105" t="str">
        <f>VLOOKUP(名前リスト[[#This Row],[管理番号]],まとめ表_各店舗件数[[#All],[管理番号]:[合計件数]],4,FALSE)</f>
        <v/>
      </c>
      <c r="F325" s="130" t="str">
        <f>VLOOKUP(名前リスト[[#This Row],[管理番号]],まとめ表_各Aパターン件数[[#All],[管理番号]:[Aパターン]],4,FALSE)</f>
        <v/>
      </c>
      <c r="G325" s="153"/>
      <c r="H32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95">
        <v>1069</v>
      </c>
      <c r="B326" s="95"/>
      <c r="C326" s="95" t="s">
        <v>475</v>
      </c>
      <c r="D326" s="102" t="str">
        <f>VLOOKUP(名前リスト[[#This Row],[管理番号]],まとめ表_バック金額[[#All],[管理番号]:[バック金額合計]],4,FALSE)</f>
        <v/>
      </c>
      <c r="E326" s="105" t="str">
        <f>VLOOKUP(名前リスト[[#This Row],[管理番号]],まとめ表_各店舗件数[[#All],[管理番号]:[合計件数]],4,FALSE)</f>
        <v/>
      </c>
      <c r="F326" s="130" t="str">
        <f>VLOOKUP(名前リスト[[#This Row],[管理番号]],まとめ表_各Aパターン件数[[#All],[管理番号]:[Aパターン]],4,FALSE)</f>
        <v/>
      </c>
      <c r="G326" s="153"/>
      <c r="H32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95">
        <v>1070</v>
      </c>
      <c r="B327" s="95"/>
      <c r="C327" s="95" t="s">
        <v>476</v>
      </c>
      <c r="D327" s="102" t="str">
        <f>VLOOKUP(名前リスト[[#This Row],[管理番号]],まとめ表_バック金額[[#All],[管理番号]:[バック金額合計]],4,FALSE)</f>
        <v/>
      </c>
      <c r="E327" s="105" t="str">
        <f>VLOOKUP(名前リスト[[#This Row],[管理番号]],まとめ表_各店舗件数[[#All],[管理番号]:[合計件数]],4,FALSE)</f>
        <v/>
      </c>
      <c r="F327" s="130" t="str">
        <f>VLOOKUP(名前リスト[[#This Row],[管理番号]],まとめ表_各Aパターン件数[[#All],[管理番号]:[Aパターン]],4,FALSE)</f>
        <v/>
      </c>
      <c r="G327" s="153"/>
      <c r="H32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95">
        <v>1071</v>
      </c>
      <c r="B328" s="95"/>
      <c r="C328" s="95" t="s">
        <v>477</v>
      </c>
      <c r="D328" s="102" t="str">
        <f>VLOOKUP(名前リスト[[#This Row],[管理番号]],まとめ表_バック金額[[#All],[管理番号]:[バック金額合計]],4,FALSE)</f>
        <v/>
      </c>
      <c r="E328" s="105" t="str">
        <f>VLOOKUP(名前リスト[[#This Row],[管理番号]],まとめ表_各店舗件数[[#All],[管理番号]:[合計件数]],4,FALSE)</f>
        <v/>
      </c>
      <c r="F328" s="130" t="str">
        <f>VLOOKUP(名前リスト[[#This Row],[管理番号]],まとめ表_各Aパターン件数[[#All],[管理番号]:[Aパターン]],4,FALSE)</f>
        <v/>
      </c>
      <c r="G328" s="153"/>
      <c r="H32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95">
        <v>1072</v>
      </c>
      <c r="B329" s="95"/>
      <c r="C329" s="95" t="s">
        <v>478</v>
      </c>
      <c r="D329" s="102" t="str">
        <f>VLOOKUP(名前リスト[[#This Row],[管理番号]],まとめ表_バック金額[[#All],[管理番号]:[バック金額合計]],4,FALSE)</f>
        <v/>
      </c>
      <c r="E329" s="105" t="str">
        <f>VLOOKUP(名前リスト[[#This Row],[管理番号]],まとめ表_各店舗件数[[#All],[管理番号]:[合計件数]],4,FALSE)</f>
        <v/>
      </c>
      <c r="F329" s="130" t="str">
        <f>VLOOKUP(名前リスト[[#This Row],[管理番号]],まとめ表_各Aパターン件数[[#All],[管理番号]:[Aパターン]],4,FALSE)</f>
        <v/>
      </c>
      <c r="G329" s="153"/>
      <c r="H32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95">
        <v>1073</v>
      </c>
      <c r="B330" s="95"/>
      <c r="C330" s="95" t="s">
        <v>479</v>
      </c>
      <c r="D330" s="102" t="str">
        <f>VLOOKUP(名前リスト[[#This Row],[管理番号]],まとめ表_バック金額[[#All],[管理番号]:[バック金額合計]],4,FALSE)</f>
        <v/>
      </c>
      <c r="E330" s="105" t="str">
        <f>VLOOKUP(名前リスト[[#This Row],[管理番号]],まとめ表_各店舗件数[[#All],[管理番号]:[合計件数]],4,FALSE)</f>
        <v/>
      </c>
      <c r="F330" s="130" t="str">
        <f>VLOOKUP(名前リスト[[#This Row],[管理番号]],まとめ表_各Aパターン件数[[#All],[管理番号]:[Aパターン]],4,FALSE)</f>
        <v/>
      </c>
      <c r="G330" s="153"/>
      <c r="H33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95">
        <v>1074</v>
      </c>
      <c r="B331" s="95"/>
      <c r="C331" s="95" t="s">
        <v>480</v>
      </c>
      <c r="D331" s="102" t="str">
        <f>VLOOKUP(名前リスト[[#This Row],[管理番号]],まとめ表_バック金額[[#All],[管理番号]:[バック金額合計]],4,FALSE)</f>
        <v/>
      </c>
      <c r="E331" s="105" t="str">
        <f>VLOOKUP(名前リスト[[#This Row],[管理番号]],まとめ表_各店舗件数[[#All],[管理番号]:[合計件数]],4,FALSE)</f>
        <v/>
      </c>
      <c r="F331" s="130" t="str">
        <f>VLOOKUP(名前リスト[[#This Row],[管理番号]],まとめ表_各Aパターン件数[[#All],[管理番号]:[Aパターン]],4,FALSE)</f>
        <v/>
      </c>
      <c r="G331" s="153"/>
      <c r="H33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95">
        <v>1075</v>
      </c>
      <c r="B332" s="95"/>
      <c r="C332" s="95" t="s">
        <v>481</v>
      </c>
      <c r="D332" s="102" t="str">
        <f>VLOOKUP(名前リスト[[#This Row],[管理番号]],まとめ表_バック金額[[#All],[管理番号]:[バック金額合計]],4,FALSE)</f>
        <v/>
      </c>
      <c r="E332" s="105" t="str">
        <f>VLOOKUP(名前リスト[[#This Row],[管理番号]],まとめ表_各店舗件数[[#All],[管理番号]:[合計件数]],4,FALSE)</f>
        <v/>
      </c>
      <c r="F332" s="130" t="str">
        <f>VLOOKUP(名前リスト[[#This Row],[管理番号]],まとめ表_各Aパターン件数[[#All],[管理番号]:[Aパターン]],4,FALSE)</f>
        <v/>
      </c>
      <c r="G332" s="153"/>
      <c r="H33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95">
        <v>1076</v>
      </c>
      <c r="B333" s="95"/>
      <c r="C333" s="95" t="s">
        <v>482</v>
      </c>
      <c r="D333" s="102" t="str">
        <f>VLOOKUP(名前リスト[[#This Row],[管理番号]],まとめ表_バック金額[[#All],[管理番号]:[バック金額合計]],4,FALSE)</f>
        <v/>
      </c>
      <c r="E333" s="105" t="str">
        <f>VLOOKUP(名前リスト[[#This Row],[管理番号]],まとめ表_各店舗件数[[#All],[管理番号]:[合計件数]],4,FALSE)</f>
        <v/>
      </c>
      <c r="F333" s="130" t="str">
        <f>VLOOKUP(名前リスト[[#This Row],[管理番号]],まとめ表_各Aパターン件数[[#All],[管理番号]:[Aパターン]],4,FALSE)</f>
        <v/>
      </c>
      <c r="G333" s="153"/>
      <c r="H33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95">
        <v>1077</v>
      </c>
      <c r="B334" s="95"/>
      <c r="C334" s="95" t="s">
        <v>483</v>
      </c>
      <c r="D334" s="102" t="str">
        <f>VLOOKUP(名前リスト[[#This Row],[管理番号]],まとめ表_バック金額[[#All],[管理番号]:[バック金額合計]],4,FALSE)</f>
        <v/>
      </c>
      <c r="E334" s="105" t="str">
        <f>VLOOKUP(名前リスト[[#This Row],[管理番号]],まとめ表_各店舗件数[[#All],[管理番号]:[合計件数]],4,FALSE)</f>
        <v/>
      </c>
      <c r="F334" s="130" t="str">
        <f>VLOOKUP(名前リスト[[#This Row],[管理番号]],まとめ表_各Aパターン件数[[#All],[管理番号]:[Aパターン]],4,FALSE)</f>
        <v/>
      </c>
      <c r="G334" s="153"/>
      <c r="H33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95">
        <v>1078</v>
      </c>
      <c r="B335" s="95"/>
      <c r="C335" s="95" t="s">
        <v>484</v>
      </c>
      <c r="D335" s="102" t="str">
        <f>VLOOKUP(名前リスト[[#This Row],[管理番号]],まとめ表_バック金額[[#All],[管理番号]:[バック金額合計]],4,FALSE)</f>
        <v/>
      </c>
      <c r="E335" s="105" t="str">
        <f>VLOOKUP(名前リスト[[#This Row],[管理番号]],まとめ表_各店舗件数[[#All],[管理番号]:[合計件数]],4,FALSE)</f>
        <v/>
      </c>
      <c r="F335" s="130" t="str">
        <f>VLOOKUP(名前リスト[[#This Row],[管理番号]],まとめ表_各Aパターン件数[[#All],[管理番号]:[Aパターン]],4,FALSE)</f>
        <v/>
      </c>
      <c r="G335" s="153"/>
      <c r="H33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95">
        <v>1079</v>
      </c>
      <c r="B336" s="95"/>
      <c r="C336" s="95" t="s">
        <v>485</v>
      </c>
      <c r="D336" s="102" t="str">
        <f>VLOOKUP(名前リスト[[#This Row],[管理番号]],まとめ表_バック金額[[#All],[管理番号]:[バック金額合計]],4,FALSE)</f>
        <v/>
      </c>
      <c r="E336" s="105" t="str">
        <f>VLOOKUP(名前リスト[[#This Row],[管理番号]],まとめ表_各店舗件数[[#All],[管理番号]:[合計件数]],4,FALSE)</f>
        <v/>
      </c>
      <c r="F336" s="130" t="str">
        <f>VLOOKUP(名前リスト[[#This Row],[管理番号]],まとめ表_各Aパターン件数[[#All],[管理番号]:[Aパターン]],4,FALSE)</f>
        <v/>
      </c>
      <c r="G336" s="153"/>
      <c r="H33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95">
        <v>1080</v>
      </c>
      <c r="B337" s="95"/>
      <c r="C337" s="95" t="s">
        <v>486</v>
      </c>
      <c r="D337" s="102" t="str">
        <f>VLOOKUP(名前リスト[[#This Row],[管理番号]],まとめ表_バック金額[[#All],[管理番号]:[バック金額合計]],4,FALSE)</f>
        <v/>
      </c>
      <c r="E337" s="105" t="str">
        <f>VLOOKUP(名前リスト[[#This Row],[管理番号]],まとめ表_各店舗件数[[#All],[管理番号]:[合計件数]],4,FALSE)</f>
        <v/>
      </c>
      <c r="F337" s="130" t="str">
        <f>VLOOKUP(名前リスト[[#This Row],[管理番号]],まとめ表_各Aパターン件数[[#All],[管理番号]:[Aパターン]],4,FALSE)</f>
        <v/>
      </c>
      <c r="G337" s="153"/>
      <c r="H33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95">
        <v>1081</v>
      </c>
      <c r="B338" s="95"/>
      <c r="C338" s="95" t="s">
        <v>487</v>
      </c>
      <c r="D338" s="102" t="str">
        <f>VLOOKUP(名前リスト[[#This Row],[管理番号]],まとめ表_バック金額[[#All],[管理番号]:[バック金額合計]],4,FALSE)</f>
        <v/>
      </c>
      <c r="E338" s="105" t="str">
        <f>VLOOKUP(名前リスト[[#This Row],[管理番号]],まとめ表_各店舗件数[[#All],[管理番号]:[合計件数]],4,FALSE)</f>
        <v/>
      </c>
      <c r="F338" s="130" t="str">
        <f>VLOOKUP(名前リスト[[#This Row],[管理番号]],まとめ表_各Aパターン件数[[#All],[管理番号]:[Aパターン]],4,FALSE)</f>
        <v/>
      </c>
      <c r="G338" s="153"/>
      <c r="H33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95">
        <v>1082</v>
      </c>
      <c r="B339" s="95"/>
      <c r="C339" s="95" t="s">
        <v>488</v>
      </c>
      <c r="D339" s="102" t="str">
        <f>VLOOKUP(名前リスト[[#This Row],[管理番号]],まとめ表_バック金額[[#All],[管理番号]:[バック金額合計]],4,FALSE)</f>
        <v/>
      </c>
      <c r="E339" s="105" t="str">
        <f>VLOOKUP(名前リスト[[#This Row],[管理番号]],まとめ表_各店舗件数[[#All],[管理番号]:[合計件数]],4,FALSE)</f>
        <v/>
      </c>
      <c r="F339" s="130" t="str">
        <f>VLOOKUP(名前リスト[[#This Row],[管理番号]],まとめ表_各Aパターン件数[[#All],[管理番号]:[Aパターン]],4,FALSE)</f>
        <v/>
      </c>
      <c r="G339" s="153"/>
      <c r="H33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95">
        <v>1083</v>
      </c>
      <c r="B340" s="95"/>
      <c r="C340" s="95" t="s">
        <v>489</v>
      </c>
      <c r="D340" s="102" t="str">
        <f>VLOOKUP(名前リスト[[#This Row],[管理番号]],まとめ表_バック金額[[#All],[管理番号]:[バック金額合計]],4,FALSE)</f>
        <v/>
      </c>
      <c r="E340" s="105" t="str">
        <f>VLOOKUP(名前リスト[[#This Row],[管理番号]],まとめ表_各店舗件数[[#All],[管理番号]:[合計件数]],4,FALSE)</f>
        <v/>
      </c>
      <c r="F340" s="130" t="str">
        <f>VLOOKUP(名前リスト[[#This Row],[管理番号]],まとめ表_各Aパターン件数[[#All],[管理番号]:[Aパターン]],4,FALSE)</f>
        <v/>
      </c>
      <c r="G340" s="153"/>
      <c r="H34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95">
        <v>1084</v>
      </c>
      <c r="B341" s="95"/>
      <c r="C341" s="95" t="s">
        <v>490</v>
      </c>
      <c r="D341" s="102" t="str">
        <f>VLOOKUP(名前リスト[[#This Row],[管理番号]],まとめ表_バック金額[[#All],[管理番号]:[バック金額合計]],4,FALSE)</f>
        <v/>
      </c>
      <c r="E341" s="105" t="str">
        <f>VLOOKUP(名前リスト[[#This Row],[管理番号]],まとめ表_各店舗件数[[#All],[管理番号]:[合計件数]],4,FALSE)</f>
        <v/>
      </c>
      <c r="F341" s="130" t="str">
        <f>VLOOKUP(名前リスト[[#This Row],[管理番号]],まとめ表_各Aパターン件数[[#All],[管理番号]:[Aパターン]],4,FALSE)</f>
        <v/>
      </c>
      <c r="G341" s="153"/>
      <c r="H34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95">
        <v>1085</v>
      </c>
      <c r="B342" s="95"/>
      <c r="C342" s="95" t="s">
        <v>491</v>
      </c>
      <c r="D342" s="102" t="str">
        <f>VLOOKUP(名前リスト[[#This Row],[管理番号]],まとめ表_バック金額[[#All],[管理番号]:[バック金額合計]],4,FALSE)</f>
        <v/>
      </c>
      <c r="E342" s="105" t="str">
        <f>VLOOKUP(名前リスト[[#This Row],[管理番号]],まとめ表_各店舗件数[[#All],[管理番号]:[合計件数]],4,FALSE)</f>
        <v/>
      </c>
      <c r="F342" s="130" t="str">
        <f>VLOOKUP(名前リスト[[#This Row],[管理番号]],まとめ表_各Aパターン件数[[#All],[管理番号]:[Aパターン]],4,FALSE)</f>
        <v/>
      </c>
      <c r="G342" s="153"/>
      <c r="H342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95">
        <v>1086</v>
      </c>
      <c r="B343" s="95"/>
      <c r="C343" s="95" t="s">
        <v>492</v>
      </c>
      <c r="D343" s="102" t="str">
        <f>VLOOKUP(名前リスト[[#This Row],[管理番号]],まとめ表_バック金額[[#All],[管理番号]:[バック金額合計]],4,FALSE)</f>
        <v/>
      </c>
      <c r="E343" s="105" t="str">
        <f>VLOOKUP(名前リスト[[#This Row],[管理番号]],まとめ表_各店舗件数[[#All],[管理番号]:[合計件数]],4,FALSE)</f>
        <v/>
      </c>
      <c r="F343" s="130" t="str">
        <f>VLOOKUP(名前リスト[[#This Row],[管理番号]],まとめ表_各Aパターン件数[[#All],[管理番号]:[Aパターン]],4,FALSE)</f>
        <v/>
      </c>
      <c r="G343" s="153"/>
      <c r="H343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95">
        <v>1087</v>
      </c>
      <c r="B344" s="95"/>
      <c r="C344" s="95" t="s">
        <v>493</v>
      </c>
      <c r="D344" s="102" t="str">
        <f>VLOOKUP(名前リスト[[#This Row],[管理番号]],まとめ表_バック金額[[#All],[管理番号]:[バック金額合計]],4,FALSE)</f>
        <v/>
      </c>
      <c r="E344" s="105" t="str">
        <f>VLOOKUP(名前リスト[[#This Row],[管理番号]],まとめ表_各店舗件数[[#All],[管理番号]:[合計件数]],4,FALSE)</f>
        <v/>
      </c>
      <c r="F344" s="130" t="str">
        <f>VLOOKUP(名前リスト[[#This Row],[管理番号]],まとめ表_各Aパターン件数[[#All],[管理番号]:[Aパターン]],4,FALSE)</f>
        <v/>
      </c>
      <c r="G344" s="153"/>
      <c r="H344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95">
        <v>1088</v>
      </c>
      <c r="B345" s="95"/>
      <c r="C345" s="95" t="s">
        <v>494</v>
      </c>
      <c r="D345" s="102" t="str">
        <f>VLOOKUP(名前リスト[[#This Row],[管理番号]],まとめ表_バック金額[[#All],[管理番号]:[バック金額合計]],4,FALSE)</f>
        <v/>
      </c>
      <c r="E345" s="105" t="str">
        <f>VLOOKUP(名前リスト[[#This Row],[管理番号]],まとめ表_各店舗件数[[#All],[管理番号]:[合計件数]],4,FALSE)</f>
        <v/>
      </c>
      <c r="F345" s="130" t="str">
        <f>VLOOKUP(名前リスト[[#This Row],[管理番号]],まとめ表_各Aパターン件数[[#All],[管理番号]:[Aパターン]],4,FALSE)</f>
        <v/>
      </c>
      <c r="G345" s="153"/>
      <c r="H345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95">
        <v>1089</v>
      </c>
      <c r="B346" s="95"/>
      <c r="C346" s="95" t="s">
        <v>495</v>
      </c>
      <c r="D346" s="102" t="str">
        <f>VLOOKUP(名前リスト[[#This Row],[管理番号]],まとめ表_バック金額[[#All],[管理番号]:[バック金額合計]],4,FALSE)</f>
        <v/>
      </c>
      <c r="E346" s="105" t="str">
        <f>VLOOKUP(名前リスト[[#This Row],[管理番号]],まとめ表_各店舗件数[[#All],[管理番号]:[合計件数]],4,FALSE)</f>
        <v/>
      </c>
      <c r="F346" s="130" t="str">
        <f>VLOOKUP(名前リスト[[#This Row],[管理番号]],まとめ表_各Aパターン件数[[#All],[管理番号]:[Aパターン]],4,FALSE)</f>
        <v/>
      </c>
      <c r="G346" s="153"/>
      <c r="H346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95">
        <v>1090</v>
      </c>
      <c r="B347" s="157"/>
      <c r="C347" s="157" t="s">
        <v>496</v>
      </c>
      <c r="D347" s="102" t="str">
        <f>VLOOKUP(名前リスト[[#This Row],[管理番号]],まとめ表_バック金額[[#All],[管理番号]:[バック金額合計]],4,FALSE)</f>
        <v/>
      </c>
      <c r="E347" s="105" t="str">
        <f>VLOOKUP(名前リスト[[#This Row],[管理番号]],まとめ表_各店舗件数[[#All],[管理番号]:[合計件数]],4,FALSE)</f>
        <v/>
      </c>
      <c r="F347" s="130" t="str">
        <f>VLOOKUP(名前リスト[[#This Row],[管理番号]],まとめ表_各Aパターン件数[[#All],[管理番号]:[Aパターン]],4,FALSE)</f>
        <v/>
      </c>
      <c r="G347" s="153"/>
      <c r="H347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58">
        <v>1091</v>
      </c>
      <c r="B348" s="95"/>
      <c r="C348" s="152"/>
      <c r="D348" s="102" t="str">
        <f>VLOOKUP(名前リスト[[#This Row],[管理番号]],まとめ表_バック金額[[#All],[管理番号]:[バック金額合計]],4,FALSE)</f>
        <v/>
      </c>
      <c r="E348" s="105" t="str">
        <f>VLOOKUP(名前リスト[[#This Row],[管理番号]],まとめ表_各店舗件数[[#All],[管理番号]:[合計件数]],4,FALSE)</f>
        <v/>
      </c>
      <c r="F348" s="130" t="str">
        <f>VLOOKUP(名前リスト[[#This Row],[管理番号]],まとめ表_各Aパターン件数[[#All],[管理番号]:[Aパターン]],4,FALSE)</f>
        <v/>
      </c>
      <c r="G348" s="153"/>
      <c r="H348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58">
        <v>1092</v>
      </c>
      <c r="B349" s="95"/>
      <c r="C349" s="95"/>
      <c r="D349" s="102" t="str">
        <f>VLOOKUP(名前リスト[[#This Row],[管理番号]],まとめ表_バック金額[[#All],[管理番号]:[バック金額合計]],4,FALSE)</f>
        <v/>
      </c>
      <c r="E349" s="105" t="str">
        <f>VLOOKUP(名前リスト[[#This Row],[管理番号]],まとめ表_各店舗件数[[#All],[管理番号]:[合計件数]],4,FALSE)</f>
        <v/>
      </c>
      <c r="F349" s="130" t="str">
        <f>VLOOKUP(名前リスト[[#This Row],[管理番号]],まとめ表_各Aパターン件数[[#All],[管理番号]:[Aパターン]],4,FALSE)</f>
        <v/>
      </c>
      <c r="G349" s="153"/>
      <c r="H349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58">
        <v>1093</v>
      </c>
      <c r="B350" s="95"/>
      <c r="C350" s="95"/>
      <c r="D350" s="102" t="str">
        <f>VLOOKUP(名前リスト[[#This Row],[管理番号]],まとめ表_バック金額[[#All],[管理番号]:[バック金額合計]],4,FALSE)</f>
        <v/>
      </c>
      <c r="E350" s="105" t="str">
        <f>VLOOKUP(名前リスト[[#This Row],[管理番号]],まとめ表_各店舗件数[[#All],[管理番号]:[合計件数]],4,FALSE)</f>
        <v/>
      </c>
      <c r="F350" s="130" t="str">
        <f>VLOOKUP(名前リスト[[#This Row],[管理番号]],まとめ表_各Aパターン件数[[#All],[管理番号]:[Aパターン]],4,FALSE)</f>
        <v/>
      </c>
      <c r="G350" s="153"/>
      <c r="H350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58">
        <v>1094</v>
      </c>
      <c r="B351" s="152" t="s">
        <v>520</v>
      </c>
      <c r="C351" s="95"/>
      <c r="D351" s="102" t="str">
        <f>VLOOKUP(名前リスト[[#This Row],[管理番号]],まとめ表_バック金額[[#All],[管理番号]:[バック金額合計]],4,FALSE)</f>
        <v/>
      </c>
      <c r="E351" s="105" t="str">
        <f>VLOOKUP(名前リスト[[#This Row],[管理番号]],まとめ表_各店舗件数[[#All],[管理番号]:[合計件数]],4,FALSE)</f>
        <v/>
      </c>
      <c r="F351" s="130" t="str">
        <f>VLOOKUP(名前リスト[[#This Row],[管理番号]],まとめ表_各Aパターン件数[[#All],[管理番号]:[Aパターン]],4,FALSE)</f>
        <v/>
      </c>
      <c r="G351" s="153"/>
      <c r="H351" s="153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42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103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67" t="s">
        <v>325</v>
      </c>
      <c r="B1" s="167"/>
      <c r="C1" s="143">
        <v>60000</v>
      </c>
    </row>
    <row r="2" spans="1:3">
      <c r="A2" s="147" t="s">
        <v>234</v>
      </c>
      <c r="B2" s="141" t="s">
        <v>398</v>
      </c>
      <c r="C2" s="148" t="s">
        <v>399</v>
      </c>
    </row>
    <row r="3" spans="1:3">
      <c r="A3" s="146"/>
      <c r="B3" s="155"/>
      <c r="C3" s="144">
        <f>SUM(Bパターン[[#This Row],[B件数]]*Bバック金額)</f>
        <v>0</v>
      </c>
    </row>
    <row r="4" spans="1:3">
      <c r="A4" s="149"/>
      <c r="B4" s="150"/>
      <c r="C4" s="144">
        <f>SUM(Bパターン[[#This Row],[B件数]]*Bバック金額)</f>
        <v>0</v>
      </c>
    </row>
    <row r="5" spans="1:3">
      <c r="A5" s="149"/>
      <c r="B5" s="150"/>
      <c r="C5" s="144">
        <f>SUM(Bパターン[[#This Row],[B件数]]*Bバック金額)</f>
        <v>0</v>
      </c>
    </row>
    <row r="6" spans="1:3">
      <c r="A6" s="149"/>
      <c r="B6" s="150"/>
      <c r="C6" s="144">
        <f>SUM(Bパターン[[#This Row],[B件数]]*Bバック金額)</f>
        <v>0</v>
      </c>
    </row>
    <row r="7" spans="1:3">
      <c r="A7" s="149"/>
      <c r="B7" s="145"/>
      <c r="C7" s="144">
        <f>SUM(Bパターン[[#This Row],[B件数]]*Bバック金額)</f>
        <v>0</v>
      </c>
    </row>
    <row r="8" spans="1:3">
      <c r="A8" s="149"/>
      <c r="B8" s="145"/>
      <c r="C8" s="144">
        <f>SUM(Bパターン[[#This Row],[B件数]]*Bバック金額)</f>
        <v>0</v>
      </c>
    </row>
    <row r="9" spans="1:3">
      <c r="A9" s="149"/>
      <c r="B9" s="145"/>
      <c r="C9" s="144">
        <f>SUM(Bパターン[[#This Row],[B件数]]*Bバック金額)</f>
        <v>0</v>
      </c>
    </row>
    <row r="10" spans="1:3">
      <c r="A10" s="149"/>
      <c r="B10" s="145"/>
      <c r="C10" s="144">
        <f>SUM(Bパターン[[#This Row],[B件数]]*Bバック金額)</f>
        <v>0</v>
      </c>
    </row>
    <row r="11" spans="1:3">
      <c r="A11" s="149"/>
      <c r="B11" s="145"/>
      <c r="C11" s="144">
        <f>SUM(Bパターン[[#This Row],[B件数]]*Bバック金額)</f>
        <v>0</v>
      </c>
    </row>
    <row r="12" spans="1:3">
      <c r="A12" s="149"/>
      <c r="B12" s="145"/>
      <c r="C12" s="144">
        <f>SUM(Bパターン[[#This Row],[B件数]]*Bバック金額)</f>
        <v>0</v>
      </c>
    </row>
    <row r="13" spans="1:3">
      <c r="A13" s="156"/>
      <c r="B13" s="157"/>
      <c r="C13" s="144">
        <f>SUM(Bパターン[[#This Row],[B件数]]*Bバック金額)</f>
        <v>0</v>
      </c>
    </row>
    <row r="14" spans="1:3">
      <c r="A14" s="156"/>
      <c r="B14" s="157"/>
      <c r="C14" s="144">
        <f>SUM(Bパターン[[#This Row],[B件数]]*Bバック金額)</f>
        <v>0</v>
      </c>
    </row>
    <row r="15" spans="1:3">
      <c r="A15" s="156"/>
      <c r="B15" s="157"/>
      <c r="C15" s="144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C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9">
      <c r="A1" s="91" t="s">
        <v>234</v>
      </c>
      <c r="B1" s="11" t="s">
        <v>197</v>
      </c>
      <c r="C1" s="12" t="s">
        <v>198</v>
      </c>
      <c r="D1" s="92" t="s">
        <v>346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326</v>
      </c>
      <c r="K1" s="68" t="s">
        <v>323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318</v>
      </c>
      <c r="U1" s="68" t="s">
        <v>319</v>
      </c>
      <c r="V1" s="68" t="s">
        <v>320</v>
      </c>
      <c r="W1" s="68" t="s">
        <v>321</v>
      </c>
      <c r="X1" s="68" t="s">
        <v>328</v>
      </c>
      <c r="Y1" s="68" t="s">
        <v>322</v>
      </c>
      <c r="Z1" s="68" t="s">
        <v>327</v>
      </c>
      <c r="AA1" s="68" t="s">
        <v>329</v>
      </c>
      <c r="AB1" s="89" t="s">
        <v>330</v>
      </c>
      <c r="AC1" s="138" t="s">
        <v>522</v>
      </c>
    </row>
    <row r="2" spans="1:29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3" t="str">
        <f t="shared" ref="D2:D35" si="0">IF(SUM(E2:XFD2)=0,"",SUM(E2:XFD2))</f>
        <v/>
      </c>
      <c r="E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9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3" t="str">
        <f t="shared" si="0"/>
        <v/>
      </c>
      <c r="E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9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93" t="str">
        <f t="shared" si="0"/>
        <v/>
      </c>
      <c r="E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9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3" t="str">
        <f t="shared" si="0"/>
        <v/>
      </c>
      <c r="E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9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3" t="str">
        <f t="shared" si="0"/>
        <v/>
      </c>
      <c r="E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9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3" t="str">
        <f t="shared" si="0"/>
        <v/>
      </c>
      <c r="E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9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3" t="str">
        <f t="shared" si="0"/>
        <v/>
      </c>
      <c r="E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9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3" t="str">
        <f t="shared" si="0"/>
        <v/>
      </c>
      <c r="E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9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93" t="str">
        <f t="shared" si="0"/>
        <v/>
      </c>
      <c r="E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9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93" t="str">
        <f t="shared" si="0"/>
        <v/>
      </c>
      <c r="E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9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3" t="str">
        <f t="shared" si="0"/>
        <v/>
      </c>
      <c r="E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9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3" t="str">
        <f t="shared" si="0"/>
        <v/>
      </c>
      <c r="E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9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3" t="str">
        <f t="shared" si="0"/>
        <v/>
      </c>
      <c r="E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9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3" t="str">
        <f t="shared" si="0"/>
        <v/>
      </c>
      <c r="E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9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3" t="str">
        <f t="shared" si="0"/>
        <v/>
      </c>
      <c r="E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9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3" t="str">
        <f t="shared" si="0"/>
        <v/>
      </c>
      <c r="E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9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3" t="str">
        <f t="shared" si="0"/>
        <v/>
      </c>
      <c r="E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9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3" t="str">
        <f t="shared" si="0"/>
        <v/>
      </c>
      <c r="E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9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93" t="str">
        <f t="shared" si="0"/>
        <v/>
      </c>
      <c r="E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9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3" t="str">
        <f t="shared" si="0"/>
        <v/>
      </c>
      <c r="E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9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93" t="str">
        <f t="shared" si="0"/>
        <v/>
      </c>
      <c r="E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9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3" t="str">
        <f t="shared" si="0"/>
        <v/>
      </c>
      <c r="E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9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3" t="str">
        <f t="shared" si="0"/>
        <v/>
      </c>
      <c r="E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9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3" t="str">
        <f t="shared" si="0"/>
        <v/>
      </c>
      <c r="E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9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3" t="str">
        <f t="shared" si="0"/>
        <v/>
      </c>
      <c r="E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9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3" t="str">
        <f t="shared" si="0"/>
        <v/>
      </c>
      <c r="E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9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3" t="str">
        <f t="shared" si="0"/>
        <v/>
      </c>
      <c r="E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9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3" t="str">
        <f t="shared" si="0"/>
        <v/>
      </c>
      <c r="E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9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3" t="str">
        <f t="shared" si="0"/>
        <v/>
      </c>
      <c r="E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9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3" t="str">
        <f t="shared" si="0"/>
        <v/>
      </c>
      <c r="E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9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3" t="str">
        <f t="shared" si="0"/>
        <v/>
      </c>
      <c r="E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9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3" t="str">
        <f t="shared" si="0"/>
        <v/>
      </c>
      <c r="E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9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3" t="str">
        <f t="shared" si="0"/>
        <v/>
      </c>
      <c r="E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9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3" t="str">
        <f t="shared" si="0"/>
        <v/>
      </c>
      <c r="E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9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3" t="e">
        <f>SUM(#REF!)</f>
        <v>#REF!</v>
      </c>
      <c r="E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0" t="e">
        <f>SUM(#REF!)</f>
        <v>#REF!</v>
      </c>
      <c r="N36" s="50" t="e">
        <f>SUM(#REF!)</f>
        <v>#REF!</v>
      </c>
      <c r="O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50" t="e">
        <f>SUM(#REF!)</f>
        <v>#REF!</v>
      </c>
      <c r="Q36" s="50" t="e">
        <f>SUM(#REF!)</f>
        <v>#REF!</v>
      </c>
      <c r="R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9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3" t="str">
        <f t="shared" ref="D37:D100" si="1">IF(SUM(E37:XFD37)=0,"",SUM(E37:XFD37))</f>
        <v/>
      </c>
      <c r="E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9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3" t="str">
        <f t="shared" si="1"/>
        <v/>
      </c>
      <c r="E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9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93" t="str">
        <f t="shared" si="1"/>
        <v/>
      </c>
      <c r="E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9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3" t="str">
        <f t="shared" si="1"/>
        <v/>
      </c>
      <c r="E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9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3">
        <f t="shared" si="1"/>
        <v>1</v>
      </c>
      <c r="E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9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3" t="str">
        <f t="shared" si="1"/>
        <v/>
      </c>
      <c r="E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9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3" t="str">
        <f t="shared" si="1"/>
        <v/>
      </c>
      <c r="E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9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3" t="str">
        <f t="shared" si="1"/>
        <v/>
      </c>
      <c r="E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9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3" t="str">
        <f t="shared" si="1"/>
        <v/>
      </c>
      <c r="E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9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3" t="str">
        <f t="shared" si="1"/>
        <v/>
      </c>
      <c r="E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9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3" t="str">
        <f t="shared" si="1"/>
        <v/>
      </c>
      <c r="E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9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93" t="str">
        <f t="shared" si="1"/>
        <v/>
      </c>
      <c r="E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9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3" t="str">
        <f t="shared" si="1"/>
        <v/>
      </c>
      <c r="E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4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4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9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3" t="str">
        <f t="shared" si="1"/>
        <v/>
      </c>
      <c r="E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9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3" t="str">
        <f t="shared" si="1"/>
        <v/>
      </c>
      <c r="E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9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3" t="str">
        <f t="shared" si="1"/>
        <v/>
      </c>
      <c r="E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9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93" t="str">
        <f t="shared" si="1"/>
        <v/>
      </c>
      <c r="E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9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3" t="str">
        <f t="shared" si="1"/>
        <v/>
      </c>
      <c r="E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9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3" t="str">
        <f t="shared" si="1"/>
        <v/>
      </c>
      <c r="E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9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3" t="str">
        <f t="shared" si="1"/>
        <v/>
      </c>
      <c r="E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9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3" t="str">
        <f t="shared" si="1"/>
        <v/>
      </c>
      <c r="E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9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3" t="str">
        <f t="shared" si="1"/>
        <v/>
      </c>
      <c r="E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9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3" t="str">
        <f t="shared" si="1"/>
        <v/>
      </c>
      <c r="E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5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5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9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3" t="str">
        <f t="shared" si="1"/>
        <v/>
      </c>
      <c r="E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9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3" t="str">
        <f t="shared" si="1"/>
        <v/>
      </c>
      <c r="E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9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3" t="str">
        <f t="shared" si="1"/>
        <v/>
      </c>
      <c r="E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9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3" t="str">
        <f t="shared" si="1"/>
        <v/>
      </c>
      <c r="E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9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93" t="str">
        <f t="shared" si="1"/>
        <v/>
      </c>
      <c r="E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9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93" t="str">
        <f t="shared" si="1"/>
        <v/>
      </c>
      <c r="E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9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3" t="str">
        <f t="shared" si="1"/>
        <v/>
      </c>
      <c r="E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9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3" t="str">
        <f t="shared" si="1"/>
        <v/>
      </c>
      <c r="E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9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3" t="str">
        <f t="shared" si="1"/>
        <v/>
      </c>
      <c r="E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9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3" t="str">
        <f t="shared" si="1"/>
        <v/>
      </c>
      <c r="E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6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6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9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3" t="str">
        <f t="shared" si="1"/>
        <v/>
      </c>
      <c r="E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9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3" t="str">
        <f t="shared" si="1"/>
        <v/>
      </c>
      <c r="E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9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3" t="str">
        <f t="shared" si="1"/>
        <v/>
      </c>
      <c r="E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9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3" t="str">
        <f t="shared" si="1"/>
        <v/>
      </c>
      <c r="E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9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3" t="str">
        <f t="shared" si="1"/>
        <v/>
      </c>
      <c r="E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9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3" t="str">
        <f t="shared" si="1"/>
        <v/>
      </c>
      <c r="E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9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3" t="str">
        <f t="shared" si="1"/>
        <v/>
      </c>
      <c r="E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9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3" t="str">
        <f t="shared" si="1"/>
        <v/>
      </c>
      <c r="E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9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3" t="str">
        <f t="shared" si="1"/>
        <v/>
      </c>
      <c r="E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9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3" t="str">
        <f t="shared" si="1"/>
        <v/>
      </c>
      <c r="E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7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7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9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93" t="str">
        <f t="shared" si="1"/>
        <v/>
      </c>
      <c r="E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9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93" t="str">
        <f t="shared" si="1"/>
        <v/>
      </c>
      <c r="E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9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3" t="str">
        <f t="shared" si="1"/>
        <v/>
      </c>
      <c r="E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9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3" t="str">
        <f t="shared" si="1"/>
        <v/>
      </c>
      <c r="E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9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3" t="str">
        <f t="shared" si="1"/>
        <v/>
      </c>
      <c r="E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9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3" t="str">
        <f t="shared" si="1"/>
        <v/>
      </c>
      <c r="E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9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93" t="str">
        <f t="shared" si="1"/>
        <v/>
      </c>
      <c r="E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9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3" t="str">
        <f t="shared" si="1"/>
        <v/>
      </c>
      <c r="E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9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93" t="str">
        <f t="shared" si="1"/>
        <v/>
      </c>
      <c r="E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9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3" t="str">
        <f t="shared" si="1"/>
        <v/>
      </c>
      <c r="E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8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8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9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93" t="str">
        <f t="shared" si="1"/>
        <v/>
      </c>
      <c r="E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9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93" t="str">
        <f t="shared" si="1"/>
        <v/>
      </c>
      <c r="E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9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93" t="str">
        <f t="shared" si="1"/>
        <v/>
      </c>
      <c r="E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9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3" t="str">
        <f t="shared" si="1"/>
        <v/>
      </c>
      <c r="E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9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93" t="str">
        <f t="shared" si="1"/>
        <v/>
      </c>
      <c r="E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9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93" t="str">
        <f t="shared" si="1"/>
        <v/>
      </c>
      <c r="E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9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93" t="str">
        <f t="shared" si="1"/>
        <v/>
      </c>
      <c r="E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9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3" t="str">
        <f t="shared" si="1"/>
        <v/>
      </c>
      <c r="E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9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3" t="str">
        <f t="shared" si="1"/>
        <v/>
      </c>
      <c r="E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9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3" t="str">
        <f t="shared" si="1"/>
        <v/>
      </c>
      <c r="E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9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9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9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93" t="str">
        <f t="shared" si="1"/>
        <v/>
      </c>
      <c r="E1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9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3" t="str">
        <f t="shared" ref="D101:D164" si="2">IF(SUM(E101:XFD101)=0,"",SUM(E101:XFD101))</f>
        <v/>
      </c>
      <c r="E1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9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3" t="str">
        <f t="shared" si="2"/>
        <v/>
      </c>
      <c r="E1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9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3" t="str">
        <f t="shared" si="2"/>
        <v/>
      </c>
      <c r="E1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9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3" t="str">
        <f t="shared" si="2"/>
        <v/>
      </c>
      <c r="E1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9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3" t="str">
        <f t="shared" si="2"/>
        <v/>
      </c>
      <c r="E10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9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3" t="str">
        <f t="shared" si="2"/>
        <v/>
      </c>
      <c r="E10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9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3" t="str">
        <f t="shared" si="2"/>
        <v/>
      </c>
      <c r="E10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9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3" t="str">
        <f t="shared" si="2"/>
        <v/>
      </c>
      <c r="E10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9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3" t="str">
        <f t="shared" si="2"/>
        <v/>
      </c>
      <c r="E10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0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0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9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3" t="str">
        <f t="shared" si="2"/>
        <v/>
      </c>
      <c r="E1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9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3" t="str">
        <f t="shared" si="2"/>
        <v/>
      </c>
      <c r="E1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9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3" t="str">
        <f t="shared" si="2"/>
        <v/>
      </c>
      <c r="E1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9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3" t="str">
        <f t="shared" si="2"/>
        <v/>
      </c>
      <c r="E1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9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3" t="str">
        <f t="shared" si="2"/>
        <v/>
      </c>
      <c r="E1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9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3" t="str">
        <f t="shared" si="2"/>
        <v/>
      </c>
      <c r="E1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9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3" t="str">
        <f t="shared" si="2"/>
        <v/>
      </c>
      <c r="E1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9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3" t="str">
        <f t="shared" si="2"/>
        <v/>
      </c>
      <c r="E1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9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3" t="str">
        <f t="shared" si="2"/>
        <v/>
      </c>
      <c r="E1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9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3" t="str">
        <f t="shared" si="2"/>
        <v/>
      </c>
      <c r="E1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1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1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9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3" t="str">
        <f t="shared" si="2"/>
        <v/>
      </c>
      <c r="E1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9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3" t="str">
        <f t="shared" si="2"/>
        <v/>
      </c>
      <c r="E1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9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3" t="str">
        <f t="shared" si="2"/>
        <v/>
      </c>
      <c r="E1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9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3" t="str">
        <f t="shared" si="2"/>
        <v/>
      </c>
      <c r="E1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9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3" t="str">
        <f t="shared" si="2"/>
        <v/>
      </c>
      <c r="E1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9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3" t="str">
        <f t="shared" si="2"/>
        <v/>
      </c>
      <c r="E1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9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3" t="str">
        <f t="shared" si="2"/>
        <v/>
      </c>
      <c r="E1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9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3" t="str">
        <f t="shared" si="2"/>
        <v/>
      </c>
      <c r="E1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9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3" t="str">
        <f t="shared" si="2"/>
        <v/>
      </c>
      <c r="E1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9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3" t="str">
        <f t="shared" si="2"/>
        <v/>
      </c>
      <c r="E1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2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2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9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3" t="str">
        <f t="shared" si="2"/>
        <v/>
      </c>
      <c r="E1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9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3" t="str">
        <f t="shared" si="2"/>
        <v/>
      </c>
      <c r="E1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9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3" t="str">
        <f t="shared" si="2"/>
        <v/>
      </c>
      <c r="E1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9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3" t="str">
        <f t="shared" si="2"/>
        <v/>
      </c>
      <c r="E1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9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3" t="str">
        <f t="shared" si="2"/>
        <v/>
      </c>
      <c r="E1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9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3" t="str">
        <f t="shared" si="2"/>
        <v/>
      </c>
      <c r="E1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9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3" t="str">
        <f t="shared" si="2"/>
        <v/>
      </c>
      <c r="E1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9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3" t="str">
        <f t="shared" si="2"/>
        <v/>
      </c>
      <c r="E1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9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3" t="str">
        <f t="shared" si="2"/>
        <v/>
      </c>
      <c r="E1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9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3" t="str">
        <f t="shared" si="2"/>
        <v/>
      </c>
      <c r="E1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3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3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9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3" t="str">
        <f t="shared" si="2"/>
        <v/>
      </c>
      <c r="E1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9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3" t="str">
        <f t="shared" si="2"/>
        <v/>
      </c>
      <c r="E1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9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3" t="str">
        <f t="shared" si="2"/>
        <v/>
      </c>
      <c r="E1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9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3" t="str">
        <f t="shared" si="2"/>
        <v/>
      </c>
      <c r="E1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9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3" t="str">
        <f t="shared" si="2"/>
        <v/>
      </c>
      <c r="E1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9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3" t="str">
        <f t="shared" si="2"/>
        <v/>
      </c>
      <c r="E1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9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3" t="str">
        <f t="shared" si="2"/>
        <v/>
      </c>
      <c r="E1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9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3" t="str">
        <f t="shared" si="2"/>
        <v/>
      </c>
      <c r="E1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9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3" t="str">
        <f t="shared" si="2"/>
        <v/>
      </c>
      <c r="E1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9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3" t="str">
        <f t="shared" si="2"/>
        <v/>
      </c>
      <c r="E1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4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4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9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3" t="str">
        <f t="shared" si="2"/>
        <v/>
      </c>
      <c r="E1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9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3" t="str">
        <f t="shared" si="2"/>
        <v/>
      </c>
      <c r="E1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9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3" t="str">
        <f t="shared" si="2"/>
        <v/>
      </c>
      <c r="E1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9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3" t="str">
        <f t="shared" si="2"/>
        <v/>
      </c>
      <c r="E1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9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3" t="str">
        <f t="shared" si="2"/>
        <v/>
      </c>
      <c r="E1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9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3" t="str">
        <f t="shared" si="2"/>
        <v/>
      </c>
      <c r="E1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9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3" t="str">
        <f t="shared" si="2"/>
        <v/>
      </c>
      <c r="E1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9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3" t="str">
        <f t="shared" si="2"/>
        <v/>
      </c>
      <c r="E1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9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3" t="str">
        <f t="shared" si="2"/>
        <v/>
      </c>
      <c r="E1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9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3" t="str">
        <f t="shared" si="2"/>
        <v/>
      </c>
      <c r="E1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5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5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9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3" t="str">
        <f t="shared" si="2"/>
        <v/>
      </c>
      <c r="E1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9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3" t="str">
        <f t="shared" si="2"/>
        <v/>
      </c>
      <c r="E1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9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3" t="str">
        <f t="shared" si="2"/>
        <v/>
      </c>
      <c r="E1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9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3" t="str">
        <f t="shared" si="2"/>
        <v/>
      </c>
      <c r="E1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9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3" t="str">
        <f t="shared" si="2"/>
        <v/>
      </c>
      <c r="E1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9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3" t="str">
        <f t="shared" ref="D165:D228" si="3">IF(SUM(E165:XFD165)=0,"",SUM(E165:XFD165))</f>
        <v/>
      </c>
      <c r="E1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9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3" t="str">
        <f t="shared" si="3"/>
        <v/>
      </c>
      <c r="E1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9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3" t="str">
        <f t="shared" si="3"/>
        <v/>
      </c>
      <c r="E1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9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3" t="str">
        <f t="shared" si="3"/>
        <v/>
      </c>
      <c r="E1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9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3" t="str">
        <f t="shared" si="3"/>
        <v/>
      </c>
      <c r="E1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6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6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9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3" t="str">
        <f t="shared" si="3"/>
        <v/>
      </c>
      <c r="E1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9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3" t="str">
        <f t="shared" si="3"/>
        <v/>
      </c>
      <c r="E1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9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3" t="str">
        <f t="shared" si="3"/>
        <v/>
      </c>
      <c r="E1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9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3" t="str">
        <f t="shared" si="3"/>
        <v/>
      </c>
      <c r="E1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9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3" t="str">
        <f t="shared" si="3"/>
        <v/>
      </c>
      <c r="E1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9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3" t="str">
        <f t="shared" si="3"/>
        <v/>
      </c>
      <c r="E1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9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3" t="str">
        <f t="shared" si="3"/>
        <v/>
      </c>
      <c r="E1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9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3" t="str">
        <f t="shared" si="3"/>
        <v/>
      </c>
      <c r="E1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9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3" t="str">
        <f t="shared" si="3"/>
        <v/>
      </c>
      <c r="E1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9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3" t="str">
        <f t="shared" si="3"/>
        <v/>
      </c>
      <c r="E1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7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7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9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3" t="str">
        <f t="shared" si="3"/>
        <v/>
      </c>
      <c r="E1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9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3" t="str">
        <f t="shared" si="3"/>
        <v/>
      </c>
      <c r="E1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9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3" t="str">
        <f t="shared" si="3"/>
        <v/>
      </c>
      <c r="E1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9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3" t="str">
        <f t="shared" si="3"/>
        <v/>
      </c>
      <c r="E1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9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3" t="str">
        <f t="shared" si="3"/>
        <v/>
      </c>
      <c r="E1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9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3" t="str">
        <f t="shared" si="3"/>
        <v/>
      </c>
      <c r="E1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9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3" t="str">
        <f t="shared" si="3"/>
        <v/>
      </c>
      <c r="E1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9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3" t="str">
        <f t="shared" si="3"/>
        <v/>
      </c>
      <c r="E1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9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3" t="str">
        <f t="shared" si="3"/>
        <v/>
      </c>
      <c r="E1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9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3" t="str">
        <f t="shared" si="3"/>
        <v/>
      </c>
      <c r="E1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8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8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9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3" t="str">
        <f t="shared" si="3"/>
        <v/>
      </c>
      <c r="E1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9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3" t="str">
        <f t="shared" si="3"/>
        <v/>
      </c>
      <c r="E1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9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3" t="str">
        <f t="shared" si="3"/>
        <v/>
      </c>
      <c r="E1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9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3" t="str">
        <f t="shared" si="3"/>
        <v/>
      </c>
      <c r="E1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9">
      <c r="A194" s="20">
        <f>名前リスト[[#This Row],[管理番号]]</f>
        <v>193</v>
      </c>
      <c r="B194" s="28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9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3" t="str">
        <f t="shared" si="3"/>
        <v/>
      </c>
      <c r="E1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9">
      <c r="A195" s="20">
        <f>名前リスト[[#This Row],[管理番号]]</f>
        <v>194</v>
      </c>
      <c r="B195" s="28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9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3" t="str">
        <f t="shared" si="3"/>
        <v/>
      </c>
      <c r="E1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9">
      <c r="A196" s="20">
        <f>名前リスト[[#This Row],[管理番号]]</f>
        <v>195</v>
      </c>
      <c r="B196" s="28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9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3" t="str">
        <f t="shared" si="3"/>
        <v/>
      </c>
      <c r="E1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9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3" t="str">
        <f t="shared" si="3"/>
        <v/>
      </c>
      <c r="E1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9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3" t="str">
        <f t="shared" si="3"/>
        <v/>
      </c>
      <c r="E1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9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3" t="str">
        <f t="shared" si="3"/>
        <v/>
      </c>
      <c r="E1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19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19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9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3" t="str">
        <f t="shared" si="3"/>
        <v/>
      </c>
      <c r="E2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9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3" t="str">
        <f t="shared" si="3"/>
        <v/>
      </c>
      <c r="E2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9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3" t="str">
        <f t="shared" si="3"/>
        <v/>
      </c>
      <c r="E2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9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3" t="str">
        <f t="shared" si="3"/>
        <v/>
      </c>
      <c r="E2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9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3" t="str">
        <f t="shared" si="3"/>
        <v/>
      </c>
      <c r="E2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87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9">
      <c r="A205" s="20">
        <f>名前リスト[[#This Row],[管理番号]]</f>
        <v>204</v>
      </c>
      <c r="B205" s="28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9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31" t="str">
        <f t="shared" si="3"/>
        <v/>
      </c>
      <c r="E20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9">
      <c r="A206" s="20">
        <f>名前リスト[[#This Row],[管理番号]]</f>
        <v>205</v>
      </c>
      <c r="B206" s="28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9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31" t="str">
        <f t="shared" si="3"/>
        <v/>
      </c>
      <c r="E20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9">
      <c r="A207" s="20">
        <f>名前リスト[[#This Row],[管理番号]]</f>
        <v>206</v>
      </c>
      <c r="B207" s="28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9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31" t="str">
        <f t="shared" si="3"/>
        <v/>
      </c>
      <c r="E20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9">
      <c r="A208" s="20">
        <f>名前リスト[[#This Row],[管理番号]]</f>
        <v>207</v>
      </c>
      <c r="B208" s="28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9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131" t="str">
        <f t="shared" si="3"/>
        <v/>
      </c>
      <c r="E20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9">
      <c r="A209" s="20">
        <f>名前リスト[[#This Row],[管理番号]]</f>
        <v>208</v>
      </c>
      <c r="B209" s="28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9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131" t="str">
        <f t="shared" si="3"/>
        <v/>
      </c>
      <c r="E20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0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0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9">
      <c r="A210" s="20">
        <f>名前リスト[[#This Row],[管理番号]]</f>
        <v>209</v>
      </c>
      <c r="B210" s="28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9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131" t="str">
        <f t="shared" si="3"/>
        <v/>
      </c>
      <c r="E21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9">
      <c r="A211" s="20">
        <f>名前リスト[[#This Row],[管理番号]]</f>
        <v>210</v>
      </c>
      <c r="B211" s="28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9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131" t="str">
        <f t="shared" si="3"/>
        <v/>
      </c>
      <c r="E21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9">
      <c r="A212" s="20">
        <f>名前リスト[[#This Row],[管理番号]]</f>
        <v>211</v>
      </c>
      <c r="B212" s="28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9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131" t="str">
        <f t="shared" si="3"/>
        <v/>
      </c>
      <c r="E21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9">
      <c r="A213" s="20">
        <f>名前リスト[[#This Row],[管理番号]]</f>
        <v>212</v>
      </c>
      <c r="B213" s="28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9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131" t="str">
        <f t="shared" si="3"/>
        <v/>
      </c>
      <c r="E21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9">
      <c r="A214" s="20">
        <f>名前リスト[[#This Row],[管理番号]]</f>
        <v>213</v>
      </c>
      <c r="B214" s="28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9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131" t="str">
        <f t="shared" si="3"/>
        <v/>
      </c>
      <c r="E21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9">
      <c r="A215" s="20">
        <f>名前リスト[[#This Row],[管理番号]]</f>
        <v>214</v>
      </c>
      <c r="B215" s="28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9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131" t="str">
        <f t="shared" si="3"/>
        <v/>
      </c>
      <c r="E21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9">
      <c r="A216" s="20">
        <f>名前リスト[[#This Row],[管理番号]]</f>
        <v>215</v>
      </c>
      <c r="B216" s="28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9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131" t="str">
        <f t="shared" si="3"/>
        <v/>
      </c>
      <c r="E21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9">
      <c r="A217" s="20">
        <f>名前リスト[[#This Row],[管理番号]]</f>
        <v>216</v>
      </c>
      <c r="B217" s="28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9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131" t="str">
        <f t="shared" si="3"/>
        <v/>
      </c>
      <c r="E21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9">
      <c r="A218" s="20">
        <f>名前リスト[[#This Row],[管理番号]]</f>
        <v>217</v>
      </c>
      <c r="B218" s="28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9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131" t="str">
        <f t="shared" si="3"/>
        <v/>
      </c>
      <c r="E21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9">
      <c r="A219" s="20">
        <f>名前リスト[[#This Row],[管理番号]]</f>
        <v>218</v>
      </c>
      <c r="B219" s="28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9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131" t="str">
        <f t="shared" si="3"/>
        <v/>
      </c>
      <c r="E21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1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1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9">
      <c r="A220" s="20">
        <f>名前リスト[[#This Row],[管理番号]]</f>
        <v>219</v>
      </c>
      <c r="B220" s="28">
        <f>IF(NOT(まとめ表_各店舗件数[[#This Row],[管理番号]]=""),VLOOKUP(まとめ表_各店舗件数[[#This Row],[管理番号]],名前リスト[[#All],[管理番号]:[氏名]],2,TRUE),"")</f>
        <v>0</v>
      </c>
      <c r="C220" s="29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131" t="str">
        <f t="shared" si="3"/>
        <v/>
      </c>
      <c r="E22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9">
      <c r="A221" s="20">
        <f>名前リスト[[#This Row],[管理番号]]</f>
        <v>220</v>
      </c>
      <c r="B221" s="28">
        <f>IF(NOT(まとめ表_各店舗件数[[#This Row],[管理番号]]=""),VLOOKUP(まとめ表_各店舗件数[[#This Row],[管理番号]],名前リスト[[#All],[管理番号]:[氏名]],2,TRUE),"")</f>
        <v>0</v>
      </c>
      <c r="C221" s="29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131" t="str">
        <f t="shared" si="3"/>
        <v/>
      </c>
      <c r="E22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9">
      <c r="A222" s="20">
        <f>名前リスト[[#This Row],[管理番号]]</f>
        <v>221</v>
      </c>
      <c r="B222" s="28">
        <f>IF(NOT(まとめ表_各店舗件数[[#This Row],[管理番号]]=""),VLOOKUP(まとめ表_各店舗件数[[#This Row],[管理番号]],名前リスト[[#All],[管理番号]:[氏名]],2,TRUE),"")</f>
        <v>0</v>
      </c>
      <c r="C222" s="29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131" t="str">
        <f t="shared" si="3"/>
        <v/>
      </c>
      <c r="E22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9">
      <c r="A223" s="20">
        <f>名前リスト[[#This Row],[管理番号]]</f>
        <v>222</v>
      </c>
      <c r="B223" s="28">
        <f>IF(NOT(まとめ表_各店舗件数[[#This Row],[管理番号]]=""),VLOOKUP(まとめ表_各店舗件数[[#This Row],[管理番号]],名前リスト[[#All],[管理番号]:[氏名]],2,TRUE),"")</f>
        <v>0</v>
      </c>
      <c r="C223" s="29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131" t="str">
        <f t="shared" si="3"/>
        <v/>
      </c>
      <c r="E22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9">
      <c r="A224" s="20">
        <f>名前リスト[[#This Row],[管理番号]]</f>
        <v>223</v>
      </c>
      <c r="B224" s="28">
        <f>IF(NOT(まとめ表_各店舗件数[[#This Row],[管理番号]]=""),VLOOKUP(まとめ表_各店舗件数[[#This Row],[管理番号]],名前リスト[[#All],[管理番号]:[氏名]],2,TRUE),"")</f>
        <v>0</v>
      </c>
      <c r="C224" s="29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131" t="str">
        <f t="shared" si="3"/>
        <v/>
      </c>
      <c r="E22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9">
      <c r="A225" s="20">
        <f>名前リスト[[#This Row],[管理番号]]</f>
        <v>224</v>
      </c>
      <c r="B225" s="28">
        <f>IF(NOT(まとめ表_各店舗件数[[#This Row],[管理番号]]=""),VLOOKUP(まとめ表_各店舗件数[[#This Row],[管理番号]],名前リスト[[#All],[管理番号]:[氏名]],2,TRUE),"")</f>
        <v>0</v>
      </c>
      <c r="C225" s="29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131" t="str">
        <f t="shared" si="3"/>
        <v/>
      </c>
      <c r="E22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9">
      <c r="A226" s="20">
        <f>名前リスト[[#This Row],[管理番号]]</f>
        <v>225</v>
      </c>
      <c r="B226" s="28">
        <f>IF(NOT(まとめ表_各店舗件数[[#This Row],[管理番号]]=""),VLOOKUP(まとめ表_各店舗件数[[#This Row],[管理番号]],名前リスト[[#All],[管理番号]:[氏名]],2,TRUE),"")</f>
        <v>0</v>
      </c>
      <c r="C226" s="29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131" t="str">
        <f t="shared" si="3"/>
        <v/>
      </c>
      <c r="E22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9">
      <c r="A227" s="20">
        <f>名前リスト[[#This Row],[管理番号]]</f>
        <v>226</v>
      </c>
      <c r="B227" s="28">
        <f>IF(NOT(まとめ表_各店舗件数[[#This Row],[管理番号]]=""),VLOOKUP(まとめ表_各店舗件数[[#This Row],[管理番号]],名前リスト[[#All],[管理番号]:[氏名]],2,TRUE),"")</f>
        <v>0</v>
      </c>
      <c r="C227" s="29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131" t="str">
        <f t="shared" si="3"/>
        <v/>
      </c>
      <c r="E22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9">
      <c r="A228" s="20">
        <f>名前リスト[[#This Row],[管理番号]]</f>
        <v>227</v>
      </c>
      <c r="B228" s="28">
        <f>IF(NOT(まとめ表_各店舗件数[[#This Row],[管理番号]]=""),VLOOKUP(まとめ表_各店舗件数[[#This Row],[管理番号]],名前リスト[[#All],[管理番号]:[氏名]],2,TRUE),"")</f>
        <v>0</v>
      </c>
      <c r="C228" s="29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131" t="str">
        <f t="shared" si="3"/>
        <v/>
      </c>
      <c r="E22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9">
      <c r="A229" s="20">
        <f>名前リスト[[#This Row],[管理番号]]</f>
        <v>228</v>
      </c>
      <c r="B229" s="28">
        <f>IF(NOT(まとめ表_各店舗件数[[#This Row],[管理番号]]=""),VLOOKUP(まとめ表_各店舗件数[[#This Row],[管理番号]],名前リスト[[#All],[管理番号]:[氏名]],2,TRUE),"")</f>
        <v>0</v>
      </c>
      <c r="C229" s="29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131" t="str">
        <f t="shared" ref="D229:D292" si="4">IF(SUM(E229:XFD229)=0,"",SUM(E229:XFD229))</f>
        <v/>
      </c>
      <c r="E22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2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2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9">
      <c r="A230" s="20">
        <f>名前リスト[[#This Row],[管理番号]]</f>
        <v>229</v>
      </c>
      <c r="B230" s="28">
        <f>IF(NOT(まとめ表_各店舗件数[[#This Row],[管理番号]]=""),VLOOKUP(まとめ表_各店舗件数[[#This Row],[管理番号]],名前リスト[[#All],[管理番号]:[氏名]],2,TRUE),"")</f>
        <v>0</v>
      </c>
      <c r="C230" s="29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131" t="str">
        <f t="shared" si="4"/>
        <v/>
      </c>
      <c r="E23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9">
      <c r="A231" s="20">
        <f>名前リスト[[#This Row],[管理番号]]</f>
        <v>230</v>
      </c>
      <c r="B231" s="28">
        <f>IF(NOT(まとめ表_各店舗件数[[#This Row],[管理番号]]=""),VLOOKUP(まとめ表_各店舗件数[[#This Row],[管理番号]],名前リスト[[#All],[管理番号]:[氏名]],2,TRUE),"")</f>
        <v>0</v>
      </c>
      <c r="C231" s="29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131" t="str">
        <f t="shared" si="4"/>
        <v/>
      </c>
      <c r="E23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9">
      <c r="A232" s="20">
        <f>名前リスト[[#This Row],[管理番号]]</f>
        <v>231</v>
      </c>
      <c r="B232" s="28">
        <f>IF(NOT(まとめ表_各店舗件数[[#This Row],[管理番号]]=""),VLOOKUP(まとめ表_各店舗件数[[#This Row],[管理番号]],名前リスト[[#All],[管理番号]:[氏名]],2,TRUE),"")</f>
        <v>0</v>
      </c>
      <c r="C232" s="29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131" t="str">
        <f t="shared" si="4"/>
        <v/>
      </c>
      <c r="E23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9">
      <c r="A233" s="20">
        <f>名前リスト[[#This Row],[管理番号]]</f>
        <v>232</v>
      </c>
      <c r="B233" s="28">
        <f>IF(NOT(まとめ表_各店舗件数[[#This Row],[管理番号]]=""),VLOOKUP(まとめ表_各店舗件数[[#This Row],[管理番号]],名前リスト[[#All],[管理番号]:[氏名]],2,TRUE),"")</f>
        <v>0</v>
      </c>
      <c r="C233" s="29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131" t="str">
        <f t="shared" si="4"/>
        <v/>
      </c>
      <c r="E23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9">
      <c r="A234" s="20">
        <f>名前リスト[[#This Row],[管理番号]]</f>
        <v>233</v>
      </c>
      <c r="B234" s="28">
        <f>IF(NOT(まとめ表_各店舗件数[[#This Row],[管理番号]]=""),VLOOKUP(まとめ表_各店舗件数[[#This Row],[管理番号]],名前リスト[[#All],[管理番号]:[氏名]],2,TRUE),"")</f>
        <v>0</v>
      </c>
      <c r="C234" s="29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131" t="str">
        <f t="shared" si="4"/>
        <v/>
      </c>
      <c r="E23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9">
      <c r="A235" s="20">
        <f>名前リスト[[#This Row],[管理番号]]</f>
        <v>234</v>
      </c>
      <c r="B235" s="28">
        <f>IF(NOT(まとめ表_各店舗件数[[#This Row],[管理番号]]=""),VLOOKUP(まとめ表_各店舗件数[[#This Row],[管理番号]],名前リスト[[#All],[管理番号]:[氏名]],2,TRUE),"")</f>
        <v>0</v>
      </c>
      <c r="C235" s="29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131" t="str">
        <f t="shared" si="4"/>
        <v/>
      </c>
      <c r="E23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9">
      <c r="A236" s="20">
        <f>名前リスト[[#This Row],[管理番号]]</f>
        <v>235</v>
      </c>
      <c r="B236" s="28">
        <f>IF(NOT(まとめ表_各店舗件数[[#This Row],[管理番号]]=""),VLOOKUP(まとめ表_各店舗件数[[#This Row],[管理番号]],名前リスト[[#All],[管理番号]:[氏名]],2,TRUE),"")</f>
        <v>0</v>
      </c>
      <c r="C236" s="29">
        <f>IF(NOT(まとめ表_各店舗件数[[#This Row],[管理番号]]=""),VLOOKUP(まとめ表_各店舗件数[[#This Row],[管理番号]],名前リスト[[#All],[管理番号]:[氏名]],3,TRUE),"")</f>
        <v>0</v>
      </c>
      <c r="D236" s="131" t="str">
        <f t="shared" si="4"/>
        <v/>
      </c>
      <c r="E23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9">
      <c r="A237" s="20">
        <f>名前リスト[[#This Row],[管理番号]]</f>
        <v>236</v>
      </c>
      <c r="B237" s="28">
        <f>IF(NOT(まとめ表_各店舗件数[[#This Row],[管理番号]]=""),VLOOKUP(まとめ表_各店舗件数[[#This Row],[管理番号]],名前リスト[[#All],[管理番号]:[氏名]],2,TRUE),"")</f>
        <v>0</v>
      </c>
      <c r="C237" s="29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131" t="str">
        <f t="shared" si="4"/>
        <v/>
      </c>
      <c r="E23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9">
      <c r="A238" s="20">
        <f>名前リスト[[#This Row],[管理番号]]</f>
        <v>237</v>
      </c>
      <c r="B238" s="28">
        <f>IF(NOT(まとめ表_各店舗件数[[#This Row],[管理番号]]=""),VLOOKUP(まとめ表_各店舗件数[[#This Row],[管理番号]],名前リスト[[#All],[管理番号]:[氏名]],2,TRUE),"")</f>
        <v>0</v>
      </c>
      <c r="C238" s="29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131" t="str">
        <f t="shared" si="4"/>
        <v/>
      </c>
      <c r="E23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9">
      <c r="A239" s="20">
        <f>名前リスト[[#This Row],[管理番号]]</f>
        <v>238</v>
      </c>
      <c r="B239" s="28">
        <f>IF(NOT(まとめ表_各店舗件数[[#This Row],[管理番号]]=""),VLOOKUP(まとめ表_各店舗件数[[#This Row],[管理番号]],名前リスト[[#All],[管理番号]:[氏名]],2,TRUE),"")</f>
        <v>0</v>
      </c>
      <c r="C239" s="29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131" t="str">
        <f t="shared" si="4"/>
        <v/>
      </c>
      <c r="E23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3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3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9">
      <c r="A240" s="20">
        <f>名前リスト[[#This Row],[管理番号]]</f>
        <v>239</v>
      </c>
      <c r="B240" s="28">
        <f>IF(NOT(まとめ表_各店舗件数[[#This Row],[管理番号]]=""),VLOOKUP(まとめ表_各店舗件数[[#This Row],[管理番号]],名前リスト[[#All],[管理番号]:[氏名]],2,TRUE),"")</f>
        <v>0</v>
      </c>
      <c r="C240" s="29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131" t="str">
        <f t="shared" si="4"/>
        <v/>
      </c>
      <c r="E24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9">
      <c r="A241" s="20">
        <f>名前リスト[[#This Row],[管理番号]]</f>
        <v>240</v>
      </c>
      <c r="B241" s="28">
        <f>IF(NOT(まとめ表_各店舗件数[[#This Row],[管理番号]]=""),VLOOKUP(まとめ表_各店舗件数[[#This Row],[管理番号]],名前リスト[[#All],[管理番号]:[氏名]],2,TRUE),"")</f>
        <v>0</v>
      </c>
      <c r="C241" s="29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131" t="str">
        <f t="shared" si="4"/>
        <v/>
      </c>
      <c r="E24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9">
      <c r="A242" s="20">
        <f>名前リスト[[#This Row],[管理番号]]</f>
        <v>241</v>
      </c>
      <c r="B242" s="28">
        <f>IF(NOT(まとめ表_各店舗件数[[#This Row],[管理番号]]=""),VLOOKUP(まとめ表_各店舗件数[[#This Row],[管理番号]],名前リスト[[#All],[管理番号]:[氏名]],2,TRUE),"")</f>
        <v>0</v>
      </c>
      <c r="C242" s="29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131" t="str">
        <f t="shared" si="4"/>
        <v/>
      </c>
      <c r="E24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9">
      <c r="A243" s="20">
        <f>名前リスト[[#This Row],[管理番号]]</f>
        <v>242</v>
      </c>
      <c r="B243" s="28">
        <f>IF(NOT(まとめ表_各店舗件数[[#This Row],[管理番号]]=""),VLOOKUP(まとめ表_各店舗件数[[#This Row],[管理番号]],名前リスト[[#All],[管理番号]:[氏名]],2,TRUE),"")</f>
        <v>0</v>
      </c>
      <c r="C243" s="29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131" t="str">
        <f t="shared" si="4"/>
        <v/>
      </c>
      <c r="E24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9">
      <c r="A244" s="20">
        <f>名前リスト[[#This Row],[管理番号]]</f>
        <v>243</v>
      </c>
      <c r="B244" s="28">
        <f>IF(NOT(まとめ表_各店舗件数[[#This Row],[管理番号]]=""),VLOOKUP(まとめ表_各店舗件数[[#This Row],[管理番号]],名前リスト[[#All],[管理番号]:[氏名]],2,TRUE),"")</f>
        <v>0</v>
      </c>
      <c r="C244" s="29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131" t="str">
        <f t="shared" si="4"/>
        <v/>
      </c>
      <c r="E24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9">
      <c r="A245" s="20">
        <f>名前リスト[[#This Row],[管理番号]]</f>
        <v>244</v>
      </c>
      <c r="B245" s="28">
        <f>IF(NOT(まとめ表_各店舗件数[[#This Row],[管理番号]]=""),VLOOKUP(まとめ表_各店舗件数[[#This Row],[管理番号]],名前リスト[[#All],[管理番号]:[氏名]],2,TRUE),"")</f>
        <v>0</v>
      </c>
      <c r="C245" s="29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131" t="str">
        <f t="shared" si="4"/>
        <v/>
      </c>
      <c r="E24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9">
      <c r="A246" s="20">
        <f>名前リスト[[#This Row],[管理番号]]</f>
        <v>255</v>
      </c>
      <c r="B246" s="28">
        <f>IF(NOT(まとめ表_各店舗件数[[#This Row],[管理番号]]=""),VLOOKUP(まとめ表_各店舗件数[[#This Row],[管理番号]],名前リスト[[#All],[管理番号]:[氏名]],2,TRUE),"")</f>
        <v>0</v>
      </c>
      <c r="C246" s="29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131" t="str">
        <f t="shared" si="4"/>
        <v/>
      </c>
      <c r="E24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9">
      <c r="A247" s="20">
        <f>名前リスト[[#This Row],[管理番号]]</f>
        <v>256</v>
      </c>
      <c r="B247" s="28">
        <f>IF(NOT(まとめ表_各店舗件数[[#This Row],[管理番号]]=""),VLOOKUP(まとめ表_各店舗件数[[#This Row],[管理番号]],名前リスト[[#All],[管理番号]:[氏名]],2,TRUE),"")</f>
        <v>0</v>
      </c>
      <c r="C247" s="29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131" t="str">
        <f t="shared" si="4"/>
        <v/>
      </c>
      <c r="E24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9">
      <c r="A248" s="20">
        <f>名前リスト[[#This Row],[管理番号]]</f>
        <v>257</v>
      </c>
      <c r="B248" s="28">
        <f>IF(NOT(まとめ表_各店舗件数[[#This Row],[管理番号]]=""),VLOOKUP(まとめ表_各店舗件数[[#This Row],[管理番号]],名前リスト[[#All],[管理番号]:[氏名]],2,TRUE),"")</f>
        <v>0</v>
      </c>
      <c r="C248" s="29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131" t="str">
        <f t="shared" si="4"/>
        <v/>
      </c>
      <c r="E24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9">
      <c r="A249" s="20">
        <f>名前リスト[[#This Row],[管理番号]]</f>
        <v>258</v>
      </c>
      <c r="B249" s="28">
        <f>IF(NOT(まとめ表_各店舗件数[[#This Row],[管理番号]]=""),VLOOKUP(まとめ表_各店舗件数[[#This Row],[管理番号]],名前リスト[[#All],[管理番号]:[氏名]],2,TRUE),"")</f>
        <v>0</v>
      </c>
      <c r="C249" s="29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131" t="str">
        <f t="shared" si="4"/>
        <v/>
      </c>
      <c r="E24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4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4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9">
      <c r="A250" s="20">
        <f>名前リスト[[#This Row],[管理番号]]</f>
        <v>259</v>
      </c>
      <c r="B250" s="28">
        <f>IF(NOT(まとめ表_各店舗件数[[#This Row],[管理番号]]=""),VLOOKUP(まとめ表_各店舗件数[[#This Row],[管理番号]],名前リスト[[#All],[管理番号]:[氏名]],2,TRUE),"")</f>
        <v>0</v>
      </c>
      <c r="C250" s="29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131" t="str">
        <f t="shared" si="4"/>
        <v/>
      </c>
      <c r="E25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9">
      <c r="A251" s="20">
        <f>名前リスト[[#This Row],[管理番号]]</f>
        <v>260</v>
      </c>
      <c r="B251" s="28">
        <f>IF(NOT(まとめ表_各店舗件数[[#This Row],[管理番号]]=""),VLOOKUP(まとめ表_各店舗件数[[#This Row],[管理番号]],名前リスト[[#All],[管理番号]:[氏名]],2,TRUE),"")</f>
        <v>0</v>
      </c>
      <c r="C251" s="29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131" t="str">
        <f t="shared" si="4"/>
        <v/>
      </c>
      <c r="E25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9">
      <c r="A252" s="20">
        <f>名前リスト[[#This Row],[管理番号]]</f>
        <v>261</v>
      </c>
      <c r="B252" s="28">
        <f>IF(NOT(まとめ表_各店舗件数[[#This Row],[管理番号]]=""),VLOOKUP(まとめ表_各店舗件数[[#This Row],[管理番号]],名前リスト[[#All],[管理番号]:[氏名]],2,TRUE),"")</f>
        <v>0</v>
      </c>
      <c r="C252" s="29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131" t="str">
        <f t="shared" si="4"/>
        <v/>
      </c>
      <c r="E25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9">
      <c r="A253" s="20">
        <f>名前リスト[[#This Row],[管理番号]]</f>
        <v>262</v>
      </c>
      <c r="B253" s="28">
        <f>IF(NOT(まとめ表_各店舗件数[[#This Row],[管理番号]]=""),VLOOKUP(まとめ表_各店舗件数[[#This Row],[管理番号]],名前リスト[[#All],[管理番号]:[氏名]],2,TRUE),"")</f>
        <v>0</v>
      </c>
      <c r="C253" s="29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131" t="str">
        <f t="shared" si="4"/>
        <v/>
      </c>
      <c r="E25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9">
      <c r="A254" s="20">
        <f>名前リスト[[#This Row],[管理番号]]</f>
        <v>263</v>
      </c>
      <c r="B254" s="28">
        <f>IF(NOT(まとめ表_各店舗件数[[#This Row],[管理番号]]=""),VLOOKUP(まとめ表_各店舗件数[[#This Row],[管理番号]],名前リスト[[#All],[管理番号]:[氏名]],2,TRUE),"")</f>
        <v>0</v>
      </c>
      <c r="C254" s="29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131" t="str">
        <f t="shared" si="4"/>
        <v/>
      </c>
      <c r="E25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9">
      <c r="A255" s="20">
        <f>名前リスト[[#This Row],[管理番号]]</f>
        <v>264</v>
      </c>
      <c r="B255" s="28">
        <f>IF(NOT(まとめ表_各店舗件数[[#This Row],[管理番号]]=""),VLOOKUP(まとめ表_各店舗件数[[#This Row],[管理番号]],名前リスト[[#All],[管理番号]:[氏名]],2,TRUE),"")</f>
        <v>0</v>
      </c>
      <c r="C255" s="29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131" t="str">
        <f t="shared" si="4"/>
        <v/>
      </c>
      <c r="E25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9">
      <c r="A256" s="20">
        <f>名前リスト[[#This Row],[管理番号]]</f>
        <v>265</v>
      </c>
      <c r="B256" s="28">
        <f>IF(NOT(まとめ表_各店舗件数[[#This Row],[管理番号]]=""),VLOOKUP(まとめ表_各店舗件数[[#This Row],[管理番号]],名前リスト[[#All],[管理番号]:[氏名]],2,TRUE),"")</f>
        <v>0</v>
      </c>
      <c r="C256" s="29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131" t="str">
        <f t="shared" si="4"/>
        <v/>
      </c>
      <c r="E25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9">
      <c r="A257" s="20">
        <f>名前リスト[[#This Row],[管理番号]]</f>
        <v>1000</v>
      </c>
      <c r="B257" s="28">
        <f>IF(NOT(まとめ表_各店舗件数[[#This Row],[管理番号]]=""),VLOOKUP(まとめ表_各店舗件数[[#This Row],[管理番号]],名前リスト[[#All],[管理番号]:[氏名]],2,TRUE),"")</f>
        <v>0</v>
      </c>
      <c r="C257" s="29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131" t="str">
        <f t="shared" si="4"/>
        <v/>
      </c>
      <c r="E25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9">
      <c r="A258" s="20">
        <f>名前リスト[[#This Row],[管理番号]]</f>
        <v>1001</v>
      </c>
      <c r="B258" s="28">
        <f>IF(NOT(まとめ表_各店舗件数[[#This Row],[管理番号]]=""),VLOOKUP(まとめ表_各店舗件数[[#This Row],[管理番号]],名前リスト[[#All],[管理番号]:[氏名]],2,TRUE),"")</f>
        <v>0</v>
      </c>
      <c r="C258" s="29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131" t="str">
        <f t="shared" si="4"/>
        <v/>
      </c>
      <c r="E25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9">
      <c r="A259" s="20">
        <f>名前リスト[[#This Row],[管理番号]]</f>
        <v>1002</v>
      </c>
      <c r="B259" s="28">
        <f>IF(NOT(まとめ表_各店舗件数[[#This Row],[管理番号]]=""),VLOOKUP(まとめ表_各店舗件数[[#This Row],[管理番号]],名前リスト[[#All],[管理番号]:[氏名]],2,TRUE),"")</f>
        <v>0</v>
      </c>
      <c r="C259" s="29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131" t="str">
        <f t="shared" si="4"/>
        <v/>
      </c>
      <c r="E25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5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5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9">
      <c r="A260" s="20">
        <f>名前リスト[[#This Row],[管理番号]]</f>
        <v>1003</v>
      </c>
      <c r="B260" s="28">
        <f>IF(NOT(まとめ表_各店舗件数[[#This Row],[管理番号]]=""),VLOOKUP(まとめ表_各店舗件数[[#This Row],[管理番号]],名前リスト[[#All],[管理番号]:[氏名]],2,TRUE),"")</f>
        <v>0</v>
      </c>
      <c r="C260" s="29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131" t="str">
        <f t="shared" si="4"/>
        <v/>
      </c>
      <c r="E26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9">
      <c r="A261" s="20">
        <f>名前リスト[[#This Row],[管理番号]]</f>
        <v>1004</v>
      </c>
      <c r="B261" s="28">
        <f>IF(NOT(まとめ表_各店舗件数[[#This Row],[管理番号]]=""),VLOOKUP(まとめ表_各店舗件数[[#This Row],[管理番号]],名前リスト[[#All],[管理番号]:[氏名]],2,TRUE),"")</f>
        <v>0</v>
      </c>
      <c r="C261" s="29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131" t="str">
        <f t="shared" si="4"/>
        <v/>
      </c>
      <c r="E26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9">
      <c r="A262" s="20">
        <f>名前リスト[[#This Row],[管理番号]]</f>
        <v>1005</v>
      </c>
      <c r="B262" s="28">
        <f>IF(NOT(まとめ表_各店舗件数[[#This Row],[管理番号]]=""),VLOOKUP(まとめ表_各店舗件数[[#This Row],[管理番号]],名前リスト[[#All],[管理番号]:[氏名]],2,TRUE),"")</f>
        <v>0</v>
      </c>
      <c r="C262" s="29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131" t="str">
        <f t="shared" si="4"/>
        <v/>
      </c>
      <c r="E26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9">
      <c r="A263" s="20">
        <f>名前リスト[[#This Row],[管理番号]]</f>
        <v>1006</v>
      </c>
      <c r="B263" s="28">
        <f>IF(NOT(まとめ表_各店舗件数[[#This Row],[管理番号]]=""),VLOOKUP(まとめ表_各店舗件数[[#This Row],[管理番号]],名前リスト[[#All],[管理番号]:[氏名]],2,TRUE),"")</f>
        <v>0</v>
      </c>
      <c r="C263" s="29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131" t="str">
        <f t="shared" si="4"/>
        <v/>
      </c>
      <c r="E26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9">
      <c r="A264" s="20">
        <f>名前リスト[[#This Row],[管理番号]]</f>
        <v>1007</v>
      </c>
      <c r="B264" s="28">
        <f>IF(NOT(まとめ表_各店舗件数[[#This Row],[管理番号]]=""),VLOOKUP(まとめ表_各店舗件数[[#This Row],[管理番号]],名前リスト[[#All],[管理番号]:[氏名]],2,TRUE),"")</f>
        <v>0</v>
      </c>
      <c r="C264" s="29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131" t="str">
        <f t="shared" si="4"/>
        <v/>
      </c>
      <c r="E26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9">
      <c r="A265" s="20">
        <f>名前リスト[[#This Row],[管理番号]]</f>
        <v>1008</v>
      </c>
      <c r="B265" s="28">
        <f>IF(NOT(まとめ表_各店舗件数[[#This Row],[管理番号]]=""),VLOOKUP(まとめ表_各店舗件数[[#This Row],[管理番号]],名前リスト[[#All],[管理番号]:[氏名]],2,TRUE),"")</f>
        <v>0</v>
      </c>
      <c r="C265" s="29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131" t="str">
        <f t="shared" si="4"/>
        <v/>
      </c>
      <c r="E26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9">
      <c r="A266" s="20">
        <f>名前リスト[[#This Row],[管理番号]]</f>
        <v>1009</v>
      </c>
      <c r="B266" s="28">
        <f>IF(NOT(まとめ表_各店舗件数[[#This Row],[管理番号]]=""),VLOOKUP(まとめ表_各店舗件数[[#This Row],[管理番号]],名前リスト[[#All],[管理番号]:[氏名]],2,TRUE),"")</f>
        <v>0</v>
      </c>
      <c r="C266" s="29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131" t="str">
        <f t="shared" si="4"/>
        <v/>
      </c>
      <c r="E26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9">
      <c r="A267" s="20">
        <f>名前リスト[[#This Row],[管理番号]]</f>
        <v>1010</v>
      </c>
      <c r="B267" s="28">
        <f>IF(NOT(まとめ表_各店舗件数[[#This Row],[管理番号]]=""),VLOOKUP(まとめ表_各店舗件数[[#This Row],[管理番号]],名前リスト[[#All],[管理番号]:[氏名]],2,TRUE),"")</f>
        <v>0</v>
      </c>
      <c r="C267" s="29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131" t="str">
        <f t="shared" si="4"/>
        <v/>
      </c>
      <c r="E26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9">
      <c r="A268" s="20">
        <f>名前リスト[[#This Row],[管理番号]]</f>
        <v>1011</v>
      </c>
      <c r="B268" s="28">
        <f>IF(NOT(まとめ表_各店舗件数[[#This Row],[管理番号]]=""),VLOOKUP(まとめ表_各店舗件数[[#This Row],[管理番号]],名前リスト[[#All],[管理番号]:[氏名]],2,TRUE),"")</f>
        <v>0</v>
      </c>
      <c r="C268" s="29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131" t="str">
        <f t="shared" si="4"/>
        <v/>
      </c>
      <c r="E26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9">
      <c r="A269" s="20">
        <f>名前リスト[[#This Row],[管理番号]]</f>
        <v>1012</v>
      </c>
      <c r="B269" s="28">
        <f>IF(NOT(まとめ表_各店舗件数[[#This Row],[管理番号]]=""),VLOOKUP(まとめ表_各店舗件数[[#This Row],[管理番号]],名前リスト[[#All],[管理番号]:[氏名]],2,TRUE),"")</f>
        <v>0</v>
      </c>
      <c r="C269" s="29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131" t="str">
        <f t="shared" si="4"/>
        <v/>
      </c>
      <c r="E26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6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6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9">
      <c r="A270" s="20">
        <f>名前リスト[[#This Row],[管理番号]]</f>
        <v>1013</v>
      </c>
      <c r="B270" s="28">
        <f>IF(NOT(まとめ表_各店舗件数[[#This Row],[管理番号]]=""),VLOOKUP(まとめ表_各店舗件数[[#This Row],[管理番号]],名前リスト[[#All],[管理番号]:[氏名]],2,TRUE),"")</f>
        <v>0</v>
      </c>
      <c r="C270" s="29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131" t="str">
        <f t="shared" si="4"/>
        <v/>
      </c>
      <c r="E27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9">
      <c r="A271" s="20">
        <f>名前リスト[[#This Row],[管理番号]]</f>
        <v>1014</v>
      </c>
      <c r="B271" s="28">
        <f>IF(NOT(まとめ表_各店舗件数[[#This Row],[管理番号]]=""),VLOOKUP(まとめ表_各店舗件数[[#This Row],[管理番号]],名前リスト[[#All],[管理番号]:[氏名]],2,TRUE),"")</f>
        <v>0</v>
      </c>
      <c r="C271" s="29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131" t="str">
        <f t="shared" si="4"/>
        <v/>
      </c>
      <c r="E27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9">
      <c r="A272" s="20">
        <f>名前リスト[[#This Row],[管理番号]]</f>
        <v>1015</v>
      </c>
      <c r="B272" s="28">
        <f>IF(NOT(まとめ表_各店舗件数[[#This Row],[管理番号]]=""),VLOOKUP(まとめ表_各店舗件数[[#This Row],[管理番号]],名前リスト[[#All],[管理番号]:[氏名]],2,TRUE),"")</f>
        <v>0</v>
      </c>
      <c r="C272" s="29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131" t="str">
        <f t="shared" si="4"/>
        <v/>
      </c>
      <c r="E27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9">
      <c r="A273" s="20">
        <f>名前リスト[[#This Row],[管理番号]]</f>
        <v>1016</v>
      </c>
      <c r="B273" s="28">
        <f>IF(NOT(まとめ表_各店舗件数[[#This Row],[管理番号]]=""),VLOOKUP(まとめ表_各店舗件数[[#This Row],[管理番号]],名前リスト[[#All],[管理番号]:[氏名]],2,TRUE),"")</f>
        <v>0</v>
      </c>
      <c r="C273" s="29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131" t="str">
        <f t="shared" si="4"/>
        <v/>
      </c>
      <c r="E27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9">
      <c r="A274" s="20">
        <f>名前リスト[[#This Row],[管理番号]]</f>
        <v>1017</v>
      </c>
      <c r="B274" s="28">
        <f>IF(NOT(まとめ表_各店舗件数[[#This Row],[管理番号]]=""),VLOOKUP(まとめ表_各店舗件数[[#This Row],[管理番号]],名前リスト[[#All],[管理番号]:[氏名]],2,TRUE),"")</f>
        <v>0</v>
      </c>
      <c r="C274" s="29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131" t="str">
        <f t="shared" si="4"/>
        <v/>
      </c>
      <c r="E27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9">
      <c r="A275" s="20">
        <f>名前リスト[[#This Row],[管理番号]]</f>
        <v>1018</v>
      </c>
      <c r="B275" s="28">
        <f>IF(NOT(まとめ表_各店舗件数[[#This Row],[管理番号]]=""),VLOOKUP(まとめ表_各店舗件数[[#This Row],[管理番号]],名前リスト[[#All],[管理番号]:[氏名]],2,TRUE),"")</f>
        <v>0</v>
      </c>
      <c r="C275" s="29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131" t="str">
        <f t="shared" si="4"/>
        <v/>
      </c>
      <c r="E27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9">
      <c r="A276" s="20">
        <f>名前リスト[[#This Row],[管理番号]]</f>
        <v>1019</v>
      </c>
      <c r="B276" s="28">
        <f>IF(NOT(まとめ表_各店舗件数[[#This Row],[管理番号]]=""),VLOOKUP(まとめ表_各店舗件数[[#This Row],[管理番号]],名前リスト[[#All],[管理番号]:[氏名]],2,TRUE),"")</f>
        <v>0</v>
      </c>
      <c r="C276" s="29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131" t="str">
        <f t="shared" si="4"/>
        <v/>
      </c>
      <c r="E27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9">
      <c r="A277" s="20">
        <f>名前リスト[[#This Row],[管理番号]]</f>
        <v>1020</v>
      </c>
      <c r="B277" s="28">
        <f>IF(NOT(まとめ表_各店舗件数[[#This Row],[管理番号]]=""),VLOOKUP(まとめ表_各店舗件数[[#This Row],[管理番号]],名前リスト[[#All],[管理番号]:[氏名]],2,TRUE),"")</f>
        <v>0</v>
      </c>
      <c r="C277" s="29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131" t="str">
        <f t="shared" si="4"/>
        <v/>
      </c>
      <c r="E27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9">
      <c r="A278" s="20">
        <f>名前リスト[[#This Row],[管理番号]]</f>
        <v>1021</v>
      </c>
      <c r="B278" s="28">
        <f>IF(NOT(まとめ表_各店舗件数[[#This Row],[管理番号]]=""),VLOOKUP(まとめ表_各店舗件数[[#This Row],[管理番号]],名前リスト[[#All],[管理番号]:[氏名]],2,TRUE),"")</f>
        <v>0</v>
      </c>
      <c r="C278" s="29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131" t="str">
        <f t="shared" si="4"/>
        <v/>
      </c>
      <c r="E27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9">
      <c r="A279" s="20">
        <f>名前リスト[[#This Row],[管理番号]]</f>
        <v>1022</v>
      </c>
      <c r="B279" s="28">
        <f>IF(NOT(まとめ表_各店舗件数[[#This Row],[管理番号]]=""),VLOOKUP(まとめ表_各店舗件数[[#This Row],[管理番号]],名前リスト[[#All],[管理番号]:[氏名]],2,TRUE),"")</f>
        <v>0</v>
      </c>
      <c r="C279" s="29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131" t="str">
        <f t="shared" si="4"/>
        <v/>
      </c>
      <c r="E27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7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7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9">
      <c r="A280" s="20">
        <f>名前リスト[[#This Row],[管理番号]]</f>
        <v>1023</v>
      </c>
      <c r="B280" s="28">
        <f>IF(NOT(まとめ表_各店舗件数[[#This Row],[管理番号]]=""),VLOOKUP(まとめ表_各店舗件数[[#This Row],[管理番号]],名前リスト[[#All],[管理番号]:[氏名]],2,TRUE),"")</f>
        <v>0</v>
      </c>
      <c r="C280" s="29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131" t="str">
        <f t="shared" si="4"/>
        <v/>
      </c>
      <c r="E28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9">
      <c r="A281" s="20">
        <f>名前リスト[[#This Row],[管理番号]]</f>
        <v>1024</v>
      </c>
      <c r="B281" s="28">
        <f>IF(NOT(まとめ表_各店舗件数[[#This Row],[管理番号]]=""),VLOOKUP(まとめ表_各店舗件数[[#This Row],[管理番号]],名前リスト[[#All],[管理番号]:[氏名]],2,TRUE),"")</f>
        <v>0</v>
      </c>
      <c r="C281" s="29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131" t="str">
        <f t="shared" si="4"/>
        <v/>
      </c>
      <c r="E28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9">
      <c r="A282" s="20">
        <f>名前リスト[[#This Row],[管理番号]]</f>
        <v>1025</v>
      </c>
      <c r="B282" s="28">
        <f>IF(NOT(まとめ表_各店舗件数[[#This Row],[管理番号]]=""),VLOOKUP(まとめ表_各店舗件数[[#This Row],[管理番号]],名前リスト[[#All],[管理番号]:[氏名]],2,TRUE),"")</f>
        <v>0</v>
      </c>
      <c r="C282" s="29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131" t="str">
        <f t="shared" si="4"/>
        <v/>
      </c>
      <c r="E28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9">
      <c r="A283" s="20">
        <f>名前リスト[[#This Row],[管理番号]]</f>
        <v>1026</v>
      </c>
      <c r="B283" s="28">
        <f>IF(NOT(まとめ表_各店舗件数[[#This Row],[管理番号]]=""),VLOOKUP(まとめ表_各店舗件数[[#This Row],[管理番号]],名前リスト[[#All],[管理番号]:[氏名]],2,TRUE),"")</f>
        <v>0</v>
      </c>
      <c r="C283" s="29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131" t="str">
        <f t="shared" si="4"/>
        <v/>
      </c>
      <c r="E28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9">
      <c r="A284" s="20">
        <f>名前リスト[[#This Row],[管理番号]]</f>
        <v>1027</v>
      </c>
      <c r="B284" s="28">
        <f>IF(NOT(まとめ表_各店舗件数[[#This Row],[管理番号]]=""),VLOOKUP(まとめ表_各店舗件数[[#This Row],[管理番号]],名前リスト[[#All],[管理番号]:[氏名]],2,TRUE),"")</f>
        <v>0</v>
      </c>
      <c r="C284" s="29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131" t="str">
        <f t="shared" si="4"/>
        <v/>
      </c>
      <c r="E28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9">
      <c r="A285" s="20">
        <f>名前リスト[[#This Row],[管理番号]]</f>
        <v>1028</v>
      </c>
      <c r="B285" s="28">
        <f>IF(NOT(まとめ表_各店舗件数[[#This Row],[管理番号]]=""),VLOOKUP(まとめ表_各店舗件数[[#This Row],[管理番号]],名前リスト[[#All],[管理番号]:[氏名]],2,TRUE),"")</f>
        <v>0</v>
      </c>
      <c r="C285" s="29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131" t="str">
        <f t="shared" si="4"/>
        <v/>
      </c>
      <c r="E28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9">
      <c r="A286" s="20">
        <f>名前リスト[[#This Row],[管理番号]]</f>
        <v>1029</v>
      </c>
      <c r="B286" s="28">
        <f>IF(NOT(まとめ表_各店舗件数[[#This Row],[管理番号]]=""),VLOOKUP(まとめ表_各店舗件数[[#This Row],[管理番号]],名前リスト[[#All],[管理番号]:[氏名]],2,TRUE),"")</f>
        <v>0</v>
      </c>
      <c r="C286" s="29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131" t="str">
        <f t="shared" si="4"/>
        <v/>
      </c>
      <c r="E28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9">
      <c r="A287" s="20">
        <f>名前リスト[[#This Row],[管理番号]]</f>
        <v>1030</v>
      </c>
      <c r="B287" s="28">
        <f>IF(NOT(まとめ表_各店舗件数[[#This Row],[管理番号]]=""),VLOOKUP(まとめ表_各店舗件数[[#This Row],[管理番号]],名前リスト[[#All],[管理番号]:[氏名]],2,TRUE),"")</f>
        <v>0</v>
      </c>
      <c r="C287" s="29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131" t="str">
        <f t="shared" si="4"/>
        <v/>
      </c>
      <c r="E28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9">
      <c r="A288" s="20">
        <f>名前リスト[[#This Row],[管理番号]]</f>
        <v>1031</v>
      </c>
      <c r="B288" s="28">
        <f>IF(NOT(まとめ表_各店舗件数[[#This Row],[管理番号]]=""),VLOOKUP(まとめ表_各店舗件数[[#This Row],[管理番号]],名前リスト[[#All],[管理番号]:[氏名]],2,TRUE),"")</f>
        <v>0</v>
      </c>
      <c r="C288" s="29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131" t="str">
        <f t="shared" si="4"/>
        <v/>
      </c>
      <c r="E28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9">
      <c r="A289" s="20">
        <f>名前リスト[[#This Row],[管理番号]]</f>
        <v>1032</v>
      </c>
      <c r="B289" s="28">
        <f>IF(NOT(まとめ表_各店舗件数[[#This Row],[管理番号]]=""),VLOOKUP(まとめ表_各店舗件数[[#This Row],[管理番号]],名前リスト[[#All],[管理番号]:[氏名]],2,TRUE),"")</f>
        <v>0</v>
      </c>
      <c r="C289" s="29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131" t="str">
        <f t="shared" si="4"/>
        <v/>
      </c>
      <c r="E28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8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8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9">
      <c r="A290" s="20">
        <f>名前リスト[[#This Row],[管理番号]]</f>
        <v>1033</v>
      </c>
      <c r="B290" s="28">
        <f>IF(NOT(まとめ表_各店舗件数[[#This Row],[管理番号]]=""),VLOOKUP(まとめ表_各店舗件数[[#This Row],[管理番号]],名前リスト[[#All],[管理番号]:[氏名]],2,TRUE),"")</f>
        <v>0</v>
      </c>
      <c r="C290" s="29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131" t="str">
        <f t="shared" si="4"/>
        <v/>
      </c>
      <c r="E29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9">
      <c r="A291" s="20">
        <f>名前リスト[[#This Row],[管理番号]]</f>
        <v>1034</v>
      </c>
      <c r="B291" s="28">
        <f>IF(NOT(まとめ表_各店舗件数[[#This Row],[管理番号]]=""),VLOOKUP(まとめ表_各店舗件数[[#This Row],[管理番号]],名前リスト[[#All],[管理番号]:[氏名]],2,TRUE),"")</f>
        <v>0</v>
      </c>
      <c r="C291" s="29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131" t="str">
        <f t="shared" si="4"/>
        <v/>
      </c>
      <c r="E29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9">
      <c r="A292" s="20">
        <f>名前リスト[[#This Row],[管理番号]]</f>
        <v>1035</v>
      </c>
      <c r="B292" s="28">
        <f>IF(NOT(まとめ表_各店舗件数[[#This Row],[管理番号]]=""),VLOOKUP(まとめ表_各店舗件数[[#This Row],[管理番号]],名前リスト[[#All],[管理番号]:[氏名]],2,TRUE),"")</f>
        <v>0</v>
      </c>
      <c r="C292" s="29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131" t="str">
        <f t="shared" si="4"/>
        <v/>
      </c>
      <c r="E29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9">
      <c r="A293" s="20">
        <f>名前リスト[[#This Row],[管理番号]]</f>
        <v>1036</v>
      </c>
      <c r="B293" s="28">
        <f>IF(NOT(まとめ表_各店舗件数[[#This Row],[管理番号]]=""),VLOOKUP(まとめ表_各店舗件数[[#This Row],[管理番号]],名前リスト[[#All],[管理番号]:[氏名]],2,TRUE),"")</f>
        <v>0</v>
      </c>
      <c r="C293" s="29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131" t="str">
        <f t="shared" ref="D293:D351" si="5">IF(SUM(E293:XFD293)=0,"",SUM(E293:XFD293))</f>
        <v/>
      </c>
      <c r="E29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9">
      <c r="A294" s="20">
        <f>名前リスト[[#This Row],[管理番号]]</f>
        <v>1037</v>
      </c>
      <c r="B294" s="28">
        <f>IF(NOT(まとめ表_各店舗件数[[#This Row],[管理番号]]=""),VLOOKUP(まとめ表_各店舗件数[[#This Row],[管理番号]],名前リスト[[#All],[管理番号]:[氏名]],2,TRUE),"")</f>
        <v>0</v>
      </c>
      <c r="C294" s="29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131" t="str">
        <f t="shared" si="5"/>
        <v/>
      </c>
      <c r="E29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9">
      <c r="A295" s="20">
        <f>名前リスト[[#This Row],[管理番号]]</f>
        <v>1038</v>
      </c>
      <c r="B295" s="28">
        <f>IF(NOT(まとめ表_各店舗件数[[#This Row],[管理番号]]=""),VLOOKUP(まとめ表_各店舗件数[[#This Row],[管理番号]],名前リスト[[#All],[管理番号]:[氏名]],2,TRUE),"")</f>
        <v>0</v>
      </c>
      <c r="C295" s="29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131" t="str">
        <f t="shared" si="5"/>
        <v/>
      </c>
      <c r="E29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9">
      <c r="A296" s="20">
        <f>名前リスト[[#This Row],[管理番号]]</f>
        <v>1039</v>
      </c>
      <c r="B296" s="28">
        <f>IF(NOT(まとめ表_各店舗件数[[#This Row],[管理番号]]=""),VLOOKUP(まとめ表_各店舗件数[[#This Row],[管理番号]],名前リスト[[#All],[管理番号]:[氏名]],2,TRUE),"")</f>
        <v>0</v>
      </c>
      <c r="C296" s="29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131" t="str">
        <f t="shared" si="5"/>
        <v/>
      </c>
      <c r="E29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9">
      <c r="A297" s="20">
        <f>名前リスト[[#This Row],[管理番号]]</f>
        <v>1040</v>
      </c>
      <c r="B297" s="28">
        <f>IF(NOT(まとめ表_各店舗件数[[#This Row],[管理番号]]=""),VLOOKUP(まとめ表_各店舗件数[[#This Row],[管理番号]],名前リスト[[#All],[管理番号]:[氏名]],2,TRUE),"")</f>
        <v>0</v>
      </c>
      <c r="C297" s="29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131" t="str">
        <f t="shared" si="5"/>
        <v/>
      </c>
      <c r="E29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9">
      <c r="A298" s="20">
        <f>名前リスト[[#This Row],[管理番号]]</f>
        <v>1041</v>
      </c>
      <c r="B298" s="28">
        <f>IF(NOT(まとめ表_各店舗件数[[#This Row],[管理番号]]=""),VLOOKUP(まとめ表_各店舗件数[[#This Row],[管理番号]],名前リスト[[#All],[管理番号]:[氏名]],2,TRUE),"")</f>
        <v>0</v>
      </c>
      <c r="C298" s="29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131" t="str">
        <f t="shared" si="5"/>
        <v/>
      </c>
      <c r="E29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9">
      <c r="A299" s="20">
        <f>名前リスト[[#This Row],[管理番号]]</f>
        <v>1042</v>
      </c>
      <c r="B299" s="28">
        <f>IF(NOT(まとめ表_各店舗件数[[#This Row],[管理番号]]=""),VLOOKUP(まとめ表_各店舗件数[[#This Row],[管理番号]],名前リスト[[#All],[管理番号]:[氏名]],2,TRUE),"")</f>
        <v>0</v>
      </c>
      <c r="C299" s="29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131" t="str">
        <f t="shared" si="5"/>
        <v/>
      </c>
      <c r="E29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29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29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9">
      <c r="A300" s="20">
        <f>名前リスト[[#This Row],[管理番号]]</f>
        <v>1043</v>
      </c>
      <c r="B300" s="28">
        <f>IF(NOT(まとめ表_各店舗件数[[#This Row],[管理番号]]=""),VLOOKUP(まとめ表_各店舗件数[[#This Row],[管理番号]],名前リスト[[#All],[管理番号]:[氏名]],2,TRUE),"")</f>
        <v>0</v>
      </c>
      <c r="C300" s="29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131" t="str">
        <f t="shared" si="5"/>
        <v/>
      </c>
      <c r="E30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9">
      <c r="A301" s="20">
        <f>名前リスト[[#This Row],[管理番号]]</f>
        <v>1044</v>
      </c>
      <c r="B301" s="28">
        <f>IF(NOT(まとめ表_各店舗件数[[#This Row],[管理番号]]=""),VLOOKUP(まとめ表_各店舗件数[[#This Row],[管理番号]],名前リスト[[#All],[管理番号]:[氏名]],2,TRUE),"")</f>
        <v>0</v>
      </c>
      <c r="C301" s="29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131" t="str">
        <f t="shared" si="5"/>
        <v/>
      </c>
      <c r="E30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9">
      <c r="A302" s="20">
        <f>名前リスト[[#This Row],[管理番号]]</f>
        <v>1045</v>
      </c>
      <c r="B302" s="28">
        <f>IF(NOT(まとめ表_各店舗件数[[#This Row],[管理番号]]=""),VLOOKUP(まとめ表_各店舗件数[[#This Row],[管理番号]],名前リスト[[#All],[管理番号]:[氏名]],2,TRUE),"")</f>
        <v>0</v>
      </c>
      <c r="C302" s="29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131" t="str">
        <f t="shared" si="5"/>
        <v/>
      </c>
      <c r="E30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9">
      <c r="A303" s="20">
        <f>名前リスト[[#This Row],[管理番号]]</f>
        <v>1046</v>
      </c>
      <c r="B303" s="28">
        <f>IF(NOT(まとめ表_各店舗件数[[#This Row],[管理番号]]=""),VLOOKUP(まとめ表_各店舗件数[[#This Row],[管理番号]],名前リスト[[#All],[管理番号]:[氏名]],2,TRUE),"")</f>
        <v>0</v>
      </c>
      <c r="C303" s="29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131" t="str">
        <f t="shared" si="5"/>
        <v/>
      </c>
      <c r="E30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9">
      <c r="A304" s="20">
        <f>名前リスト[[#This Row],[管理番号]]</f>
        <v>1047</v>
      </c>
      <c r="B304" s="28">
        <f>IF(NOT(まとめ表_各店舗件数[[#This Row],[管理番号]]=""),VLOOKUP(まとめ表_各店舗件数[[#This Row],[管理番号]],名前リスト[[#All],[管理番号]:[氏名]],2,TRUE),"")</f>
        <v>0</v>
      </c>
      <c r="C304" s="29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131" t="str">
        <f t="shared" si="5"/>
        <v/>
      </c>
      <c r="E30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9">
      <c r="A305" s="20">
        <f>名前リスト[[#This Row],[管理番号]]</f>
        <v>1048</v>
      </c>
      <c r="B305" s="28">
        <f>IF(NOT(まとめ表_各店舗件数[[#This Row],[管理番号]]=""),VLOOKUP(まとめ表_各店舗件数[[#This Row],[管理番号]],名前リスト[[#All],[管理番号]:[氏名]],2,TRUE),"")</f>
        <v>0</v>
      </c>
      <c r="C305" s="29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131" t="str">
        <f t="shared" si="5"/>
        <v/>
      </c>
      <c r="E30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9">
      <c r="A306" s="20">
        <f>名前リスト[[#This Row],[管理番号]]</f>
        <v>1049</v>
      </c>
      <c r="B306" s="28">
        <f>IF(NOT(まとめ表_各店舗件数[[#This Row],[管理番号]]=""),VLOOKUP(まとめ表_各店舗件数[[#This Row],[管理番号]],名前リスト[[#All],[管理番号]:[氏名]],2,TRUE),"")</f>
        <v>0</v>
      </c>
      <c r="C306" s="29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131" t="str">
        <f t="shared" si="5"/>
        <v/>
      </c>
      <c r="E30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9">
      <c r="A307" s="20">
        <f>名前リスト[[#This Row],[管理番号]]</f>
        <v>1050</v>
      </c>
      <c r="B307" s="28">
        <f>IF(NOT(まとめ表_各店舗件数[[#This Row],[管理番号]]=""),VLOOKUP(まとめ表_各店舗件数[[#This Row],[管理番号]],名前リスト[[#All],[管理番号]:[氏名]],2,TRUE),"")</f>
        <v>0</v>
      </c>
      <c r="C307" s="29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131" t="str">
        <f t="shared" si="5"/>
        <v/>
      </c>
      <c r="E30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7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9">
      <c r="A308" s="20">
        <f>名前リスト[[#This Row],[管理番号]]</f>
        <v>1051</v>
      </c>
      <c r="B308" s="28">
        <f>IF(NOT(まとめ表_各店舗件数[[#This Row],[管理番号]]=""),VLOOKUP(まとめ表_各店舗件数[[#This Row],[管理番号]],名前リスト[[#All],[管理番号]:[氏名]],2,TRUE),"")</f>
        <v>0</v>
      </c>
      <c r="C308" s="29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131" t="str">
        <f t="shared" si="5"/>
        <v/>
      </c>
      <c r="E30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8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9">
      <c r="A309" s="20">
        <f>名前リスト[[#This Row],[管理番号]]</f>
        <v>1052</v>
      </c>
      <c r="B309" s="28">
        <f>IF(NOT(まとめ表_各店舗件数[[#This Row],[管理番号]]=""),VLOOKUP(まとめ表_各店舗件数[[#This Row],[管理番号]],名前リスト[[#All],[管理番号]:[氏名]],2,TRUE),"")</f>
        <v>0</v>
      </c>
      <c r="C309" s="29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131" t="str">
        <f t="shared" si="5"/>
        <v/>
      </c>
      <c r="E30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0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09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9">
      <c r="A310" s="20">
        <f>名前リスト[[#This Row],[管理番号]]</f>
        <v>1053</v>
      </c>
      <c r="B310" s="28">
        <f>IF(NOT(まとめ表_各店舗件数[[#This Row],[管理番号]]=""),VLOOKUP(まとめ表_各店舗件数[[#This Row],[管理番号]],名前リスト[[#All],[管理番号]:[氏名]],2,TRUE),"")</f>
        <v>0</v>
      </c>
      <c r="C310" s="29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131" t="str">
        <f t="shared" si="5"/>
        <v/>
      </c>
      <c r="E31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0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9">
      <c r="A311" s="20">
        <f>名前リスト[[#This Row],[管理番号]]</f>
        <v>1054</v>
      </c>
      <c r="B311" s="28">
        <f>IF(NOT(まとめ表_各店舗件数[[#This Row],[管理番号]]=""),VLOOKUP(まとめ表_各店舗件数[[#This Row],[管理番号]],名前リスト[[#All],[管理番号]:[氏名]],2,TRUE),"")</f>
        <v>0</v>
      </c>
      <c r="C311" s="29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131" t="str">
        <f t="shared" si="5"/>
        <v/>
      </c>
      <c r="E31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1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9">
      <c r="A312" s="20">
        <f>名前リスト[[#This Row],[管理番号]]</f>
        <v>1055</v>
      </c>
      <c r="B312" s="28">
        <f>IF(NOT(まとめ表_各店舗件数[[#This Row],[管理番号]]=""),VLOOKUP(まとめ表_各店舗件数[[#This Row],[管理番号]],名前リスト[[#All],[管理番号]:[氏名]],2,TRUE),"")</f>
        <v>0</v>
      </c>
      <c r="C312" s="29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131" t="str">
        <f t="shared" si="5"/>
        <v/>
      </c>
      <c r="E31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2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9">
      <c r="A313" s="20">
        <f>名前リスト[[#This Row],[管理番号]]</f>
        <v>1056</v>
      </c>
      <c r="B313" s="28">
        <f>IF(NOT(まとめ表_各店舗件数[[#This Row],[管理番号]]=""),VLOOKUP(まとめ表_各店舗件数[[#This Row],[管理番号]],名前リスト[[#All],[管理番号]:[氏名]],2,TRUE),"")</f>
        <v>0</v>
      </c>
      <c r="C313" s="29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131" t="str">
        <f t="shared" si="5"/>
        <v/>
      </c>
      <c r="E31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3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9">
      <c r="A314" s="20">
        <f>名前リスト[[#This Row],[管理番号]]</f>
        <v>1057</v>
      </c>
      <c r="B314" s="28">
        <f>IF(NOT(まとめ表_各店舗件数[[#This Row],[管理番号]]=""),VLOOKUP(まとめ表_各店舗件数[[#This Row],[管理番号]],名前リスト[[#All],[管理番号]:[氏名]],2,TRUE),"")</f>
        <v>0</v>
      </c>
      <c r="C314" s="29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131" t="str">
        <f t="shared" si="5"/>
        <v/>
      </c>
      <c r="E31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4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9">
      <c r="A315" s="20">
        <f>名前リスト[[#This Row],[管理番号]]</f>
        <v>1058</v>
      </c>
      <c r="B315" s="28">
        <f>IF(NOT(まとめ表_各店舗件数[[#This Row],[管理番号]]=""),VLOOKUP(まとめ表_各店舗件数[[#This Row],[管理番号]],名前リスト[[#All],[管理番号]:[氏名]],2,TRUE),"")</f>
        <v>0</v>
      </c>
      <c r="C315" s="29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131" t="str">
        <f t="shared" si="5"/>
        <v/>
      </c>
      <c r="E31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5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9">
      <c r="A316" s="20">
        <f>名前リスト[[#This Row],[管理番号]]</f>
        <v>1059</v>
      </c>
      <c r="B316" s="28">
        <f>IF(NOT(まとめ表_各店舗件数[[#This Row],[管理番号]]=""),VLOOKUP(まとめ表_各店舗件数[[#This Row],[管理番号]],名前リスト[[#All],[管理番号]:[氏名]],2,TRUE),"")</f>
        <v>0</v>
      </c>
      <c r="C316" s="29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131" t="str">
        <f t="shared" si="5"/>
        <v/>
      </c>
      <c r="E31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6" s="90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9">
      <c r="A317" s="20">
        <f>名前リスト[[#This Row],[管理番号]]</f>
        <v>1060</v>
      </c>
      <c r="B317" s="28">
        <f>IF(NOT(まとめ表_各店舗件数[[#This Row],[管理番号]]=""),VLOOKUP(まとめ表_各店舗件数[[#This Row],[管理番号]],名前リスト[[#All],[管理番号]:[氏名]],2,TRUE),"")</f>
        <v>0</v>
      </c>
      <c r="C317" s="29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131" t="str">
        <f t="shared" si="5"/>
        <v/>
      </c>
      <c r="E31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9">
      <c r="A318" s="20">
        <f>名前リスト[[#This Row],[管理番号]]</f>
        <v>1061</v>
      </c>
      <c r="B318" s="28">
        <f>IF(NOT(まとめ表_各店舗件数[[#This Row],[管理番号]]=""),VLOOKUP(まとめ表_各店舗件数[[#This Row],[管理番号]],名前リスト[[#All],[管理番号]:[氏名]],2,TRUE),"")</f>
        <v>0</v>
      </c>
      <c r="C318" s="29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131" t="str">
        <f t="shared" si="5"/>
        <v/>
      </c>
      <c r="E31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8" s="134"/>
    </row>
    <row r="319" spans="1:29">
      <c r="A319" s="20">
        <f>名前リスト[[#This Row],[管理番号]]</f>
        <v>1062</v>
      </c>
      <c r="B319" s="28">
        <f>IF(NOT(まとめ表_各店舗件数[[#This Row],[管理番号]]=""),VLOOKUP(まとめ表_各店舗件数[[#This Row],[管理番号]],名前リスト[[#All],[管理番号]:[氏名]],2,TRUE),"")</f>
        <v>0</v>
      </c>
      <c r="C319" s="29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131" t="str">
        <f t="shared" si="5"/>
        <v/>
      </c>
      <c r="E31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1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19" s="134"/>
    </row>
    <row r="320" spans="1:29">
      <c r="A320" s="20">
        <f>名前リスト[[#This Row],[管理番号]]</f>
        <v>1063</v>
      </c>
      <c r="B320" s="28">
        <f>IF(NOT(まとめ表_各店舗件数[[#This Row],[管理番号]]=""),VLOOKUP(まとめ表_各店舗件数[[#This Row],[管理番号]],名前リスト[[#All],[管理番号]:[氏名]],2,TRUE),"")</f>
        <v>0</v>
      </c>
      <c r="C320" s="29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131" t="str">
        <f t="shared" si="5"/>
        <v/>
      </c>
      <c r="E32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0" s="134"/>
    </row>
    <row r="321" spans="1:29">
      <c r="A321" s="20">
        <f>名前リスト[[#This Row],[管理番号]]</f>
        <v>1064</v>
      </c>
      <c r="B321" s="28">
        <f>IF(NOT(まとめ表_各店舗件数[[#This Row],[管理番号]]=""),VLOOKUP(まとめ表_各店舗件数[[#This Row],[管理番号]],名前リスト[[#All],[管理番号]:[氏名]],2,TRUE),"")</f>
        <v>0</v>
      </c>
      <c r="C321" s="29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131" t="str">
        <f t="shared" si="5"/>
        <v/>
      </c>
      <c r="E32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1" s="134"/>
    </row>
    <row r="322" spans="1:29">
      <c r="A322" s="20">
        <f>名前リスト[[#This Row],[管理番号]]</f>
        <v>1065</v>
      </c>
      <c r="B322" s="28">
        <f>IF(NOT(まとめ表_各店舗件数[[#This Row],[管理番号]]=""),VLOOKUP(まとめ表_各店舗件数[[#This Row],[管理番号]],名前リスト[[#All],[管理番号]:[氏名]],2,TRUE),"")</f>
        <v>0</v>
      </c>
      <c r="C322" s="29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131" t="str">
        <f t="shared" si="5"/>
        <v/>
      </c>
      <c r="E32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2" s="134"/>
    </row>
    <row r="323" spans="1:29">
      <c r="A323" s="20">
        <f>名前リスト[[#This Row],[管理番号]]</f>
        <v>1066</v>
      </c>
      <c r="B323" s="28">
        <f>IF(NOT(まとめ表_各店舗件数[[#This Row],[管理番号]]=""),VLOOKUP(まとめ表_各店舗件数[[#This Row],[管理番号]],名前リスト[[#All],[管理番号]:[氏名]],2,TRUE),"")</f>
        <v>0</v>
      </c>
      <c r="C323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131" t="str">
        <f t="shared" si="5"/>
        <v/>
      </c>
      <c r="E32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3" s="134"/>
    </row>
    <row r="324" spans="1:29">
      <c r="A324" s="20">
        <f>名前リスト[[#This Row],[管理番号]]</f>
        <v>1067</v>
      </c>
      <c r="B324" s="28">
        <f>IF(NOT(まとめ表_各店舗件数[[#This Row],[管理番号]]=""),VLOOKUP(まとめ表_各店舗件数[[#This Row],[管理番号]],名前リスト[[#All],[管理番号]:[氏名]],2,TRUE),"")</f>
        <v>0</v>
      </c>
      <c r="C324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131" t="str">
        <f t="shared" si="5"/>
        <v/>
      </c>
      <c r="E32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4" s="134"/>
    </row>
    <row r="325" spans="1:29">
      <c r="A325" s="20">
        <f>名前リスト[[#This Row],[管理番号]]</f>
        <v>1068</v>
      </c>
      <c r="B325" s="28">
        <f>IF(NOT(まとめ表_各店舗件数[[#This Row],[管理番号]]=""),VLOOKUP(まとめ表_各店舗件数[[#This Row],[管理番号]],名前リスト[[#All],[管理番号]:[氏名]],2,TRUE),"")</f>
        <v>0</v>
      </c>
      <c r="C325" s="29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131" t="str">
        <f t="shared" si="5"/>
        <v/>
      </c>
      <c r="E32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5" s="134"/>
    </row>
    <row r="326" spans="1:29">
      <c r="A326" s="20">
        <f>名前リスト[[#This Row],[管理番号]]</f>
        <v>1069</v>
      </c>
      <c r="B326" s="28">
        <f>IF(NOT(まとめ表_各店舗件数[[#This Row],[管理番号]]=""),VLOOKUP(まとめ表_各店舗件数[[#This Row],[管理番号]],名前リスト[[#All],[管理番号]:[氏名]],2,TRUE),"")</f>
        <v>0</v>
      </c>
      <c r="C326" s="29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131" t="str">
        <f t="shared" si="5"/>
        <v/>
      </c>
      <c r="E32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6" s="134"/>
    </row>
    <row r="327" spans="1:29">
      <c r="A327" s="20">
        <f>名前リスト[[#This Row],[管理番号]]</f>
        <v>1070</v>
      </c>
      <c r="B327" s="28">
        <f>IF(NOT(まとめ表_各店舗件数[[#This Row],[管理番号]]=""),VLOOKUP(まとめ表_各店舗件数[[#This Row],[管理番号]],名前リスト[[#All],[管理番号]:[氏名]],2,TRUE),"")</f>
        <v>0</v>
      </c>
      <c r="C327" s="29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131" t="str">
        <f t="shared" si="5"/>
        <v/>
      </c>
      <c r="E32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7" s="134"/>
    </row>
    <row r="328" spans="1:29">
      <c r="A328" s="20">
        <f>名前リスト[[#This Row],[管理番号]]</f>
        <v>1071</v>
      </c>
      <c r="B328" s="28">
        <f>IF(NOT(まとめ表_各店舗件数[[#This Row],[管理番号]]=""),VLOOKUP(まとめ表_各店舗件数[[#This Row],[管理番号]],名前リスト[[#All],[管理番号]:[氏名]],2,TRUE),"")</f>
        <v>0</v>
      </c>
      <c r="C328" s="29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131" t="str">
        <f t="shared" si="5"/>
        <v/>
      </c>
      <c r="E32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8" s="134"/>
    </row>
    <row r="329" spans="1:29">
      <c r="A329" s="20">
        <f>名前リスト[[#This Row],[管理番号]]</f>
        <v>1072</v>
      </c>
      <c r="B329" s="28">
        <f>IF(NOT(まとめ表_各店舗件数[[#This Row],[管理番号]]=""),VLOOKUP(まとめ表_各店舗件数[[#This Row],[管理番号]],名前リスト[[#All],[管理番号]:[氏名]],2,TRUE),"")</f>
        <v>0</v>
      </c>
      <c r="C329" s="29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131" t="str">
        <f t="shared" si="5"/>
        <v/>
      </c>
      <c r="E32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2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29" s="134"/>
    </row>
    <row r="330" spans="1:29">
      <c r="A330" s="20">
        <f>名前リスト[[#This Row],[管理番号]]</f>
        <v>1073</v>
      </c>
      <c r="B330" s="28">
        <f>IF(NOT(まとめ表_各店舗件数[[#This Row],[管理番号]]=""),VLOOKUP(まとめ表_各店舗件数[[#This Row],[管理番号]],名前リスト[[#All],[管理番号]:[氏名]],2,TRUE),"")</f>
        <v>0</v>
      </c>
      <c r="C330" s="29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131" t="str">
        <f t="shared" si="5"/>
        <v/>
      </c>
      <c r="E33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0" s="134"/>
    </row>
    <row r="331" spans="1:29">
      <c r="A331" s="20">
        <f>名前リスト[[#This Row],[管理番号]]</f>
        <v>1074</v>
      </c>
      <c r="B331" s="28">
        <f>IF(NOT(まとめ表_各店舗件数[[#This Row],[管理番号]]=""),VLOOKUP(まとめ表_各店舗件数[[#This Row],[管理番号]],名前リスト[[#All],[管理番号]:[氏名]],2,TRUE),"")</f>
        <v>0</v>
      </c>
      <c r="C331" s="29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131" t="str">
        <f t="shared" si="5"/>
        <v/>
      </c>
      <c r="E33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1" s="134"/>
    </row>
    <row r="332" spans="1:29">
      <c r="A332" s="20">
        <f>名前リスト[[#This Row],[管理番号]]</f>
        <v>1075</v>
      </c>
      <c r="B332" s="28">
        <f>IF(NOT(まとめ表_各店舗件数[[#This Row],[管理番号]]=""),VLOOKUP(まとめ表_各店舗件数[[#This Row],[管理番号]],名前リスト[[#All],[管理番号]:[氏名]],2,TRUE),"")</f>
        <v>0</v>
      </c>
      <c r="C332" s="29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131" t="str">
        <f t="shared" si="5"/>
        <v/>
      </c>
      <c r="E33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2" s="134"/>
    </row>
    <row r="333" spans="1:29">
      <c r="A333" s="20">
        <f>名前リスト[[#This Row],[管理番号]]</f>
        <v>1076</v>
      </c>
      <c r="B333" s="28">
        <f>IF(NOT(まとめ表_各店舗件数[[#This Row],[管理番号]]=""),VLOOKUP(まとめ表_各店舗件数[[#This Row],[管理番号]],名前リスト[[#All],[管理番号]:[氏名]],2,TRUE),"")</f>
        <v>0</v>
      </c>
      <c r="C333" s="29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131" t="str">
        <f t="shared" si="5"/>
        <v/>
      </c>
      <c r="E33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3" s="134"/>
    </row>
    <row r="334" spans="1:29">
      <c r="A334" s="20">
        <f>名前リスト[[#This Row],[管理番号]]</f>
        <v>1077</v>
      </c>
      <c r="B334" s="28">
        <f>IF(NOT(まとめ表_各店舗件数[[#This Row],[管理番号]]=""),VLOOKUP(まとめ表_各店舗件数[[#This Row],[管理番号]],名前リスト[[#All],[管理番号]:[氏名]],2,TRUE),"")</f>
        <v>0</v>
      </c>
      <c r="C334" s="29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131" t="str">
        <f t="shared" si="5"/>
        <v/>
      </c>
      <c r="E33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4" s="134"/>
    </row>
    <row r="335" spans="1:29">
      <c r="A335" s="20">
        <f>名前リスト[[#This Row],[管理番号]]</f>
        <v>1078</v>
      </c>
      <c r="B335" s="28">
        <f>IF(NOT(まとめ表_各店舗件数[[#This Row],[管理番号]]=""),VLOOKUP(まとめ表_各店舗件数[[#This Row],[管理番号]],名前リスト[[#All],[管理番号]:[氏名]],2,TRUE),"")</f>
        <v>0</v>
      </c>
      <c r="C335" s="29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131" t="str">
        <f t="shared" si="5"/>
        <v/>
      </c>
      <c r="E33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5" s="134"/>
    </row>
    <row r="336" spans="1:29">
      <c r="A336" s="20">
        <f>名前リスト[[#This Row],[管理番号]]</f>
        <v>1079</v>
      </c>
      <c r="B336" s="28">
        <f>IF(NOT(まとめ表_各店舗件数[[#This Row],[管理番号]]=""),VLOOKUP(まとめ表_各店舗件数[[#This Row],[管理番号]],名前リスト[[#All],[管理番号]:[氏名]],2,TRUE),"")</f>
        <v>0</v>
      </c>
      <c r="C336" s="29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131" t="str">
        <f t="shared" si="5"/>
        <v/>
      </c>
      <c r="E33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6" s="134"/>
    </row>
    <row r="337" spans="1:29">
      <c r="A337" s="20">
        <f>名前リスト[[#This Row],[管理番号]]</f>
        <v>1080</v>
      </c>
      <c r="B337" s="28">
        <f>IF(NOT(まとめ表_各店舗件数[[#This Row],[管理番号]]=""),VLOOKUP(まとめ表_各店舗件数[[#This Row],[管理番号]],名前リスト[[#All],[管理番号]:[氏名]],2,TRUE),"")</f>
        <v>0</v>
      </c>
      <c r="C337" s="29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131" t="str">
        <f t="shared" si="5"/>
        <v/>
      </c>
      <c r="E33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7" s="134"/>
    </row>
    <row r="338" spans="1:29">
      <c r="A338" s="20">
        <f>名前リスト[[#This Row],[管理番号]]</f>
        <v>1081</v>
      </c>
      <c r="B338" s="28">
        <f>IF(NOT(まとめ表_各店舗件数[[#This Row],[管理番号]]=""),VLOOKUP(まとめ表_各店舗件数[[#This Row],[管理番号]],名前リスト[[#All],[管理番号]:[氏名]],2,TRUE),"")</f>
        <v>0</v>
      </c>
      <c r="C338" s="29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131" t="str">
        <f t="shared" si="5"/>
        <v/>
      </c>
      <c r="E33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8" s="134"/>
    </row>
    <row r="339" spans="1:29">
      <c r="A339" s="20">
        <f>名前リスト[[#This Row],[管理番号]]</f>
        <v>1082</v>
      </c>
      <c r="B339" s="28">
        <f>IF(NOT(まとめ表_各店舗件数[[#This Row],[管理番号]]=""),VLOOKUP(まとめ表_各店舗件数[[#This Row],[管理番号]],名前リスト[[#All],[管理番号]:[氏名]],2,TRUE),"")</f>
        <v>0</v>
      </c>
      <c r="C339" s="29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131" t="str">
        <f t="shared" si="5"/>
        <v/>
      </c>
      <c r="E33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3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39" s="134"/>
    </row>
    <row r="340" spans="1:29">
      <c r="A340" s="20">
        <f>名前リスト[[#This Row],[管理番号]]</f>
        <v>1083</v>
      </c>
      <c r="B340" s="28">
        <f>IF(NOT(まとめ表_各店舗件数[[#This Row],[管理番号]]=""),VLOOKUP(まとめ表_各店舗件数[[#This Row],[管理番号]],名前リスト[[#All],[管理番号]:[氏名]],2,TRUE),"")</f>
        <v>0</v>
      </c>
      <c r="C340" s="29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131" t="str">
        <f t="shared" si="5"/>
        <v/>
      </c>
      <c r="E34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0" s="134"/>
    </row>
    <row r="341" spans="1:29">
      <c r="A341" s="20">
        <f>名前リスト[[#This Row],[管理番号]]</f>
        <v>1084</v>
      </c>
      <c r="B341" s="28">
        <f>IF(NOT(まとめ表_各店舗件数[[#This Row],[管理番号]]=""),VLOOKUP(まとめ表_各店舗件数[[#This Row],[管理番号]],名前リスト[[#All],[管理番号]:[氏名]],2,TRUE),"")</f>
        <v>0</v>
      </c>
      <c r="C341" s="29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131" t="str">
        <f t="shared" si="5"/>
        <v/>
      </c>
      <c r="E34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1" s="134"/>
    </row>
    <row r="342" spans="1:29">
      <c r="A342" s="20">
        <f>名前リスト[[#This Row],[管理番号]]</f>
        <v>1085</v>
      </c>
      <c r="B342" s="28">
        <f>IF(NOT(まとめ表_各店舗件数[[#This Row],[管理番号]]=""),VLOOKUP(まとめ表_各店舗件数[[#This Row],[管理番号]],名前リスト[[#All],[管理番号]:[氏名]],2,TRUE),"")</f>
        <v>0</v>
      </c>
      <c r="C342" s="29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131" t="str">
        <f t="shared" si="5"/>
        <v/>
      </c>
      <c r="E342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2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2" s="134"/>
    </row>
    <row r="343" spans="1:29">
      <c r="A343" s="20">
        <f>名前リスト[[#This Row],[管理番号]]</f>
        <v>1086</v>
      </c>
      <c r="B343" s="28">
        <f>IF(NOT(まとめ表_各店舗件数[[#This Row],[管理番号]]=""),VLOOKUP(まとめ表_各店舗件数[[#This Row],[管理番号]],名前リスト[[#All],[管理番号]:[氏名]],2,TRUE),"")</f>
        <v>0</v>
      </c>
      <c r="C343" s="29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131" t="str">
        <f t="shared" si="5"/>
        <v/>
      </c>
      <c r="E343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3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3" s="134"/>
    </row>
    <row r="344" spans="1:29">
      <c r="A344" s="20">
        <f>名前リスト[[#This Row],[管理番号]]</f>
        <v>1087</v>
      </c>
      <c r="B344" s="28">
        <f>IF(NOT(まとめ表_各店舗件数[[#This Row],[管理番号]]=""),VLOOKUP(まとめ表_各店舗件数[[#This Row],[管理番号]],名前リスト[[#All],[管理番号]:[氏名]],2,TRUE),"")</f>
        <v>0</v>
      </c>
      <c r="C344" s="29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131" t="str">
        <f t="shared" si="5"/>
        <v/>
      </c>
      <c r="E344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4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4" s="134"/>
    </row>
    <row r="345" spans="1:29">
      <c r="A345" s="20">
        <f>名前リスト[[#This Row],[管理番号]]</f>
        <v>1088</v>
      </c>
      <c r="B345" s="28">
        <f>IF(NOT(まとめ表_各店舗件数[[#This Row],[管理番号]]=""),VLOOKUP(まとめ表_各店舗件数[[#This Row],[管理番号]],名前リスト[[#All],[管理番号]:[氏名]],2,TRUE),"")</f>
        <v>0</v>
      </c>
      <c r="C345" s="29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131" t="str">
        <f t="shared" si="5"/>
        <v/>
      </c>
      <c r="E345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5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5" s="134"/>
    </row>
    <row r="346" spans="1:29">
      <c r="A346" s="20">
        <f>名前リスト[[#This Row],[管理番号]]</f>
        <v>1089</v>
      </c>
      <c r="B346" s="28">
        <f>IF(NOT(まとめ表_各店舗件数[[#This Row],[管理番号]]=""),VLOOKUP(まとめ表_各店舗件数[[#This Row],[管理番号]],名前リスト[[#All],[管理番号]:[氏名]],2,TRUE),"")</f>
        <v>0</v>
      </c>
      <c r="C346" s="29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131" t="str">
        <f t="shared" si="5"/>
        <v/>
      </c>
      <c r="E346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6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6" s="134"/>
    </row>
    <row r="347" spans="1:29">
      <c r="A347" s="20">
        <f>名前リスト[[#This Row],[管理番号]]</f>
        <v>1090</v>
      </c>
      <c r="B347" s="28">
        <f>IF(NOT(まとめ表_各店舗件数[[#This Row],[管理番号]]=""),VLOOKUP(まとめ表_各店舗件数[[#This Row],[管理番号]],名前リスト[[#All],[管理番号]:[氏名]],2,TRUE),"")</f>
        <v>0</v>
      </c>
      <c r="C347" s="29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131" t="str">
        <f t="shared" si="5"/>
        <v/>
      </c>
      <c r="E347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7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7" s="134"/>
    </row>
    <row r="348" spans="1:29">
      <c r="A348" s="20">
        <f>名前リスト[[#This Row],[管理番号]]</f>
        <v>1091</v>
      </c>
      <c r="B348" s="28">
        <f>IF(NOT(まとめ表_各店舗件数[[#This Row],[管理番号]]=""),VLOOKUP(まとめ表_各店舗件数[[#This Row],[管理番号]],名前リスト[[#All],[管理番号]:[氏名]],2,TRUE),"")</f>
        <v>0</v>
      </c>
      <c r="C348" s="29">
        <f>IF(NOT(まとめ表_各店舗件数[[#This Row],[管理番号]]=""),VLOOKUP(まとめ表_各店舗件数[[#This Row],[管理番号]],名前リスト[[#All],[管理番号]:[氏名]],3,TRUE),"")</f>
        <v>0</v>
      </c>
      <c r="D348" s="131" t="str">
        <f t="shared" si="5"/>
        <v/>
      </c>
      <c r="E348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8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8" s="134"/>
    </row>
    <row r="349" spans="1:29">
      <c r="A349" s="20">
        <f>名前リスト[[#This Row],[管理番号]]</f>
        <v>1092</v>
      </c>
      <c r="B349" s="28">
        <f>IF(NOT(まとめ表_各店舗件数[[#This Row],[管理番号]]=""),VLOOKUP(まとめ表_各店舗件数[[#This Row],[管理番号]],名前リスト[[#All],[管理番号]:[氏名]],2,TRUE),"")</f>
        <v>0</v>
      </c>
      <c r="C349" s="29">
        <f>IF(NOT(まとめ表_各店舗件数[[#This Row],[管理番号]]=""),VLOOKUP(まとめ表_各店舗件数[[#This Row],[管理番号]],名前リスト[[#All],[管理番号]:[氏名]],3,TRUE),"")</f>
        <v>0</v>
      </c>
      <c r="D349" s="131" t="str">
        <f t="shared" si="5"/>
        <v/>
      </c>
      <c r="E349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49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49" s="134"/>
    </row>
    <row r="350" spans="1:29">
      <c r="A350" s="20">
        <f>名前リスト[[#This Row],[管理番号]]</f>
        <v>1093</v>
      </c>
      <c r="B350" s="28">
        <f>IF(NOT(まとめ表_各店舗件数[[#This Row],[管理番号]]=""),VLOOKUP(まとめ表_各店舗件数[[#This Row],[管理番号]],名前リスト[[#All],[管理番号]:[氏名]],2,TRUE),"")</f>
        <v>0</v>
      </c>
      <c r="C350" s="29">
        <f>IF(NOT(まとめ表_各店舗件数[[#This Row],[管理番号]]=""),VLOOKUP(まとめ表_各店舗件数[[#This Row],[管理番号]],名前リスト[[#All],[管理番号]:[氏名]],3,TRUE),"")</f>
        <v>0</v>
      </c>
      <c r="D350" s="131" t="str">
        <f t="shared" si="5"/>
        <v/>
      </c>
      <c r="E350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50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50" s="134"/>
    </row>
    <row r="351" spans="1:29">
      <c r="A351" s="20">
        <f>名前リスト[[#This Row],[管理番号]]</f>
        <v>1094</v>
      </c>
      <c r="B351" s="28" t="str">
        <f>IF(NOT(まとめ表_各店舗件数[[#This Row],[管理番号]]=""),VLOOKUP(まとめ表_各店舗件数[[#This Row],[管理番号]],名前リスト[[#All],[管理番号]:[氏名]],2,TRUE),"")</f>
        <v>たくま</v>
      </c>
      <c r="C351" s="29">
        <f>IF(NOT(まとめ表_各店舗件数[[#This Row],[管理番号]]=""),VLOOKUP(まとめ表_各店舗件数[[#This Row],[管理番号]],名前リスト[[#All],[管理番号]:[氏名]],3,TRUE),"")</f>
        <v>0</v>
      </c>
      <c r="D351" s="131" t="str">
        <f t="shared" si="5"/>
        <v/>
      </c>
      <c r="E351" s="13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33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33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33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33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33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33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33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33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33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33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33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33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33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33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33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33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33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33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33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133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B351" s="90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C351" s="134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C351"/>
  <sheetViews>
    <sheetView topLeftCell="R1" workbookViewId="0">
      <selection activeCell="AB2" sqref="AB2"/>
    </sheetView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9">
      <c r="A1" s="91" t="s">
        <v>234</v>
      </c>
      <c r="B1" s="11" t="s">
        <v>197</v>
      </c>
      <c r="C1" s="11" t="s">
        <v>198</v>
      </c>
      <c r="D1" s="124" t="s">
        <v>377</v>
      </c>
      <c r="E1" s="125" t="s">
        <v>199</v>
      </c>
      <c r="F1" s="125" t="s">
        <v>200</v>
      </c>
      <c r="G1" s="125" t="s">
        <v>201</v>
      </c>
      <c r="H1" s="125" t="s">
        <v>202</v>
      </c>
      <c r="I1" s="125" t="s">
        <v>203</v>
      </c>
      <c r="J1" s="66" t="s">
        <v>326</v>
      </c>
      <c r="K1" s="66" t="s">
        <v>323</v>
      </c>
      <c r="L1" s="125" t="s">
        <v>204</v>
      </c>
      <c r="M1" s="125" t="s">
        <v>227</v>
      </c>
      <c r="N1" s="125" t="s">
        <v>228</v>
      </c>
      <c r="O1" s="125" t="s">
        <v>229</v>
      </c>
      <c r="P1" s="125" t="s">
        <v>230</v>
      </c>
      <c r="Q1" s="125" t="s">
        <v>231</v>
      </c>
      <c r="R1" s="66" t="s">
        <v>246</v>
      </c>
      <c r="S1" s="66" t="s">
        <v>252</v>
      </c>
      <c r="T1" s="66" t="s">
        <v>318</v>
      </c>
      <c r="U1" s="66" t="s">
        <v>319</v>
      </c>
      <c r="V1" s="66" t="s">
        <v>320</v>
      </c>
      <c r="W1" s="66" t="s">
        <v>321</v>
      </c>
      <c r="X1" s="66" t="s">
        <v>328</v>
      </c>
      <c r="Y1" s="66" t="s">
        <v>322</v>
      </c>
      <c r="Z1" s="66" t="s">
        <v>327</v>
      </c>
      <c r="AA1" s="66" t="s">
        <v>329</v>
      </c>
      <c r="AB1" s="126" t="s">
        <v>330</v>
      </c>
      <c r="AC1" s="139" t="s">
        <v>522</v>
      </c>
    </row>
    <row r="2" spans="1:29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90" t="str">
        <f t="shared" ref="D2:D65" si="0">IF(SUM(E2:XFD2)=0,"",SUM(E2:XFD2))</f>
        <v/>
      </c>
      <c r="E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9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9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9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9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9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9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9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9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9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9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9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9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9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9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9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9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9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9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9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9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9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9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9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9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9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9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9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9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9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9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9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9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9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9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90" t="str">
        <f t="shared" si="0"/>
        <v/>
      </c>
      <c r="E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9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90" t="str">
        <f t="shared" si="0"/>
        <v/>
      </c>
      <c r="E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9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90" t="str">
        <f t="shared" si="0"/>
        <v/>
      </c>
      <c r="E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9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90" t="str">
        <f t="shared" si="0"/>
        <v/>
      </c>
      <c r="E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9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90" t="str">
        <f t="shared" si="0"/>
        <v/>
      </c>
      <c r="E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9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90" t="str">
        <f t="shared" si="0"/>
        <v/>
      </c>
      <c r="E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9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90" t="str">
        <f t="shared" si="0"/>
        <v/>
      </c>
      <c r="E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9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90" t="str">
        <f t="shared" si="0"/>
        <v/>
      </c>
      <c r="E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9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90" t="str">
        <f t="shared" si="0"/>
        <v/>
      </c>
      <c r="E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9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90" t="str">
        <f t="shared" si="0"/>
        <v/>
      </c>
      <c r="E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9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90" t="str">
        <f t="shared" si="0"/>
        <v/>
      </c>
      <c r="E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9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90" t="str">
        <f t="shared" si="0"/>
        <v/>
      </c>
      <c r="E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9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90" t="str">
        <f t="shared" si="0"/>
        <v/>
      </c>
      <c r="E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9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90" t="str">
        <f t="shared" si="0"/>
        <v/>
      </c>
      <c r="E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4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4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9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90" t="str">
        <f t="shared" si="0"/>
        <v/>
      </c>
      <c r="E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9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90" t="str">
        <f t="shared" si="0"/>
        <v/>
      </c>
      <c r="E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9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90" t="str">
        <f t="shared" si="0"/>
        <v/>
      </c>
      <c r="E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9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90" t="str">
        <f t="shared" si="0"/>
        <v/>
      </c>
      <c r="E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9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90" t="str">
        <f t="shared" si="0"/>
        <v/>
      </c>
      <c r="E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9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90" t="str">
        <f t="shared" si="0"/>
        <v/>
      </c>
      <c r="E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9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90" t="str">
        <f t="shared" si="0"/>
        <v/>
      </c>
      <c r="E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9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90" t="str">
        <f t="shared" si="0"/>
        <v/>
      </c>
      <c r="E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9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90" t="str">
        <f t="shared" si="0"/>
        <v/>
      </c>
      <c r="E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9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90" t="str">
        <f t="shared" si="0"/>
        <v/>
      </c>
      <c r="E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5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5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9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90" t="str">
        <f t="shared" si="0"/>
        <v/>
      </c>
      <c r="E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9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90" t="str">
        <f t="shared" si="0"/>
        <v/>
      </c>
      <c r="E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9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90" t="str">
        <f t="shared" si="0"/>
        <v/>
      </c>
      <c r="E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9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90" t="str">
        <f t="shared" si="0"/>
        <v/>
      </c>
      <c r="E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9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90" t="str">
        <f t="shared" si="0"/>
        <v/>
      </c>
      <c r="E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9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90" t="str">
        <f t="shared" si="0"/>
        <v/>
      </c>
      <c r="E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9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90" t="str">
        <f t="shared" ref="D66:D129" si="1">IF(SUM(E66:XFD66)=0,"",SUM(E66:XFD66))</f>
        <v/>
      </c>
      <c r="E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9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9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9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6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6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9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9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9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9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9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9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9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9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9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9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7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7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9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9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9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9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9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9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9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9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9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9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8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8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9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9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9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9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9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9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9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9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9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9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9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9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9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9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90" t="str">
        <f t="shared" si="1"/>
        <v/>
      </c>
      <c r="E1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9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90" t="str">
        <f t="shared" si="1"/>
        <v/>
      </c>
      <c r="E1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9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90" t="str">
        <f t="shared" si="1"/>
        <v/>
      </c>
      <c r="E1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9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90" t="str">
        <f t="shared" si="1"/>
        <v/>
      </c>
      <c r="E1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9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90" t="str">
        <f t="shared" si="1"/>
        <v/>
      </c>
      <c r="E10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9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90" t="str">
        <f t="shared" si="1"/>
        <v/>
      </c>
      <c r="E10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9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90" t="str">
        <f t="shared" si="1"/>
        <v/>
      </c>
      <c r="E10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9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90" t="str">
        <f t="shared" si="1"/>
        <v/>
      </c>
      <c r="E10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9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90" t="str">
        <f t="shared" si="1"/>
        <v/>
      </c>
      <c r="E10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0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0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9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90" t="str">
        <f t="shared" si="1"/>
        <v/>
      </c>
      <c r="E1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9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90" t="str">
        <f t="shared" si="1"/>
        <v/>
      </c>
      <c r="E1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9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90" t="str">
        <f t="shared" si="1"/>
        <v/>
      </c>
      <c r="E1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9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90" t="str">
        <f t="shared" si="1"/>
        <v/>
      </c>
      <c r="E1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9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90" t="str">
        <f t="shared" si="1"/>
        <v/>
      </c>
      <c r="E1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9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90" t="str">
        <f t="shared" si="1"/>
        <v/>
      </c>
      <c r="E1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9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90" t="str">
        <f t="shared" si="1"/>
        <v/>
      </c>
      <c r="E1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9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90" t="str">
        <f t="shared" si="1"/>
        <v/>
      </c>
      <c r="E1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9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90" t="str">
        <f t="shared" si="1"/>
        <v/>
      </c>
      <c r="E1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9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90" t="str">
        <f t="shared" si="1"/>
        <v/>
      </c>
      <c r="E1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1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1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9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90" t="str">
        <f t="shared" si="1"/>
        <v/>
      </c>
      <c r="E1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9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90" t="str">
        <f t="shared" si="1"/>
        <v/>
      </c>
      <c r="E1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9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90" t="str">
        <f t="shared" si="1"/>
        <v/>
      </c>
      <c r="E1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9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90" t="str">
        <f t="shared" si="1"/>
        <v/>
      </c>
      <c r="E1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9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90" t="str">
        <f t="shared" si="1"/>
        <v/>
      </c>
      <c r="E1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9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90" t="str">
        <f t="shared" si="1"/>
        <v/>
      </c>
      <c r="E1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9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90" t="str">
        <f t="shared" si="1"/>
        <v/>
      </c>
      <c r="E1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9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90" t="str">
        <f t="shared" si="1"/>
        <v/>
      </c>
      <c r="E1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9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90" t="str">
        <f t="shared" si="1"/>
        <v/>
      </c>
      <c r="E1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9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90" t="str">
        <f t="shared" si="1"/>
        <v/>
      </c>
      <c r="E1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2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2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9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90" t="str">
        <f t="shared" ref="D130:D193" si="2">IF(SUM(E130:XFD130)=0,"",SUM(E130:XFD130))</f>
        <v/>
      </c>
      <c r="E1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9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9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9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9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9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9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9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9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9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3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3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9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9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9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9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9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9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9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9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9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9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4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4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9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9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9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9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9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9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9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9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9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9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5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5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9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9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9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9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9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9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90" t="str">
        <f t="shared" si="2"/>
        <v/>
      </c>
      <c r="E1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9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90" t="str">
        <f t="shared" si="2"/>
        <v/>
      </c>
      <c r="E1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9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90" t="str">
        <f t="shared" si="2"/>
        <v/>
      </c>
      <c r="E1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9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90" t="str">
        <f t="shared" si="2"/>
        <v/>
      </c>
      <c r="E1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9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90" t="str">
        <f t="shared" si="2"/>
        <v/>
      </c>
      <c r="E1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6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6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9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90" t="str">
        <f t="shared" si="2"/>
        <v/>
      </c>
      <c r="E1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9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90" t="str">
        <f t="shared" si="2"/>
        <v/>
      </c>
      <c r="E1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9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90" t="str">
        <f t="shared" si="2"/>
        <v/>
      </c>
      <c r="E1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9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90" t="str">
        <f t="shared" si="2"/>
        <v/>
      </c>
      <c r="E1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9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90" t="str">
        <f t="shared" si="2"/>
        <v/>
      </c>
      <c r="E1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9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90" t="str">
        <f t="shared" si="2"/>
        <v/>
      </c>
      <c r="E1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9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90" t="str">
        <f t="shared" si="2"/>
        <v/>
      </c>
      <c r="E1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9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90" t="str">
        <f t="shared" si="2"/>
        <v/>
      </c>
      <c r="E1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9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90" t="str">
        <f t="shared" si="2"/>
        <v/>
      </c>
      <c r="E1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9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90" t="str">
        <f t="shared" si="2"/>
        <v/>
      </c>
      <c r="E1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7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7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9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90" t="str">
        <f t="shared" si="2"/>
        <v/>
      </c>
      <c r="E1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9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90" t="str">
        <f t="shared" si="2"/>
        <v/>
      </c>
      <c r="E1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9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90" t="str">
        <f t="shared" si="2"/>
        <v/>
      </c>
      <c r="E1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9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90" t="str">
        <f t="shared" si="2"/>
        <v/>
      </c>
      <c r="E1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9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90" t="str">
        <f t="shared" si="2"/>
        <v/>
      </c>
      <c r="E1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9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90" t="str">
        <f t="shared" si="2"/>
        <v/>
      </c>
      <c r="E1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9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90" t="str">
        <f t="shared" si="2"/>
        <v/>
      </c>
      <c r="E1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9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90" t="str">
        <f t="shared" si="2"/>
        <v/>
      </c>
      <c r="E1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9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90" t="str">
        <f t="shared" si="2"/>
        <v/>
      </c>
      <c r="E1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9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90" t="str">
        <f t="shared" si="2"/>
        <v/>
      </c>
      <c r="E1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8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8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9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90" t="str">
        <f t="shared" si="2"/>
        <v/>
      </c>
      <c r="E1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9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90" t="str">
        <f t="shared" si="2"/>
        <v/>
      </c>
      <c r="E1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9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90" t="str">
        <f t="shared" si="2"/>
        <v/>
      </c>
      <c r="E1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9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90" t="str">
        <f t="shared" si="2"/>
        <v/>
      </c>
      <c r="E1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9">
      <c r="A194" s="20">
        <f>名前リスト[[#This Row],[管理番号]]</f>
        <v>193</v>
      </c>
      <c r="B194" s="28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8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90" t="str">
        <f t="shared" ref="D194:D257" si="3">IF(SUM(E194:XFD194)=0,"",SUM(E194:XFD194))</f>
        <v/>
      </c>
      <c r="E1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9">
      <c r="A195" s="20">
        <f>名前リスト[[#This Row],[管理番号]]</f>
        <v>194</v>
      </c>
      <c r="B195" s="28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8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5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9">
      <c r="A196" s="20">
        <f>名前リスト[[#This Row],[管理番号]]</f>
        <v>195</v>
      </c>
      <c r="B196" s="28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8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6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9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7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9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8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9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199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19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9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0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9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1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9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2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9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3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9">
      <c r="A204" s="127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28" t="str">
        <f t="shared" si="3"/>
        <v/>
      </c>
      <c r="E2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4" s="93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9">
      <c r="A205" s="127">
        <f>名前リスト[[#This Row],[管理番号]]</f>
        <v>204</v>
      </c>
      <c r="B205" s="28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8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4" t="str">
        <f t="shared" si="3"/>
        <v/>
      </c>
      <c r="E20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9">
      <c r="A206" s="127">
        <f>名前リスト[[#This Row],[管理番号]]</f>
        <v>205</v>
      </c>
      <c r="B206" s="28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8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4" t="str">
        <f t="shared" si="3"/>
        <v/>
      </c>
      <c r="E20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9">
      <c r="A207" s="127">
        <f>名前リスト[[#This Row],[管理番号]]</f>
        <v>206</v>
      </c>
      <c r="B207" s="28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8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4" t="str">
        <f t="shared" si="3"/>
        <v/>
      </c>
      <c r="E20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9">
      <c r="A208" s="127">
        <f>名前リスト[[#This Row],[管理番号]]</f>
        <v>207</v>
      </c>
      <c r="B208" s="28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28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134" t="str">
        <f t="shared" si="3"/>
        <v/>
      </c>
      <c r="E20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9">
      <c r="A209" s="127">
        <f>名前リスト[[#This Row],[管理番号]]</f>
        <v>208</v>
      </c>
      <c r="B209" s="28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28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134" t="str">
        <f t="shared" si="3"/>
        <v/>
      </c>
      <c r="E20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0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0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9">
      <c r="A210" s="127">
        <f>名前リスト[[#This Row],[管理番号]]</f>
        <v>209</v>
      </c>
      <c r="B210" s="28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28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134" t="str">
        <f t="shared" si="3"/>
        <v/>
      </c>
      <c r="E21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9">
      <c r="A211" s="127">
        <f>名前リスト[[#This Row],[管理番号]]</f>
        <v>210</v>
      </c>
      <c r="B211" s="28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28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134" t="str">
        <f t="shared" si="3"/>
        <v/>
      </c>
      <c r="E21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9">
      <c r="A212" s="127">
        <f>名前リスト[[#This Row],[管理番号]]</f>
        <v>211</v>
      </c>
      <c r="B212" s="28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28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134" t="str">
        <f t="shared" si="3"/>
        <v/>
      </c>
      <c r="E21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9">
      <c r="A213" s="127">
        <f>名前リスト[[#This Row],[管理番号]]</f>
        <v>212</v>
      </c>
      <c r="B213" s="28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28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134" t="str">
        <f t="shared" si="3"/>
        <v/>
      </c>
      <c r="E21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9">
      <c r="A214" s="127">
        <f>名前リスト[[#This Row],[管理番号]]</f>
        <v>213</v>
      </c>
      <c r="B214" s="28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28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134" t="str">
        <f t="shared" si="3"/>
        <v/>
      </c>
      <c r="E21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9">
      <c r="A215" s="127">
        <f>名前リスト[[#This Row],[管理番号]]</f>
        <v>214</v>
      </c>
      <c r="B215" s="28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28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134" t="str">
        <f t="shared" si="3"/>
        <v/>
      </c>
      <c r="E21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9">
      <c r="A216" s="127">
        <f>名前リスト[[#This Row],[管理番号]]</f>
        <v>215</v>
      </c>
      <c r="B216" s="28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28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134" t="str">
        <f t="shared" si="3"/>
        <v/>
      </c>
      <c r="E21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9">
      <c r="A217" s="127">
        <f>名前リスト[[#This Row],[管理番号]]</f>
        <v>216</v>
      </c>
      <c r="B217" s="28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28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134" t="str">
        <f t="shared" si="3"/>
        <v/>
      </c>
      <c r="E21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9">
      <c r="A218" s="127">
        <f>名前リスト[[#This Row],[管理番号]]</f>
        <v>217</v>
      </c>
      <c r="B218" s="28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28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134" t="str">
        <f t="shared" si="3"/>
        <v/>
      </c>
      <c r="E21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9">
      <c r="A219" s="127">
        <f>名前リスト[[#This Row],[管理番号]]</f>
        <v>218</v>
      </c>
      <c r="B219" s="28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28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134" t="str">
        <f t="shared" si="3"/>
        <v/>
      </c>
      <c r="E21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1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1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9">
      <c r="A220" s="127">
        <f>名前リスト[[#This Row],[管理番号]]</f>
        <v>219</v>
      </c>
      <c r="B220" s="28">
        <f>IF(NOT(まとめ表_各Aパターン件数[[#This Row],[管理番号]]=""),VLOOKUP(まとめ表_各Aパターン件数[[#This Row],[管理番号]],名前リスト[[#All],[管理番号]:[氏名]],2,TRUE),"")</f>
        <v>0</v>
      </c>
      <c r="C220" s="28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134" t="str">
        <f t="shared" si="3"/>
        <v/>
      </c>
      <c r="E22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9">
      <c r="A221" s="127">
        <f>名前リスト[[#This Row],[管理番号]]</f>
        <v>220</v>
      </c>
      <c r="B221" s="28">
        <f>IF(NOT(まとめ表_各Aパターン件数[[#This Row],[管理番号]]=""),VLOOKUP(まとめ表_各Aパターン件数[[#This Row],[管理番号]],名前リスト[[#All],[管理番号]:[氏名]],2,TRUE),"")</f>
        <v>0</v>
      </c>
      <c r="C221" s="28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134" t="str">
        <f t="shared" si="3"/>
        <v/>
      </c>
      <c r="E22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9">
      <c r="A222" s="127">
        <f>名前リスト[[#This Row],[管理番号]]</f>
        <v>221</v>
      </c>
      <c r="B222" s="28">
        <f>IF(NOT(まとめ表_各Aパターン件数[[#This Row],[管理番号]]=""),VLOOKUP(まとめ表_各Aパターン件数[[#This Row],[管理番号]],名前リスト[[#All],[管理番号]:[氏名]],2,TRUE),"")</f>
        <v>0</v>
      </c>
      <c r="C222" s="28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134" t="str">
        <f t="shared" si="3"/>
        <v/>
      </c>
      <c r="E22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9">
      <c r="A223" s="127">
        <f>名前リスト[[#This Row],[管理番号]]</f>
        <v>222</v>
      </c>
      <c r="B223" s="28">
        <f>IF(NOT(まとめ表_各Aパターン件数[[#This Row],[管理番号]]=""),VLOOKUP(まとめ表_各Aパターン件数[[#This Row],[管理番号]],名前リスト[[#All],[管理番号]:[氏名]],2,TRUE),"")</f>
        <v>0</v>
      </c>
      <c r="C223" s="28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134" t="str">
        <f t="shared" si="3"/>
        <v/>
      </c>
      <c r="E22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9">
      <c r="A224" s="127">
        <f>名前リスト[[#This Row],[管理番号]]</f>
        <v>223</v>
      </c>
      <c r="B224" s="28">
        <f>IF(NOT(まとめ表_各Aパターン件数[[#This Row],[管理番号]]=""),VLOOKUP(まとめ表_各Aパターン件数[[#This Row],[管理番号]],名前リスト[[#All],[管理番号]:[氏名]],2,TRUE),"")</f>
        <v>0</v>
      </c>
      <c r="C224" s="28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134" t="str">
        <f t="shared" si="3"/>
        <v/>
      </c>
      <c r="E22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9">
      <c r="A225" s="127">
        <f>名前リスト[[#This Row],[管理番号]]</f>
        <v>224</v>
      </c>
      <c r="B225" s="28">
        <f>IF(NOT(まとめ表_各Aパターン件数[[#This Row],[管理番号]]=""),VLOOKUP(まとめ表_各Aパターン件数[[#This Row],[管理番号]],名前リスト[[#All],[管理番号]:[氏名]],2,TRUE),"")</f>
        <v>0</v>
      </c>
      <c r="C225" s="28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134" t="str">
        <f t="shared" si="3"/>
        <v/>
      </c>
      <c r="E22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9">
      <c r="A226" s="127">
        <f>名前リスト[[#This Row],[管理番号]]</f>
        <v>225</v>
      </c>
      <c r="B226" s="28">
        <f>IF(NOT(まとめ表_各Aパターン件数[[#This Row],[管理番号]]=""),VLOOKUP(まとめ表_各Aパターン件数[[#This Row],[管理番号]],名前リスト[[#All],[管理番号]:[氏名]],2,TRUE),"")</f>
        <v>0</v>
      </c>
      <c r="C226" s="28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134" t="str">
        <f t="shared" si="3"/>
        <v/>
      </c>
      <c r="E22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9">
      <c r="A227" s="127">
        <f>名前リスト[[#This Row],[管理番号]]</f>
        <v>226</v>
      </c>
      <c r="B227" s="28">
        <f>IF(NOT(まとめ表_各Aパターン件数[[#This Row],[管理番号]]=""),VLOOKUP(まとめ表_各Aパターン件数[[#This Row],[管理番号]],名前リスト[[#All],[管理番号]:[氏名]],2,TRUE),"")</f>
        <v>0</v>
      </c>
      <c r="C227" s="28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134" t="str">
        <f t="shared" si="3"/>
        <v/>
      </c>
      <c r="E22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9">
      <c r="A228" s="127">
        <f>名前リスト[[#This Row],[管理番号]]</f>
        <v>227</v>
      </c>
      <c r="B228" s="28">
        <f>IF(NOT(まとめ表_各Aパターン件数[[#This Row],[管理番号]]=""),VLOOKUP(まとめ表_各Aパターン件数[[#This Row],[管理番号]],名前リスト[[#All],[管理番号]:[氏名]],2,TRUE),"")</f>
        <v>0</v>
      </c>
      <c r="C228" s="28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134" t="str">
        <f t="shared" si="3"/>
        <v/>
      </c>
      <c r="E22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9">
      <c r="A229" s="127">
        <f>名前リスト[[#This Row],[管理番号]]</f>
        <v>228</v>
      </c>
      <c r="B229" s="28">
        <f>IF(NOT(まとめ表_各Aパターン件数[[#This Row],[管理番号]]=""),VLOOKUP(まとめ表_各Aパターン件数[[#This Row],[管理番号]],名前リスト[[#All],[管理番号]:[氏名]],2,TRUE),"")</f>
        <v>0</v>
      </c>
      <c r="C229" s="28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134" t="str">
        <f t="shared" si="3"/>
        <v/>
      </c>
      <c r="E22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2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2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9">
      <c r="A230" s="127">
        <f>名前リスト[[#This Row],[管理番号]]</f>
        <v>229</v>
      </c>
      <c r="B230" s="28">
        <f>IF(NOT(まとめ表_各Aパターン件数[[#This Row],[管理番号]]=""),VLOOKUP(まとめ表_各Aパターン件数[[#This Row],[管理番号]],名前リスト[[#All],[管理番号]:[氏名]],2,TRUE),"")</f>
        <v>0</v>
      </c>
      <c r="C230" s="28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134" t="str">
        <f t="shared" si="3"/>
        <v/>
      </c>
      <c r="E23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9">
      <c r="A231" s="127">
        <f>名前リスト[[#This Row],[管理番号]]</f>
        <v>230</v>
      </c>
      <c r="B231" s="28">
        <f>IF(NOT(まとめ表_各Aパターン件数[[#This Row],[管理番号]]=""),VLOOKUP(まとめ表_各Aパターン件数[[#This Row],[管理番号]],名前リスト[[#All],[管理番号]:[氏名]],2,TRUE),"")</f>
        <v>0</v>
      </c>
      <c r="C231" s="28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134" t="str">
        <f t="shared" si="3"/>
        <v/>
      </c>
      <c r="E23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9">
      <c r="A232" s="127">
        <f>名前リスト[[#This Row],[管理番号]]</f>
        <v>231</v>
      </c>
      <c r="B232" s="28">
        <f>IF(NOT(まとめ表_各Aパターン件数[[#This Row],[管理番号]]=""),VLOOKUP(まとめ表_各Aパターン件数[[#This Row],[管理番号]],名前リスト[[#All],[管理番号]:[氏名]],2,TRUE),"")</f>
        <v>0</v>
      </c>
      <c r="C232" s="28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134" t="str">
        <f t="shared" si="3"/>
        <v/>
      </c>
      <c r="E23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9">
      <c r="A233" s="127">
        <f>名前リスト[[#This Row],[管理番号]]</f>
        <v>232</v>
      </c>
      <c r="B233" s="28">
        <f>IF(NOT(まとめ表_各Aパターン件数[[#This Row],[管理番号]]=""),VLOOKUP(まとめ表_各Aパターン件数[[#This Row],[管理番号]],名前リスト[[#All],[管理番号]:[氏名]],2,TRUE),"")</f>
        <v>0</v>
      </c>
      <c r="C233" s="28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134" t="str">
        <f t="shared" si="3"/>
        <v/>
      </c>
      <c r="E23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9">
      <c r="A234" s="127">
        <f>名前リスト[[#This Row],[管理番号]]</f>
        <v>233</v>
      </c>
      <c r="B234" s="28">
        <f>IF(NOT(まとめ表_各Aパターン件数[[#This Row],[管理番号]]=""),VLOOKUP(まとめ表_各Aパターン件数[[#This Row],[管理番号]],名前リスト[[#All],[管理番号]:[氏名]],2,TRUE),"")</f>
        <v>0</v>
      </c>
      <c r="C234" s="28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134" t="str">
        <f t="shared" si="3"/>
        <v/>
      </c>
      <c r="E23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9">
      <c r="A235" s="127">
        <f>名前リスト[[#This Row],[管理番号]]</f>
        <v>234</v>
      </c>
      <c r="B235" s="28">
        <f>IF(NOT(まとめ表_各Aパターン件数[[#This Row],[管理番号]]=""),VLOOKUP(まとめ表_各Aパターン件数[[#This Row],[管理番号]],名前リスト[[#All],[管理番号]:[氏名]],2,TRUE),"")</f>
        <v>0</v>
      </c>
      <c r="C235" s="28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134" t="str">
        <f t="shared" si="3"/>
        <v/>
      </c>
      <c r="E23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9">
      <c r="A236" s="127">
        <f>名前リスト[[#This Row],[管理番号]]</f>
        <v>235</v>
      </c>
      <c r="B236" s="28">
        <f>IF(NOT(まとめ表_各Aパターン件数[[#This Row],[管理番号]]=""),VLOOKUP(まとめ表_各Aパターン件数[[#This Row],[管理番号]],名前リスト[[#All],[管理番号]:[氏名]],2,TRUE),"")</f>
        <v>0</v>
      </c>
      <c r="C236" s="28">
        <f>IF(NOT(まとめ表_各Aパターン件数[[#This Row],[管理番号]]=""),VLOOKUP(まとめ表_各Aパターン件数[[#This Row],[管理番号]],名前リスト[[#All],[管理番号]:[氏名]],3,TRUE),"")</f>
        <v>0</v>
      </c>
      <c r="D236" s="134" t="str">
        <f t="shared" si="3"/>
        <v/>
      </c>
      <c r="E23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9">
      <c r="A237" s="127">
        <f>名前リスト[[#This Row],[管理番号]]</f>
        <v>236</v>
      </c>
      <c r="B237" s="28">
        <f>IF(NOT(まとめ表_各Aパターン件数[[#This Row],[管理番号]]=""),VLOOKUP(まとめ表_各Aパターン件数[[#This Row],[管理番号]],名前リスト[[#All],[管理番号]:[氏名]],2,TRUE),"")</f>
        <v>0</v>
      </c>
      <c r="C237" s="28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134" t="str">
        <f t="shared" si="3"/>
        <v/>
      </c>
      <c r="E23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9">
      <c r="A238" s="127">
        <f>名前リスト[[#This Row],[管理番号]]</f>
        <v>237</v>
      </c>
      <c r="B238" s="28">
        <f>IF(NOT(まとめ表_各Aパターン件数[[#This Row],[管理番号]]=""),VLOOKUP(まとめ表_各Aパターン件数[[#This Row],[管理番号]],名前リスト[[#All],[管理番号]:[氏名]],2,TRUE),"")</f>
        <v>0</v>
      </c>
      <c r="C238" s="28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134" t="str">
        <f t="shared" si="3"/>
        <v/>
      </c>
      <c r="E23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9">
      <c r="A239" s="127">
        <f>名前リスト[[#This Row],[管理番号]]</f>
        <v>238</v>
      </c>
      <c r="B239" s="28">
        <f>IF(NOT(まとめ表_各Aパターン件数[[#This Row],[管理番号]]=""),VLOOKUP(まとめ表_各Aパターン件数[[#This Row],[管理番号]],名前リスト[[#All],[管理番号]:[氏名]],2,TRUE),"")</f>
        <v>0</v>
      </c>
      <c r="C239" s="28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134" t="str">
        <f t="shared" si="3"/>
        <v/>
      </c>
      <c r="E23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3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3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9">
      <c r="A240" s="127">
        <f>名前リスト[[#This Row],[管理番号]]</f>
        <v>239</v>
      </c>
      <c r="B240" s="28">
        <f>IF(NOT(まとめ表_各Aパターン件数[[#This Row],[管理番号]]=""),VLOOKUP(まとめ表_各Aパターン件数[[#This Row],[管理番号]],名前リスト[[#All],[管理番号]:[氏名]],2,TRUE),"")</f>
        <v>0</v>
      </c>
      <c r="C240" s="28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134" t="str">
        <f t="shared" si="3"/>
        <v/>
      </c>
      <c r="E24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9">
      <c r="A241" s="127">
        <f>名前リスト[[#This Row],[管理番号]]</f>
        <v>240</v>
      </c>
      <c r="B241" s="28">
        <f>IF(NOT(まとめ表_各Aパターン件数[[#This Row],[管理番号]]=""),VLOOKUP(まとめ表_各Aパターン件数[[#This Row],[管理番号]],名前リスト[[#All],[管理番号]:[氏名]],2,TRUE),"")</f>
        <v>0</v>
      </c>
      <c r="C241" s="28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134" t="str">
        <f t="shared" si="3"/>
        <v/>
      </c>
      <c r="E24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9">
      <c r="A242" s="127">
        <f>名前リスト[[#This Row],[管理番号]]</f>
        <v>241</v>
      </c>
      <c r="B242" s="28">
        <f>IF(NOT(まとめ表_各Aパターン件数[[#This Row],[管理番号]]=""),VLOOKUP(まとめ表_各Aパターン件数[[#This Row],[管理番号]],名前リスト[[#All],[管理番号]:[氏名]],2,TRUE),"")</f>
        <v>0</v>
      </c>
      <c r="C242" s="28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134" t="str">
        <f t="shared" si="3"/>
        <v/>
      </c>
      <c r="E24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9">
      <c r="A243" s="127">
        <f>名前リスト[[#This Row],[管理番号]]</f>
        <v>242</v>
      </c>
      <c r="B243" s="28">
        <f>IF(NOT(まとめ表_各Aパターン件数[[#This Row],[管理番号]]=""),VLOOKUP(まとめ表_各Aパターン件数[[#This Row],[管理番号]],名前リスト[[#All],[管理番号]:[氏名]],2,TRUE),"")</f>
        <v>0</v>
      </c>
      <c r="C243" s="28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134" t="str">
        <f t="shared" si="3"/>
        <v/>
      </c>
      <c r="E24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9">
      <c r="A244" s="127">
        <f>名前リスト[[#This Row],[管理番号]]</f>
        <v>243</v>
      </c>
      <c r="B244" s="28">
        <f>IF(NOT(まとめ表_各Aパターン件数[[#This Row],[管理番号]]=""),VLOOKUP(まとめ表_各Aパターン件数[[#This Row],[管理番号]],名前リスト[[#All],[管理番号]:[氏名]],2,TRUE),"")</f>
        <v>0</v>
      </c>
      <c r="C244" s="28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134" t="str">
        <f t="shared" si="3"/>
        <v/>
      </c>
      <c r="E24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9">
      <c r="A245" s="127">
        <f>名前リスト[[#This Row],[管理番号]]</f>
        <v>244</v>
      </c>
      <c r="B245" s="28">
        <f>IF(NOT(まとめ表_各Aパターン件数[[#This Row],[管理番号]]=""),VLOOKUP(まとめ表_各Aパターン件数[[#This Row],[管理番号]],名前リスト[[#All],[管理番号]:[氏名]],2,TRUE),"")</f>
        <v>0</v>
      </c>
      <c r="C245" s="28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134" t="str">
        <f t="shared" si="3"/>
        <v/>
      </c>
      <c r="E24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9">
      <c r="A246" s="127">
        <f>名前リスト[[#This Row],[管理番号]]</f>
        <v>255</v>
      </c>
      <c r="B246" s="28">
        <f>IF(NOT(まとめ表_各Aパターン件数[[#This Row],[管理番号]]=""),VLOOKUP(まとめ表_各Aパターン件数[[#This Row],[管理番号]],名前リスト[[#All],[管理番号]:[氏名]],2,TRUE),"")</f>
        <v>0</v>
      </c>
      <c r="C246" s="28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134" t="str">
        <f t="shared" si="3"/>
        <v/>
      </c>
      <c r="E24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9">
      <c r="A247" s="127">
        <f>名前リスト[[#This Row],[管理番号]]</f>
        <v>256</v>
      </c>
      <c r="B247" s="28">
        <f>IF(NOT(まとめ表_各Aパターン件数[[#This Row],[管理番号]]=""),VLOOKUP(まとめ表_各Aパターン件数[[#This Row],[管理番号]],名前リスト[[#All],[管理番号]:[氏名]],2,TRUE),"")</f>
        <v>0</v>
      </c>
      <c r="C247" s="28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134" t="str">
        <f t="shared" si="3"/>
        <v/>
      </c>
      <c r="E24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9">
      <c r="A248" s="127">
        <f>名前リスト[[#This Row],[管理番号]]</f>
        <v>257</v>
      </c>
      <c r="B248" s="28">
        <f>IF(NOT(まとめ表_各Aパターン件数[[#This Row],[管理番号]]=""),VLOOKUP(まとめ表_各Aパターン件数[[#This Row],[管理番号]],名前リスト[[#All],[管理番号]:[氏名]],2,TRUE),"")</f>
        <v>0</v>
      </c>
      <c r="C248" s="28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134" t="str">
        <f t="shared" si="3"/>
        <v/>
      </c>
      <c r="E24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9">
      <c r="A249" s="127">
        <f>名前リスト[[#This Row],[管理番号]]</f>
        <v>258</v>
      </c>
      <c r="B249" s="28">
        <f>IF(NOT(まとめ表_各Aパターン件数[[#This Row],[管理番号]]=""),VLOOKUP(まとめ表_各Aパターン件数[[#This Row],[管理番号]],名前リスト[[#All],[管理番号]:[氏名]],2,TRUE),"")</f>
        <v>0</v>
      </c>
      <c r="C249" s="28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134" t="str">
        <f t="shared" si="3"/>
        <v/>
      </c>
      <c r="E24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4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4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9">
      <c r="A250" s="127">
        <f>名前リスト[[#This Row],[管理番号]]</f>
        <v>259</v>
      </c>
      <c r="B250" s="28">
        <f>IF(NOT(まとめ表_各Aパターン件数[[#This Row],[管理番号]]=""),VLOOKUP(まとめ表_各Aパターン件数[[#This Row],[管理番号]],名前リスト[[#All],[管理番号]:[氏名]],2,TRUE),"")</f>
        <v>0</v>
      </c>
      <c r="C250" s="28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134" t="str">
        <f t="shared" si="3"/>
        <v/>
      </c>
      <c r="E25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9">
      <c r="A251" s="127">
        <f>名前リスト[[#This Row],[管理番号]]</f>
        <v>260</v>
      </c>
      <c r="B251" s="28">
        <f>IF(NOT(まとめ表_各Aパターン件数[[#This Row],[管理番号]]=""),VLOOKUP(まとめ表_各Aパターン件数[[#This Row],[管理番号]],名前リスト[[#All],[管理番号]:[氏名]],2,TRUE),"")</f>
        <v>0</v>
      </c>
      <c r="C251" s="28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134" t="str">
        <f t="shared" si="3"/>
        <v/>
      </c>
      <c r="E25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9">
      <c r="A252" s="127">
        <f>名前リスト[[#This Row],[管理番号]]</f>
        <v>261</v>
      </c>
      <c r="B252" s="28">
        <f>IF(NOT(まとめ表_各Aパターン件数[[#This Row],[管理番号]]=""),VLOOKUP(まとめ表_各Aパターン件数[[#This Row],[管理番号]],名前リスト[[#All],[管理番号]:[氏名]],2,TRUE),"")</f>
        <v>0</v>
      </c>
      <c r="C252" s="28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134" t="str">
        <f t="shared" si="3"/>
        <v/>
      </c>
      <c r="E25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9">
      <c r="A253" s="127">
        <f>名前リスト[[#This Row],[管理番号]]</f>
        <v>262</v>
      </c>
      <c r="B253" s="28">
        <f>IF(NOT(まとめ表_各Aパターン件数[[#This Row],[管理番号]]=""),VLOOKUP(まとめ表_各Aパターン件数[[#This Row],[管理番号]],名前リスト[[#All],[管理番号]:[氏名]],2,TRUE),"")</f>
        <v>0</v>
      </c>
      <c r="C253" s="28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134" t="str">
        <f t="shared" si="3"/>
        <v/>
      </c>
      <c r="E25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9">
      <c r="A254" s="127">
        <f>名前リスト[[#This Row],[管理番号]]</f>
        <v>263</v>
      </c>
      <c r="B254" s="28">
        <f>IF(NOT(まとめ表_各Aパターン件数[[#This Row],[管理番号]]=""),VLOOKUP(まとめ表_各Aパターン件数[[#This Row],[管理番号]],名前リスト[[#All],[管理番号]:[氏名]],2,TRUE),"")</f>
        <v>0</v>
      </c>
      <c r="C254" s="28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134" t="str">
        <f t="shared" si="3"/>
        <v/>
      </c>
      <c r="E25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9">
      <c r="A255" s="127">
        <f>名前リスト[[#This Row],[管理番号]]</f>
        <v>264</v>
      </c>
      <c r="B255" s="28">
        <f>IF(NOT(まとめ表_各Aパターン件数[[#This Row],[管理番号]]=""),VLOOKUP(まとめ表_各Aパターン件数[[#This Row],[管理番号]],名前リスト[[#All],[管理番号]:[氏名]],2,TRUE),"")</f>
        <v>0</v>
      </c>
      <c r="C255" s="28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134" t="str">
        <f t="shared" si="3"/>
        <v/>
      </c>
      <c r="E25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9">
      <c r="A256" s="127">
        <f>名前リスト[[#This Row],[管理番号]]</f>
        <v>265</v>
      </c>
      <c r="B256" s="28">
        <f>IF(NOT(まとめ表_各Aパターン件数[[#This Row],[管理番号]]=""),VLOOKUP(まとめ表_各Aパターン件数[[#This Row],[管理番号]],名前リスト[[#All],[管理番号]:[氏名]],2,TRUE),"")</f>
        <v>0</v>
      </c>
      <c r="C256" s="28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134" t="str">
        <f t="shared" si="3"/>
        <v/>
      </c>
      <c r="E25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9">
      <c r="A257" s="127">
        <f>名前リスト[[#This Row],[管理番号]]</f>
        <v>1000</v>
      </c>
      <c r="B257" s="28">
        <f>IF(NOT(まとめ表_各Aパターン件数[[#This Row],[管理番号]]=""),VLOOKUP(まとめ表_各Aパターン件数[[#This Row],[管理番号]],名前リスト[[#All],[管理番号]:[氏名]],2,TRUE),"")</f>
        <v>0</v>
      </c>
      <c r="C257" s="28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134" t="str">
        <f t="shared" si="3"/>
        <v/>
      </c>
      <c r="E25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9">
      <c r="A258" s="127">
        <f>名前リスト[[#This Row],[管理番号]]</f>
        <v>1001</v>
      </c>
      <c r="B258" s="28">
        <f>IF(NOT(まとめ表_各Aパターン件数[[#This Row],[管理番号]]=""),VLOOKUP(まとめ表_各Aパターン件数[[#This Row],[管理番号]],名前リスト[[#All],[管理番号]:[氏名]],2,TRUE),"")</f>
        <v>0</v>
      </c>
      <c r="C258" s="28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134" t="str">
        <f t="shared" ref="D258:D321" si="4">IF(SUM(E258:XFD258)=0,"",SUM(E258:XFD258))</f>
        <v/>
      </c>
      <c r="E25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9">
      <c r="A259" s="127">
        <f>名前リスト[[#This Row],[管理番号]]</f>
        <v>1002</v>
      </c>
      <c r="B259" s="28">
        <f>IF(NOT(まとめ表_各Aパターン件数[[#This Row],[管理番号]]=""),VLOOKUP(まとめ表_各Aパターン件数[[#This Row],[管理番号]],名前リスト[[#All],[管理番号]:[氏名]],2,TRUE),"")</f>
        <v>0</v>
      </c>
      <c r="C259" s="28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134" t="str">
        <f t="shared" si="4"/>
        <v/>
      </c>
      <c r="E25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5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5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9">
      <c r="A260" s="127">
        <f>名前リスト[[#This Row],[管理番号]]</f>
        <v>1003</v>
      </c>
      <c r="B260" s="28">
        <f>IF(NOT(まとめ表_各Aパターン件数[[#This Row],[管理番号]]=""),VLOOKUP(まとめ表_各Aパターン件数[[#This Row],[管理番号]],名前リスト[[#All],[管理番号]:[氏名]],2,TRUE),"")</f>
        <v>0</v>
      </c>
      <c r="C260" s="28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134" t="str">
        <f t="shared" si="4"/>
        <v/>
      </c>
      <c r="E26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9">
      <c r="A261" s="127">
        <f>名前リスト[[#This Row],[管理番号]]</f>
        <v>1004</v>
      </c>
      <c r="B261" s="28">
        <f>IF(NOT(まとめ表_各Aパターン件数[[#This Row],[管理番号]]=""),VLOOKUP(まとめ表_各Aパターン件数[[#This Row],[管理番号]],名前リスト[[#All],[管理番号]:[氏名]],2,TRUE),"")</f>
        <v>0</v>
      </c>
      <c r="C261" s="28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134" t="str">
        <f t="shared" si="4"/>
        <v/>
      </c>
      <c r="E26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9">
      <c r="A262" s="127">
        <f>名前リスト[[#This Row],[管理番号]]</f>
        <v>1005</v>
      </c>
      <c r="B262" s="28">
        <f>IF(NOT(まとめ表_各Aパターン件数[[#This Row],[管理番号]]=""),VLOOKUP(まとめ表_各Aパターン件数[[#This Row],[管理番号]],名前リスト[[#All],[管理番号]:[氏名]],2,TRUE),"")</f>
        <v>0</v>
      </c>
      <c r="C262" s="28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134" t="str">
        <f t="shared" si="4"/>
        <v/>
      </c>
      <c r="E26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9">
      <c r="A263" s="127">
        <f>名前リスト[[#This Row],[管理番号]]</f>
        <v>1006</v>
      </c>
      <c r="B263" s="28">
        <f>IF(NOT(まとめ表_各Aパターン件数[[#This Row],[管理番号]]=""),VLOOKUP(まとめ表_各Aパターン件数[[#This Row],[管理番号]],名前リスト[[#All],[管理番号]:[氏名]],2,TRUE),"")</f>
        <v>0</v>
      </c>
      <c r="C263" s="28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134" t="str">
        <f t="shared" si="4"/>
        <v/>
      </c>
      <c r="E26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9">
      <c r="A264" s="127">
        <f>名前リスト[[#This Row],[管理番号]]</f>
        <v>1007</v>
      </c>
      <c r="B264" s="28">
        <f>IF(NOT(まとめ表_各Aパターン件数[[#This Row],[管理番号]]=""),VLOOKUP(まとめ表_各Aパターン件数[[#This Row],[管理番号]],名前リスト[[#All],[管理番号]:[氏名]],2,TRUE),"")</f>
        <v>0</v>
      </c>
      <c r="C264" s="28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134" t="str">
        <f t="shared" si="4"/>
        <v/>
      </c>
      <c r="E26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9">
      <c r="A265" s="127">
        <f>名前リスト[[#This Row],[管理番号]]</f>
        <v>1008</v>
      </c>
      <c r="B265" s="28">
        <f>IF(NOT(まとめ表_各Aパターン件数[[#This Row],[管理番号]]=""),VLOOKUP(まとめ表_各Aパターン件数[[#This Row],[管理番号]],名前リスト[[#All],[管理番号]:[氏名]],2,TRUE),"")</f>
        <v>0</v>
      </c>
      <c r="C265" s="28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134" t="str">
        <f t="shared" si="4"/>
        <v/>
      </c>
      <c r="E26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9">
      <c r="A266" s="127">
        <f>名前リスト[[#This Row],[管理番号]]</f>
        <v>1009</v>
      </c>
      <c r="B266" s="28">
        <f>IF(NOT(まとめ表_各Aパターン件数[[#This Row],[管理番号]]=""),VLOOKUP(まとめ表_各Aパターン件数[[#This Row],[管理番号]],名前リスト[[#All],[管理番号]:[氏名]],2,TRUE),"")</f>
        <v>0</v>
      </c>
      <c r="C266" s="28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134" t="str">
        <f t="shared" si="4"/>
        <v/>
      </c>
      <c r="E26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9">
      <c r="A267" s="127">
        <f>名前リスト[[#This Row],[管理番号]]</f>
        <v>1010</v>
      </c>
      <c r="B267" s="28">
        <f>IF(NOT(まとめ表_各Aパターン件数[[#This Row],[管理番号]]=""),VLOOKUP(まとめ表_各Aパターン件数[[#This Row],[管理番号]],名前リスト[[#All],[管理番号]:[氏名]],2,TRUE),"")</f>
        <v>0</v>
      </c>
      <c r="C267" s="28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134" t="str">
        <f t="shared" si="4"/>
        <v/>
      </c>
      <c r="E26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9">
      <c r="A268" s="127">
        <f>名前リスト[[#This Row],[管理番号]]</f>
        <v>1011</v>
      </c>
      <c r="B268" s="28">
        <f>IF(NOT(まとめ表_各Aパターン件数[[#This Row],[管理番号]]=""),VLOOKUP(まとめ表_各Aパターン件数[[#This Row],[管理番号]],名前リスト[[#All],[管理番号]:[氏名]],2,TRUE),"")</f>
        <v>0</v>
      </c>
      <c r="C268" s="28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134" t="str">
        <f t="shared" si="4"/>
        <v/>
      </c>
      <c r="E26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9">
      <c r="A269" s="127">
        <f>名前リスト[[#This Row],[管理番号]]</f>
        <v>1012</v>
      </c>
      <c r="B269" s="28">
        <f>IF(NOT(まとめ表_各Aパターン件数[[#This Row],[管理番号]]=""),VLOOKUP(まとめ表_各Aパターン件数[[#This Row],[管理番号]],名前リスト[[#All],[管理番号]:[氏名]],2,TRUE),"")</f>
        <v>0</v>
      </c>
      <c r="C269" s="28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134" t="str">
        <f t="shared" si="4"/>
        <v/>
      </c>
      <c r="E26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6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6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9">
      <c r="A270" s="127">
        <f>名前リスト[[#This Row],[管理番号]]</f>
        <v>1013</v>
      </c>
      <c r="B270" s="28">
        <f>IF(NOT(まとめ表_各Aパターン件数[[#This Row],[管理番号]]=""),VLOOKUP(まとめ表_各Aパターン件数[[#This Row],[管理番号]],名前リスト[[#All],[管理番号]:[氏名]],2,TRUE),"")</f>
        <v>0</v>
      </c>
      <c r="C270" s="28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134" t="str">
        <f t="shared" si="4"/>
        <v/>
      </c>
      <c r="E27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9">
      <c r="A271" s="127">
        <f>名前リスト[[#This Row],[管理番号]]</f>
        <v>1014</v>
      </c>
      <c r="B271" s="28">
        <f>IF(NOT(まとめ表_各Aパターン件数[[#This Row],[管理番号]]=""),VLOOKUP(まとめ表_各Aパターン件数[[#This Row],[管理番号]],名前リスト[[#All],[管理番号]:[氏名]],2,TRUE),"")</f>
        <v>0</v>
      </c>
      <c r="C271" s="28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134" t="str">
        <f t="shared" si="4"/>
        <v/>
      </c>
      <c r="E27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9">
      <c r="A272" s="127">
        <f>名前リスト[[#This Row],[管理番号]]</f>
        <v>1015</v>
      </c>
      <c r="B272" s="28">
        <f>IF(NOT(まとめ表_各Aパターン件数[[#This Row],[管理番号]]=""),VLOOKUP(まとめ表_各Aパターン件数[[#This Row],[管理番号]],名前リスト[[#All],[管理番号]:[氏名]],2,TRUE),"")</f>
        <v>0</v>
      </c>
      <c r="C272" s="28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134" t="str">
        <f t="shared" si="4"/>
        <v/>
      </c>
      <c r="E27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9">
      <c r="A273" s="127">
        <f>名前リスト[[#This Row],[管理番号]]</f>
        <v>1016</v>
      </c>
      <c r="B273" s="28">
        <f>IF(NOT(まとめ表_各Aパターン件数[[#This Row],[管理番号]]=""),VLOOKUP(まとめ表_各Aパターン件数[[#This Row],[管理番号]],名前リスト[[#All],[管理番号]:[氏名]],2,TRUE),"")</f>
        <v>0</v>
      </c>
      <c r="C273" s="28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134" t="str">
        <f t="shared" si="4"/>
        <v/>
      </c>
      <c r="E27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9">
      <c r="A274" s="127">
        <f>名前リスト[[#This Row],[管理番号]]</f>
        <v>1017</v>
      </c>
      <c r="B274" s="28">
        <f>IF(NOT(まとめ表_各Aパターン件数[[#This Row],[管理番号]]=""),VLOOKUP(まとめ表_各Aパターン件数[[#This Row],[管理番号]],名前リスト[[#All],[管理番号]:[氏名]],2,TRUE),"")</f>
        <v>0</v>
      </c>
      <c r="C274" s="28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134" t="str">
        <f t="shared" si="4"/>
        <v/>
      </c>
      <c r="E27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9">
      <c r="A275" s="127">
        <f>名前リスト[[#This Row],[管理番号]]</f>
        <v>1018</v>
      </c>
      <c r="B275" s="28">
        <f>IF(NOT(まとめ表_各Aパターン件数[[#This Row],[管理番号]]=""),VLOOKUP(まとめ表_各Aパターン件数[[#This Row],[管理番号]],名前リスト[[#All],[管理番号]:[氏名]],2,TRUE),"")</f>
        <v>0</v>
      </c>
      <c r="C275" s="28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134" t="str">
        <f t="shared" si="4"/>
        <v/>
      </c>
      <c r="E27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9">
      <c r="A276" s="127">
        <f>名前リスト[[#This Row],[管理番号]]</f>
        <v>1019</v>
      </c>
      <c r="B276" s="28">
        <f>IF(NOT(まとめ表_各Aパターン件数[[#This Row],[管理番号]]=""),VLOOKUP(まとめ表_各Aパターン件数[[#This Row],[管理番号]],名前リスト[[#All],[管理番号]:[氏名]],2,TRUE),"")</f>
        <v>0</v>
      </c>
      <c r="C276" s="28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134" t="str">
        <f t="shared" si="4"/>
        <v/>
      </c>
      <c r="E27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9">
      <c r="A277" s="127">
        <f>名前リスト[[#This Row],[管理番号]]</f>
        <v>1020</v>
      </c>
      <c r="B277" s="28">
        <f>IF(NOT(まとめ表_各Aパターン件数[[#This Row],[管理番号]]=""),VLOOKUP(まとめ表_各Aパターン件数[[#This Row],[管理番号]],名前リスト[[#All],[管理番号]:[氏名]],2,TRUE),"")</f>
        <v>0</v>
      </c>
      <c r="C277" s="28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134" t="str">
        <f t="shared" si="4"/>
        <v/>
      </c>
      <c r="E27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9">
      <c r="A278" s="127">
        <f>名前リスト[[#This Row],[管理番号]]</f>
        <v>1021</v>
      </c>
      <c r="B278" s="28">
        <f>IF(NOT(まとめ表_各Aパターン件数[[#This Row],[管理番号]]=""),VLOOKUP(まとめ表_各Aパターン件数[[#This Row],[管理番号]],名前リスト[[#All],[管理番号]:[氏名]],2,TRUE),"")</f>
        <v>0</v>
      </c>
      <c r="C278" s="28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134" t="str">
        <f t="shared" si="4"/>
        <v/>
      </c>
      <c r="E27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9">
      <c r="A279" s="127">
        <f>名前リスト[[#This Row],[管理番号]]</f>
        <v>1022</v>
      </c>
      <c r="B279" s="28">
        <f>IF(NOT(まとめ表_各Aパターン件数[[#This Row],[管理番号]]=""),VLOOKUP(まとめ表_各Aパターン件数[[#This Row],[管理番号]],名前リスト[[#All],[管理番号]:[氏名]],2,TRUE),"")</f>
        <v>0</v>
      </c>
      <c r="C279" s="28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134" t="str">
        <f t="shared" si="4"/>
        <v/>
      </c>
      <c r="E27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7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7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9">
      <c r="A280" s="127">
        <f>名前リスト[[#This Row],[管理番号]]</f>
        <v>1023</v>
      </c>
      <c r="B280" s="28">
        <f>IF(NOT(まとめ表_各Aパターン件数[[#This Row],[管理番号]]=""),VLOOKUP(まとめ表_各Aパターン件数[[#This Row],[管理番号]],名前リスト[[#All],[管理番号]:[氏名]],2,TRUE),"")</f>
        <v>0</v>
      </c>
      <c r="C280" s="28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134" t="str">
        <f t="shared" si="4"/>
        <v/>
      </c>
      <c r="E28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9">
      <c r="A281" s="127">
        <f>名前リスト[[#This Row],[管理番号]]</f>
        <v>1024</v>
      </c>
      <c r="B281" s="28">
        <f>IF(NOT(まとめ表_各Aパターン件数[[#This Row],[管理番号]]=""),VLOOKUP(まとめ表_各Aパターン件数[[#This Row],[管理番号]],名前リスト[[#All],[管理番号]:[氏名]],2,TRUE),"")</f>
        <v>0</v>
      </c>
      <c r="C281" s="28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134" t="str">
        <f t="shared" si="4"/>
        <v/>
      </c>
      <c r="E28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9">
      <c r="A282" s="127">
        <f>名前リスト[[#This Row],[管理番号]]</f>
        <v>1025</v>
      </c>
      <c r="B282" s="28">
        <f>IF(NOT(まとめ表_各Aパターン件数[[#This Row],[管理番号]]=""),VLOOKUP(まとめ表_各Aパターン件数[[#This Row],[管理番号]],名前リスト[[#All],[管理番号]:[氏名]],2,TRUE),"")</f>
        <v>0</v>
      </c>
      <c r="C282" s="28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134" t="str">
        <f t="shared" si="4"/>
        <v/>
      </c>
      <c r="E28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9">
      <c r="A283" s="127">
        <f>名前リスト[[#This Row],[管理番号]]</f>
        <v>1026</v>
      </c>
      <c r="B283" s="28">
        <f>IF(NOT(まとめ表_各Aパターン件数[[#This Row],[管理番号]]=""),VLOOKUP(まとめ表_各Aパターン件数[[#This Row],[管理番号]],名前リスト[[#All],[管理番号]:[氏名]],2,TRUE),"")</f>
        <v>0</v>
      </c>
      <c r="C283" s="28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134" t="str">
        <f t="shared" si="4"/>
        <v/>
      </c>
      <c r="E28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9">
      <c r="A284" s="127">
        <f>名前リスト[[#This Row],[管理番号]]</f>
        <v>1027</v>
      </c>
      <c r="B284" s="28">
        <f>IF(NOT(まとめ表_各Aパターン件数[[#This Row],[管理番号]]=""),VLOOKUP(まとめ表_各Aパターン件数[[#This Row],[管理番号]],名前リスト[[#All],[管理番号]:[氏名]],2,TRUE),"")</f>
        <v>0</v>
      </c>
      <c r="C284" s="28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134" t="str">
        <f t="shared" si="4"/>
        <v/>
      </c>
      <c r="E28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9">
      <c r="A285" s="127">
        <f>名前リスト[[#This Row],[管理番号]]</f>
        <v>1028</v>
      </c>
      <c r="B285" s="28">
        <f>IF(NOT(まとめ表_各Aパターン件数[[#This Row],[管理番号]]=""),VLOOKUP(まとめ表_各Aパターン件数[[#This Row],[管理番号]],名前リスト[[#All],[管理番号]:[氏名]],2,TRUE),"")</f>
        <v>0</v>
      </c>
      <c r="C285" s="28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134" t="str">
        <f t="shared" si="4"/>
        <v/>
      </c>
      <c r="E28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9">
      <c r="A286" s="127">
        <f>名前リスト[[#This Row],[管理番号]]</f>
        <v>1029</v>
      </c>
      <c r="B286" s="28">
        <f>IF(NOT(まとめ表_各Aパターン件数[[#This Row],[管理番号]]=""),VLOOKUP(まとめ表_各Aパターン件数[[#This Row],[管理番号]],名前リスト[[#All],[管理番号]:[氏名]],2,TRUE),"")</f>
        <v>0</v>
      </c>
      <c r="C286" s="28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134" t="str">
        <f t="shared" si="4"/>
        <v/>
      </c>
      <c r="E28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9">
      <c r="A287" s="127">
        <f>名前リスト[[#This Row],[管理番号]]</f>
        <v>1030</v>
      </c>
      <c r="B287" s="28">
        <f>IF(NOT(まとめ表_各Aパターン件数[[#This Row],[管理番号]]=""),VLOOKUP(まとめ表_各Aパターン件数[[#This Row],[管理番号]],名前リスト[[#All],[管理番号]:[氏名]],2,TRUE),"")</f>
        <v>0</v>
      </c>
      <c r="C287" s="28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134" t="str">
        <f t="shared" si="4"/>
        <v/>
      </c>
      <c r="E28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9">
      <c r="A288" s="127">
        <f>名前リスト[[#This Row],[管理番号]]</f>
        <v>1031</v>
      </c>
      <c r="B288" s="28">
        <f>IF(NOT(まとめ表_各Aパターン件数[[#This Row],[管理番号]]=""),VLOOKUP(まとめ表_各Aパターン件数[[#This Row],[管理番号]],名前リスト[[#All],[管理番号]:[氏名]],2,TRUE),"")</f>
        <v>0</v>
      </c>
      <c r="C288" s="28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134" t="str">
        <f t="shared" si="4"/>
        <v/>
      </c>
      <c r="E28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9">
      <c r="A289" s="127">
        <f>名前リスト[[#This Row],[管理番号]]</f>
        <v>1032</v>
      </c>
      <c r="B289" s="28">
        <f>IF(NOT(まとめ表_各Aパターン件数[[#This Row],[管理番号]]=""),VLOOKUP(まとめ表_各Aパターン件数[[#This Row],[管理番号]],名前リスト[[#All],[管理番号]:[氏名]],2,TRUE),"")</f>
        <v>0</v>
      </c>
      <c r="C289" s="28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134" t="str">
        <f t="shared" si="4"/>
        <v/>
      </c>
      <c r="E28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8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8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9">
      <c r="A290" s="127">
        <f>名前リスト[[#This Row],[管理番号]]</f>
        <v>1033</v>
      </c>
      <c r="B290" s="28">
        <f>IF(NOT(まとめ表_各Aパターン件数[[#This Row],[管理番号]]=""),VLOOKUP(まとめ表_各Aパターン件数[[#This Row],[管理番号]],名前リスト[[#All],[管理番号]:[氏名]],2,TRUE),"")</f>
        <v>0</v>
      </c>
      <c r="C290" s="28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134" t="str">
        <f t="shared" si="4"/>
        <v/>
      </c>
      <c r="E29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9">
      <c r="A291" s="127">
        <f>名前リスト[[#This Row],[管理番号]]</f>
        <v>1034</v>
      </c>
      <c r="B291" s="28">
        <f>IF(NOT(まとめ表_各Aパターン件数[[#This Row],[管理番号]]=""),VLOOKUP(まとめ表_各Aパターン件数[[#This Row],[管理番号]],名前リスト[[#All],[管理番号]:[氏名]],2,TRUE),"")</f>
        <v>0</v>
      </c>
      <c r="C291" s="28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134" t="str">
        <f t="shared" si="4"/>
        <v/>
      </c>
      <c r="E29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9">
      <c r="A292" s="127">
        <f>名前リスト[[#This Row],[管理番号]]</f>
        <v>1035</v>
      </c>
      <c r="B292" s="28">
        <f>IF(NOT(まとめ表_各Aパターン件数[[#This Row],[管理番号]]=""),VLOOKUP(まとめ表_各Aパターン件数[[#This Row],[管理番号]],名前リスト[[#All],[管理番号]:[氏名]],2,TRUE),"")</f>
        <v>0</v>
      </c>
      <c r="C292" s="28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134" t="str">
        <f t="shared" si="4"/>
        <v/>
      </c>
      <c r="E29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9">
      <c r="A293" s="127">
        <f>名前リスト[[#This Row],[管理番号]]</f>
        <v>1036</v>
      </c>
      <c r="B293" s="28">
        <f>IF(NOT(まとめ表_各Aパターン件数[[#This Row],[管理番号]]=""),VLOOKUP(まとめ表_各Aパターン件数[[#This Row],[管理番号]],名前リスト[[#All],[管理番号]:[氏名]],2,TRUE),"")</f>
        <v>0</v>
      </c>
      <c r="C293" s="28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134" t="str">
        <f t="shared" si="4"/>
        <v/>
      </c>
      <c r="E29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9">
      <c r="A294" s="127">
        <f>名前リスト[[#This Row],[管理番号]]</f>
        <v>1037</v>
      </c>
      <c r="B294" s="28">
        <f>IF(NOT(まとめ表_各Aパターン件数[[#This Row],[管理番号]]=""),VLOOKUP(まとめ表_各Aパターン件数[[#This Row],[管理番号]],名前リスト[[#All],[管理番号]:[氏名]],2,TRUE),"")</f>
        <v>0</v>
      </c>
      <c r="C294" s="28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134" t="str">
        <f t="shared" si="4"/>
        <v/>
      </c>
      <c r="E29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4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9">
      <c r="A295" s="127">
        <f>名前リスト[[#This Row],[管理番号]]</f>
        <v>1038</v>
      </c>
      <c r="B295" s="28">
        <f>IF(NOT(まとめ表_各Aパターン件数[[#This Row],[管理番号]]=""),VLOOKUP(まとめ表_各Aパターン件数[[#This Row],[管理番号]],名前リスト[[#All],[管理番号]:[氏名]],2,TRUE),"")</f>
        <v>0</v>
      </c>
      <c r="C295" s="28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134" t="str">
        <f t="shared" si="4"/>
        <v/>
      </c>
      <c r="E29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5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9">
      <c r="A296" s="127">
        <f>名前リスト[[#This Row],[管理番号]]</f>
        <v>1039</v>
      </c>
      <c r="B296" s="28">
        <f>IF(NOT(まとめ表_各Aパターン件数[[#This Row],[管理番号]]=""),VLOOKUP(まとめ表_各Aパターン件数[[#This Row],[管理番号]],名前リスト[[#All],[管理番号]:[氏名]],2,TRUE),"")</f>
        <v>0</v>
      </c>
      <c r="C296" s="28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134" t="str">
        <f t="shared" si="4"/>
        <v/>
      </c>
      <c r="E29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6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9">
      <c r="A297" s="127">
        <f>名前リスト[[#This Row],[管理番号]]</f>
        <v>1040</v>
      </c>
      <c r="B297" s="28">
        <f>IF(NOT(まとめ表_各Aパターン件数[[#This Row],[管理番号]]=""),VLOOKUP(まとめ表_各Aパターン件数[[#This Row],[管理番号]],名前リスト[[#All],[管理番号]:[氏名]],2,TRUE),"")</f>
        <v>0</v>
      </c>
      <c r="C297" s="28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134" t="str">
        <f t="shared" si="4"/>
        <v/>
      </c>
      <c r="E29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7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9">
      <c r="A298" s="127">
        <f>名前リスト[[#This Row],[管理番号]]</f>
        <v>1041</v>
      </c>
      <c r="B298" s="28">
        <f>IF(NOT(まとめ表_各Aパターン件数[[#This Row],[管理番号]]=""),VLOOKUP(まとめ表_各Aパターン件数[[#This Row],[管理番号]],名前リスト[[#All],[管理番号]:[氏名]],2,TRUE),"")</f>
        <v>0</v>
      </c>
      <c r="C298" s="28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134" t="str">
        <f t="shared" si="4"/>
        <v/>
      </c>
      <c r="E29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8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9">
      <c r="A299" s="127">
        <f>名前リスト[[#This Row],[管理番号]]</f>
        <v>1042</v>
      </c>
      <c r="B299" s="28">
        <f>IF(NOT(まとめ表_各Aパターン件数[[#This Row],[管理番号]]=""),VLOOKUP(まとめ表_各Aパターン件数[[#This Row],[管理番号]],名前リスト[[#All],[管理番号]:[氏名]],2,TRUE),"")</f>
        <v>0</v>
      </c>
      <c r="C299" s="28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134" t="str">
        <f t="shared" si="4"/>
        <v/>
      </c>
      <c r="E29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29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299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9">
      <c r="A300" s="127">
        <f>名前リスト[[#This Row],[管理番号]]</f>
        <v>1043</v>
      </c>
      <c r="B300" s="28">
        <f>IF(NOT(まとめ表_各Aパターン件数[[#This Row],[管理番号]]=""),VLOOKUP(まとめ表_各Aパターン件数[[#This Row],[管理番号]],名前リスト[[#All],[管理番号]:[氏名]],2,TRUE),"")</f>
        <v>0</v>
      </c>
      <c r="C300" s="28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134" t="str">
        <f t="shared" si="4"/>
        <v/>
      </c>
      <c r="E30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0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9">
      <c r="A301" s="127">
        <f>名前リスト[[#This Row],[管理番号]]</f>
        <v>1044</v>
      </c>
      <c r="B301" s="28">
        <f>IF(NOT(まとめ表_各Aパターン件数[[#This Row],[管理番号]]=""),VLOOKUP(まとめ表_各Aパターン件数[[#This Row],[管理番号]],名前リスト[[#All],[管理番号]:[氏名]],2,TRUE),"")</f>
        <v>0</v>
      </c>
      <c r="C301" s="28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134" t="str">
        <f t="shared" si="4"/>
        <v/>
      </c>
      <c r="E30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1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9">
      <c r="A302" s="127">
        <f>名前リスト[[#This Row],[管理番号]]</f>
        <v>1045</v>
      </c>
      <c r="B302" s="28">
        <f>IF(NOT(まとめ表_各Aパターン件数[[#This Row],[管理番号]]=""),VLOOKUP(まとめ表_各Aパターン件数[[#This Row],[管理番号]],名前リスト[[#All],[管理番号]:[氏名]],2,TRUE),"")</f>
        <v>0</v>
      </c>
      <c r="C302" s="28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134" t="str">
        <f t="shared" si="4"/>
        <v/>
      </c>
      <c r="E30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2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9">
      <c r="A303" s="127">
        <f>名前リスト[[#This Row],[管理番号]]</f>
        <v>1046</v>
      </c>
      <c r="B303" s="28">
        <f>IF(NOT(まとめ表_各Aパターン件数[[#This Row],[管理番号]]=""),VLOOKUP(まとめ表_各Aパターン件数[[#This Row],[管理番号]],名前リスト[[#All],[管理番号]:[氏名]],2,TRUE),"")</f>
        <v>0</v>
      </c>
      <c r="C303" s="28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134" t="str">
        <f t="shared" si="4"/>
        <v/>
      </c>
      <c r="E30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3" s="90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9">
      <c r="A304" s="127">
        <f>名前リスト[[#This Row],[管理番号]]</f>
        <v>1047</v>
      </c>
      <c r="B304" s="28">
        <f>IF(NOT(まとめ表_各Aパターン件数[[#This Row],[管理番号]]=""),VLOOKUP(まとめ表_各Aパターン件数[[#This Row],[管理番号]],名前リスト[[#All],[管理番号]:[氏名]],2,TRUE),"")</f>
        <v>0</v>
      </c>
      <c r="C304" s="28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134" t="str">
        <f t="shared" si="4"/>
        <v/>
      </c>
      <c r="E30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4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9">
      <c r="A305" s="127">
        <f>名前リスト[[#This Row],[管理番号]]</f>
        <v>1048</v>
      </c>
      <c r="B305" s="28">
        <f>IF(NOT(まとめ表_各Aパターン件数[[#This Row],[管理番号]]=""),VLOOKUP(まとめ表_各Aパターン件数[[#This Row],[管理番号]],名前リスト[[#All],[管理番号]:[氏名]],2,TRUE),"")</f>
        <v>0</v>
      </c>
      <c r="C305" s="28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134" t="str">
        <f t="shared" si="4"/>
        <v/>
      </c>
      <c r="E30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5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9">
      <c r="A306" s="127">
        <f>名前リスト[[#This Row],[管理番号]]</f>
        <v>1049</v>
      </c>
      <c r="B306" s="28">
        <f>IF(NOT(まとめ表_各Aパターン件数[[#This Row],[管理番号]]=""),VLOOKUP(まとめ表_各Aパターン件数[[#This Row],[管理番号]],名前リスト[[#All],[管理番号]:[氏名]],2,TRUE),"")</f>
        <v>0</v>
      </c>
      <c r="C306" s="28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134" t="str">
        <f t="shared" si="4"/>
        <v/>
      </c>
      <c r="E30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6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9">
      <c r="A307" s="127">
        <f>名前リスト[[#This Row],[管理番号]]</f>
        <v>1050</v>
      </c>
      <c r="B307" s="28">
        <f>IF(NOT(まとめ表_各Aパターン件数[[#This Row],[管理番号]]=""),VLOOKUP(まとめ表_各Aパターン件数[[#This Row],[管理番号]],名前リスト[[#All],[管理番号]:[氏名]],2,TRUE),"")</f>
        <v>0</v>
      </c>
      <c r="C307" s="28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134" t="str">
        <f t="shared" si="4"/>
        <v/>
      </c>
      <c r="E30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7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9">
      <c r="A308" s="127">
        <f>名前リスト[[#This Row],[管理番号]]</f>
        <v>1051</v>
      </c>
      <c r="B308" s="28">
        <f>IF(NOT(まとめ表_各Aパターン件数[[#This Row],[管理番号]]=""),VLOOKUP(まとめ表_各Aパターン件数[[#This Row],[管理番号]],名前リスト[[#All],[管理番号]:[氏名]],2,TRUE),"")</f>
        <v>0</v>
      </c>
      <c r="C308" s="28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134" t="str">
        <f t="shared" si="4"/>
        <v/>
      </c>
      <c r="E30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8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9">
      <c r="A309" s="127">
        <f>名前リスト[[#This Row],[管理番号]]</f>
        <v>1052</v>
      </c>
      <c r="B309" s="28">
        <f>IF(NOT(まとめ表_各Aパターン件数[[#This Row],[管理番号]]=""),VLOOKUP(まとめ表_各Aパターン件数[[#This Row],[管理番号]],名前リスト[[#All],[管理番号]:[氏名]],2,TRUE),"")</f>
        <v>0</v>
      </c>
      <c r="C309" s="28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134" t="str">
        <f t="shared" si="4"/>
        <v/>
      </c>
      <c r="E30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0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09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9">
      <c r="A310" s="127">
        <f>名前リスト[[#This Row],[管理番号]]</f>
        <v>1053</v>
      </c>
      <c r="B310" s="28">
        <f>IF(NOT(まとめ表_各Aパターン件数[[#This Row],[管理番号]]=""),VLOOKUP(まとめ表_各Aパターン件数[[#This Row],[管理番号]],名前リスト[[#All],[管理番号]:[氏名]],2,TRUE),"")</f>
        <v>0</v>
      </c>
      <c r="C310" s="28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134" t="str">
        <f t="shared" si="4"/>
        <v/>
      </c>
      <c r="E31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0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9">
      <c r="A311" s="127">
        <f>名前リスト[[#This Row],[管理番号]]</f>
        <v>1054</v>
      </c>
      <c r="B311" s="28">
        <f>IF(NOT(まとめ表_各Aパターン件数[[#This Row],[管理番号]]=""),VLOOKUP(まとめ表_各Aパターン件数[[#This Row],[管理番号]],名前リスト[[#All],[管理番号]:[氏名]],2,TRUE),"")</f>
        <v>0</v>
      </c>
      <c r="C311" s="28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134" t="str">
        <f t="shared" si="4"/>
        <v/>
      </c>
      <c r="E31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1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9">
      <c r="A312" s="127">
        <f>名前リスト[[#This Row],[管理番号]]</f>
        <v>1055</v>
      </c>
      <c r="B312" s="28">
        <f>IF(NOT(まとめ表_各Aパターン件数[[#This Row],[管理番号]]=""),VLOOKUP(まとめ表_各Aパターン件数[[#This Row],[管理番号]],名前リスト[[#All],[管理番号]:[氏名]],2,TRUE),"")</f>
        <v>0</v>
      </c>
      <c r="C312" s="28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134" t="str">
        <f t="shared" si="4"/>
        <v/>
      </c>
      <c r="E31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2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9">
      <c r="A313" s="127">
        <f>名前リスト[[#This Row],[管理番号]]</f>
        <v>1056</v>
      </c>
      <c r="B313" s="28">
        <f>IF(NOT(まとめ表_各Aパターン件数[[#This Row],[管理番号]]=""),VLOOKUP(まとめ表_各Aパターン件数[[#This Row],[管理番号]],名前リスト[[#All],[管理番号]:[氏名]],2,TRUE),"")</f>
        <v>0</v>
      </c>
      <c r="C313" s="28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134" t="str">
        <f t="shared" si="4"/>
        <v/>
      </c>
      <c r="E31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3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9">
      <c r="A314" s="127">
        <f>名前リスト[[#This Row],[管理番号]]</f>
        <v>1057</v>
      </c>
      <c r="B314" s="28">
        <f>IF(NOT(まとめ表_各Aパターン件数[[#This Row],[管理番号]]=""),VLOOKUP(まとめ表_各Aパターン件数[[#This Row],[管理番号]],名前リスト[[#All],[管理番号]:[氏名]],2,TRUE),"")</f>
        <v>0</v>
      </c>
      <c r="C314" s="28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134" t="str">
        <f t="shared" si="4"/>
        <v/>
      </c>
      <c r="E31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4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9">
      <c r="A315" s="127">
        <f>名前リスト[[#This Row],[管理番号]]</f>
        <v>1058</v>
      </c>
      <c r="B315" s="28">
        <f>IF(NOT(まとめ表_各Aパターン件数[[#This Row],[管理番号]]=""),VLOOKUP(まとめ表_各Aパターン件数[[#This Row],[管理番号]],名前リスト[[#All],[管理番号]:[氏名]],2,TRUE),"")</f>
        <v>0</v>
      </c>
      <c r="C315" s="28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134" t="str">
        <f t="shared" si="4"/>
        <v/>
      </c>
      <c r="E31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5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9">
      <c r="A316" s="127">
        <f>名前リスト[[#This Row],[管理番号]]</f>
        <v>1059</v>
      </c>
      <c r="B316" s="28">
        <f>IF(NOT(まとめ表_各Aパターン件数[[#This Row],[管理番号]]=""),VLOOKUP(まとめ表_各Aパターン件数[[#This Row],[管理番号]],名前リスト[[#All],[管理番号]:[氏名]],2,TRUE),"")</f>
        <v>0</v>
      </c>
      <c r="C316" s="28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134" t="str">
        <f t="shared" si="4"/>
        <v/>
      </c>
      <c r="E31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6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9">
      <c r="A317" s="127">
        <f>名前リスト[[#This Row],[管理番号]]</f>
        <v>1060</v>
      </c>
      <c r="B317" s="28">
        <f>IF(NOT(まとめ表_各Aパターン件数[[#This Row],[管理番号]]=""),VLOOKUP(まとめ表_各Aパターン件数[[#This Row],[管理番号]],名前リスト[[#All],[管理番号]:[氏名]],2,TRUE),"")</f>
        <v>0</v>
      </c>
      <c r="C317" s="28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134" t="str">
        <f t="shared" si="4"/>
        <v/>
      </c>
      <c r="E31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7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9">
      <c r="A318" s="127">
        <f>名前リスト[[#This Row],[管理番号]]</f>
        <v>1061</v>
      </c>
      <c r="B318" s="28">
        <f>IF(NOT(まとめ表_各Aパターン件数[[#This Row],[管理番号]]=""),VLOOKUP(まとめ表_各Aパターン件数[[#This Row],[管理番号]],名前リスト[[#All],[管理番号]:[氏名]],2,TRUE),"")</f>
        <v>0</v>
      </c>
      <c r="C318" s="28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134" t="str">
        <f t="shared" si="4"/>
        <v/>
      </c>
      <c r="E31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8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9">
      <c r="A319" s="127">
        <f>名前リスト[[#This Row],[管理番号]]</f>
        <v>1062</v>
      </c>
      <c r="B319" s="28">
        <f>IF(NOT(まとめ表_各Aパターン件数[[#This Row],[管理番号]]=""),VLOOKUP(まとめ表_各Aパターン件数[[#This Row],[管理番号]],名前リスト[[#All],[管理番号]:[氏名]],2,TRUE),"")</f>
        <v>0</v>
      </c>
      <c r="C319" s="28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134" t="str">
        <f t="shared" si="4"/>
        <v/>
      </c>
      <c r="E31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1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19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9">
      <c r="A320" s="127">
        <f>名前リスト[[#This Row],[管理番号]]</f>
        <v>1063</v>
      </c>
      <c r="B320" s="28">
        <f>IF(NOT(まとめ表_各Aパターン件数[[#This Row],[管理番号]]=""),VLOOKUP(まとめ表_各Aパターン件数[[#This Row],[管理番号]],名前リスト[[#All],[管理番号]:[氏名]],2,TRUE),"")</f>
        <v>0</v>
      </c>
      <c r="C320" s="28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134" t="str">
        <f t="shared" si="4"/>
        <v/>
      </c>
      <c r="E32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0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9">
      <c r="A321" s="127">
        <f>名前リスト[[#This Row],[管理番号]]</f>
        <v>1064</v>
      </c>
      <c r="B321" s="28">
        <f>IF(NOT(まとめ表_各Aパターン件数[[#This Row],[管理番号]]=""),VLOOKUP(まとめ表_各Aパターン件数[[#This Row],[管理番号]],名前リスト[[#All],[管理番号]:[氏名]],2,TRUE),"")</f>
        <v>0</v>
      </c>
      <c r="C321" s="28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134" t="str">
        <f t="shared" si="4"/>
        <v/>
      </c>
      <c r="E32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1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9">
      <c r="A322" s="127">
        <f>名前リスト[[#This Row],[管理番号]]</f>
        <v>1065</v>
      </c>
      <c r="B322" s="28">
        <f>IF(NOT(まとめ表_各Aパターン件数[[#This Row],[管理番号]]=""),VLOOKUP(まとめ表_各Aパターン件数[[#This Row],[管理番号]],名前リスト[[#All],[管理番号]:[氏名]],2,TRUE),"")</f>
        <v>0</v>
      </c>
      <c r="C322" s="28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134" t="str">
        <f t="shared" ref="D322:D351" si="5">IF(SUM(E322:XFD322)=0,"",SUM(E322:XFD322))</f>
        <v/>
      </c>
      <c r="E32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2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9">
      <c r="A323" s="127">
        <f>名前リスト[[#This Row],[管理番号]]</f>
        <v>1066</v>
      </c>
      <c r="B323" s="28">
        <f>IF(NOT(まとめ表_各Aパターン件数[[#This Row],[管理番号]]=""),VLOOKUP(まとめ表_各Aパターン件数[[#This Row],[管理番号]],名前リスト[[#All],[管理番号]:[氏名]],2,TRUE),"")</f>
        <v>0</v>
      </c>
      <c r="C323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134" t="str">
        <f t="shared" si="5"/>
        <v/>
      </c>
      <c r="E32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3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9">
      <c r="A324" s="127">
        <f>名前リスト[[#This Row],[管理番号]]</f>
        <v>1067</v>
      </c>
      <c r="B324" s="28">
        <f>IF(NOT(まとめ表_各Aパターン件数[[#This Row],[管理番号]]=""),VLOOKUP(まとめ表_各Aパターン件数[[#This Row],[管理番号]],名前リスト[[#All],[管理番号]:[氏名]],2,TRUE),"")</f>
        <v>0</v>
      </c>
      <c r="C324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134" t="str">
        <f t="shared" si="5"/>
        <v/>
      </c>
      <c r="E32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4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9">
      <c r="A325" s="127">
        <f>名前リスト[[#This Row],[管理番号]]</f>
        <v>1068</v>
      </c>
      <c r="B325" s="28">
        <f>IF(NOT(まとめ表_各Aパターン件数[[#This Row],[管理番号]]=""),VLOOKUP(まとめ表_各Aパターン件数[[#This Row],[管理番号]],名前リスト[[#All],[管理番号]:[氏名]],2,TRUE),"")</f>
        <v>0</v>
      </c>
      <c r="C325" s="28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134" t="str">
        <f t="shared" si="5"/>
        <v/>
      </c>
      <c r="E32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5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9">
      <c r="A326" s="127">
        <f>名前リスト[[#This Row],[管理番号]]</f>
        <v>1069</v>
      </c>
      <c r="B326" s="28">
        <f>IF(NOT(まとめ表_各Aパターン件数[[#This Row],[管理番号]]=""),VLOOKUP(まとめ表_各Aパターン件数[[#This Row],[管理番号]],名前リスト[[#All],[管理番号]:[氏名]],2,TRUE),"")</f>
        <v>0</v>
      </c>
      <c r="C326" s="28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134" t="str">
        <f t="shared" si="5"/>
        <v/>
      </c>
      <c r="E32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6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9">
      <c r="A327" s="127">
        <f>名前リスト[[#This Row],[管理番号]]</f>
        <v>1070</v>
      </c>
      <c r="B327" s="28">
        <f>IF(NOT(まとめ表_各Aパターン件数[[#This Row],[管理番号]]=""),VLOOKUP(まとめ表_各Aパターン件数[[#This Row],[管理番号]],名前リスト[[#All],[管理番号]:[氏名]],2,TRUE),"")</f>
        <v>0</v>
      </c>
      <c r="C327" s="28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134" t="str">
        <f t="shared" si="5"/>
        <v/>
      </c>
      <c r="E32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7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9">
      <c r="A328" s="127">
        <f>名前リスト[[#This Row],[管理番号]]</f>
        <v>1071</v>
      </c>
      <c r="B328" s="28">
        <f>IF(NOT(まとめ表_各Aパターン件数[[#This Row],[管理番号]]=""),VLOOKUP(まとめ表_各Aパターン件数[[#This Row],[管理番号]],名前リスト[[#All],[管理番号]:[氏名]],2,TRUE),"")</f>
        <v>0</v>
      </c>
      <c r="C328" s="28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134" t="str">
        <f t="shared" si="5"/>
        <v/>
      </c>
      <c r="E32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8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9">
      <c r="A329" s="127">
        <f>名前リスト[[#This Row],[管理番号]]</f>
        <v>1072</v>
      </c>
      <c r="B329" s="28">
        <f>IF(NOT(まとめ表_各Aパターン件数[[#This Row],[管理番号]]=""),VLOOKUP(まとめ表_各Aパターン件数[[#This Row],[管理番号]],名前リスト[[#All],[管理番号]:[氏名]],2,TRUE),"")</f>
        <v>0</v>
      </c>
      <c r="C329" s="28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134" t="str">
        <f t="shared" si="5"/>
        <v/>
      </c>
      <c r="E32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2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29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9">
      <c r="A330" s="127">
        <f>名前リスト[[#This Row],[管理番号]]</f>
        <v>1073</v>
      </c>
      <c r="B330" s="28">
        <f>IF(NOT(まとめ表_各Aパターン件数[[#This Row],[管理番号]]=""),VLOOKUP(まとめ表_各Aパターン件数[[#This Row],[管理番号]],名前リスト[[#All],[管理番号]:[氏名]],2,TRUE),"")</f>
        <v>0</v>
      </c>
      <c r="C330" s="28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134" t="str">
        <f t="shared" si="5"/>
        <v/>
      </c>
      <c r="E33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0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9">
      <c r="A331" s="127">
        <f>名前リスト[[#This Row],[管理番号]]</f>
        <v>1074</v>
      </c>
      <c r="B331" s="28">
        <f>IF(NOT(まとめ表_各Aパターン件数[[#This Row],[管理番号]]=""),VLOOKUP(まとめ表_各Aパターン件数[[#This Row],[管理番号]],名前リスト[[#All],[管理番号]:[氏名]],2,TRUE),"")</f>
        <v>0</v>
      </c>
      <c r="C331" s="28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134" t="str">
        <f t="shared" si="5"/>
        <v/>
      </c>
      <c r="E33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1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9">
      <c r="A332" s="127">
        <f>名前リスト[[#This Row],[管理番号]]</f>
        <v>1075</v>
      </c>
      <c r="B332" s="28">
        <f>IF(NOT(まとめ表_各Aパターン件数[[#This Row],[管理番号]]=""),VLOOKUP(まとめ表_各Aパターン件数[[#This Row],[管理番号]],名前リスト[[#All],[管理番号]:[氏名]],2,TRUE),"")</f>
        <v>0</v>
      </c>
      <c r="C332" s="28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134" t="str">
        <f t="shared" si="5"/>
        <v/>
      </c>
      <c r="E33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2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9">
      <c r="A333" s="127">
        <f>名前リスト[[#This Row],[管理番号]]</f>
        <v>1076</v>
      </c>
      <c r="B333" s="28">
        <f>IF(NOT(まとめ表_各Aパターン件数[[#This Row],[管理番号]]=""),VLOOKUP(まとめ表_各Aパターン件数[[#This Row],[管理番号]],名前リスト[[#All],[管理番号]:[氏名]],2,TRUE),"")</f>
        <v>0</v>
      </c>
      <c r="C333" s="28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134" t="str">
        <f t="shared" si="5"/>
        <v/>
      </c>
      <c r="E33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3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9">
      <c r="A334" s="127">
        <f>名前リスト[[#This Row],[管理番号]]</f>
        <v>1077</v>
      </c>
      <c r="B334" s="28">
        <f>IF(NOT(まとめ表_各Aパターン件数[[#This Row],[管理番号]]=""),VLOOKUP(まとめ表_各Aパターン件数[[#This Row],[管理番号]],名前リスト[[#All],[管理番号]:[氏名]],2,TRUE),"")</f>
        <v>0</v>
      </c>
      <c r="C334" s="28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134" t="str">
        <f t="shared" si="5"/>
        <v/>
      </c>
      <c r="E33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4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9">
      <c r="A335" s="127">
        <f>名前リスト[[#This Row],[管理番号]]</f>
        <v>1078</v>
      </c>
      <c r="B335" s="28">
        <f>IF(NOT(まとめ表_各Aパターン件数[[#This Row],[管理番号]]=""),VLOOKUP(まとめ表_各Aパターン件数[[#This Row],[管理番号]],名前リスト[[#All],[管理番号]:[氏名]],2,TRUE),"")</f>
        <v>0</v>
      </c>
      <c r="C335" s="28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134" t="str">
        <f t="shared" si="5"/>
        <v/>
      </c>
      <c r="E33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5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9">
      <c r="A336" s="127">
        <f>名前リスト[[#This Row],[管理番号]]</f>
        <v>1079</v>
      </c>
      <c r="B336" s="28">
        <f>IF(NOT(まとめ表_各Aパターン件数[[#This Row],[管理番号]]=""),VLOOKUP(まとめ表_各Aパターン件数[[#This Row],[管理番号]],名前リスト[[#All],[管理番号]:[氏名]],2,TRUE),"")</f>
        <v>0</v>
      </c>
      <c r="C336" s="28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134" t="str">
        <f t="shared" si="5"/>
        <v/>
      </c>
      <c r="E33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6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9">
      <c r="A337" s="127">
        <f>名前リスト[[#This Row],[管理番号]]</f>
        <v>1080</v>
      </c>
      <c r="B337" s="28">
        <f>IF(NOT(まとめ表_各Aパターン件数[[#This Row],[管理番号]]=""),VLOOKUP(まとめ表_各Aパターン件数[[#This Row],[管理番号]],名前リスト[[#All],[管理番号]:[氏名]],2,TRUE),"")</f>
        <v>0</v>
      </c>
      <c r="C337" s="28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134" t="str">
        <f t="shared" si="5"/>
        <v/>
      </c>
      <c r="E33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7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9">
      <c r="A338" s="127">
        <f>名前リスト[[#This Row],[管理番号]]</f>
        <v>1081</v>
      </c>
      <c r="B338" s="28">
        <f>IF(NOT(まとめ表_各Aパターン件数[[#This Row],[管理番号]]=""),VLOOKUP(まとめ表_各Aパターン件数[[#This Row],[管理番号]],名前リスト[[#All],[管理番号]:[氏名]],2,TRUE),"")</f>
        <v>0</v>
      </c>
      <c r="C338" s="28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134" t="str">
        <f t="shared" si="5"/>
        <v/>
      </c>
      <c r="E33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8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9">
      <c r="A339" s="127">
        <f>名前リスト[[#This Row],[管理番号]]</f>
        <v>1082</v>
      </c>
      <c r="B339" s="28">
        <f>IF(NOT(まとめ表_各Aパターン件数[[#This Row],[管理番号]]=""),VLOOKUP(まとめ表_各Aパターン件数[[#This Row],[管理番号]],名前リスト[[#All],[管理番号]:[氏名]],2,TRUE),"")</f>
        <v>0</v>
      </c>
      <c r="C339" s="28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134" t="str">
        <f t="shared" si="5"/>
        <v/>
      </c>
      <c r="E33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3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39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9">
      <c r="A340" s="127">
        <f>名前リスト[[#This Row],[管理番号]]</f>
        <v>1083</v>
      </c>
      <c r="B340" s="28">
        <f>IF(NOT(まとめ表_各Aパターン件数[[#This Row],[管理番号]]=""),VLOOKUP(まとめ表_各Aパターン件数[[#This Row],[管理番号]],名前リスト[[#All],[管理番号]:[氏名]],2,TRUE),"")</f>
        <v>0</v>
      </c>
      <c r="C340" s="28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134" t="str">
        <f t="shared" si="5"/>
        <v/>
      </c>
      <c r="E34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0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9">
      <c r="A341" s="127">
        <f>名前リスト[[#This Row],[管理番号]]</f>
        <v>1084</v>
      </c>
      <c r="B341" s="28">
        <f>IF(NOT(まとめ表_各Aパターン件数[[#This Row],[管理番号]]=""),VLOOKUP(まとめ表_各Aパターン件数[[#This Row],[管理番号]],名前リスト[[#All],[管理番号]:[氏名]],2,TRUE),"")</f>
        <v>0</v>
      </c>
      <c r="C341" s="28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134" t="str">
        <f t="shared" si="5"/>
        <v/>
      </c>
      <c r="E34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1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9">
      <c r="A342" s="127">
        <f>名前リスト[[#This Row],[管理番号]]</f>
        <v>1085</v>
      </c>
      <c r="B342" s="28">
        <f>IF(NOT(まとめ表_各Aパターン件数[[#This Row],[管理番号]]=""),VLOOKUP(まとめ表_各Aパターン件数[[#This Row],[管理番号]],名前リスト[[#All],[管理番号]:[氏名]],2,TRUE),"")</f>
        <v>0</v>
      </c>
      <c r="C342" s="28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134" t="str">
        <f t="shared" si="5"/>
        <v/>
      </c>
      <c r="E342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2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2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9">
      <c r="A343" s="127">
        <f>名前リスト[[#This Row],[管理番号]]</f>
        <v>1086</v>
      </c>
      <c r="B343" s="28">
        <f>IF(NOT(まとめ表_各Aパターン件数[[#This Row],[管理番号]]=""),VLOOKUP(まとめ表_各Aパターン件数[[#This Row],[管理番号]],名前リスト[[#All],[管理番号]:[氏名]],2,TRUE),"")</f>
        <v>0</v>
      </c>
      <c r="C343" s="28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134" t="str">
        <f t="shared" si="5"/>
        <v/>
      </c>
      <c r="E343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3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3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9">
      <c r="A344" s="127">
        <f>名前リスト[[#This Row],[管理番号]]</f>
        <v>1087</v>
      </c>
      <c r="B344" s="28">
        <f>IF(NOT(まとめ表_各Aパターン件数[[#This Row],[管理番号]]=""),VLOOKUP(まとめ表_各Aパターン件数[[#This Row],[管理番号]],名前リスト[[#All],[管理番号]:[氏名]],2,TRUE),"")</f>
        <v>0</v>
      </c>
      <c r="C344" s="28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134" t="str">
        <f t="shared" si="5"/>
        <v/>
      </c>
      <c r="E344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4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4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9">
      <c r="A345" s="127">
        <f>名前リスト[[#This Row],[管理番号]]</f>
        <v>1088</v>
      </c>
      <c r="B345" s="28">
        <f>IF(NOT(まとめ表_各Aパターン件数[[#This Row],[管理番号]]=""),VLOOKUP(まとめ表_各Aパターン件数[[#This Row],[管理番号]],名前リスト[[#All],[管理番号]:[氏名]],2,TRUE),"")</f>
        <v>0</v>
      </c>
      <c r="C345" s="28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134" t="str">
        <f t="shared" si="5"/>
        <v/>
      </c>
      <c r="E345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5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5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9">
      <c r="A346" s="127">
        <f>名前リスト[[#This Row],[管理番号]]</f>
        <v>1089</v>
      </c>
      <c r="B346" s="28">
        <f>IF(NOT(まとめ表_各Aパターン件数[[#This Row],[管理番号]]=""),VLOOKUP(まとめ表_各Aパターン件数[[#This Row],[管理番号]],名前リスト[[#All],[管理番号]:[氏名]],2,TRUE),"")</f>
        <v>0</v>
      </c>
      <c r="C346" s="28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134" t="str">
        <f t="shared" si="5"/>
        <v/>
      </c>
      <c r="E346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6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6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9">
      <c r="A347" s="127">
        <f>名前リスト[[#This Row],[管理番号]]</f>
        <v>1090</v>
      </c>
      <c r="B347" s="28">
        <f>IF(NOT(まとめ表_各Aパターン件数[[#This Row],[管理番号]]=""),VLOOKUP(まとめ表_各Aパターン件数[[#This Row],[管理番号]],名前リスト[[#All],[管理番号]:[氏名]],2,TRUE),"")</f>
        <v>0</v>
      </c>
      <c r="C347" s="28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134" t="str">
        <f t="shared" si="5"/>
        <v/>
      </c>
      <c r="E347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7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7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9">
      <c r="A348" s="127">
        <f>名前リスト[[#This Row],[管理番号]]</f>
        <v>1091</v>
      </c>
      <c r="B348" s="28">
        <f>IF(NOT(まとめ表_各Aパターン件数[[#This Row],[管理番号]]=""),VLOOKUP(まとめ表_各Aパターン件数[[#This Row],[管理番号]],名前リスト[[#All],[管理番号]:[氏名]],2,TRUE),"")</f>
        <v>0</v>
      </c>
      <c r="C348" s="28">
        <f>IF(NOT(まとめ表_各Aパターン件数[[#This Row],[管理番号]]=""),VLOOKUP(まとめ表_各Aパターン件数[[#This Row],[管理番号]],名前リスト[[#All],[管理番号]:[氏名]],3,TRUE),"")</f>
        <v>0</v>
      </c>
      <c r="D348" s="134" t="str">
        <f t="shared" si="5"/>
        <v/>
      </c>
      <c r="E348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8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8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9">
      <c r="A349" s="127">
        <f>名前リスト[[#This Row],[管理番号]]</f>
        <v>1092</v>
      </c>
      <c r="B349" s="28">
        <f>IF(NOT(まとめ表_各Aパターン件数[[#This Row],[管理番号]]=""),VLOOKUP(まとめ表_各Aパターン件数[[#This Row],[管理番号]],名前リスト[[#All],[管理番号]:[氏名]],2,TRUE),"")</f>
        <v>0</v>
      </c>
      <c r="C349" s="28">
        <f>IF(NOT(まとめ表_各Aパターン件数[[#This Row],[管理番号]]=""),VLOOKUP(まとめ表_各Aパターン件数[[#This Row],[管理番号]],名前リスト[[#All],[管理番号]:[氏名]],3,TRUE),"")</f>
        <v>0</v>
      </c>
      <c r="D349" s="134" t="str">
        <f t="shared" si="5"/>
        <v/>
      </c>
      <c r="E349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49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49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9">
      <c r="A350" s="127">
        <f>名前リスト[[#This Row],[管理番号]]</f>
        <v>1093</v>
      </c>
      <c r="B350" s="28">
        <f>IF(NOT(まとめ表_各Aパターン件数[[#This Row],[管理番号]]=""),VLOOKUP(まとめ表_各Aパターン件数[[#This Row],[管理番号]],名前リスト[[#All],[管理番号]:[氏名]],2,TRUE),"")</f>
        <v>0</v>
      </c>
      <c r="C350" s="28">
        <f>IF(NOT(まとめ表_各Aパターン件数[[#This Row],[管理番号]]=""),VLOOKUP(まとめ表_各Aパターン件数[[#This Row],[管理番号]],名前リスト[[#All],[管理番号]:[氏名]],3,TRUE),"")</f>
        <v>0</v>
      </c>
      <c r="D350" s="134" t="str">
        <f t="shared" si="5"/>
        <v/>
      </c>
      <c r="E350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50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50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9">
      <c r="A351" s="127">
        <f>名前リスト[[#This Row],[管理番号]]</f>
        <v>1094</v>
      </c>
      <c r="B351" s="28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28">
        <f>IF(NOT(まとめ表_各Aパターン件数[[#This Row],[管理番号]]=""),VLOOKUP(まとめ表_各Aパターン件数[[#This Row],[管理番号]],名前リスト[[#All],[管理番号]:[氏名]],3,TRUE),"")</f>
        <v>0</v>
      </c>
      <c r="D351" s="134" t="str">
        <f t="shared" si="5"/>
        <v/>
      </c>
      <c r="E351" s="13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33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33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33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33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33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33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33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33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33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33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33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33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33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33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33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33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33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33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33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33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133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B351" s="131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C351" s="134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C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9" ht="25" customHeight="1">
      <c r="A1" s="91" t="s">
        <v>234</v>
      </c>
      <c r="B1" s="11" t="s">
        <v>197</v>
      </c>
      <c r="C1" s="12" t="s">
        <v>198</v>
      </c>
      <c r="D1" s="92" t="s">
        <v>331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326</v>
      </c>
      <c r="K1" s="68" t="s">
        <v>323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318</v>
      </c>
      <c r="U1" s="68" t="s">
        <v>319</v>
      </c>
      <c r="V1" s="68" t="s">
        <v>320</v>
      </c>
      <c r="W1" s="68" t="s">
        <v>321</v>
      </c>
      <c r="X1" s="68" t="s">
        <v>328</v>
      </c>
      <c r="Y1" s="68" t="s">
        <v>322</v>
      </c>
      <c r="Z1" s="68" t="s">
        <v>327</v>
      </c>
      <c r="AA1" s="68" t="s">
        <v>329</v>
      </c>
      <c r="AB1" s="89" t="s">
        <v>330</v>
      </c>
      <c r="AC1" s="140" t="s">
        <v>523</v>
      </c>
    </row>
    <row r="2" spans="1:29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3" t="str">
        <f t="shared" ref="D2:D65" si="0">IF(SUM(E2:XFD2)=0,"",SUM(E2:XFD2))</f>
        <v/>
      </c>
      <c r="E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8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9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3" t="str">
        <f t="shared" si="0"/>
        <v/>
      </c>
      <c r="E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9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93" t="str">
        <f t="shared" si="0"/>
        <v/>
      </c>
      <c r="E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9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3" t="str">
        <f t="shared" si="0"/>
        <v/>
      </c>
      <c r="E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9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3" t="str">
        <f t="shared" si="0"/>
        <v/>
      </c>
      <c r="E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9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3" t="str">
        <f t="shared" si="0"/>
        <v/>
      </c>
      <c r="E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9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3" t="str">
        <f t="shared" si="0"/>
        <v/>
      </c>
      <c r="E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9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3" t="str">
        <f t="shared" si="0"/>
        <v/>
      </c>
      <c r="E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9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93" t="str">
        <f t="shared" si="0"/>
        <v/>
      </c>
      <c r="E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9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93" t="str">
        <f t="shared" si="0"/>
        <v/>
      </c>
      <c r="E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9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3" t="str">
        <f t="shared" si="0"/>
        <v/>
      </c>
      <c r="E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9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3" t="str">
        <f t="shared" si="0"/>
        <v/>
      </c>
      <c r="E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9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3" t="str">
        <f t="shared" si="0"/>
        <v/>
      </c>
      <c r="E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9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3" t="str">
        <f t="shared" si="0"/>
        <v/>
      </c>
      <c r="E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9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3" t="str">
        <f t="shared" si="0"/>
        <v/>
      </c>
      <c r="E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9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3" t="str">
        <f t="shared" si="0"/>
        <v/>
      </c>
      <c r="E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9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3" t="str">
        <f t="shared" si="0"/>
        <v/>
      </c>
      <c r="E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9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3" t="str">
        <f t="shared" si="0"/>
        <v/>
      </c>
      <c r="E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9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93" t="str">
        <f t="shared" si="0"/>
        <v/>
      </c>
      <c r="E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9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3" t="str">
        <f t="shared" si="0"/>
        <v/>
      </c>
      <c r="E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9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93" t="str">
        <f t="shared" si="0"/>
        <v/>
      </c>
      <c r="E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9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3" t="str">
        <f t="shared" si="0"/>
        <v/>
      </c>
      <c r="E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9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3" t="str">
        <f t="shared" si="0"/>
        <v/>
      </c>
      <c r="E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9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3" t="str">
        <f t="shared" si="0"/>
        <v/>
      </c>
      <c r="E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9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3" t="str">
        <f t="shared" si="0"/>
        <v/>
      </c>
      <c r="E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9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3" t="str">
        <f t="shared" si="0"/>
        <v/>
      </c>
      <c r="E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9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3" t="str">
        <f t="shared" si="0"/>
        <v/>
      </c>
      <c r="E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9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3" t="str">
        <f t="shared" si="0"/>
        <v/>
      </c>
      <c r="E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9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3" t="str">
        <f t="shared" si="0"/>
        <v/>
      </c>
      <c r="E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9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3" t="str">
        <f t="shared" si="0"/>
        <v/>
      </c>
      <c r="E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9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3" t="str">
        <f t="shared" si="0"/>
        <v/>
      </c>
      <c r="E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9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3" t="str">
        <f t="shared" si="0"/>
        <v/>
      </c>
      <c r="E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9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3" t="str">
        <f t="shared" si="0"/>
        <v/>
      </c>
      <c r="E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9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3" t="str">
        <f t="shared" si="0"/>
        <v/>
      </c>
      <c r="E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9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3" t="str">
        <f t="shared" si="0"/>
        <v/>
      </c>
      <c r="E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9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3" t="str">
        <f t="shared" si="0"/>
        <v/>
      </c>
      <c r="E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9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3" t="str">
        <f t="shared" si="0"/>
        <v/>
      </c>
      <c r="E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9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93" t="str">
        <f t="shared" si="0"/>
        <v/>
      </c>
      <c r="E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9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3" t="str">
        <f t="shared" si="0"/>
        <v/>
      </c>
      <c r="E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9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3">
        <f t="shared" si="0"/>
        <v>2000</v>
      </c>
      <c r="E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2000</v>
      </c>
      <c r="N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9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3" t="str">
        <f t="shared" si="0"/>
        <v/>
      </c>
      <c r="E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9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3" t="str">
        <f t="shared" si="0"/>
        <v/>
      </c>
      <c r="E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9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3" t="str">
        <f t="shared" si="0"/>
        <v/>
      </c>
      <c r="E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9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3" t="str">
        <f t="shared" si="0"/>
        <v/>
      </c>
      <c r="E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9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3" t="str">
        <f t="shared" si="0"/>
        <v/>
      </c>
      <c r="E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9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3" t="str">
        <f t="shared" si="0"/>
        <v/>
      </c>
      <c r="E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9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93" t="str">
        <f t="shared" si="0"/>
        <v/>
      </c>
      <c r="E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9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3" t="str">
        <f t="shared" si="0"/>
        <v/>
      </c>
      <c r="E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4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4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9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3" t="str">
        <f t="shared" si="0"/>
        <v/>
      </c>
      <c r="E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9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3" t="str">
        <f t="shared" si="0"/>
        <v/>
      </c>
      <c r="E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9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3" t="str">
        <f t="shared" si="0"/>
        <v/>
      </c>
      <c r="E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9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93" t="str">
        <f t="shared" si="0"/>
        <v/>
      </c>
      <c r="E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9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3" t="str">
        <f t="shared" si="0"/>
        <v/>
      </c>
      <c r="E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9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3" t="str">
        <f t="shared" si="0"/>
        <v/>
      </c>
      <c r="E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9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3" t="str">
        <f t="shared" si="0"/>
        <v/>
      </c>
      <c r="E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9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3" t="str">
        <f t="shared" si="0"/>
        <v/>
      </c>
      <c r="E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9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3" t="str">
        <f t="shared" si="0"/>
        <v/>
      </c>
      <c r="E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9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3" t="str">
        <f t="shared" si="0"/>
        <v/>
      </c>
      <c r="E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5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5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9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3" t="str">
        <f t="shared" si="0"/>
        <v/>
      </c>
      <c r="E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9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3" t="str">
        <f t="shared" si="0"/>
        <v/>
      </c>
      <c r="E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9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3" t="str">
        <f t="shared" si="0"/>
        <v/>
      </c>
      <c r="E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9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3" t="str">
        <f t="shared" si="0"/>
        <v/>
      </c>
      <c r="E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9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93" t="str">
        <f t="shared" si="0"/>
        <v/>
      </c>
      <c r="E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9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93" t="str">
        <f t="shared" si="0"/>
        <v/>
      </c>
      <c r="E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9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3" t="str">
        <f t="shared" ref="D66:D129" si="1">IF(SUM(E66:XFD66)=0,"",SUM(E66:XFD66))</f>
        <v/>
      </c>
      <c r="E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9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3" t="str">
        <f t="shared" si="1"/>
        <v/>
      </c>
      <c r="E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9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3" t="str">
        <f t="shared" si="1"/>
        <v/>
      </c>
      <c r="E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9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3" t="str">
        <f t="shared" si="1"/>
        <v/>
      </c>
      <c r="E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6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6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9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3" t="str">
        <f t="shared" si="1"/>
        <v/>
      </c>
      <c r="E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9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3" t="str">
        <f t="shared" si="1"/>
        <v/>
      </c>
      <c r="E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9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3" t="str">
        <f t="shared" si="1"/>
        <v/>
      </c>
      <c r="E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9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3" t="str">
        <f t="shared" si="1"/>
        <v/>
      </c>
      <c r="E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9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3" t="str">
        <f t="shared" si="1"/>
        <v/>
      </c>
      <c r="E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9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3" t="str">
        <f t="shared" si="1"/>
        <v/>
      </c>
      <c r="E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9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3" t="str">
        <f t="shared" si="1"/>
        <v/>
      </c>
      <c r="E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9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3" t="str">
        <f t="shared" si="1"/>
        <v/>
      </c>
      <c r="E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9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3" t="str">
        <f t="shared" si="1"/>
        <v/>
      </c>
      <c r="E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9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3" t="str">
        <f t="shared" si="1"/>
        <v/>
      </c>
      <c r="E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7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7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9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93" t="str">
        <f t="shared" si="1"/>
        <v/>
      </c>
      <c r="E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9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93" t="str">
        <f t="shared" si="1"/>
        <v/>
      </c>
      <c r="E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9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3" t="str">
        <f t="shared" si="1"/>
        <v/>
      </c>
      <c r="E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9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3" t="str">
        <f t="shared" si="1"/>
        <v/>
      </c>
      <c r="E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9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3" t="str">
        <f t="shared" si="1"/>
        <v/>
      </c>
      <c r="E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9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3" t="str">
        <f t="shared" si="1"/>
        <v/>
      </c>
      <c r="E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9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93" t="str">
        <f t="shared" si="1"/>
        <v/>
      </c>
      <c r="E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9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3" t="str">
        <f t="shared" si="1"/>
        <v/>
      </c>
      <c r="E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9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93" t="str">
        <f t="shared" si="1"/>
        <v/>
      </c>
      <c r="E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9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3" t="str">
        <f t="shared" si="1"/>
        <v/>
      </c>
      <c r="E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8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8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9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93" t="str">
        <f t="shared" si="1"/>
        <v/>
      </c>
      <c r="E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9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93" t="str">
        <f t="shared" si="1"/>
        <v/>
      </c>
      <c r="E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9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93" t="str">
        <f t="shared" si="1"/>
        <v/>
      </c>
      <c r="E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9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3" t="str">
        <f t="shared" si="1"/>
        <v/>
      </c>
      <c r="E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9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93" t="str">
        <f t="shared" si="1"/>
        <v/>
      </c>
      <c r="E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9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93" t="str">
        <f t="shared" si="1"/>
        <v/>
      </c>
      <c r="E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9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93" t="str">
        <f t="shared" si="1"/>
        <v/>
      </c>
      <c r="E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9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3" t="str">
        <f t="shared" si="1"/>
        <v/>
      </c>
      <c r="E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9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3" t="str">
        <f t="shared" si="1"/>
        <v/>
      </c>
      <c r="E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9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3" t="str">
        <f t="shared" si="1"/>
        <v/>
      </c>
      <c r="E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9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9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9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93" t="str">
        <f t="shared" si="1"/>
        <v/>
      </c>
      <c r="E1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9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3" t="str">
        <f t="shared" si="1"/>
        <v/>
      </c>
      <c r="E1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9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3" t="str">
        <f t="shared" si="1"/>
        <v/>
      </c>
      <c r="E1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9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3" t="str">
        <f t="shared" si="1"/>
        <v/>
      </c>
      <c r="E1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9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3" t="str">
        <f t="shared" si="1"/>
        <v/>
      </c>
      <c r="E1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9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3" t="str">
        <f t="shared" si="1"/>
        <v/>
      </c>
      <c r="E1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9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3" t="str">
        <f t="shared" si="1"/>
        <v/>
      </c>
      <c r="E1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9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3" t="str">
        <f t="shared" si="1"/>
        <v/>
      </c>
      <c r="E1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9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3" t="str">
        <f t="shared" si="1"/>
        <v/>
      </c>
      <c r="E10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9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3" t="str">
        <f t="shared" si="1"/>
        <v/>
      </c>
      <c r="E10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0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0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9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3" t="str">
        <f t="shared" si="1"/>
        <v/>
      </c>
      <c r="E1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9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3" t="str">
        <f t="shared" si="1"/>
        <v/>
      </c>
      <c r="E1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9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3" t="str">
        <f t="shared" si="1"/>
        <v/>
      </c>
      <c r="E1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9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3" t="str">
        <f t="shared" si="1"/>
        <v/>
      </c>
      <c r="E1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9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3" t="str">
        <f t="shared" si="1"/>
        <v/>
      </c>
      <c r="E1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9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3" t="str">
        <f t="shared" si="1"/>
        <v/>
      </c>
      <c r="E1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9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3" t="str">
        <f t="shared" si="1"/>
        <v/>
      </c>
      <c r="E1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9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3" t="str">
        <f t="shared" si="1"/>
        <v/>
      </c>
      <c r="E1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9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3" t="str">
        <f t="shared" si="1"/>
        <v/>
      </c>
      <c r="E1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9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3" t="str">
        <f t="shared" si="1"/>
        <v/>
      </c>
      <c r="E1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1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1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9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3" t="str">
        <f t="shared" si="1"/>
        <v/>
      </c>
      <c r="E1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9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3" t="str">
        <f t="shared" si="1"/>
        <v/>
      </c>
      <c r="E1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9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3" t="str">
        <f t="shared" si="1"/>
        <v/>
      </c>
      <c r="E1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9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3" t="str">
        <f t="shared" si="1"/>
        <v/>
      </c>
      <c r="E1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9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3" t="str">
        <f t="shared" si="1"/>
        <v/>
      </c>
      <c r="E1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9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3" t="str">
        <f t="shared" si="1"/>
        <v/>
      </c>
      <c r="E1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9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3" t="str">
        <f t="shared" si="1"/>
        <v/>
      </c>
      <c r="E1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9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3" t="str">
        <f t="shared" si="1"/>
        <v/>
      </c>
      <c r="E1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9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3" t="str">
        <f t="shared" si="1"/>
        <v/>
      </c>
      <c r="E1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9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3" t="str">
        <f t="shared" si="1"/>
        <v/>
      </c>
      <c r="E1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2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2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9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3" t="str">
        <f t="shared" ref="D130:D193" si="2">IF(SUM(E130:XFD130)=0,"",SUM(E130:XFD130))</f>
        <v/>
      </c>
      <c r="E1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9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3" t="str">
        <f t="shared" si="2"/>
        <v/>
      </c>
      <c r="E1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9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3" t="str">
        <f t="shared" si="2"/>
        <v/>
      </c>
      <c r="E1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9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3" t="str">
        <f t="shared" si="2"/>
        <v/>
      </c>
      <c r="E1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9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3" t="str">
        <f t="shared" si="2"/>
        <v/>
      </c>
      <c r="E1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9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3" t="str">
        <f t="shared" si="2"/>
        <v/>
      </c>
      <c r="E1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9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3" t="str">
        <f t="shared" si="2"/>
        <v/>
      </c>
      <c r="E1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9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3" t="str">
        <f t="shared" si="2"/>
        <v/>
      </c>
      <c r="E1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9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3" t="str">
        <f t="shared" si="2"/>
        <v/>
      </c>
      <c r="E1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9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3" t="str">
        <f t="shared" si="2"/>
        <v/>
      </c>
      <c r="E1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3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3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9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3" t="str">
        <f t="shared" si="2"/>
        <v/>
      </c>
      <c r="E1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9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3" t="str">
        <f t="shared" si="2"/>
        <v/>
      </c>
      <c r="E1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9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3" t="str">
        <f t="shared" si="2"/>
        <v/>
      </c>
      <c r="E1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9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3" t="str">
        <f t="shared" si="2"/>
        <v/>
      </c>
      <c r="E1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9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3" t="str">
        <f t="shared" si="2"/>
        <v/>
      </c>
      <c r="E1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9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3" t="str">
        <f t="shared" si="2"/>
        <v/>
      </c>
      <c r="E1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9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3" t="str">
        <f t="shared" si="2"/>
        <v/>
      </c>
      <c r="E1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9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3" t="str">
        <f t="shared" si="2"/>
        <v/>
      </c>
      <c r="E1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9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3" t="str">
        <f t="shared" si="2"/>
        <v/>
      </c>
      <c r="E1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9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3" t="str">
        <f t="shared" si="2"/>
        <v/>
      </c>
      <c r="E1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4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4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9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3" t="str">
        <f t="shared" si="2"/>
        <v/>
      </c>
      <c r="E1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9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3" t="str">
        <f t="shared" si="2"/>
        <v/>
      </c>
      <c r="E1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9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3" t="str">
        <f t="shared" si="2"/>
        <v/>
      </c>
      <c r="E1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9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3" t="str">
        <f t="shared" si="2"/>
        <v/>
      </c>
      <c r="E1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9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3" t="str">
        <f t="shared" si="2"/>
        <v/>
      </c>
      <c r="E1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9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3" t="str">
        <f t="shared" si="2"/>
        <v/>
      </c>
      <c r="E1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9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3" t="str">
        <f t="shared" si="2"/>
        <v/>
      </c>
      <c r="E1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9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3" t="str">
        <f t="shared" si="2"/>
        <v/>
      </c>
      <c r="E1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9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3" t="str">
        <f t="shared" si="2"/>
        <v/>
      </c>
      <c r="E1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9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3" t="str">
        <f t="shared" si="2"/>
        <v/>
      </c>
      <c r="E1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5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5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9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3" t="str">
        <f t="shared" si="2"/>
        <v/>
      </c>
      <c r="E1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9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3" t="str">
        <f t="shared" si="2"/>
        <v/>
      </c>
      <c r="E1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9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3" t="str">
        <f t="shared" si="2"/>
        <v/>
      </c>
      <c r="E1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9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3" t="str">
        <f t="shared" si="2"/>
        <v/>
      </c>
      <c r="E1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9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3" t="str">
        <f t="shared" si="2"/>
        <v/>
      </c>
      <c r="E1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9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3" t="str">
        <f t="shared" si="2"/>
        <v/>
      </c>
      <c r="E1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9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3" t="str">
        <f t="shared" si="2"/>
        <v/>
      </c>
      <c r="E1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9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3" t="str">
        <f t="shared" si="2"/>
        <v/>
      </c>
      <c r="E1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9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3" t="str">
        <f t="shared" si="2"/>
        <v/>
      </c>
      <c r="E1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9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3" t="str">
        <f t="shared" si="2"/>
        <v/>
      </c>
      <c r="E1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6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6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9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3" t="str">
        <f t="shared" si="2"/>
        <v/>
      </c>
      <c r="E1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9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3" t="str">
        <f t="shared" si="2"/>
        <v/>
      </c>
      <c r="E1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9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3" t="str">
        <f t="shared" si="2"/>
        <v/>
      </c>
      <c r="E1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9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3" t="str">
        <f t="shared" si="2"/>
        <v/>
      </c>
      <c r="E1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9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3" t="str">
        <f t="shared" si="2"/>
        <v/>
      </c>
      <c r="E1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9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3" t="str">
        <f t="shared" si="2"/>
        <v/>
      </c>
      <c r="E1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9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3" t="str">
        <f t="shared" si="2"/>
        <v/>
      </c>
      <c r="E1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9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3" t="str">
        <f t="shared" si="2"/>
        <v/>
      </c>
      <c r="E1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9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3" t="str">
        <f t="shared" si="2"/>
        <v/>
      </c>
      <c r="E1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9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3" t="str">
        <f t="shared" si="2"/>
        <v/>
      </c>
      <c r="E1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7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7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9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3" t="str">
        <f t="shared" si="2"/>
        <v/>
      </c>
      <c r="E1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9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3" t="str">
        <f t="shared" si="2"/>
        <v/>
      </c>
      <c r="E1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9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3" t="str">
        <f t="shared" si="2"/>
        <v/>
      </c>
      <c r="E1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9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3" t="str">
        <f t="shared" si="2"/>
        <v/>
      </c>
      <c r="E1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9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3" t="str">
        <f t="shared" si="2"/>
        <v/>
      </c>
      <c r="E1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9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3" t="str">
        <f t="shared" si="2"/>
        <v/>
      </c>
      <c r="E1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9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3" t="str">
        <f t="shared" si="2"/>
        <v/>
      </c>
      <c r="E1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9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3" t="str">
        <f t="shared" si="2"/>
        <v/>
      </c>
      <c r="E1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9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3" t="str">
        <f t="shared" si="2"/>
        <v/>
      </c>
      <c r="E1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9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3" t="str">
        <f t="shared" si="2"/>
        <v/>
      </c>
      <c r="E1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8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8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9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3" t="str">
        <f t="shared" si="2"/>
        <v/>
      </c>
      <c r="E1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9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3" t="str">
        <f t="shared" si="2"/>
        <v/>
      </c>
      <c r="E1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9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3" t="str">
        <f t="shared" si="2"/>
        <v/>
      </c>
      <c r="E1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9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3" t="str">
        <f t="shared" si="2"/>
        <v/>
      </c>
      <c r="E1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9">
      <c r="A194" s="20">
        <f>名前リスト[[#This Row],[管理番号]]</f>
        <v>193</v>
      </c>
      <c r="B194" s="28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9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3" t="str">
        <f t="shared" ref="D194:D257" si="3">IF(SUM(E194:XFD194)=0,"",SUM(E194:XFD194))</f>
        <v/>
      </c>
      <c r="E1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9">
      <c r="A195" s="20">
        <f>名前リスト[[#This Row],[管理番号]]</f>
        <v>194</v>
      </c>
      <c r="B195" s="28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9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3" t="str">
        <f t="shared" si="3"/>
        <v/>
      </c>
      <c r="E1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5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9">
      <c r="A196" s="20">
        <f>名前リスト[[#This Row],[管理番号]]</f>
        <v>195</v>
      </c>
      <c r="B196" s="28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9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3" t="str">
        <f t="shared" si="3"/>
        <v/>
      </c>
      <c r="E1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6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9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3" t="str">
        <f t="shared" si="3"/>
        <v/>
      </c>
      <c r="E1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5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5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5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5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5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5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7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9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3" t="str">
        <f t="shared" si="3"/>
        <v/>
      </c>
      <c r="E1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8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9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3" t="str">
        <f t="shared" si="3"/>
        <v/>
      </c>
      <c r="E1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199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19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9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3" t="str">
        <f t="shared" si="3"/>
        <v/>
      </c>
      <c r="E2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0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9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3" t="str">
        <f t="shared" si="3"/>
        <v/>
      </c>
      <c r="E2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1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9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3" t="str">
        <f t="shared" si="3"/>
        <v/>
      </c>
      <c r="E2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2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9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3" t="str">
        <f t="shared" si="3"/>
        <v/>
      </c>
      <c r="E2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87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3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9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3" t="str">
        <f t="shared" si="3"/>
        <v/>
      </c>
      <c r="E2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5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5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65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65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65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65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65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65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65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65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65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65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65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65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8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4" s="90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9">
      <c r="A205" s="20">
        <f>名前リスト[[#This Row],[管理番号]]</f>
        <v>204</v>
      </c>
      <c r="B205" s="28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9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31" t="str">
        <f t="shared" si="3"/>
        <v/>
      </c>
      <c r="E2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9">
      <c r="A206" s="20">
        <f>名前リスト[[#This Row],[管理番号]]</f>
        <v>205</v>
      </c>
      <c r="B206" s="28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9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31" t="str">
        <f t="shared" si="3"/>
        <v/>
      </c>
      <c r="E2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9">
      <c r="A207" s="20">
        <f>名前リスト[[#This Row],[管理番号]]</f>
        <v>206</v>
      </c>
      <c r="B207" s="28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9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31" t="str">
        <f t="shared" si="3"/>
        <v/>
      </c>
      <c r="E2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9">
      <c r="A208" s="20">
        <f>名前リスト[[#This Row],[管理番号]]</f>
        <v>207</v>
      </c>
      <c r="B208" s="28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9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131" t="str">
        <f t="shared" si="3"/>
        <v/>
      </c>
      <c r="E208" s="50"/>
      <c r="F20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9">
      <c r="A209" s="20">
        <f>名前リスト[[#This Row],[管理番号]]</f>
        <v>208</v>
      </c>
      <c r="B209" s="28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9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131" t="str">
        <f t="shared" si="3"/>
        <v/>
      </c>
      <c r="E209" s="50"/>
      <c r="F20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0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0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9">
      <c r="A210" s="20">
        <f>名前リスト[[#This Row],[管理番号]]</f>
        <v>209</v>
      </c>
      <c r="B210" s="28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9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131" t="str">
        <f t="shared" si="3"/>
        <v/>
      </c>
      <c r="E210" s="50"/>
      <c r="F21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9">
      <c r="A211" s="20">
        <f>名前リスト[[#This Row],[管理番号]]</f>
        <v>210</v>
      </c>
      <c r="B211" s="28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9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131" t="str">
        <f t="shared" si="3"/>
        <v/>
      </c>
      <c r="E211" s="50"/>
      <c r="F21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9">
      <c r="A212" s="20">
        <f>名前リスト[[#This Row],[管理番号]]</f>
        <v>211</v>
      </c>
      <c r="B212" s="28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9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131" t="str">
        <f t="shared" si="3"/>
        <v/>
      </c>
      <c r="E212" s="50"/>
      <c r="F21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9">
      <c r="A213" s="20">
        <f>名前リスト[[#This Row],[管理番号]]</f>
        <v>212</v>
      </c>
      <c r="B213" s="28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9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131" t="str">
        <f t="shared" si="3"/>
        <v/>
      </c>
      <c r="E213" s="50"/>
      <c r="F21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9">
      <c r="A214" s="20">
        <f>名前リスト[[#This Row],[管理番号]]</f>
        <v>213</v>
      </c>
      <c r="B214" s="28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9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131" t="str">
        <f t="shared" si="3"/>
        <v/>
      </c>
      <c r="E214" s="50"/>
      <c r="F21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9">
      <c r="A215" s="20">
        <f>名前リスト[[#This Row],[管理番号]]</f>
        <v>214</v>
      </c>
      <c r="B215" s="28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9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131" t="str">
        <f t="shared" si="3"/>
        <v/>
      </c>
      <c r="E215" s="50"/>
      <c r="F21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9">
      <c r="A216" s="20">
        <f>名前リスト[[#This Row],[管理番号]]</f>
        <v>215</v>
      </c>
      <c r="B216" s="28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9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131" t="str">
        <f t="shared" si="3"/>
        <v/>
      </c>
      <c r="E216" s="50"/>
      <c r="F21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9">
      <c r="A217" s="20">
        <f>名前リスト[[#This Row],[管理番号]]</f>
        <v>216</v>
      </c>
      <c r="B217" s="28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9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131" t="str">
        <f t="shared" si="3"/>
        <v/>
      </c>
      <c r="E217" s="50"/>
      <c r="F21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9">
      <c r="A218" s="20">
        <f>名前リスト[[#This Row],[管理番号]]</f>
        <v>217</v>
      </c>
      <c r="B218" s="28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9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131" t="str">
        <f t="shared" si="3"/>
        <v/>
      </c>
      <c r="E218" s="50"/>
      <c r="F21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9">
      <c r="A219" s="20">
        <f>名前リスト[[#This Row],[管理番号]]</f>
        <v>218</v>
      </c>
      <c r="B219" s="28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9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131" t="str">
        <f t="shared" si="3"/>
        <v/>
      </c>
      <c r="E219" s="50"/>
      <c r="F21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1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1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9">
      <c r="A220" s="20">
        <f>名前リスト[[#This Row],[管理番号]]</f>
        <v>219</v>
      </c>
      <c r="B220" s="28">
        <f>IF(NOT(まとめ表_バック金額[[#This Row],[管理番号]]=""),VLOOKUP(まとめ表_バック金額[[#This Row],[管理番号]],名前リスト[[#All],[管理番号]:[氏名]],2,TRUE),"")</f>
        <v>0</v>
      </c>
      <c r="C220" s="29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131" t="str">
        <f t="shared" si="3"/>
        <v/>
      </c>
      <c r="E220" s="50"/>
      <c r="F22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9">
      <c r="A221" s="20">
        <f>名前リスト[[#This Row],[管理番号]]</f>
        <v>220</v>
      </c>
      <c r="B221" s="28">
        <f>IF(NOT(まとめ表_バック金額[[#This Row],[管理番号]]=""),VLOOKUP(まとめ表_バック金額[[#This Row],[管理番号]],名前リスト[[#All],[管理番号]:[氏名]],2,TRUE),"")</f>
        <v>0</v>
      </c>
      <c r="C221" s="29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131" t="str">
        <f t="shared" si="3"/>
        <v/>
      </c>
      <c r="E221" s="50"/>
      <c r="F22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9">
      <c r="A222" s="20">
        <f>名前リスト[[#This Row],[管理番号]]</f>
        <v>221</v>
      </c>
      <c r="B222" s="28">
        <f>IF(NOT(まとめ表_バック金額[[#This Row],[管理番号]]=""),VLOOKUP(まとめ表_バック金額[[#This Row],[管理番号]],名前リスト[[#All],[管理番号]:[氏名]],2,TRUE),"")</f>
        <v>0</v>
      </c>
      <c r="C222" s="29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131" t="str">
        <f t="shared" si="3"/>
        <v/>
      </c>
      <c r="E222" s="50"/>
      <c r="F22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9">
      <c r="A223" s="20">
        <f>名前リスト[[#This Row],[管理番号]]</f>
        <v>222</v>
      </c>
      <c r="B223" s="28">
        <f>IF(NOT(まとめ表_バック金額[[#This Row],[管理番号]]=""),VLOOKUP(まとめ表_バック金額[[#This Row],[管理番号]],名前リスト[[#All],[管理番号]:[氏名]],2,TRUE),"")</f>
        <v>0</v>
      </c>
      <c r="C223" s="29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131" t="str">
        <f t="shared" si="3"/>
        <v/>
      </c>
      <c r="E223" s="50"/>
      <c r="F22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9">
      <c r="A224" s="20">
        <f>名前リスト[[#This Row],[管理番号]]</f>
        <v>223</v>
      </c>
      <c r="B224" s="28">
        <f>IF(NOT(まとめ表_バック金額[[#This Row],[管理番号]]=""),VLOOKUP(まとめ表_バック金額[[#This Row],[管理番号]],名前リスト[[#All],[管理番号]:[氏名]],2,TRUE),"")</f>
        <v>0</v>
      </c>
      <c r="C224" s="29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131" t="str">
        <f t="shared" si="3"/>
        <v/>
      </c>
      <c r="E224" s="50"/>
      <c r="F22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9">
      <c r="A225" s="20">
        <f>名前リスト[[#This Row],[管理番号]]</f>
        <v>224</v>
      </c>
      <c r="B225" s="28">
        <f>IF(NOT(まとめ表_バック金額[[#This Row],[管理番号]]=""),VLOOKUP(まとめ表_バック金額[[#This Row],[管理番号]],名前リスト[[#All],[管理番号]:[氏名]],2,TRUE),"")</f>
        <v>0</v>
      </c>
      <c r="C225" s="29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131" t="str">
        <f t="shared" si="3"/>
        <v/>
      </c>
      <c r="E225" s="50"/>
      <c r="F22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9">
      <c r="A226" s="20">
        <f>名前リスト[[#This Row],[管理番号]]</f>
        <v>225</v>
      </c>
      <c r="B226" s="28">
        <f>IF(NOT(まとめ表_バック金額[[#This Row],[管理番号]]=""),VLOOKUP(まとめ表_バック金額[[#This Row],[管理番号]],名前リスト[[#All],[管理番号]:[氏名]],2,TRUE),"")</f>
        <v>0</v>
      </c>
      <c r="C226" s="29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131" t="str">
        <f t="shared" si="3"/>
        <v/>
      </c>
      <c r="E226" s="50"/>
      <c r="F22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9">
      <c r="A227" s="20">
        <f>名前リスト[[#This Row],[管理番号]]</f>
        <v>226</v>
      </c>
      <c r="B227" s="28">
        <f>IF(NOT(まとめ表_バック金額[[#This Row],[管理番号]]=""),VLOOKUP(まとめ表_バック金額[[#This Row],[管理番号]],名前リスト[[#All],[管理番号]:[氏名]],2,TRUE),"")</f>
        <v>0</v>
      </c>
      <c r="C227" s="29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131" t="str">
        <f t="shared" si="3"/>
        <v/>
      </c>
      <c r="E227" s="50"/>
      <c r="F22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9">
      <c r="A228" s="20">
        <f>名前リスト[[#This Row],[管理番号]]</f>
        <v>227</v>
      </c>
      <c r="B228" s="28">
        <f>IF(NOT(まとめ表_バック金額[[#This Row],[管理番号]]=""),VLOOKUP(まとめ表_バック金額[[#This Row],[管理番号]],名前リスト[[#All],[管理番号]:[氏名]],2,TRUE),"")</f>
        <v>0</v>
      </c>
      <c r="C228" s="29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131" t="str">
        <f t="shared" si="3"/>
        <v/>
      </c>
      <c r="E228" s="50"/>
      <c r="F22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9">
      <c r="A229" s="20">
        <f>名前リスト[[#This Row],[管理番号]]</f>
        <v>228</v>
      </c>
      <c r="B229" s="28">
        <f>IF(NOT(まとめ表_バック金額[[#This Row],[管理番号]]=""),VLOOKUP(まとめ表_バック金額[[#This Row],[管理番号]],名前リスト[[#All],[管理番号]:[氏名]],2,TRUE),"")</f>
        <v>0</v>
      </c>
      <c r="C229" s="29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131" t="str">
        <f t="shared" si="3"/>
        <v/>
      </c>
      <c r="E229" s="50"/>
      <c r="F22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2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2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9">
      <c r="A230" s="20">
        <f>名前リスト[[#This Row],[管理番号]]</f>
        <v>229</v>
      </c>
      <c r="B230" s="28">
        <f>IF(NOT(まとめ表_バック金額[[#This Row],[管理番号]]=""),VLOOKUP(まとめ表_バック金額[[#This Row],[管理番号]],名前リスト[[#All],[管理番号]:[氏名]],2,TRUE),"")</f>
        <v>0</v>
      </c>
      <c r="C230" s="29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131" t="str">
        <f t="shared" si="3"/>
        <v/>
      </c>
      <c r="E230" s="50"/>
      <c r="F23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9">
      <c r="A231" s="20">
        <f>名前リスト[[#This Row],[管理番号]]</f>
        <v>230</v>
      </c>
      <c r="B231" s="28">
        <f>IF(NOT(まとめ表_バック金額[[#This Row],[管理番号]]=""),VLOOKUP(まとめ表_バック金額[[#This Row],[管理番号]],名前リスト[[#All],[管理番号]:[氏名]],2,TRUE),"")</f>
        <v>0</v>
      </c>
      <c r="C231" s="29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131" t="str">
        <f t="shared" si="3"/>
        <v/>
      </c>
      <c r="E231" s="50"/>
      <c r="F23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9">
      <c r="A232" s="20">
        <f>名前リスト[[#This Row],[管理番号]]</f>
        <v>231</v>
      </c>
      <c r="B232" s="28">
        <f>IF(NOT(まとめ表_バック金額[[#This Row],[管理番号]]=""),VLOOKUP(まとめ表_バック金額[[#This Row],[管理番号]],名前リスト[[#All],[管理番号]:[氏名]],2,TRUE),"")</f>
        <v>0</v>
      </c>
      <c r="C232" s="29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131" t="str">
        <f t="shared" si="3"/>
        <v/>
      </c>
      <c r="E232" s="50"/>
      <c r="F23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9">
      <c r="A233" s="20">
        <f>名前リスト[[#This Row],[管理番号]]</f>
        <v>232</v>
      </c>
      <c r="B233" s="28">
        <f>IF(NOT(まとめ表_バック金額[[#This Row],[管理番号]]=""),VLOOKUP(まとめ表_バック金額[[#This Row],[管理番号]],名前リスト[[#All],[管理番号]:[氏名]],2,TRUE),"")</f>
        <v>0</v>
      </c>
      <c r="C233" s="29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131" t="str">
        <f t="shared" si="3"/>
        <v/>
      </c>
      <c r="E233" s="50"/>
      <c r="F23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9">
      <c r="A234" s="20">
        <f>名前リスト[[#This Row],[管理番号]]</f>
        <v>233</v>
      </c>
      <c r="B234" s="28">
        <f>IF(NOT(まとめ表_バック金額[[#This Row],[管理番号]]=""),VLOOKUP(まとめ表_バック金額[[#This Row],[管理番号]],名前リスト[[#All],[管理番号]:[氏名]],2,TRUE),"")</f>
        <v>0</v>
      </c>
      <c r="C234" s="29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131" t="str">
        <f t="shared" si="3"/>
        <v/>
      </c>
      <c r="E234" s="50"/>
      <c r="F23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9">
      <c r="A235" s="20">
        <f>名前リスト[[#This Row],[管理番号]]</f>
        <v>234</v>
      </c>
      <c r="B235" s="28">
        <f>IF(NOT(まとめ表_バック金額[[#This Row],[管理番号]]=""),VLOOKUP(まとめ表_バック金額[[#This Row],[管理番号]],名前リスト[[#All],[管理番号]:[氏名]],2,TRUE),"")</f>
        <v>0</v>
      </c>
      <c r="C235" s="29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131" t="str">
        <f t="shared" si="3"/>
        <v/>
      </c>
      <c r="E235" s="50"/>
      <c r="F23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9">
      <c r="A236" s="20">
        <f>名前リスト[[#This Row],[管理番号]]</f>
        <v>235</v>
      </c>
      <c r="B236" s="28">
        <f>IF(NOT(まとめ表_バック金額[[#This Row],[管理番号]]=""),VLOOKUP(まとめ表_バック金額[[#This Row],[管理番号]],名前リスト[[#All],[管理番号]:[氏名]],2,TRUE),"")</f>
        <v>0</v>
      </c>
      <c r="C236" s="29">
        <f>IF(NOT(まとめ表_バック金額[[#This Row],[管理番号]]=""),VLOOKUP(まとめ表_バック金額[[#This Row],[管理番号]],名前リスト[[#All],[管理番号]:[氏名]],3,TRUE),"")</f>
        <v>0</v>
      </c>
      <c r="D236" s="131" t="str">
        <f t="shared" si="3"/>
        <v/>
      </c>
      <c r="E236" s="50"/>
      <c r="F23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9">
      <c r="A237" s="20">
        <f>名前リスト[[#This Row],[管理番号]]</f>
        <v>236</v>
      </c>
      <c r="B237" s="28">
        <f>IF(NOT(まとめ表_バック金額[[#This Row],[管理番号]]=""),VLOOKUP(まとめ表_バック金額[[#This Row],[管理番号]],名前リスト[[#All],[管理番号]:[氏名]],2,TRUE),"")</f>
        <v>0</v>
      </c>
      <c r="C237" s="29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131" t="str">
        <f t="shared" si="3"/>
        <v/>
      </c>
      <c r="E237" s="50"/>
      <c r="F23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9">
      <c r="A238" s="20">
        <f>名前リスト[[#This Row],[管理番号]]</f>
        <v>237</v>
      </c>
      <c r="B238" s="28">
        <f>IF(NOT(まとめ表_バック金額[[#This Row],[管理番号]]=""),VLOOKUP(まとめ表_バック金額[[#This Row],[管理番号]],名前リスト[[#All],[管理番号]:[氏名]],2,TRUE),"")</f>
        <v>0</v>
      </c>
      <c r="C238" s="29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131" t="str">
        <f t="shared" si="3"/>
        <v/>
      </c>
      <c r="E238" s="50"/>
      <c r="F23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9">
      <c r="A239" s="20">
        <f>名前リスト[[#This Row],[管理番号]]</f>
        <v>238</v>
      </c>
      <c r="B239" s="28">
        <f>IF(NOT(まとめ表_バック金額[[#This Row],[管理番号]]=""),VLOOKUP(まとめ表_バック金額[[#This Row],[管理番号]],名前リスト[[#All],[管理番号]:[氏名]],2,TRUE),"")</f>
        <v>0</v>
      </c>
      <c r="C239" s="29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131" t="str">
        <f t="shared" si="3"/>
        <v/>
      </c>
      <c r="E239" s="50"/>
      <c r="F23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3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3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9">
      <c r="A240" s="20">
        <f>名前リスト[[#This Row],[管理番号]]</f>
        <v>239</v>
      </c>
      <c r="B240" s="28">
        <f>IF(NOT(まとめ表_バック金額[[#This Row],[管理番号]]=""),VLOOKUP(まとめ表_バック金額[[#This Row],[管理番号]],名前リスト[[#All],[管理番号]:[氏名]],2,TRUE),"")</f>
        <v>0</v>
      </c>
      <c r="C240" s="29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131" t="str">
        <f t="shared" si="3"/>
        <v/>
      </c>
      <c r="E240" s="50"/>
      <c r="F24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9">
      <c r="A241" s="20">
        <f>名前リスト[[#This Row],[管理番号]]</f>
        <v>240</v>
      </c>
      <c r="B241" s="28">
        <f>IF(NOT(まとめ表_バック金額[[#This Row],[管理番号]]=""),VLOOKUP(まとめ表_バック金額[[#This Row],[管理番号]],名前リスト[[#All],[管理番号]:[氏名]],2,TRUE),"")</f>
        <v>0</v>
      </c>
      <c r="C241" s="29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131" t="str">
        <f t="shared" si="3"/>
        <v/>
      </c>
      <c r="E241" s="50"/>
      <c r="F24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9">
      <c r="A242" s="20">
        <f>名前リスト[[#This Row],[管理番号]]</f>
        <v>241</v>
      </c>
      <c r="B242" s="28">
        <f>IF(NOT(まとめ表_バック金額[[#This Row],[管理番号]]=""),VLOOKUP(まとめ表_バック金額[[#This Row],[管理番号]],名前リスト[[#All],[管理番号]:[氏名]],2,TRUE),"")</f>
        <v>0</v>
      </c>
      <c r="C242" s="29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131" t="str">
        <f t="shared" si="3"/>
        <v/>
      </c>
      <c r="E242" s="50"/>
      <c r="F24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9">
      <c r="A243" s="20">
        <f>名前リスト[[#This Row],[管理番号]]</f>
        <v>242</v>
      </c>
      <c r="B243" s="28">
        <f>IF(NOT(まとめ表_バック金額[[#This Row],[管理番号]]=""),VLOOKUP(まとめ表_バック金額[[#This Row],[管理番号]],名前リスト[[#All],[管理番号]:[氏名]],2,TRUE),"")</f>
        <v>0</v>
      </c>
      <c r="C243" s="29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131" t="str">
        <f t="shared" si="3"/>
        <v/>
      </c>
      <c r="E243" s="50"/>
      <c r="F24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9">
      <c r="A244" s="20">
        <f>名前リスト[[#This Row],[管理番号]]</f>
        <v>243</v>
      </c>
      <c r="B244" s="28">
        <f>IF(NOT(まとめ表_バック金額[[#This Row],[管理番号]]=""),VLOOKUP(まとめ表_バック金額[[#This Row],[管理番号]],名前リスト[[#All],[管理番号]:[氏名]],2,TRUE),"")</f>
        <v>0</v>
      </c>
      <c r="C244" s="29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131" t="str">
        <f t="shared" si="3"/>
        <v/>
      </c>
      <c r="E244" s="50"/>
      <c r="F24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9">
      <c r="A245" s="20">
        <f>名前リスト[[#This Row],[管理番号]]</f>
        <v>244</v>
      </c>
      <c r="B245" s="28">
        <f>IF(NOT(まとめ表_バック金額[[#This Row],[管理番号]]=""),VLOOKUP(まとめ表_バック金額[[#This Row],[管理番号]],名前リスト[[#All],[管理番号]:[氏名]],2,TRUE),"")</f>
        <v>0</v>
      </c>
      <c r="C245" s="29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131" t="str">
        <f t="shared" si="3"/>
        <v/>
      </c>
      <c r="E245" s="50"/>
      <c r="F24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9">
      <c r="A246" s="20">
        <f>名前リスト[[#This Row],[管理番号]]</f>
        <v>255</v>
      </c>
      <c r="B246" s="28">
        <f>IF(NOT(まとめ表_バック金額[[#This Row],[管理番号]]=""),VLOOKUP(まとめ表_バック金額[[#This Row],[管理番号]],名前リスト[[#All],[管理番号]:[氏名]],2,TRUE),"")</f>
        <v>0</v>
      </c>
      <c r="C246" s="29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131" t="str">
        <f t="shared" si="3"/>
        <v/>
      </c>
      <c r="E246" s="50"/>
      <c r="F24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9">
      <c r="A247" s="20">
        <f>名前リスト[[#This Row],[管理番号]]</f>
        <v>256</v>
      </c>
      <c r="B247" s="28">
        <f>IF(NOT(まとめ表_バック金額[[#This Row],[管理番号]]=""),VLOOKUP(まとめ表_バック金額[[#This Row],[管理番号]],名前リスト[[#All],[管理番号]:[氏名]],2,TRUE),"")</f>
        <v>0</v>
      </c>
      <c r="C247" s="29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131" t="str">
        <f t="shared" si="3"/>
        <v/>
      </c>
      <c r="E247" s="50"/>
      <c r="F24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9">
      <c r="A248" s="20">
        <f>名前リスト[[#This Row],[管理番号]]</f>
        <v>257</v>
      </c>
      <c r="B248" s="28">
        <f>IF(NOT(まとめ表_バック金額[[#This Row],[管理番号]]=""),VLOOKUP(まとめ表_バック金額[[#This Row],[管理番号]],名前リスト[[#All],[管理番号]:[氏名]],2,TRUE),"")</f>
        <v>0</v>
      </c>
      <c r="C248" s="29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131" t="str">
        <f t="shared" si="3"/>
        <v/>
      </c>
      <c r="E248" s="50"/>
      <c r="F24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9">
      <c r="A249" s="20">
        <f>名前リスト[[#This Row],[管理番号]]</f>
        <v>258</v>
      </c>
      <c r="B249" s="28">
        <f>IF(NOT(まとめ表_バック金額[[#This Row],[管理番号]]=""),VLOOKUP(まとめ表_バック金額[[#This Row],[管理番号]],名前リスト[[#All],[管理番号]:[氏名]],2,TRUE),"")</f>
        <v>0</v>
      </c>
      <c r="C249" s="29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131" t="str">
        <f t="shared" si="3"/>
        <v/>
      </c>
      <c r="E249" s="50"/>
      <c r="F24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4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4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9">
      <c r="A250" s="20">
        <f>名前リスト[[#This Row],[管理番号]]</f>
        <v>259</v>
      </c>
      <c r="B250" s="28">
        <f>IF(NOT(まとめ表_バック金額[[#This Row],[管理番号]]=""),VLOOKUP(まとめ表_バック金額[[#This Row],[管理番号]],名前リスト[[#All],[管理番号]:[氏名]],2,TRUE),"")</f>
        <v>0</v>
      </c>
      <c r="C250" s="29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131" t="str">
        <f t="shared" si="3"/>
        <v/>
      </c>
      <c r="E250" s="50"/>
      <c r="F25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9">
      <c r="A251" s="20">
        <f>名前リスト[[#This Row],[管理番号]]</f>
        <v>260</v>
      </c>
      <c r="B251" s="28">
        <f>IF(NOT(まとめ表_バック金額[[#This Row],[管理番号]]=""),VLOOKUP(まとめ表_バック金額[[#This Row],[管理番号]],名前リスト[[#All],[管理番号]:[氏名]],2,TRUE),"")</f>
        <v>0</v>
      </c>
      <c r="C251" s="29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131" t="str">
        <f t="shared" si="3"/>
        <v/>
      </c>
      <c r="E251" s="50"/>
      <c r="F25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9">
      <c r="A252" s="20">
        <f>名前リスト[[#This Row],[管理番号]]</f>
        <v>261</v>
      </c>
      <c r="B252" s="28">
        <f>IF(NOT(まとめ表_バック金額[[#This Row],[管理番号]]=""),VLOOKUP(まとめ表_バック金額[[#This Row],[管理番号]],名前リスト[[#All],[管理番号]:[氏名]],2,TRUE),"")</f>
        <v>0</v>
      </c>
      <c r="C252" s="29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131" t="str">
        <f t="shared" si="3"/>
        <v/>
      </c>
      <c r="E252" s="50"/>
      <c r="F25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9">
      <c r="A253" s="20">
        <f>名前リスト[[#This Row],[管理番号]]</f>
        <v>262</v>
      </c>
      <c r="B253" s="28">
        <f>IF(NOT(まとめ表_バック金額[[#This Row],[管理番号]]=""),VLOOKUP(まとめ表_バック金額[[#This Row],[管理番号]],名前リスト[[#All],[管理番号]:[氏名]],2,TRUE),"")</f>
        <v>0</v>
      </c>
      <c r="C253" s="29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131" t="str">
        <f t="shared" si="3"/>
        <v/>
      </c>
      <c r="E253" s="50"/>
      <c r="F25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9">
      <c r="A254" s="20">
        <f>名前リスト[[#This Row],[管理番号]]</f>
        <v>263</v>
      </c>
      <c r="B254" s="28">
        <f>IF(NOT(まとめ表_バック金額[[#This Row],[管理番号]]=""),VLOOKUP(まとめ表_バック金額[[#This Row],[管理番号]],名前リスト[[#All],[管理番号]:[氏名]],2,TRUE),"")</f>
        <v>0</v>
      </c>
      <c r="C254" s="29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131" t="str">
        <f t="shared" si="3"/>
        <v/>
      </c>
      <c r="E254" s="50"/>
      <c r="F25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9">
      <c r="A255" s="20">
        <f>名前リスト[[#This Row],[管理番号]]</f>
        <v>264</v>
      </c>
      <c r="B255" s="28">
        <f>IF(NOT(まとめ表_バック金額[[#This Row],[管理番号]]=""),VLOOKUP(まとめ表_バック金額[[#This Row],[管理番号]],名前リスト[[#All],[管理番号]:[氏名]],2,TRUE),"")</f>
        <v>0</v>
      </c>
      <c r="C255" s="29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131" t="str">
        <f t="shared" si="3"/>
        <v/>
      </c>
      <c r="E255" s="50"/>
      <c r="F25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9">
      <c r="A256" s="20">
        <f>名前リスト[[#This Row],[管理番号]]</f>
        <v>265</v>
      </c>
      <c r="B256" s="28">
        <f>IF(NOT(まとめ表_バック金額[[#This Row],[管理番号]]=""),VLOOKUP(まとめ表_バック金額[[#This Row],[管理番号]],名前リスト[[#All],[管理番号]:[氏名]],2,TRUE),"")</f>
        <v>0</v>
      </c>
      <c r="C256" s="29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131" t="str">
        <f t="shared" si="3"/>
        <v/>
      </c>
      <c r="E256" s="50"/>
      <c r="F25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9">
      <c r="A257" s="20">
        <f>名前リスト[[#This Row],[管理番号]]</f>
        <v>1000</v>
      </c>
      <c r="B257" s="28">
        <f>IF(NOT(まとめ表_バック金額[[#This Row],[管理番号]]=""),VLOOKUP(まとめ表_バック金額[[#This Row],[管理番号]],名前リスト[[#All],[管理番号]:[氏名]],2,TRUE),"")</f>
        <v>0</v>
      </c>
      <c r="C257" s="29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131" t="str">
        <f t="shared" si="3"/>
        <v/>
      </c>
      <c r="E257" s="50"/>
      <c r="F25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9">
      <c r="A258" s="20">
        <f>名前リスト[[#This Row],[管理番号]]</f>
        <v>1001</v>
      </c>
      <c r="B258" s="28">
        <f>IF(NOT(まとめ表_バック金額[[#This Row],[管理番号]]=""),VLOOKUP(まとめ表_バック金額[[#This Row],[管理番号]],名前リスト[[#All],[管理番号]:[氏名]],2,TRUE),"")</f>
        <v>0</v>
      </c>
      <c r="C258" s="29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131" t="str">
        <f t="shared" ref="D258:D321" si="4">IF(SUM(E258:XFD258)=0,"",SUM(E258:XFD258))</f>
        <v/>
      </c>
      <c r="E258" s="50"/>
      <c r="F25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9">
      <c r="A259" s="20">
        <f>名前リスト[[#This Row],[管理番号]]</f>
        <v>1002</v>
      </c>
      <c r="B259" s="28">
        <f>IF(NOT(まとめ表_バック金額[[#This Row],[管理番号]]=""),VLOOKUP(まとめ表_バック金額[[#This Row],[管理番号]],名前リスト[[#All],[管理番号]:[氏名]],2,TRUE),"")</f>
        <v>0</v>
      </c>
      <c r="C259" s="29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131" t="str">
        <f t="shared" si="4"/>
        <v/>
      </c>
      <c r="E259" s="50"/>
      <c r="F25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5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5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9">
      <c r="A260" s="20">
        <f>名前リスト[[#This Row],[管理番号]]</f>
        <v>1003</v>
      </c>
      <c r="B260" s="28">
        <f>IF(NOT(まとめ表_バック金額[[#This Row],[管理番号]]=""),VLOOKUP(まとめ表_バック金額[[#This Row],[管理番号]],名前リスト[[#All],[管理番号]:[氏名]],2,TRUE),"")</f>
        <v>0</v>
      </c>
      <c r="C260" s="29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131" t="str">
        <f t="shared" si="4"/>
        <v/>
      </c>
      <c r="E260" s="50"/>
      <c r="F26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9">
      <c r="A261" s="20">
        <f>名前リスト[[#This Row],[管理番号]]</f>
        <v>1004</v>
      </c>
      <c r="B261" s="28">
        <f>IF(NOT(まとめ表_バック金額[[#This Row],[管理番号]]=""),VLOOKUP(まとめ表_バック金額[[#This Row],[管理番号]],名前リスト[[#All],[管理番号]:[氏名]],2,TRUE),"")</f>
        <v>0</v>
      </c>
      <c r="C261" s="29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131" t="str">
        <f t="shared" si="4"/>
        <v/>
      </c>
      <c r="E261" s="50"/>
      <c r="F26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9">
      <c r="A262" s="20">
        <f>名前リスト[[#This Row],[管理番号]]</f>
        <v>1005</v>
      </c>
      <c r="B262" s="28">
        <f>IF(NOT(まとめ表_バック金額[[#This Row],[管理番号]]=""),VLOOKUP(まとめ表_バック金額[[#This Row],[管理番号]],名前リスト[[#All],[管理番号]:[氏名]],2,TRUE),"")</f>
        <v>0</v>
      </c>
      <c r="C262" s="29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131" t="str">
        <f t="shared" si="4"/>
        <v/>
      </c>
      <c r="E262" s="50"/>
      <c r="F26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9">
      <c r="A263" s="20">
        <f>名前リスト[[#This Row],[管理番号]]</f>
        <v>1006</v>
      </c>
      <c r="B263" s="28">
        <f>IF(NOT(まとめ表_バック金額[[#This Row],[管理番号]]=""),VLOOKUP(まとめ表_バック金額[[#This Row],[管理番号]],名前リスト[[#All],[管理番号]:[氏名]],2,TRUE),"")</f>
        <v>0</v>
      </c>
      <c r="C263" s="29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131" t="str">
        <f t="shared" si="4"/>
        <v/>
      </c>
      <c r="E263" s="50"/>
      <c r="F26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9">
      <c r="A264" s="20">
        <f>名前リスト[[#This Row],[管理番号]]</f>
        <v>1007</v>
      </c>
      <c r="B264" s="28">
        <f>IF(NOT(まとめ表_バック金額[[#This Row],[管理番号]]=""),VLOOKUP(まとめ表_バック金額[[#This Row],[管理番号]],名前リスト[[#All],[管理番号]:[氏名]],2,TRUE),"")</f>
        <v>0</v>
      </c>
      <c r="C264" s="29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131" t="str">
        <f t="shared" si="4"/>
        <v/>
      </c>
      <c r="E264" s="50"/>
      <c r="F26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9">
      <c r="A265" s="20">
        <f>名前リスト[[#This Row],[管理番号]]</f>
        <v>1008</v>
      </c>
      <c r="B265" s="28">
        <f>IF(NOT(まとめ表_バック金額[[#This Row],[管理番号]]=""),VLOOKUP(まとめ表_バック金額[[#This Row],[管理番号]],名前リスト[[#All],[管理番号]:[氏名]],2,TRUE),"")</f>
        <v>0</v>
      </c>
      <c r="C265" s="29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131" t="str">
        <f t="shared" si="4"/>
        <v/>
      </c>
      <c r="E265" s="50"/>
      <c r="F26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9">
      <c r="A266" s="20">
        <f>名前リスト[[#This Row],[管理番号]]</f>
        <v>1009</v>
      </c>
      <c r="B266" s="28">
        <f>IF(NOT(まとめ表_バック金額[[#This Row],[管理番号]]=""),VLOOKUP(まとめ表_バック金額[[#This Row],[管理番号]],名前リスト[[#All],[管理番号]:[氏名]],2,TRUE),"")</f>
        <v>0</v>
      </c>
      <c r="C266" s="29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131" t="str">
        <f t="shared" si="4"/>
        <v/>
      </c>
      <c r="E266" s="50"/>
      <c r="F26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9">
      <c r="A267" s="20">
        <f>名前リスト[[#This Row],[管理番号]]</f>
        <v>1010</v>
      </c>
      <c r="B267" s="28">
        <f>IF(NOT(まとめ表_バック金額[[#This Row],[管理番号]]=""),VLOOKUP(まとめ表_バック金額[[#This Row],[管理番号]],名前リスト[[#All],[管理番号]:[氏名]],2,TRUE),"")</f>
        <v>0</v>
      </c>
      <c r="C267" s="29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131" t="str">
        <f t="shared" si="4"/>
        <v/>
      </c>
      <c r="E267" s="50"/>
      <c r="F26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9">
      <c r="A268" s="20">
        <f>名前リスト[[#This Row],[管理番号]]</f>
        <v>1011</v>
      </c>
      <c r="B268" s="28">
        <f>IF(NOT(まとめ表_バック金額[[#This Row],[管理番号]]=""),VLOOKUP(まとめ表_バック金額[[#This Row],[管理番号]],名前リスト[[#All],[管理番号]:[氏名]],2,TRUE),"")</f>
        <v>0</v>
      </c>
      <c r="C268" s="29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131" t="str">
        <f t="shared" si="4"/>
        <v/>
      </c>
      <c r="E268" s="50"/>
      <c r="F26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9">
      <c r="A269" s="20">
        <f>名前リスト[[#This Row],[管理番号]]</f>
        <v>1012</v>
      </c>
      <c r="B269" s="28">
        <f>IF(NOT(まとめ表_バック金額[[#This Row],[管理番号]]=""),VLOOKUP(まとめ表_バック金額[[#This Row],[管理番号]],名前リスト[[#All],[管理番号]:[氏名]],2,TRUE),"")</f>
        <v>0</v>
      </c>
      <c r="C269" s="29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131" t="str">
        <f t="shared" si="4"/>
        <v/>
      </c>
      <c r="E269" s="50"/>
      <c r="F26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6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6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9">
      <c r="A270" s="20">
        <f>名前リスト[[#This Row],[管理番号]]</f>
        <v>1013</v>
      </c>
      <c r="B270" s="28">
        <f>IF(NOT(まとめ表_バック金額[[#This Row],[管理番号]]=""),VLOOKUP(まとめ表_バック金額[[#This Row],[管理番号]],名前リスト[[#All],[管理番号]:[氏名]],2,TRUE),"")</f>
        <v>0</v>
      </c>
      <c r="C270" s="29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131" t="str">
        <f t="shared" si="4"/>
        <v/>
      </c>
      <c r="E270" s="50"/>
      <c r="F27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9">
      <c r="A271" s="20">
        <f>名前リスト[[#This Row],[管理番号]]</f>
        <v>1014</v>
      </c>
      <c r="B271" s="28">
        <f>IF(NOT(まとめ表_バック金額[[#This Row],[管理番号]]=""),VLOOKUP(まとめ表_バック金額[[#This Row],[管理番号]],名前リスト[[#All],[管理番号]:[氏名]],2,TRUE),"")</f>
        <v>0</v>
      </c>
      <c r="C271" s="29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131" t="str">
        <f t="shared" si="4"/>
        <v/>
      </c>
      <c r="E271" s="50"/>
      <c r="F27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9">
      <c r="A272" s="20">
        <f>名前リスト[[#This Row],[管理番号]]</f>
        <v>1015</v>
      </c>
      <c r="B272" s="28">
        <f>IF(NOT(まとめ表_バック金額[[#This Row],[管理番号]]=""),VLOOKUP(まとめ表_バック金額[[#This Row],[管理番号]],名前リスト[[#All],[管理番号]:[氏名]],2,TRUE),"")</f>
        <v>0</v>
      </c>
      <c r="C272" s="29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131" t="str">
        <f t="shared" si="4"/>
        <v/>
      </c>
      <c r="E272" s="50"/>
      <c r="F27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9">
      <c r="A273" s="20">
        <f>名前リスト[[#This Row],[管理番号]]</f>
        <v>1016</v>
      </c>
      <c r="B273" s="28">
        <f>IF(NOT(まとめ表_バック金額[[#This Row],[管理番号]]=""),VLOOKUP(まとめ表_バック金額[[#This Row],[管理番号]],名前リスト[[#All],[管理番号]:[氏名]],2,TRUE),"")</f>
        <v>0</v>
      </c>
      <c r="C273" s="29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131" t="str">
        <f t="shared" si="4"/>
        <v/>
      </c>
      <c r="E273" s="50"/>
      <c r="F27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9">
      <c r="A274" s="20">
        <f>名前リスト[[#This Row],[管理番号]]</f>
        <v>1017</v>
      </c>
      <c r="B274" s="28">
        <f>IF(NOT(まとめ表_バック金額[[#This Row],[管理番号]]=""),VLOOKUP(まとめ表_バック金額[[#This Row],[管理番号]],名前リスト[[#All],[管理番号]:[氏名]],2,TRUE),"")</f>
        <v>0</v>
      </c>
      <c r="C274" s="29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131" t="str">
        <f t="shared" si="4"/>
        <v/>
      </c>
      <c r="E274" s="50"/>
      <c r="F27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9">
      <c r="A275" s="20">
        <f>名前リスト[[#This Row],[管理番号]]</f>
        <v>1018</v>
      </c>
      <c r="B275" s="28">
        <f>IF(NOT(まとめ表_バック金額[[#This Row],[管理番号]]=""),VLOOKUP(まとめ表_バック金額[[#This Row],[管理番号]],名前リスト[[#All],[管理番号]:[氏名]],2,TRUE),"")</f>
        <v>0</v>
      </c>
      <c r="C275" s="29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131" t="str">
        <f t="shared" si="4"/>
        <v/>
      </c>
      <c r="E275" s="50"/>
      <c r="F27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9">
      <c r="A276" s="20">
        <f>名前リスト[[#This Row],[管理番号]]</f>
        <v>1019</v>
      </c>
      <c r="B276" s="28">
        <f>IF(NOT(まとめ表_バック金額[[#This Row],[管理番号]]=""),VLOOKUP(まとめ表_バック金額[[#This Row],[管理番号]],名前リスト[[#All],[管理番号]:[氏名]],2,TRUE),"")</f>
        <v>0</v>
      </c>
      <c r="C276" s="29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131" t="str">
        <f t="shared" si="4"/>
        <v/>
      </c>
      <c r="E276" s="50"/>
      <c r="F27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9">
      <c r="A277" s="20">
        <f>名前リスト[[#This Row],[管理番号]]</f>
        <v>1020</v>
      </c>
      <c r="B277" s="28">
        <f>IF(NOT(まとめ表_バック金額[[#This Row],[管理番号]]=""),VLOOKUP(まとめ表_バック金額[[#This Row],[管理番号]],名前リスト[[#All],[管理番号]:[氏名]],2,TRUE),"")</f>
        <v>0</v>
      </c>
      <c r="C277" s="29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131" t="str">
        <f t="shared" si="4"/>
        <v/>
      </c>
      <c r="E277" s="50"/>
      <c r="F27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9">
      <c r="A278" s="20">
        <f>名前リスト[[#This Row],[管理番号]]</f>
        <v>1021</v>
      </c>
      <c r="B278" s="28">
        <f>IF(NOT(まとめ表_バック金額[[#This Row],[管理番号]]=""),VLOOKUP(まとめ表_バック金額[[#This Row],[管理番号]],名前リスト[[#All],[管理番号]:[氏名]],2,TRUE),"")</f>
        <v>0</v>
      </c>
      <c r="C278" s="29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131" t="str">
        <f t="shared" si="4"/>
        <v/>
      </c>
      <c r="E278" s="50"/>
      <c r="F27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9">
      <c r="A279" s="20">
        <f>名前リスト[[#This Row],[管理番号]]</f>
        <v>1022</v>
      </c>
      <c r="B279" s="28">
        <f>IF(NOT(まとめ表_バック金額[[#This Row],[管理番号]]=""),VLOOKUP(まとめ表_バック金額[[#This Row],[管理番号]],名前リスト[[#All],[管理番号]:[氏名]],2,TRUE),"")</f>
        <v>0</v>
      </c>
      <c r="C279" s="29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131" t="str">
        <f t="shared" si="4"/>
        <v/>
      </c>
      <c r="E279" s="50"/>
      <c r="F27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7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7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9">
      <c r="A280" s="20">
        <f>名前リスト[[#This Row],[管理番号]]</f>
        <v>1023</v>
      </c>
      <c r="B280" s="28">
        <f>IF(NOT(まとめ表_バック金額[[#This Row],[管理番号]]=""),VLOOKUP(まとめ表_バック金額[[#This Row],[管理番号]],名前リスト[[#All],[管理番号]:[氏名]],2,TRUE),"")</f>
        <v>0</v>
      </c>
      <c r="C280" s="29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131" t="str">
        <f t="shared" si="4"/>
        <v/>
      </c>
      <c r="E280" s="50"/>
      <c r="F28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9">
      <c r="A281" s="20">
        <f>名前リスト[[#This Row],[管理番号]]</f>
        <v>1024</v>
      </c>
      <c r="B281" s="28">
        <f>IF(NOT(まとめ表_バック金額[[#This Row],[管理番号]]=""),VLOOKUP(まとめ表_バック金額[[#This Row],[管理番号]],名前リスト[[#All],[管理番号]:[氏名]],2,TRUE),"")</f>
        <v>0</v>
      </c>
      <c r="C281" s="29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131" t="str">
        <f t="shared" si="4"/>
        <v/>
      </c>
      <c r="E281" s="50"/>
      <c r="F28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9">
      <c r="A282" s="20">
        <f>名前リスト[[#This Row],[管理番号]]</f>
        <v>1025</v>
      </c>
      <c r="B282" s="28">
        <f>IF(NOT(まとめ表_バック金額[[#This Row],[管理番号]]=""),VLOOKUP(まとめ表_バック金額[[#This Row],[管理番号]],名前リスト[[#All],[管理番号]:[氏名]],2,TRUE),"")</f>
        <v>0</v>
      </c>
      <c r="C282" s="29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131" t="str">
        <f t="shared" si="4"/>
        <v/>
      </c>
      <c r="E282" s="50"/>
      <c r="F28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9">
      <c r="A283" s="20">
        <f>名前リスト[[#This Row],[管理番号]]</f>
        <v>1026</v>
      </c>
      <c r="B283" s="28">
        <f>IF(NOT(まとめ表_バック金額[[#This Row],[管理番号]]=""),VLOOKUP(まとめ表_バック金額[[#This Row],[管理番号]],名前リスト[[#All],[管理番号]:[氏名]],2,TRUE),"")</f>
        <v>0</v>
      </c>
      <c r="C283" s="29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131" t="str">
        <f t="shared" si="4"/>
        <v/>
      </c>
      <c r="E283" s="50"/>
      <c r="F28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9">
      <c r="A284" s="20">
        <f>名前リスト[[#This Row],[管理番号]]</f>
        <v>1027</v>
      </c>
      <c r="B284" s="28">
        <f>IF(NOT(まとめ表_バック金額[[#This Row],[管理番号]]=""),VLOOKUP(まとめ表_バック金額[[#This Row],[管理番号]],名前リスト[[#All],[管理番号]:[氏名]],2,TRUE),"")</f>
        <v>0</v>
      </c>
      <c r="C284" s="29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131" t="str">
        <f t="shared" si="4"/>
        <v/>
      </c>
      <c r="E284" s="50"/>
      <c r="F28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9">
      <c r="A285" s="20">
        <f>名前リスト[[#This Row],[管理番号]]</f>
        <v>1028</v>
      </c>
      <c r="B285" s="28">
        <f>IF(NOT(まとめ表_バック金額[[#This Row],[管理番号]]=""),VLOOKUP(まとめ表_バック金額[[#This Row],[管理番号]],名前リスト[[#All],[管理番号]:[氏名]],2,TRUE),"")</f>
        <v>0</v>
      </c>
      <c r="C285" s="29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131" t="str">
        <f t="shared" si="4"/>
        <v/>
      </c>
      <c r="E285" s="50"/>
      <c r="F28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9">
      <c r="A286" s="20">
        <f>名前リスト[[#This Row],[管理番号]]</f>
        <v>1029</v>
      </c>
      <c r="B286" s="28">
        <f>IF(NOT(まとめ表_バック金額[[#This Row],[管理番号]]=""),VLOOKUP(まとめ表_バック金額[[#This Row],[管理番号]],名前リスト[[#All],[管理番号]:[氏名]],2,TRUE),"")</f>
        <v>0</v>
      </c>
      <c r="C286" s="29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131" t="str">
        <f t="shared" si="4"/>
        <v/>
      </c>
      <c r="E286" s="50"/>
      <c r="F28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9">
      <c r="A287" s="20">
        <f>名前リスト[[#This Row],[管理番号]]</f>
        <v>1030</v>
      </c>
      <c r="B287" s="28">
        <f>IF(NOT(まとめ表_バック金額[[#This Row],[管理番号]]=""),VLOOKUP(まとめ表_バック金額[[#This Row],[管理番号]],名前リスト[[#All],[管理番号]:[氏名]],2,TRUE),"")</f>
        <v>0</v>
      </c>
      <c r="C287" s="29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131" t="str">
        <f t="shared" si="4"/>
        <v/>
      </c>
      <c r="E287" s="50"/>
      <c r="F28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9">
      <c r="A288" s="20">
        <f>名前リスト[[#This Row],[管理番号]]</f>
        <v>1031</v>
      </c>
      <c r="B288" s="28">
        <f>IF(NOT(まとめ表_バック金額[[#This Row],[管理番号]]=""),VLOOKUP(まとめ表_バック金額[[#This Row],[管理番号]],名前リスト[[#All],[管理番号]:[氏名]],2,TRUE),"")</f>
        <v>0</v>
      </c>
      <c r="C288" s="29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131" t="str">
        <f t="shared" si="4"/>
        <v/>
      </c>
      <c r="E288" s="50"/>
      <c r="F28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9">
      <c r="A289" s="20">
        <f>名前リスト[[#This Row],[管理番号]]</f>
        <v>1032</v>
      </c>
      <c r="B289" s="28">
        <f>IF(NOT(まとめ表_バック金額[[#This Row],[管理番号]]=""),VLOOKUP(まとめ表_バック金額[[#This Row],[管理番号]],名前リスト[[#All],[管理番号]:[氏名]],2,TRUE),"")</f>
        <v>0</v>
      </c>
      <c r="C289" s="29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131" t="str">
        <f t="shared" si="4"/>
        <v/>
      </c>
      <c r="E289" s="50"/>
      <c r="F28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8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8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9">
      <c r="A290" s="20">
        <f>名前リスト[[#This Row],[管理番号]]</f>
        <v>1033</v>
      </c>
      <c r="B290" s="28">
        <f>IF(NOT(まとめ表_バック金額[[#This Row],[管理番号]]=""),VLOOKUP(まとめ表_バック金額[[#This Row],[管理番号]],名前リスト[[#All],[管理番号]:[氏名]],2,TRUE),"")</f>
        <v>0</v>
      </c>
      <c r="C290" s="29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131" t="str">
        <f t="shared" si="4"/>
        <v/>
      </c>
      <c r="E290" s="50"/>
      <c r="F29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9">
      <c r="A291" s="20">
        <f>名前リスト[[#This Row],[管理番号]]</f>
        <v>1034</v>
      </c>
      <c r="B291" s="28">
        <f>IF(NOT(まとめ表_バック金額[[#This Row],[管理番号]]=""),VLOOKUP(まとめ表_バック金額[[#This Row],[管理番号]],名前リスト[[#All],[管理番号]:[氏名]],2,TRUE),"")</f>
        <v>0</v>
      </c>
      <c r="C291" s="29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131" t="str">
        <f t="shared" si="4"/>
        <v/>
      </c>
      <c r="E291" s="50"/>
      <c r="F29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9">
      <c r="A292" s="20">
        <f>名前リスト[[#This Row],[管理番号]]</f>
        <v>1035</v>
      </c>
      <c r="B292" s="28">
        <f>IF(NOT(まとめ表_バック金額[[#This Row],[管理番号]]=""),VLOOKUP(まとめ表_バック金額[[#This Row],[管理番号]],名前リスト[[#All],[管理番号]:[氏名]],2,TRUE),"")</f>
        <v>0</v>
      </c>
      <c r="C292" s="29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131" t="str">
        <f t="shared" si="4"/>
        <v/>
      </c>
      <c r="E292" s="50"/>
      <c r="F29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9">
      <c r="A293" s="20">
        <f>名前リスト[[#This Row],[管理番号]]</f>
        <v>1036</v>
      </c>
      <c r="B293" s="28">
        <f>IF(NOT(まとめ表_バック金額[[#This Row],[管理番号]]=""),VLOOKUP(まとめ表_バック金額[[#This Row],[管理番号]],名前リスト[[#All],[管理番号]:[氏名]],2,TRUE),"")</f>
        <v>0</v>
      </c>
      <c r="C293" s="29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131" t="str">
        <f t="shared" si="4"/>
        <v/>
      </c>
      <c r="E293" s="50"/>
      <c r="F29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9">
      <c r="A294" s="20">
        <f>名前リスト[[#This Row],[管理番号]]</f>
        <v>1037</v>
      </c>
      <c r="B294" s="28">
        <f>IF(NOT(まとめ表_バック金額[[#This Row],[管理番号]]=""),VLOOKUP(まとめ表_バック金額[[#This Row],[管理番号]],名前リスト[[#All],[管理番号]:[氏名]],2,TRUE),"")</f>
        <v>0</v>
      </c>
      <c r="C294" s="29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131" t="str">
        <f t="shared" si="4"/>
        <v/>
      </c>
      <c r="E294" s="50"/>
      <c r="F29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9">
      <c r="A295" s="20">
        <f>名前リスト[[#This Row],[管理番号]]</f>
        <v>1038</v>
      </c>
      <c r="B295" s="28">
        <f>IF(NOT(まとめ表_バック金額[[#This Row],[管理番号]]=""),VLOOKUP(まとめ表_バック金額[[#This Row],[管理番号]],名前リスト[[#All],[管理番号]:[氏名]],2,TRUE),"")</f>
        <v>0</v>
      </c>
      <c r="C295" s="29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131" t="str">
        <f t="shared" si="4"/>
        <v/>
      </c>
      <c r="E295" s="50"/>
      <c r="F29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9">
      <c r="A296" s="20">
        <f>名前リスト[[#This Row],[管理番号]]</f>
        <v>1039</v>
      </c>
      <c r="B296" s="28">
        <f>IF(NOT(まとめ表_バック金額[[#This Row],[管理番号]]=""),VLOOKUP(まとめ表_バック金額[[#This Row],[管理番号]],名前リスト[[#All],[管理番号]:[氏名]],2,TRUE),"")</f>
        <v>0</v>
      </c>
      <c r="C296" s="29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131" t="str">
        <f t="shared" si="4"/>
        <v/>
      </c>
      <c r="E296" s="50"/>
      <c r="F29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9">
      <c r="A297" s="20">
        <f>名前リスト[[#This Row],[管理番号]]</f>
        <v>1040</v>
      </c>
      <c r="B297" s="28">
        <f>IF(NOT(まとめ表_バック金額[[#This Row],[管理番号]]=""),VLOOKUP(まとめ表_バック金額[[#This Row],[管理番号]],名前リスト[[#All],[管理番号]:[氏名]],2,TRUE),"")</f>
        <v>0</v>
      </c>
      <c r="C297" s="29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131" t="str">
        <f t="shared" si="4"/>
        <v/>
      </c>
      <c r="E297" s="50"/>
      <c r="F29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9">
      <c r="A298" s="20">
        <f>名前リスト[[#This Row],[管理番号]]</f>
        <v>1041</v>
      </c>
      <c r="B298" s="28">
        <f>IF(NOT(まとめ表_バック金額[[#This Row],[管理番号]]=""),VLOOKUP(まとめ表_バック金額[[#This Row],[管理番号]],名前リスト[[#All],[管理番号]:[氏名]],2,TRUE),"")</f>
        <v>0</v>
      </c>
      <c r="C298" s="29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131" t="str">
        <f t="shared" si="4"/>
        <v/>
      </c>
      <c r="E298" s="50"/>
      <c r="F29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9">
      <c r="A299" s="20">
        <f>名前リスト[[#This Row],[管理番号]]</f>
        <v>1042</v>
      </c>
      <c r="B299" s="28">
        <f>IF(NOT(まとめ表_バック金額[[#This Row],[管理番号]]=""),VLOOKUP(まとめ表_バック金額[[#This Row],[管理番号]],名前リスト[[#All],[管理番号]:[氏名]],2,TRUE),"")</f>
        <v>0</v>
      </c>
      <c r="C299" s="29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131" t="str">
        <f t="shared" si="4"/>
        <v/>
      </c>
      <c r="E299" s="50"/>
      <c r="F29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29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29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9">
      <c r="A300" s="20">
        <f>名前リスト[[#This Row],[管理番号]]</f>
        <v>1043</v>
      </c>
      <c r="B300" s="28">
        <f>IF(NOT(まとめ表_バック金額[[#This Row],[管理番号]]=""),VLOOKUP(まとめ表_バック金額[[#This Row],[管理番号]],名前リスト[[#All],[管理番号]:[氏名]],2,TRUE),"")</f>
        <v>0</v>
      </c>
      <c r="C300" s="29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131" t="str">
        <f t="shared" si="4"/>
        <v/>
      </c>
      <c r="E300" s="50"/>
      <c r="F30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9">
      <c r="A301" s="20">
        <f>名前リスト[[#This Row],[管理番号]]</f>
        <v>1044</v>
      </c>
      <c r="B301" s="28">
        <f>IF(NOT(まとめ表_バック金額[[#This Row],[管理番号]]=""),VLOOKUP(まとめ表_バック金額[[#This Row],[管理番号]],名前リスト[[#All],[管理番号]:[氏名]],2,TRUE),"")</f>
        <v>0</v>
      </c>
      <c r="C301" s="29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131" t="str">
        <f t="shared" si="4"/>
        <v/>
      </c>
      <c r="E301" s="50"/>
      <c r="F30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9">
      <c r="A302" s="20">
        <f>名前リスト[[#This Row],[管理番号]]</f>
        <v>1045</v>
      </c>
      <c r="B302" s="28">
        <f>IF(NOT(まとめ表_バック金額[[#This Row],[管理番号]]=""),VLOOKUP(まとめ表_バック金額[[#This Row],[管理番号]],名前リスト[[#All],[管理番号]:[氏名]],2,TRUE),"")</f>
        <v>0</v>
      </c>
      <c r="C302" s="29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131" t="str">
        <f t="shared" si="4"/>
        <v/>
      </c>
      <c r="E302" s="50"/>
      <c r="F30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9">
      <c r="A303" s="20">
        <f>名前リスト[[#This Row],[管理番号]]</f>
        <v>1046</v>
      </c>
      <c r="B303" s="28">
        <f>IF(NOT(まとめ表_バック金額[[#This Row],[管理番号]]=""),VLOOKUP(まとめ表_バック金額[[#This Row],[管理番号]],名前リスト[[#All],[管理番号]:[氏名]],2,TRUE),"")</f>
        <v>0</v>
      </c>
      <c r="C303" s="29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131" t="str">
        <f t="shared" si="4"/>
        <v/>
      </c>
      <c r="E303" s="50"/>
      <c r="F30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9">
      <c r="A304" s="20">
        <f>名前リスト[[#This Row],[管理番号]]</f>
        <v>1047</v>
      </c>
      <c r="B304" s="28">
        <f>IF(NOT(まとめ表_バック金額[[#This Row],[管理番号]]=""),VLOOKUP(まとめ表_バック金額[[#This Row],[管理番号]],名前リスト[[#All],[管理番号]:[氏名]],2,TRUE),"")</f>
        <v>0</v>
      </c>
      <c r="C304" s="29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131" t="str">
        <f t="shared" si="4"/>
        <v/>
      </c>
      <c r="E304" s="50"/>
      <c r="F30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9">
      <c r="A305" s="20">
        <f>名前リスト[[#This Row],[管理番号]]</f>
        <v>1048</v>
      </c>
      <c r="B305" s="28">
        <f>IF(NOT(まとめ表_バック金額[[#This Row],[管理番号]]=""),VLOOKUP(まとめ表_バック金額[[#This Row],[管理番号]],名前リスト[[#All],[管理番号]:[氏名]],2,TRUE),"")</f>
        <v>0</v>
      </c>
      <c r="C305" s="29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131" t="str">
        <f t="shared" si="4"/>
        <v/>
      </c>
      <c r="E305" s="50"/>
      <c r="F30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9">
      <c r="A306" s="20">
        <f>名前リスト[[#This Row],[管理番号]]</f>
        <v>1049</v>
      </c>
      <c r="B306" s="28">
        <f>IF(NOT(まとめ表_バック金額[[#This Row],[管理番号]]=""),VLOOKUP(まとめ表_バック金額[[#This Row],[管理番号]],名前リスト[[#All],[管理番号]:[氏名]],2,TRUE),"")</f>
        <v>0</v>
      </c>
      <c r="C306" s="29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131" t="str">
        <f t="shared" si="4"/>
        <v/>
      </c>
      <c r="E306" s="50"/>
      <c r="F30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9">
      <c r="A307" s="20">
        <f>名前リスト[[#This Row],[管理番号]]</f>
        <v>1050</v>
      </c>
      <c r="B307" s="28">
        <f>IF(NOT(まとめ表_バック金額[[#This Row],[管理番号]]=""),VLOOKUP(まとめ表_バック金額[[#This Row],[管理番号]],名前リスト[[#All],[管理番号]:[氏名]],2,TRUE),"")</f>
        <v>0</v>
      </c>
      <c r="C307" s="29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131" t="str">
        <f t="shared" si="4"/>
        <v/>
      </c>
      <c r="E307" s="50"/>
      <c r="F30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9">
      <c r="A308" s="20">
        <f>名前リスト[[#This Row],[管理番号]]</f>
        <v>1051</v>
      </c>
      <c r="B308" s="28">
        <f>IF(NOT(まとめ表_バック金額[[#This Row],[管理番号]]=""),VLOOKUP(まとめ表_バック金額[[#This Row],[管理番号]],名前リスト[[#All],[管理番号]:[氏名]],2,TRUE),"")</f>
        <v>0</v>
      </c>
      <c r="C308" s="29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131" t="str">
        <f t="shared" si="4"/>
        <v/>
      </c>
      <c r="E308" s="50"/>
      <c r="F30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8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9">
      <c r="A309" s="20">
        <f>名前リスト[[#This Row],[管理番号]]</f>
        <v>1052</v>
      </c>
      <c r="B309" s="28">
        <f>IF(NOT(まとめ表_バック金額[[#This Row],[管理番号]]=""),VLOOKUP(まとめ表_バック金額[[#This Row],[管理番号]],名前リスト[[#All],[管理番号]:[氏名]],2,TRUE),"")</f>
        <v>0</v>
      </c>
      <c r="C309" s="29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131" t="str">
        <f t="shared" si="4"/>
        <v/>
      </c>
      <c r="E309" s="50"/>
      <c r="F30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0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09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9">
      <c r="A310" s="20">
        <f>名前リスト[[#This Row],[管理番号]]</f>
        <v>1053</v>
      </c>
      <c r="B310" s="28">
        <f>IF(NOT(まとめ表_バック金額[[#This Row],[管理番号]]=""),VLOOKUP(まとめ表_バック金額[[#This Row],[管理番号]],名前リスト[[#All],[管理番号]:[氏名]],2,TRUE),"")</f>
        <v>0</v>
      </c>
      <c r="C310" s="29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131" t="str">
        <f t="shared" si="4"/>
        <v/>
      </c>
      <c r="E310" s="50"/>
      <c r="F31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0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9">
      <c r="A311" s="20">
        <f>名前リスト[[#This Row],[管理番号]]</f>
        <v>1054</v>
      </c>
      <c r="B311" s="28">
        <f>IF(NOT(まとめ表_バック金額[[#This Row],[管理番号]]=""),VLOOKUP(まとめ表_バック金額[[#This Row],[管理番号]],名前リスト[[#All],[管理番号]:[氏名]],2,TRUE),"")</f>
        <v>0</v>
      </c>
      <c r="C311" s="29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131" t="str">
        <f t="shared" si="4"/>
        <v/>
      </c>
      <c r="E311" s="50"/>
      <c r="F31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1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9">
      <c r="A312" s="20">
        <f>名前リスト[[#This Row],[管理番号]]</f>
        <v>1055</v>
      </c>
      <c r="B312" s="28">
        <f>IF(NOT(まとめ表_バック金額[[#This Row],[管理番号]]=""),VLOOKUP(まとめ表_バック金額[[#This Row],[管理番号]],名前リスト[[#All],[管理番号]:[氏名]],2,TRUE),"")</f>
        <v>0</v>
      </c>
      <c r="C312" s="29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131" t="str">
        <f t="shared" si="4"/>
        <v/>
      </c>
      <c r="E312" s="50"/>
      <c r="F31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2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9">
      <c r="A313" s="20">
        <f>名前リスト[[#This Row],[管理番号]]</f>
        <v>1056</v>
      </c>
      <c r="B313" s="28">
        <f>IF(NOT(まとめ表_バック金額[[#This Row],[管理番号]]=""),VLOOKUP(まとめ表_バック金額[[#This Row],[管理番号]],名前リスト[[#All],[管理番号]:[氏名]],2,TRUE),"")</f>
        <v>0</v>
      </c>
      <c r="C313" s="29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131" t="str">
        <f t="shared" si="4"/>
        <v/>
      </c>
      <c r="E313" s="50"/>
      <c r="F31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3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9">
      <c r="A314" s="20">
        <f>名前リスト[[#This Row],[管理番号]]</f>
        <v>1057</v>
      </c>
      <c r="B314" s="28">
        <f>IF(NOT(まとめ表_バック金額[[#This Row],[管理番号]]=""),VLOOKUP(まとめ表_バック金額[[#This Row],[管理番号]],名前リスト[[#All],[管理番号]:[氏名]],2,TRUE),"")</f>
        <v>0</v>
      </c>
      <c r="C314" s="29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131" t="str">
        <f t="shared" si="4"/>
        <v/>
      </c>
      <c r="E314" s="50"/>
      <c r="F31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4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9">
      <c r="A315" s="20">
        <f>名前リスト[[#This Row],[管理番号]]</f>
        <v>1058</v>
      </c>
      <c r="B315" s="28">
        <f>IF(NOT(まとめ表_バック金額[[#This Row],[管理番号]]=""),VLOOKUP(まとめ表_バック金額[[#This Row],[管理番号]],名前リスト[[#All],[管理番号]:[氏名]],2,TRUE),"")</f>
        <v>0</v>
      </c>
      <c r="C315" s="29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131" t="str">
        <f t="shared" si="4"/>
        <v/>
      </c>
      <c r="E315" s="50"/>
      <c r="F31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5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9">
      <c r="A316" s="20">
        <f>名前リスト[[#This Row],[管理番号]]</f>
        <v>1059</v>
      </c>
      <c r="B316" s="28">
        <f>IF(NOT(まとめ表_バック金額[[#This Row],[管理番号]]=""),VLOOKUP(まとめ表_バック金額[[#This Row],[管理番号]],名前リスト[[#All],[管理番号]:[氏名]],2,TRUE),"")</f>
        <v>0</v>
      </c>
      <c r="C316" s="29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131" t="str">
        <f t="shared" si="4"/>
        <v/>
      </c>
      <c r="E316" s="50"/>
      <c r="F31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6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9">
      <c r="A317" s="20">
        <f>名前リスト[[#This Row],[管理番号]]</f>
        <v>1060</v>
      </c>
      <c r="B317" s="28">
        <f>IF(NOT(まとめ表_バック金額[[#This Row],[管理番号]]=""),VLOOKUP(まとめ表_バック金額[[#This Row],[管理番号]],名前リスト[[#All],[管理番号]:[氏名]],2,TRUE),"")</f>
        <v>0</v>
      </c>
      <c r="C317" s="29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131" t="str">
        <f t="shared" si="4"/>
        <v/>
      </c>
      <c r="E317" s="50"/>
      <c r="F31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7" s="90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9">
      <c r="A318" s="20">
        <f>名前リスト[[#This Row],[管理番号]]</f>
        <v>1061</v>
      </c>
      <c r="B318" s="28">
        <f>IF(NOT(まとめ表_バック金額[[#This Row],[管理番号]]=""),VLOOKUP(まとめ表_バック金額[[#This Row],[管理番号]],名前リスト[[#All],[管理番号]:[氏名]],2,TRUE),"")</f>
        <v>0</v>
      </c>
      <c r="C318" s="29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131" t="str">
        <f t="shared" si="4"/>
        <v/>
      </c>
      <c r="E318" s="50"/>
      <c r="F31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8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9">
      <c r="A319" s="20">
        <f>名前リスト[[#This Row],[管理番号]]</f>
        <v>1062</v>
      </c>
      <c r="B319" s="28">
        <f>IF(NOT(まとめ表_バック金額[[#This Row],[管理番号]]=""),VLOOKUP(まとめ表_バック金額[[#This Row],[管理番号]],名前リスト[[#All],[管理番号]:[氏名]],2,TRUE),"")</f>
        <v>0</v>
      </c>
      <c r="C319" s="29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131" t="str">
        <f t="shared" si="4"/>
        <v/>
      </c>
      <c r="E319" s="50"/>
      <c r="F31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1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19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9">
      <c r="A320" s="20">
        <f>名前リスト[[#This Row],[管理番号]]</f>
        <v>1063</v>
      </c>
      <c r="B320" s="28">
        <f>IF(NOT(まとめ表_バック金額[[#This Row],[管理番号]]=""),VLOOKUP(まとめ表_バック金額[[#This Row],[管理番号]],名前リスト[[#All],[管理番号]:[氏名]],2,TRUE),"")</f>
        <v>0</v>
      </c>
      <c r="C320" s="29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131" t="str">
        <f t="shared" si="4"/>
        <v/>
      </c>
      <c r="E320" s="50"/>
      <c r="F32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0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9">
      <c r="A321" s="20">
        <f>名前リスト[[#This Row],[管理番号]]</f>
        <v>1064</v>
      </c>
      <c r="B321" s="28">
        <f>IF(NOT(まとめ表_バック金額[[#This Row],[管理番号]]=""),VLOOKUP(まとめ表_バック金額[[#This Row],[管理番号]],名前リスト[[#All],[管理番号]:[氏名]],2,TRUE),"")</f>
        <v>0</v>
      </c>
      <c r="C321" s="29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131" t="str">
        <f t="shared" si="4"/>
        <v/>
      </c>
      <c r="E321" s="50"/>
      <c r="F32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1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9">
      <c r="A322" s="20">
        <f>名前リスト[[#This Row],[管理番号]]</f>
        <v>1065</v>
      </c>
      <c r="B322" s="28">
        <f>IF(NOT(まとめ表_バック金額[[#This Row],[管理番号]]=""),VLOOKUP(まとめ表_バック金額[[#This Row],[管理番号]],名前リスト[[#All],[管理番号]:[氏名]],2,TRUE),"")</f>
        <v>0</v>
      </c>
      <c r="C322" s="29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131" t="str">
        <f t="shared" ref="D322:D351" si="5">IF(SUM(E322:XFD322)=0,"",SUM(E322:XFD322))</f>
        <v/>
      </c>
      <c r="E322" s="50"/>
      <c r="F32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2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9">
      <c r="A323" s="20">
        <f>名前リスト[[#This Row],[管理番号]]</f>
        <v>1066</v>
      </c>
      <c r="B323" s="28">
        <f>IF(NOT(まとめ表_バック金額[[#This Row],[管理番号]]=""),VLOOKUP(まとめ表_バック金額[[#This Row],[管理番号]],名前リスト[[#All],[管理番号]:[氏名]],2,TRUE),"")</f>
        <v>0</v>
      </c>
      <c r="C323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131" t="str">
        <f t="shared" si="5"/>
        <v/>
      </c>
      <c r="E323" s="50"/>
      <c r="F32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3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9">
      <c r="A324" s="20">
        <f>名前リスト[[#This Row],[管理番号]]</f>
        <v>1067</v>
      </c>
      <c r="B324" s="28">
        <f>IF(NOT(まとめ表_バック金額[[#This Row],[管理番号]]=""),VLOOKUP(まとめ表_バック金額[[#This Row],[管理番号]],名前リスト[[#All],[管理番号]:[氏名]],2,TRUE),"")</f>
        <v>0</v>
      </c>
      <c r="C324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131" t="str">
        <f t="shared" si="5"/>
        <v/>
      </c>
      <c r="E324" s="50"/>
      <c r="F32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4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9">
      <c r="A325" s="20">
        <f>名前リスト[[#This Row],[管理番号]]</f>
        <v>1068</v>
      </c>
      <c r="B325" s="28">
        <f>IF(NOT(まとめ表_バック金額[[#This Row],[管理番号]]=""),VLOOKUP(まとめ表_バック金額[[#This Row],[管理番号]],名前リスト[[#All],[管理番号]:[氏名]],2,TRUE),"")</f>
        <v>0</v>
      </c>
      <c r="C325" s="29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131" t="str">
        <f t="shared" si="5"/>
        <v/>
      </c>
      <c r="E325" s="50"/>
      <c r="F32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5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9">
      <c r="A326" s="20">
        <f>名前リスト[[#This Row],[管理番号]]</f>
        <v>1069</v>
      </c>
      <c r="B326" s="28">
        <f>IF(NOT(まとめ表_バック金額[[#This Row],[管理番号]]=""),VLOOKUP(まとめ表_バック金額[[#This Row],[管理番号]],名前リスト[[#All],[管理番号]:[氏名]],2,TRUE),"")</f>
        <v>0</v>
      </c>
      <c r="C326" s="29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131" t="str">
        <f t="shared" si="5"/>
        <v/>
      </c>
      <c r="E326" s="50"/>
      <c r="F32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6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9">
      <c r="A327" s="20">
        <f>名前リスト[[#This Row],[管理番号]]</f>
        <v>1070</v>
      </c>
      <c r="B327" s="28">
        <f>IF(NOT(まとめ表_バック金額[[#This Row],[管理番号]]=""),VLOOKUP(まとめ表_バック金額[[#This Row],[管理番号]],名前リスト[[#All],[管理番号]:[氏名]],2,TRUE),"")</f>
        <v>0</v>
      </c>
      <c r="C327" s="29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131" t="str">
        <f t="shared" si="5"/>
        <v/>
      </c>
      <c r="E327" s="50"/>
      <c r="F32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7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9">
      <c r="A328" s="20">
        <f>名前リスト[[#This Row],[管理番号]]</f>
        <v>1071</v>
      </c>
      <c r="B328" s="28">
        <f>IF(NOT(まとめ表_バック金額[[#This Row],[管理番号]]=""),VLOOKUP(まとめ表_バック金額[[#This Row],[管理番号]],名前リスト[[#All],[管理番号]:[氏名]],2,TRUE),"")</f>
        <v>0</v>
      </c>
      <c r="C328" s="29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131" t="str">
        <f t="shared" si="5"/>
        <v/>
      </c>
      <c r="E328" s="50"/>
      <c r="F32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8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9">
      <c r="A329" s="20">
        <f>名前リスト[[#This Row],[管理番号]]</f>
        <v>1072</v>
      </c>
      <c r="B329" s="28">
        <f>IF(NOT(まとめ表_バック金額[[#This Row],[管理番号]]=""),VLOOKUP(まとめ表_バック金額[[#This Row],[管理番号]],名前リスト[[#All],[管理番号]:[氏名]],2,TRUE),"")</f>
        <v>0</v>
      </c>
      <c r="C329" s="29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131" t="str">
        <f t="shared" si="5"/>
        <v/>
      </c>
      <c r="E329" s="50"/>
      <c r="F32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2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29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9">
      <c r="A330" s="20">
        <f>名前リスト[[#This Row],[管理番号]]</f>
        <v>1073</v>
      </c>
      <c r="B330" s="28">
        <f>IF(NOT(まとめ表_バック金額[[#This Row],[管理番号]]=""),VLOOKUP(まとめ表_バック金額[[#This Row],[管理番号]],名前リスト[[#All],[管理番号]:[氏名]],2,TRUE),"")</f>
        <v>0</v>
      </c>
      <c r="C330" s="29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131" t="str">
        <f t="shared" si="5"/>
        <v/>
      </c>
      <c r="E330" s="50"/>
      <c r="F33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0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9">
      <c r="A331" s="20">
        <f>名前リスト[[#This Row],[管理番号]]</f>
        <v>1074</v>
      </c>
      <c r="B331" s="28">
        <f>IF(NOT(まとめ表_バック金額[[#This Row],[管理番号]]=""),VLOOKUP(まとめ表_バック金額[[#This Row],[管理番号]],名前リスト[[#All],[管理番号]:[氏名]],2,TRUE),"")</f>
        <v>0</v>
      </c>
      <c r="C331" s="29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131" t="str">
        <f t="shared" si="5"/>
        <v/>
      </c>
      <c r="E331" s="50"/>
      <c r="F33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1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9">
      <c r="A332" s="20">
        <f>名前リスト[[#This Row],[管理番号]]</f>
        <v>1075</v>
      </c>
      <c r="B332" s="28">
        <f>IF(NOT(まとめ表_バック金額[[#This Row],[管理番号]]=""),VLOOKUP(まとめ表_バック金額[[#This Row],[管理番号]],名前リスト[[#All],[管理番号]:[氏名]],2,TRUE),"")</f>
        <v>0</v>
      </c>
      <c r="C332" s="29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131" t="str">
        <f t="shared" si="5"/>
        <v/>
      </c>
      <c r="E332" s="50"/>
      <c r="F33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2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9">
      <c r="A333" s="20">
        <f>名前リスト[[#This Row],[管理番号]]</f>
        <v>1076</v>
      </c>
      <c r="B333" s="28">
        <f>IF(NOT(まとめ表_バック金額[[#This Row],[管理番号]]=""),VLOOKUP(まとめ表_バック金額[[#This Row],[管理番号]],名前リスト[[#All],[管理番号]:[氏名]],2,TRUE),"")</f>
        <v>0</v>
      </c>
      <c r="C333" s="29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131" t="str">
        <f t="shared" si="5"/>
        <v/>
      </c>
      <c r="E333" s="50"/>
      <c r="F33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3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9">
      <c r="A334" s="20">
        <f>名前リスト[[#This Row],[管理番号]]</f>
        <v>1077</v>
      </c>
      <c r="B334" s="28">
        <f>IF(NOT(まとめ表_バック金額[[#This Row],[管理番号]]=""),VLOOKUP(まとめ表_バック金額[[#This Row],[管理番号]],名前リスト[[#All],[管理番号]:[氏名]],2,TRUE),"")</f>
        <v>0</v>
      </c>
      <c r="C334" s="29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131" t="str">
        <f t="shared" si="5"/>
        <v/>
      </c>
      <c r="E334" s="50"/>
      <c r="F33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4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9">
      <c r="A335" s="20">
        <f>名前リスト[[#This Row],[管理番号]]</f>
        <v>1078</v>
      </c>
      <c r="B335" s="28">
        <f>IF(NOT(まとめ表_バック金額[[#This Row],[管理番号]]=""),VLOOKUP(まとめ表_バック金額[[#This Row],[管理番号]],名前リスト[[#All],[管理番号]:[氏名]],2,TRUE),"")</f>
        <v>0</v>
      </c>
      <c r="C335" s="29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131" t="str">
        <f t="shared" si="5"/>
        <v/>
      </c>
      <c r="E335" s="50"/>
      <c r="F33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5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9">
      <c r="A336" s="20">
        <f>名前リスト[[#This Row],[管理番号]]</f>
        <v>1079</v>
      </c>
      <c r="B336" s="28">
        <f>IF(NOT(まとめ表_バック金額[[#This Row],[管理番号]]=""),VLOOKUP(まとめ表_バック金額[[#This Row],[管理番号]],名前リスト[[#All],[管理番号]:[氏名]],2,TRUE),"")</f>
        <v>0</v>
      </c>
      <c r="C336" s="29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131" t="str">
        <f t="shared" si="5"/>
        <v/>
      </c>
      <c r="E336" s="50"/>
      <c r="F33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6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9">
      <c r="A337" s="20">
        <f>名前リスト[[#This Row],[管理番号]]</f>
        <v>1080</v>
      </c>
      <c r="B337" s="28">
        <f>IF(NOT(まとめ表_バック金額[[#This Row],[管理番号]]=""),VLOOKUP(まとめ表_バック金額[[#This Row],[管理番号]],名前リスト[[#All],[管理番号]:[氏名]],2,TRUE),"")</f>
        <v>0</v>
      </c>
      <c r="C337" s="29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131" t="str">
        <f t="shared" si="5"/>
        <v/>
      </c>
      <c r="E337" s="50"/>
      <c r="F33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7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9">
      <c r="A338" s="20">
        <f>名前リスト[[#This Row],[管理番号]]</f>
        <v>1081</v>
      </c>
      <c r="B338" s="28">
        <f>IF(NOT(まとめ表_バック金額[[#This Row],[管理番号]]=""),VLOOKUP(まとめ表_バック金額[[#This Row],[管理番号]],名前リスト[[#All],[管理番号]:[氏名]],2,TRUE),"")</f>
        <v>0</v>
      </c>
      <c r="C338" s="29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131" t="str">
        <f t="shared" si="5"/>
        <v/>
      </c>
      <c r="E338" s="50"/>
      <c r="F33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8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9">
      <c r="A339" s="20">
        <f>名前リスト[[#This Row],[管理番号]]</f>
        <v>1082</v>
      </c>
      <c r="B339" s="28">
        <f>IF(NOT(まとめ表_バック金額[[#This Row],[管理番号]]=""),VLOOKUP(まとめ表_バック金額[[#This Row],[管理番号]],名前リスト[[#All],[管理番号]:[氏名]],2,TRUE),"")</f>
        <v>0</v>
      </c>
      <c r="C339" s="29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131" t="str">
        <f t="shared" si="5"/>
        <v/>
      </c>
      <c r="E339" s="50"/>
      <c r="F33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3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39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9">
      <c r="A340" s="20">
        <f>名前リスト[[#This Row],[管理番号]]</f>
        <v>1083</v>
      </c>
      <c r="B340" s="28">
        <f>IF(NOT(まとめ表_バック金額[[#This Row],[管理番号]]=""),VLOOKUP(まとめ表_バック金額[[#This Row],[管理番号]],名前リスト[[#All],[管理番号]:[氏名]],2,TRUE),"")</f>
        <v>0</v>
      </c>
      <c r="C340" s="29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131" t="str">
        <f t="shared" si="5"/>
        <v/>
      </c>
      <c r="E340" s="50"/>
      <c r="F34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0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9">
      <c r="A341" s="20">
        <f>名前リスト[[#This Row],[管理番号]]</f>
        <v>1084</v>
      </c>
      <c r="B341" s="28">
        <f>IF(NOT(まとめ表_バック金額[[#This Row],[管理番号]]=""),VLOOKUP(まとめ表_バック金額[[#This Row],[管理番号]],名前リスト[[#All],[管理番号]:[氏名]],2,TRUE),"")</f>
        <v>0</v>
      </c>
      <c r="C341" s="29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131" t="str">
        <f t="shared" si="5"/>
        <v/>
      </c>
      <c r="E341" s="50"/>
      <c r="F34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1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9">
      <c r="A342" s="20">
        <f>名前リスト[[#This Row],[管理番号]]</f>
        <v>1085</v>
      </c>
      <c r="B342" s="28">
        <f>IF(NOT(まとめ表_バック金額[[#This Row],[管理番号]]=""),VLOOKUP(まとめ表_バック金額[[#This Row],[管理番号]],名前リスト[[#All],[管理番号]:[氏名]],2,TRUE),"")</f>
        <v>0</v>
      </c>
      <c r="C342" s="29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131" t="str">
        <f t="shared" si="5"/>
        <v/>
      </c>
      <c r="E342" s="50"/>
      <c r="F342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2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2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9">
      <c r="A343" s="20">
        <f>名前リスト[[#This Row],[管理番号]]</f>
        <v>1086</v>
      </c>
      <c r="B343" s="28">
        <f>IF(NOT(まとめ表_バック金額[[#This Row],[管理番号]]=""),VLOOKUP(まとめ表_バック金額[[#This Row],[管理番号]],名前リスト[[#All],[管理番号]:[氏名]],2,TRUE),"")</f>
        <v>0</v>
      </c>
      <c r="C343" s="29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131" t="str">
        <f t="shared" si="5"/>
        <v/>
      </c>
      <c r="E343" s="50"/>
      <c r="F343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3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3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9">
      <c r="A344" s="20">
        <f>名前リスト[[#This Row],[管理番号]]</f>
        <v>1087</v>
      </c>
      <c r="B344" s="28">
        <f>IF(NOT(まとめ表_バック金額[[#This Row],[管理番号]]=""),VLOOKUP(まとめ表_バック金額[[#This Row],[管理番号]],名前リスト[[#All],[管理番号]:[氏名]],2,TRUE),"")</f>
        <v>0</v>
      </c>
      <c r="C344" s="29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131" t="str">
        <f t="shared" si="5"/>
        <v/>
      </c>
      <c r="E344" s="50"/>
      <c r="F344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4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4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9">
      <c r="A345" s="20">
        <f>名前リスト[[#This Row],[管理番号]]</f>
        <v>1088</v>
      </c>
      <c r="B345" s="28">
        <f>IF(NOT(まとめ表_バック金額[[#This Row],[管理番号]]=""),VLOOKUP(まとめ表_バック金額[[#This Row],[管理番号]],名前リスト[[#All],[管理番号]:[氏名]],2,TRUE),"")</f>
        <v>0</v>
      </c>
      <c r="C345" s="29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131" t="str">
        <f t="shared" si="5"/>
        <v/>
      </c>
      <c r="E345" s="50"/>
      <c r="F345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5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5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9">
      <c r="A346" s="20">
        <f>名前リスト[[#This Row],[管理番号]]</f>
        <v>1089</v>
      </c>
      <c r="B346" s="28">
        <f>IF(NOT(まとめ表_バック金額[[#This Row],[管理番号]]=""),VLOOKUP(まとめ表_バック金額[[#This Row],[管理番号]],名前リスト[[#All],[管理番号]:[氏名]],2,TRUE),"")</f>
        <v>0</v>
      </c>
      <c r="C346" s="29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131" t="str">
        <f t="shared" si="5"/>
        <v/>
      </c>
      <c r="E346" s="50"/>
      <c r="F346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6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6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9">
      <c r="A347" s="20">
        <f>名前リスト[[#This Row],[管理番号]]</f>
        <v>1090</v>
      </c>
      <c r="B347" s="28">
        <f>IF(NOT(まとめ表_バック金額[[#This Row],[管理番号]]=""),VLOOKUP(まとめ表_バック金額[[#This Row],[管理番号]],名前リスト[[#All],[管理番号]:[氏名]],2,TRUE),"")</f>
        <v>0</v>
      </c>
      <c r="C347" s="29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131" t="str">
        <f t="shared" si="5"/>
        <v/>
      </c>
      <c r="E347" s="50"/>
      <c r="F347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7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7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9">
      <c r="A348" s="20">
        <f>名前リスト[[#This Row],[管理番号]]</f>
        <v>1091</v>
      </c>
      <c r="B348" s="28">
        <f>IF(NOT(まとめ表_バック金額[[#This Row],[管理番号]]=""),VLOOKUP(まとめ表_バック金額[[#This Row],[管理番号]],名前リスト[[#All],[管理番号]:[氏名]],2,TRUE),"")</f>
        <v>0</v>
      </c>
      <c r="C348" s="29">
        <f>IF(NOT(まとめ表_バック金額[[#This Row],[管理番号]]=""),VLOOKUP(まとめ表_バック金額[[#This Row],[管理番号]],名前リスト[[#All],[管理番号]:[氏名]],3,TRUE),"")</f>
        <v>0</v>
      </c>
      <c r="D348" s="131" t="str">
        <f t="shared" si="5"/>
        <v/>
      </c>
      <c r="E348" s="50"/>
      <c r="F348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8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8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9">
      <c r="A349" s="20">
        <f>名前リスト[[#This Row],[管理番号]]</f>
        <v>1092</v>
      </c>
      <c r="B349" s="28">
        <f>IF(NOT(まとめ表_バック金額[[#This Row],[管理番号]]=""),VLOOKUP(まとめ表_バック金額[[#This Row],[管理番号]],名前リスト[[#All],[管理番号]:[氏名]],2,TRUE),"")</f>
        <v>0</v>
      </c>
      <c r="C349" s="29">
        <f>IF(NOT(まとめ表_バック金額[[#This Row],[管理番号]]=""),VLOOKUP(まとめ表_バック金額[[#This Row],[管理番号]],名前リスト[[#All],[管理番号]:[氏名]],3,TRUE),"")</f>
        <v>0</v>
      </c>
      <c r="D349" s="131" t="str">
        <f t="shared" si="5"/>
        <v/>
      </c>
      <c r="E349" s="50"/>
      <c r="F349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49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49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9">
      <c r="A350" s="20">
        <f>名前リスト[[#This Row],[管理番号]]</f>
        <v>1093</v>
      </c>
      <c r="B350" s="28">
        <f>IF(NOT(まとめ表_バック金額[[#This Row],[管理番号]]=""),VLOOKUP(まとめ表_バック金額[[#This Row],[管理番号]],名前リスト[[#All],[管理番号]:[氏名]],2,TRUE),"")</f>
        <v>0</v>
      </c>
      <c r="C350" s="29">
        <f>IF(NOT(まとめ表_バック金額[[#This Row],[管理番号]]=""),VLOOKUP(まとめ表_バック金額[[#This Row],[管理番号]],名前リスト[[#All],[管理番号]:[氏名]],3,TRUE),"")</f>
        <v>0</v>
      </c>
      <c r="D350" s="131" t="str">
        <f t="shared" si="5"/>
        <v/>
      </c>
      <c r="E350" s="50"/>
      <c r="F350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50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50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9">
      <c r="A351" s="20">
        <f>名前リスト[[#This Row],[管理番号]]</f>
        <v>1094</v>
      </c>
      <c r="B351" s="28" t="str">
        <f>IF(NOT(まとめ表_バック金額[[#This Row],[管理番号]]=""),VLOOKUP(まとめ表_バック金額[[#This Row],[管理番号]],名前リスト[[#All],[管理番号]:[氏名]],2,TRUE),"")</f>
        <v>たくま</v>
      </c>
      <c r="C351" s="29">
        <f>IF(NOT(まとめ表_バック金額[[#This Row],[管理番号]]=""),VLOOKUP(まとめ表_バック金額[[#This Row],[管理番号]],名前リスト[[#All],[管理番号]:[氏名]],3,TRUE),"")</f>
        <v>0</v>
      </c>
      <c r="D351" s="131" t="str">
        <f t="shared" si="5"/>
        <v/>
      </c>
      <c r="E351" s="50"/>
      <c r="F351" s="123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123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123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123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123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123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123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123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123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123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123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123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123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123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123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123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123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123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123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123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123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B351" s="134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C351" s="134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100" t="s">
        <v>382</v>
      </c>
      <c r="B1" s="100" t="s">
        <v>325</v>
      </c>
      <c r="E1" s="100" t="s">
        <v>383</v>
      </c>
      <c r="F1" s="100" t="s">
        <v>325</v>
      </c>
    </row>
    <row r="2" spans="1:6">
      <c r="A2" s="100" t="s">
        <v>237</v>
      </c>
      <c r="B2" s="135"/>
      <c r="C2" s="100"/>
      <c r="E2" s="100" t="s">
        <v>237</v>
      </c>
      <c r="F2" s="135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100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100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2.230468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94" bestFit="1" customWidth="1"/>
    <col min="15" max="15" width="7.69140625" style="94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8" t="s">
        <v>373</v>
      </c>
      <c r="B1" s="8">
        <v>2000</v>
      </c>
      <c r="E1" s="48" t="s">
        <v>239</v>
      </c>
      <c r="F1" s="48"/>
      <c r="N1" s="48"/>
      <c r="O1" s="48"/>
    </row>
    <row r="2" spans="1:24">
      <c r="A2" s="48" t="s">
        <v>374</v>
      </c>
      <c r="B2" s="8">
        <v>1000</v>
      </c>
      <c r="J2" s="109" t="s">
        <v>370</v>
      </c>
      <c r="N2" s="48" t="s">
        <v>498</v>
      </c>
      <c r="O2" s="48">
        <v>500</v>
      </c>
    </row>
    <row r="3" spans="1:24">
      <c r="A3" s="48" t="s">
        <v>376</v>
      </c>
      <c r="B3" s="8">
        <v>4000</v>
      </c>
      <c r="N3" s="114" t="s">
        <v>376</v>
      </c>
      <c r="O3" s="8">
        <v>3500</v>
      </c>
      <c r="Q3" s="48" t="s">
        <v>497</v>
      </c>
    </row>
    <row r="4" spans="1:24">
      <c r="A4" s="20" t="s">
        <v>205</v>
      </c>
      <c r="B4" s="89" t="s">
        <v>381</v>
      </c>
      <c r="C4" s="10" t="s">
        <v>206</v>
      </c>
      <c r="D4" s="11" t="s">
        <v>207</v>
      </c>
      <c r="E4" s="12" t="s">
        <v>208</v>
      </c>
      <c r="F4" s="92" t="s">
        <v>377</v>
      </c>
      <c r="G4" s="68" t="s">
        <v>375</v>
      </c>
      <c r="H4" s="53" t="s">
        <v>209</v>
      </c>
      <c r="I4" s="112" t="s">
        <v>371</v>
      </c>
      <c r="J4" s="112" t="s">
        <v>372</v>
      </c>
      <c r="K4" s="54" t="s">
        <v>210</v>
      </c>
      <c r="L4" s="110"/>
      <c r="N4" s="121" t="s">
        <v>205</v>
      </c>
      <c r="O4" s="89" t="s">
        <v>381</v>
      </c>
      <c r="P4" s="10" t="s">
        <v>206</v>
      </c>
      <c r="Q4" s="11" t="s">
        <v>207</v>
      </c>
      <c r="R4" s="12" t="s">
        <v>208</v>
      </c>
      <c r="S4" s="92" t="s">
        <v>377</v>
      </c>
      <c r="T4" s="68" t="s">
        <v>375</v>
      </c>
      <c r="U4" s="53" t="s">
        <v>209</v>
      </c>
      <c r="V4" s="112" t="s">
        <v>371</v>
      </c>
      <c r="W4" s="112" t="s">
        <v>372</v>
      </c>
      <c r="X4" s="54" t="s">
        <v>210</v>
      </c>
    </row>
    <row r="5" spans="1:24">
      <c r="A5" s="116">
        <f>IF(DAY(DATE(名前リスト!$N$1,名前リスト!$O$1,ROW()-4))=ROW()-4,DATE(名前リスト!$N$1,名前リスト!$O$1,ROW()-4),"")</f>
        <v>44593</v>
      </c>
      <c r="B5" s="122" t="str">
        <f>TEXT(DATE(名前リスト!$N$1,名前リスト!$O$1,ROW()-4),"aaa")</f>
        <v>火</v>
      </c>
      <c r="C5" s="13"/>
      <c r="D5" s="56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7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111"/>
      <c r="N5" s="116">
        <f>IF(DAY(DATE(名前リスト!$N$1,名前リスト!$O$1,ROW()-4))=ROW()-4,DATE(名前リスト!$N$1,名前リスト!$O$1,ROW()-4),"")</f>
        <v>44593</v>
      </c>
      <c r="O5" s="122" t="str">
        <f>TEXT(DATE(名前リスト!$N$1,名前リスト!$O$1,ROW()-4),"aaa")</f>
        <v>火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7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17">
        <f>IFERROR(IF(DATE(YEAR($A$5),MONTH($A$5),DAY($A$5))=DATE(YEAR(A5),MONTH(A5),DAY(A5+1)),"",DATE(YEAR(A5),MONTH(A5),DAY(A5+1))),"")</f>
        <v>44594</v>
      </c>
      <c r="B6" s="122" t="str">
        <f>TEXT(DATE(名前リスト!$N$1,名前リスト!$O$1,ROW()-4),"aaa")</f>
        <v>水</v>
      </c>
      <c r="C6" s="13"/>
      <c r="D6" s="56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7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111"/>
      <c r="N6" s="117">
        <f>IFERROR(IF(DATE(YEAR($A$5),MONTH($A$5),DAY($A$5))=DATE(YEAR(N5),MONTH(N5),DAY(N5+1)),"",DATE(YEAR(N5),MONTH(N5),DAY(N5+1))),"")</f>
        <v>44594</v>
      </c>
      <c r="O6" s="122" t="str">
        <f>TEXT(DATE(名前リスト!$N$1,名前リスト!$O$1,ROW()-4),"aaa")</f>
        <v>水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7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17">
        <f t="shared" ref="A7:A35" si="0">IFERROR(IF(DATE(YEAR($A$5),MONTH($A$5),DAY($A$5))=DATE(YEAR(A6),MONTH(A6),DAY(A6+1)),"",DATE(YEAR(A6),MONTH(A6),DAY(A6+1))),"")</f>
        <v>44595</v>
      </c>
      <c r="B7" s="122" t="str">
        <f>TEXT(DATE(名前リスト!$N$1,名前リスト!$O$1,ROW()-4),"aaa")</f>
        <v>木</v>
      </c>
      <c r="C7" s="13"/>
      <c r="D7" s="56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7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111"/>
      <c r="N7" s="117">
        <f t="shared" ref="N7:N35" si="1">IFERROR(IF(DATE(YEAR($A$5),MONTH($A$5),DAY($A$5))=DATE(YEAR(N6),MONTH(N6),DAY(N6+1)),"",DATE(YEAR(N6),MONTH(N6),DAY(N6+1))),"")</f>
        <v>44595</v>
      </c>
      <c r="O7" s="122" t="str">
        <f>TEXT(DATE(名前リスト!$N$1,名前リスト!$O$1,ROW()-4),"aaa")</f>
        <v>木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7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17">
        <f t="shared" si="0"/>
        <v>44596</v>
      </c>
      <c r="B8" s="122" t="str">
        <f>TEXT(DATE(名前リスト!$N$1,名前リスト!$O$1,ROW()-4),"aaa")</f>
        <v>金</v>
      </c>
      <c r="C8" s="13"/>
      <c r="D8" s="56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7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111"/>
      <c r="N8" s="117">
        <f t="shared" si="1"/>
        <v>44596</v>
      </c>
      <c r="O8" s="122" t="str">
        <f>TEXT(DATE(名前リスト!$N$1,名前リスト!$O$1,ROW()-4),"aaa")</f>
        <v>金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7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17">
        <f t="shared" si="0"/>
        <v>44597</v>
      </c>
      <c r="B9" s="122" t="str">
        <f>TEXT(DATE(名前リスト!$N$1,名前リスト!$O$1,ROW()-4),"aaa")</f>
        <v>土</v>
      </c>
      <c r="C9" s="13"/>
      <c r="D9" s="56"/>
      <c r="E9" s="52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7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111"/>
      <c r="N9" s="117">
        <f t="shared" si="1"/>
        <v>44597</v>
      </c>
      <c r="O9" s="122" t="str">
        <f>TEXT(DATE(名前リスト!$N$1,名前リスト!$O$1,ROW()-4),"aaa")</f>
        <v>土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7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17">
        <f t="shared" si="0"/>
        <v>44598</v>
      </c>
      <c r="B10" s="122" t="str">
        <f>TEXT(DATE(名前リスト!$N$1,名前リスト!$O$1,ROW()-4),"aaa")</f>
        <v>日</v>
      </c>
      <c r="C10" s="13"/>
      <c r="D10" s="56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7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111"/>
      <c r="N10" s="117">
        <f t="shared" si="1"/>
        <v>44598</v>
      </c>
      <c r="O10" s="122" t="str">
        <f>TEXT(DATE(名前リスト!$N$1,名前リスト!$O$1,ROW()-4),"aaa")</f>
        <v>日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7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17">
        <f t="shared" si="0"/>
        <v>44599</v>
      </c>
      <c r="B11" s="122" t="str">
        <f>TEXT(DATE(名前リスト!$N$1,名前リスト!$O$1,ROW()-4),"aaa")</f>
        <v>月</v>
      </c>
      <c r="C11" s="13"/>
      <c r="D11" s="56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7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111"/>
      <c r="N11" s="117">
        <f t="shared" si="1"/>
        <v>44599</v>
      </c>
      <c r="O11" s="122" t="str">
        <f>TEXT(DATE(名前リスト!$N$1,名前リスト!$O$1,ROW()-4),"aaa")</f>
        <v>月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7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17">
        <f t="shared" si="0"/>
        <v>44600</v>
      </c>
      <c r="B12" s="122" t="str">
        <f>TEXT(DATE(名前リスト!$N$1,名前リスト!$O$1,ROW()-4),"aaa")</f>
        <v>火</v>
      </c>
      <c r="C12" s="13"/>
      <c r="D12" s="56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7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111"/>
      <c r="N12" s="117">
        <f t="shared" si="1"/>
        <v>44600</v>
      </c>
      <c r="O12" s="122" t="str">
        <f>TEXT(DATE(名前リスト!$N$1,名前リスト!$O$1,ROW()-4),"aaa")</f>
        <v>火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7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17">
        <f t="shared" si="0"/>
        <v>44601</v>
      </c>
      <c r="B13" s="122" t="str">
        <f>TEXT(DATE(名前リスト!$N$1,名前リスト!$O$1,ROW()-4),"aaa")</f>
        <v>水</v>
      </c>
      <c r="C13" s="13"/>
      <c r="D13" s="56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7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111"/>
      <c r="N13" s="117">
        <f t="shared" si="1"/>
        <v>44601</v>
      </c>
      <c r="O13" s="122" t="str">
        <f>TEXT(DATE(名前リスト!$N$1,名前リスト!$O$1,ROW()-4),"aaa")</f>
        <v>水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7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17">
        <f t="shared" si="0"/>
        <v>44602</v>
      </c>
      <c r="B14" s="122" t="str">
        <f>TEXT(DATE(名前リスト!$N$1,名前リスト!$O$1,ROW()-4),"aaa")</f>
        <v>木</v>
      </c>
      <c r="C14" s="13">
        <v>1</v>
      </c>
      <c r="D14" s="56">
        <v>305</v>
      </c>
      <c r="E14" s="15">
        <v>6</v>
      </c>
      <c r="F14" s="15"/>
      <c r="G14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12000</v>
      </c>
      <c r="H14" s="16">
        <f>IFERROR(($B$3*梅田キャンプ4000[[#This Row],[人数]])-梅田キャンプ4000[[#This Row],[単価合計]]-(梅田キャンプ4000[[#This Row],[キャンセル人数]]*$B$2),"")</f>
        <v>12000</v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7"/>
      <c r="K14" s="16">
        <f>IF(梅田キャンプ4000[[#This Row],[人数]]="","",VLOOKUP(梅田キャンプ4000[[#This Row],[人数]],バック金額①[#All],2,TRUE)-(梅田キャンプ4000[[#This Row],[キャンセル人数]]*$B$2))</f>
        <v>7000</v>
      </c>
      <c r="L14" s="111"/>
      <c r="N14" s="117">
        <f t="shared" si="1"/>
        <v>44602</v>
      </c>
      <c r="O14" s="122" t="str">
        <f>TEXT(DATE(名前リスト!$N$1,名前リスト!$O$1,ROW()-4),"aaa")</f>
        <v>木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7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17">
        <f t="shared" si="0"/>
        <v>44603</v>
      </c>
      <c r="B15" s="122" t="str">
        <f>TEXT(DATE(名前リスト!$N$1,名前リスト!$O$1,ROW()-4),"aaa")</f>
        <v>金</v>
      </c>
      <c r="C15" s="13"/>
      <c r="D15" s="56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7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111"/>
      <c r="N15" s="117">
        <f t="shared" si="1"/>
        <v>44603</v>
      </c>
      <c r="O15" s="122" t="str">
        <f>TEXT(DATE(名前リスト!$N$1,名前リスト!$O$1,ROW()-4),"aaa")</f>
        <v>金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7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17">
        <f>IFERROR(IF(DATE(YEAR($A$5),MONTH($A$5),DAY($A$5))=DATE(YEAR(A15),MONTH(A15),DAY(A15+1)),"",DATE(YEAR(A15),MONTH(A15),DAY(A15+1))),"")</f>
        <v>44604</v>
      </c>
      <c r="B16" s="122" t="str">
        <f>TEXT(DATE(名前リスト!$N$1,名前リスト!$O$1,ROW()-4),"aaa")</f>
        <v>土</v>
      </c>
      <c r="C16" s="13"/>
      <c r="D16" s="56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7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111"/>
      <c r="N16" s="117">
        <f t="shared" si="1"/>
        <v>44604</v>
      </c>
      <c r="O16" s="122" t="str">
        <f>TEXT(DATE(名前リスト!$N$1,名前リスト!$O$1,ROW()-4),"aaa")</f>
        <v>土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7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17">
        <f t="shared" si="0"/>
        <v>44605</v>
      </c>
      <c r="B17" s="122" t="str">
        <f>TEXT(DATE(名前リスト!$N$1,名前リスト!$O$1,ROW()-4),"aaa")</f>
        <v>日</v>
      </c>
      <c r="C17" s="13"/>
      <c r="D17" s="56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7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111"/>
      <c r="N17" s="117">
        <f t="shared" si="1"/>
        <v>44605</v>
      </c>
      <c r="O17" s="122" t="str">
        <f>TEXT(DATE(名前リスト!$N$1,名前リスト!$O$1,ROW()-4),"aaa")</f>
        <v>日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7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17">
        <f t="shared" si="0"/>
        <v>44606</v>
      </c>
      <c r="B18" s="122" t="str">
        <f>TEXT(DATE(名前リスト!$N$1,名前リスト!$O$1,ROW()-4),"aaa")</f>
        <v>月</v>
      </c>
      <c r="C18" s="13"/>
      <c r="D18" s="56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7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111"/>
      <c r="N18" s="117">
        <f t="shared" si="1"/>
        <v>44606</v>
      </c>
      <c r="O18" s="122" t="str">
        <f>TEXT(DATE(名前リスト!$N$1,名前リスト!$O$1,ROW()-4),"aaa")</f>
        <v>月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7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17">
        <f t="shared" si="0"/>
        <v>44607</v>
      </c>
      <c r="B19" s="122" t="str">
        <f>TEXT(DATE(名前リスト!$N$1,名前リスト!$O$1,ROW()-4),"aaa")</f>
        <v>火</v>
      </c>
      <c r="C19" s="13"/>
      <c r="D19" s="56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7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111"/>
      <c r="N19" s="117">
        <f t="shared" si="1"/>
        <v>44607</v>
      </c>
      <c r="O19" s="122" t="str">
        <f>TEXT(DATE(名前リスト!$N$1,名前リスト!$O$1,ROW()-4),"aaa")</f>
        <v>火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7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17">
        <f t="shared" si="0"/>
        <v>44608</v>
      </c>
      <c r="B20" s="122" t="str">
        <f>TEXT(DATE(名前リスト!$N$1,名前リスト!$O$1,ROW()-4),"aaa")</f>
        <v>水</v>
      </c>
      <c r="C20" s="13"/>
      <c r="D20" s="56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7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111"/>
      <c r="N20" s="117">
        <f t="shared" si="1"/>
        <v>44608</v>
      </c>
      <c r="O20" s="122" t="str">
        <f>TEXT(DATE(名前リスト!$N$1,名前リスト!$O$1,ROW()-4),"aaa")</f>
        <v>水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7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17">
        <f t="shared" si="0"/>
        <v>44609</v>
      </c>
      <c r="B21" s="122" t="str">
        <f>TEXT(DATE(名前リスト!$N$1,名前リスト!$O$1,ROW()-4),"aaa")</f>
        <v>木</v>
      </c>
      <c r="C21" s="13"/>
      <c r="D21" s="56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7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111"/>
      <c r="N21" s="117">
        <f t="shared" si="1"/>
        <v>44609</v>
      </c>
      <c r="O21" s="122" t="str">
        <f>TEXT(DATE(名前リスト!$N$1,名前リスト!$O$1,ROW()-4),"aaa")</f>
        <v>木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7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17">
        <f t="shared" si="0"/>
        <v>44610</v>
      </c>
      <c r="B22" s="122" t="str">
        <f>TEXT(DATE(名前リスト!$N$1,名前リスト!$O$1,ROW()-4),"aaa")</f>
        <v>金</v>
      </c>
      <c r="C22" s="13"/>
      <c r="D22" s="56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7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111"/>
      <c r="N22" s="117">
        <f t="shared" si="1"/>
        <v>44610</v>
      </c>
      <c r="O22" s="122" t="str">
        <f>TEXT(DATE(名前リスト!$N$1,名前リスト!$O$1,ROW()-4),"aaa")</f>
        <v>金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7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17">
        <f t="shared" si="0"/>
        <v>44611</v>
      </c>
      <c r="B23" s="122" t="str">
        <f>TEXT(DATE(名前リスト!$N$1,名前リスト!$O$1,ROW()-4),"aaa")</f>
        <v>土</v>
      </c>
      <c r="C23" s="13"/>
      <c r="D23" s="56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7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111"/>
      <c r="N23" s="117">
        <f t="shared" si="1"/>
        <v>44611</v>
      </c>
      <c r="O23" s="122" t="str">
        <f>TEXT(DATE(名前リスト!$N$1,名前リスト!$O$1,ROW()-4),"aaa")</f>
        <v>土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7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17">
        <f t="shared" si="0"/>
        <v>44612</v>
      </c>
      <c r="B24" s="122" t="str">
        <f>TEXT(DATE(名前リスト!$N$1,名前リスト!$O$1,ROW()-4),"aaa")</f>
        <v>日</v>
      </c>
      <c r="C24" s="13"/>
      <c r="D24" s="56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7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111"/>
      <c r="N24" s="117">
        <f t="shared" si="1"/>
        <v>44612</v>
      </c>
      <c r="O24" s="122" t="str">
        <f>TEXT(DATE(名前リスト!$N$1,名前リスト!$O$1,ROW()-4),"aaa")</f>
        <v>日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7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17">
        <f t="shared" si="0"/>
        <v>44613</v>
      </c>
      <c r="B25" s="122" t="str">
        <f>TEXT(DATE(名前リスト!$N$1,名前リスト!$O$1,ROW()-4),"aaa")</f>
        <v>月</v>
      </c>
      <c r="C25" s="13"/>
      <c r="D25" s="56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7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111"/>
      <c r="N25" s="117">
        <f t="shared" si="1"/>
        <v>44613</v>
      </c>
      <c r="O25" s="122" t="str">
        <f>TEXT(DATE(名前リスト!$N$1,名前リスト!$O$1,ROW()-4),"aaa")</f>
        <v>月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7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17">
        <f t="shared" si="0"/>
        <v>44614</v>
      </c>
      <c r="B26" s="122" t="str">
        <f>TEXT(DATE(名前リスト!$N$1,名前リスト!$O$1,ROW()-4),"aaa")</f>
        <v>火</v>
      </c>
      <c r="C26" s="13"/>
      <c r="D26" s="57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7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111"/>
      <c r="N26" s="117">
        <f t="shared" si="1"/>
        <v>44614</v>
      </c>
      <c r="O26" s="122" t="str">
        <f>TEXT(DATE(名前リスト!$N$1,名前リスト!$O$1,ROW()-4),"aaa")</f>
        <v>火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7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17">
        <f t="shared" si="0"/>
        <v>44615</v>
      </c>
      <c r="B27" s="122" t="str">
        <f>TEXT(DATE(名前リスト!$N$1,名前リスト!$O$1,ROW()-4),"aaa")</f>
        <v>水</v>
      </c>
      <c r="C27" s="13"/>
      <c r="D27" s="56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7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111"/>
      <c r="N27" s="117">
        <f t="shared" si="1"/>
        <v>44615</v>
      </c>
      <c r="O27" s="122" t="str">
        <f>TEXT(DATE(名前リスト!$N$1,名前リスト!$O$1,ROW()-4),"aaa")</f>
        <v>水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7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17">
        <f t="shared" si="0"/>
        <v>44616</v>
      </c>
      <c r="B28" s="122" t="str">
        <f>TEXT(DATE(名前リスト!$N$1,名前リスト!$O$1,ROW()-4),"aaa")</f>
        <v>木</v>
      </c>
      <c r="C28" s="13"/>
      <c r="D28" s="56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7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111"/>
      <c r="N28" s="117">
        <f t="shared" si="1"/>
        <v>44616</v>
      </c>
      <c r="O28" s="122" t="str">
        <f>TEXT(DATE(名前リスト!$N$1,名前リスト!$O$1,ROW()-4),"aaa")</f>
        <v>木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7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17">
        <f t="shared" si="0"/>
        <v>44617</v>
      </c>
      <c r="B29" s="122" t="str">
        <f>TEXT(DATE(名前リスト!$N$1,名前リスト!$O$1,ROW()-4),"aaa")</f>
        <v>金</v>
      </c>
      <c r="C29" s="13"/>
      <c r="D29" s="56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7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111"/>
      <c r="N29" s="117">
        <f t="shared" si="1"/>
        <v>44617</v>
      </c>
      <c r="O29" s="122" t="str">
        <f>TEXT(DATE(名前リスト!$N$1,名前リスト!$O$1,ROW()-4),"aaa")</f>
        <v>金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7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17">
        <f t="shared" si="0"/>
        <v>44618</v>
      </c>
      <c r="B30" s="122" t="str">
        <f>TEXT(DATE(名前リスト!$N$1,名前リスト!$O$1,ROW()-4),"aaa")</f>
        <v>土</v>
      </c>
      <c r="C30" s="13"/>
      <c r="D30" s="56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7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111"/>
      <c r="N30" s="117">
        <f t="shared" si="1"/>
        <v>44618</v>
      </c>
      <c r="O30" s="122" t="str">
        <f>TEXT(DATE(名前リスト!$N$1,名前リスト!$O$1,ROW()-4),"aaa")</f>
        <v>土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7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17">
        <f t="shared" si="0"/>
        <v>44619</v>
      </c>
      <c r="B31" s="122" t="str">
        <f>TEXT(DATE(名前リスト!$N$1,名前リスト!$O$1,ROW()-4),"aaa")</f>
        <v>日</v>
      </c>
      <c r="C31" s="13"/>
      <c r="D31" s="56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7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111"/>
      <c r="N31" s="117">
        <f t="shared" si="1"/>
        <v>44619</v>
      </c>
      <c r="O31" s="122" t="str">
        <f>TEXT(DATE(名前リスト!$N$1,名前リスト!$O$1,ROW()-4),"aaa")</f>
        <v>日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7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17">
        <f t="shared" si="0"/>
        <v>44620</v>
      </c>
      <c r="B32" s="122" t="str">
        <f>TEXT(DATE(名前リスト!$N$1,名前リスト!$O$1,ROW()-4),"aaa")</f>
        <v>月</v>
      </c>
      <c r="C32" s="13"/>
      <c r="D32" s="56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7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111"/>
      <c r="N32" s="117">
        <f t="shared" si="1"/>
        <v>44620</v>
      </c>
      <c r="O32" s="122" t="str">
        <f>TEXT(DATE(名前リスト!$N$1,名前リスト!$O$1,ROW()-4),"aaa")</f>
        <v>月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7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17" t="str">
        <f t="shared" si="0"/>
        <v/>
      </c>
      <c r="B33" s="122" t="str">
        <f>TEXT(DATE(名前リスト!$N$1,名前リスト!$O$1,ROW()-4),"aaa")</f>
        <v>火</v>
      </c>
      <c r="C33" s="13"/>
      <c r="D33" s="56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7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111"/>
      <c r="N33" s="117" t="str">
        <f t="shared" si="1"/>
        <v/>
      </c>
      <c r="O33" s="122" t="str">
        <f>TEXT(DATE(名前リスト!$N$1,名前リスト!$O$1,ROW()-4),"aaa")</f>
        <v>火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7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17" t="str">
        <f t="shared" si="0"/>
        <v/>
      </c>
      <c r="B34" s="122" t="str">
        <f>TEXT(DATE(名前リスト!$N$1,名前リスト!$O$1,ROW()-4),"aaa")</f>
        <v>水</v>
      </c>
      <c r="C34" s="13"/>
      <c r="D34" s="56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7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111"/>
      <c r="N34" s="117" t="str">
        <f t="shared" si="1"/>
        <v/>
      </c>
      <c r="O34" s="122" t="str">
        <f>TEXT(DATE(名前リスト!$N$1,名前リスト!$O$1,ROW()-4),"aaa")</f>
        <v>水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7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18" t="str">
        <f t="shared" si="0"/>
        <v/>
      </c>
      <c r="B35" s="122" t="str">
        <f>TEXT(DATE(名前リスト!$N$1,名前リスト!$O$1,ROW()-4),"aaa")</f>
        <v>木</v>
      </c>
      <c r="C35" s="17"/>
      <c r="D35" s="85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7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111"/>
      <c r="N35" s="118" t="str">
        <f t="shared" si="1"/>
        <v/>
      </c>
      <c r="O35" s="122" t="str">
        <f>TEXT(DATE(名前リスト!$N$1,名前リスト!$O$1,ROW()-4),"aaa")</f>
        <v>木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7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79" t="s">
        <v>211</v>
      </c>
      <c r="B36" s="119"/>
      <c r="C36" s="16">
        <f>SUM(梅田キャンプ4000[件数])</f>
        <v>1</v>
      </c>
      <c r="D36" s="79"/>
      <c r="E36" s="16">
        <f>SUM(梅田キャンプ4000[人数])</f>
        <v>6</v>
      </c>
      <c r="F36" s="16"/>
      <c r="G36" s="16">
        <f>SUM(梅田キャンプ4000[単価合計])</f>
        <v>12000</v>
      </c>
      <c r="H36" s="16">
        <f>SUM(梅田キャンプ4000[ゆうき取りに行く])</f>
        <v>12000</v>
      </c>
      <c r="I36" s="16"/>
      <c r="J36" s="16"/>
      <c r="K36" s="16">
        <f>SUM(梅田キャンプ4000[イベンターへ])</f>
        <v>7000</v>
      </c>
      <c r="L36" s="111"/>
      <c r="N36" s="78" t="s">
        <v>324</v>
      </c>
      <c r="O36" s="120"/>
      <c r="P36" s="16">
        <f>SUM(梅田キャンプ3500[件数])</f>
        <v>0</v>
      </c>
      <c r="Q36" s="79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85" zoomScaleNormal="85" workbookViewId="0">
      <pane ySplit="4" topLeftCell="A26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2000</v>
      </c>
      <c r="I1" s="48" t="s">
        <v>240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2" t="s">
        <v>377</v>
      </c>
      <c r="F4" s="68" t="s">
        <v>375</v>
      </c>
      <c r="G4" s="53" t="s">
        <v>209</v>
      </c>
      <c r="H4" s="68" t="s">
        <v>379</v>
      </c>
      <c r="I4" s="68" t="s">
        <v>380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2" t="s">
        <v>377</v>
      </c>
      <c r="Q4" s="68" t="s">
        <v>375</v>
      </c>
      <c r="R4" s="53" t="s">
        <v>209</v>
      </c>
      <c r="S4" s="68" t="s">
        <v>379</v>
      </c>
      <c r="T4" s="68" t="s">
        <v>380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7"/>
      <c r="J5" s="16" t="str">
        <f>IF(梅田パンプキン4000[[#This Row],[人数]]="","",VLOOKUP(梅田パンプキン4000[[#This Row],[人数]],バック金額①[#All],2,TRUE))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7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7"/>
      <c r="J6" s="16" t="str">
        <f>IF(梅田パンプキン4000[[#This Row],[人数]]="","",VLOOKUP(梅田パンプキン4000[[#This Row],[人数]],バック金額①[#All],2,TRUE))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7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7"/>
      <c r="J7" s="16" t="str">
        <f>IF(梅田パンプキン4000[[#This Row],[人数]]="","",VLOOKUP(梅田パンプキン4000[[#This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7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7"/>
      <c r="J8" s="16" t="str">
        <f>IF(梅田パンプキン4000[[#This Row],[人数]]="","",VLOOKUP(梅田パンプキン4000[[#This Row],[人数]],バック金額①[#All],2,TRUE))</f>
        <v/>
      </c>
      <c r="L8" s="69">
        <f t="shared" si="1"/>
        <v>44596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7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7"/>
      <c r="J9" s="16" t="str">
        <f>IF(梅田パンプキン4000[[#This Row],[人数]]="","",VLOOKUP(梅田パンプキン4000[[#This Row],[人数]],バック金額①[#All],2,TRUE))</f>
        <v/>
      </c>
      <c r="L9" s="69">
        <f t="shared" si="1"/>
        <v>44597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7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7"/>
      <c r="J10" s="16" t="str">
        <f>IF(梅田パンプキン4000[[#This Row],[人数]]="","",VLOOKUP(梅田パンプキン4000[[#This Row],[人数]],バック金額①[#All],2,TRUE))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7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7"/>
      <c r="J11" s="16" t="str">
        <f>IF(梅田パンプキン4000[[#This Row],[人数]]="","",VLOOKUP(梅田パンプキン4000[[#This Row],[人数]],バック金額①[#All],2,TRUE))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7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7"/>
      <c r="J12" s="16" t="str">
        <f>IF(梅田パンプキン4000[[#This Row],[人数]]="","",VLOOKUP(梅田パンプキン4000[[#This Row],[人数]],バック金額①[#All],2,TRUE))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7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7"/>
      <c r="J13" s="16" t="str">
        <f>IF(梅田パンプキン4000[[#This Row],[人数]]="","",VLOOKUP(梅田パンプキン4000[[#This Row],[人数]],バック金額①[#All],2,TRUE))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7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7"/>
      <c r="J14" s="16" t="str">
        <f>IF(梅田パンプキン4000[[#This Row],[人数]]="","",VLOOKUP(梅田パンプキン4000[[#This Row],[人数]],バック金額①[#All],2,TRUE))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7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7"/>
      <c r="J15" s="16" t="str">
        <f>IF(梅田パンプキン4000[[#This Row],[人数]]="","",VLOOKUP(梅田パンプキン4000[[#This Row],[人数]],バック金額①[#All],2,TRUE))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7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7"/>
      <c r="J16" s="16" t="str">
        <f>IF(梅田パンプキン4000[[#This Row],[人数]]="","",VLOOKUP(梅田パンプキン4000[[#This Row],[人数]],バック金額①[#All],2,TRUE))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7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7"/>
      <c r="J17" s="16" t="str">
        <f>IF(梅田パンプキン4000[[#This Row],[人数]]="","",VLOOKUP(梅田パンプキン4000[[#This Row],[人数]],バック金額①[#All],2,TRUE))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7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7"/>
      <c r="J18" s="16" t="str">
        <f>IF(梅田パンプキン4000[[#This Row],[人数]]="","",VLOOKUP(梅田パンプキン4000[[#This Row],[人数]],バック金額①[#All],2,TRUE))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7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7"/>
      <c r="J19" s="16" t="str">
        <f>IF(梅田パンプキン4000[[#This Row],[人数]]="","",VLOOKUP(梅田パンプキン4000[[#This Row],[人数]],バック金額①[#All],2,TRUE))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7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7"/>
      <c r="J20" s="16" t="str">
        <f>IF(梅田パンプキン4000[[#This Row],[人数]]="","",VLOOKUP(梅田パンプキン4000[[#This Row],[人数]],バック金額①[#All],2,TRUE))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7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7"/>
      <c r="J21" s="16" t="str">
        <f>IF(梅田パンプキン4000[[#This Row],[人数]]="","",VLOOKUP(梅田パンプキン4000[[#This Row],[人数]],バック金額①[#All],2,TRUE))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7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7"/>
      <c r="J22" s="16" t="str">
        <f>IF(梅田パンプキン4000[[#This Row],[人数]]="","",VLOOKUP(梅田パンプキン4000[[#This Row],[人数]],バック金額①[#All],2,TRUE))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7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7"/>
      <c r="J23" s="16" t="str">
        <f>IF(梅田パンプキン4000[[#This Row],[人数]]="","",VLOOKUP(梅田パンプキン4000[[#This Row],[人数]],バック金額①[#All],2,TRUE))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7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7"/>
      <c r="J24" s="16" t="str">
        <f>IF(梅田パンプキン4000[[#This Row],[人数]]="","",VLOOKUP(梅田パンプキン4000[[#This Row],[人数]],バック金額①[#All],2,TRUE))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7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7"/>
      <c r="J25" s="16" t="str">
        <f>IF(梅田パンプキン4000[[#This Row],[人数]]="","",VLOOKUP(梅田パンプキン4000[[#This Row],[人数]],バック金額①[#All],2,TRUE))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7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7"/>
      <c r="J26" s="16" t="str">
        <f>IF(梅田パンプキン4000[[#This Row],[人数]]="","",VLOOKUP(梅田パンプキン4000[[#This Row],[人数]],バック金額①[#All],2,TRUE))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7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7"/>
      <c r="J27" s="16" t="str">
        <f>IF(梅田パンプキン4000[[#This Row],[人数]]="","",VLOOKUP(梅田パンプキン4000[[#This Row],[人数]],バック金額①[#All],2,TRUE))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7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7"/>
      <c r="J28" s="16" t="str">
        <f>IF(梅田パンプキン4000[[#This Row],[人数]]="","",VLOOKUP(梅田パンプキン4000[[#This Row],[人数]],バック金額①[#All],2,TRUE))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7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7"/>
      <c r="J29" s="16" t="str">
        <f>IF(梅田パンプキン4000[[#This Row],[人数]]="","",VLOOKUP(梅田パンプキン4000[[#This Row],[人数]],バック金額①[#All],2,TRUE))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7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7"/>
      <c r="J30" s="16" t="str">
        <f>IF(梅田パンプキン4000[[#This Row],[人数]]="","",VLOOKUP(梅田パンプキン4000[[#This Row],[人数]],バック金額①[#All],2,TRUE))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7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7"/>
      <c r="J31" s="16" t="str">
        <f>IF(梅田パンプキン4000[[#This Row],[人数]]="","",VLOOKUP(梅田パンプキン4000[[#This Row],[人数]],バック金額①[#All],2,TRUE))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7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7"/>
      <c r="J32" s="16" t="str">
        <f>IF(梅田パンプキン4000[[#This Row],[人数]]="","",VLOOKUP(梅田パンプキン4000[[#This Row],[人数]],バック金額①[#All],2,TRUE))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7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7"/>
      <c r="J33" s="16" t="str">
        <f>IF(梅田パンプキン4000[[#This Row],[人数]]="","",VLOOKUP(梅田パンプキン4000[[#This Row],[人数]],バック金額①[#All],2,TRUE))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7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7"/>
      <c r="J34" s="16" t="str">
        <f>IF(梅田パンプキン4000[[#This Row],[人数]]="","",VLOOKUP(梅田パンプキン4000[[#This Row],[人数]],バック金額①[#All],2,TRUE))</f>
        <v/>
      </c>
      <c r="L34" s="69" t="str">
        <f t="shared" si="1"/>
        <v/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7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3"/>
      <c r="J35" s="16" t="str">
        <f>IF(梅田パンプキン4000[[#This Row],[人数]]="","",VLOOKUP(梅田パンプキン4000[[#This Row],[人数]],バック金額①[#All],2,TRUE))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3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78" t="s">
        <v>324</v>
      </c>
      <c r="B36" s="16">
        <f>SUM(梅田パンプキン4000[[#All],[件数]])</f>
        <v>0</v>
      </c>
      <c r="C36" s="79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79" t="s">
        <v>211</v>
      </c>
      <c r="M36" s="16">
        <f>SUM(梅田パンプキン3500[[#All],[件数]])</f>
        <v>0</v>
      </c>
      <c r="N36" s="79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6" workbookViewId="0">
      <pane ySplit="4" topLeftCell="A8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2000</v>
      </c>
      <c r="E1" s="48" t="s">
        <v>241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7"/>
      <c r="J5" s="16" t="str">
        <f>IF(堀江あいあい4000[[#This Row],[人数]]="","",VLOOKUP(堀江あいあい4000[[#This Row],[人数]],バック金額①[#All],2,TRUE))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7"/>
      <c r="U5" s="16" t="str">
        <f>IF(堀江あいあい3500[[#This Row],[人数]]="","",VLOOKUP(堀江あいあい3500[[#This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7"/>
      <c r="J6" s="16" t="str">
        <f>IF(堀江あいあい4000[[#This Row],[人数]]="","",VLOOKUP(堀江あいあい4000[[#This Row],[人数]],バック金額①[#All],2,TRUE))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7"/>
      <c r="U6" s="16" t="str">
        <f>IF(堀江あいあい3500[[#This Row],[人数]]="","",VLOOKUP(堀江あいあい3500[[#This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7"/>
      <c r="J7" s="16" t="str">
        <f>IF(堀江あいあい4000[[#This Row],[人数]]="","",VLOOKUP(堀江あいあい4000[[#This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7"/>
      <c r="U7" s="16" t="str">
        <f>IF(堀江あいあい3500[[#This Row],[人数]]="","",VLOOKUP(堀江あいあい3500[[#This Row],[人数]],バック金額①[#All],2,TRUE))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7"/>
      <c r="J8" s="16" t="str">
        <f>IF(堀江あいあい4000[[#This Row],[人数]]="","",VLOOKUP(堀江あいあい4000[[#This Row],[人数]],バック金額①[#All],2,TRUE))</f>
        <v/>
      </c>
      <c r="L8" s="69">
        <f t="shared" si="1"/>
        <v>44596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7"/>
      <c r="U8" s="16" t="str">
        <f>IF(堀江あいあい3500[[#This Row],[人数]]="","",VLOOKUP(堀江あいあい3500[[#This Row],[人数]],バック金額①[#All],2,TRUE))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7"/>
      <c r="J9" s="16" t="str">
        <f>IF(堀江あいあい4000[[#This Row],[人数]]="","",VLOOKUP(堀江あいあい4000[[#This Row],[人数]],バック金額①[#All],2,TRUE))</f>
        <v/>
      </c>
      <c r="L9" s="69">
        <f t="shared" si="1"/>
        <v>44597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7"/>
      <c r="U9" s="16" t="str">
        <f>IF(堀江あいあい3500[[#This Row],[人数]]="","",VLOOKUP(堀江あいあい3500[[#This Row],[人数]],バック金額①[#All],2,TRUE))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7"/>
      <c r="J10" s="16" t="str">
        <f>IF(堀江あいあい4000[[#This Row],[人数]]="","",VLOOKUP(堀江あいあい4000[[#This Row],[人数]],バック金額①[#All],2,TRUE))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7"/>
      <c r="U10" s="16" t="str">
        <f>IF(堀江あいあい3500[[#This Row],[人数]]="","",VLOOKUP(堀江あいあい3500[[#This Row],[人数]],バック金額①[#All],2,TRUE))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7"/>
      <c r="J11" s="16" t="str">
        <f>IF(堀江あいあい4000[[#This Row],[人数]]="","",VLOOKUP(堀江あいあい4000[[#This Row],[人数]],バック金額①[#All],2,TRUE))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7"/>
      <c r="U11" s="16" t="str">
        <f>IF(堀江あいあい3500[[#This Row],[人数]]="","",VLOOKUP(堀江あいあい3500[[#This Row],[人数]],バック金額①[#All],2,TRUE))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7"/>
      <c r="J12" s="16" t="str">
        <f>IF(堀江あいあい4000[[#This Row],[人数]]="","",VLOOKUP(堀江あいあい4000[[#This Row],[人数]],バック金額①[#All],2,TRUE))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7"/>
      <c r="U12" s="16" t="str">
        <f>IF(堀江あいあい3500[[#This Row],[人数]]="","",VLOOKUP(堀江あいあい3500[[#This Row],[人数]],バック金額①[#All],2,TRUE))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7"/>
      <c r="J13" s="16" t="str">
        <f>IF(堀江あいあい4000[[#This Row],[人数]]="","",VLOOKUP(堀江あいあい4000[[#This Row],[人数]],バック金額①[#All],2,TRUE))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7"/>
      <c r="U13" s="16" t="str">
        <f>IF(堀江あいあい3500[[#This Row],[人数]]="","",VLOOKUP(堀江あいあい3500[[#This Row],[人数]],バック金額①[#All],2,TRUE))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7"/>
      <c r="J14" s="16" t="str">
        <f>IF(堀江あいあい4000[[#This Row],[人数]]="","",VLOOKUP(堀江あいあい4000[[#This Row],[人数]],バック金額①[#All],2,TRUE))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7"/>
      <c r="U14" s="16" t="str">
        <f>IF(堀江あいあい3500[[#This Row],[人数]]="","",VLOOKUP(堀江あいあい3500[[#This Row],[人数]],バック金額①[#All],2,TRUE))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7"/>
      <c r="J15" s="16" t="str">
        <f>IF(堀江あいあい4000[[#This Row],[人数]]="","",VLOOKUP(堀江あいあい4000[[#This Row],[人数]],バック金額①[#All],2,TRUE))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7"/>
      <c r="U15" s="16" t="str">
        <f>IF(堀江あいあい3500[[#This Row],[人数]]="","",VLOOKUP(堀江あいあい3500[[#This Row],[人数]],バック金額①[#All],2,TRUE))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7"/>
      <c r="J16" s="16" t="str">
        <f>IF(堀江あいあい4000[[#This Row],[人数]]="","",VLOOKUP(堀江あいあい4000[[#This Row],[人数]],バック金額①[#All],2,TRUE))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7"/>
      <c r="U16" s="16" t="str">
        <f>IF(堀江あいあい3500[[#This Row],[人数]]="","",VLOOKUP(堀江あいあい3500[[#This Row],[人数]],バック金額①[#All],2,TRUE))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7"/>
      <c r="J17" s="16" t="str">
        <f>IF(堀江あいあい4000[[#This Row],[人数]]="","",VLOOKUP(堀江あいあい4000[[#This Row],[人数]],バック金額①[#All],2,TRUE))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7"/>
      <c r="U17" s="16" t="str">
        <f>IF(堀江あいあい3500[[#This Row],[人数]]="","",VLOOKUP(堀江あいあい3500[[#This Row],[人数]],バック金額①[#All],2,TRUE))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7"/>
      <c r="J18" s="16" t="str">
        <f>IF(堀江あいあい4000[[#This Row],[人数]]="","",VLOOKUP(堀江あいあい4000[[#This Row],[人数]],バック金額①[#All],2,TRUE))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7"/>
      <c r="U18" s="16" t="str">
        <f>IF(堀江あいあい3500[[#This Row],[人数]]="","",VLOOKUP(堀江あいあい3500[[#This Row],[人数]],バック金額①[#All],2,TRUE))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7"/>
      <c r="J19" s="16" t="str">
        <f>IF(堀江あいあい4000[[#This Row],[人数]]="","",VLOOKUP(堀江あいあい4000[[#This Row],[人数]],バック金額①[#All],2,TRUE))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7"/>
      <c r="U19" s="16" t="str">
        <f>IF(堀江あいあい3500[[#This Row],[人数]]="","",VLOOKUP(堀江あいあい3500[[#This Row],[人数]],バック金額①[#All],2,TRUE))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7"/>
      <c r="J20" s="16" t="str">
        <f>IF(堀江あいあい4000[[#This Row],[人数]]="","",VLOOKUP(堀江あいあい4000[[#This Row],[人数]],バック金額①[#All],2,TRUE))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7"/>
      <c r="U20" s="16" t="str">
        <f>IF(堀江あいあい3500[[#This Row],[人数]]="","",VLOOKUP(堀江あいあい3500[[#This Row],[人数]],バック金額①[#All],2,TRUE))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7"/>
      <c r="J21" s="16" t="str">
        <f>IF(堀江あいあい4000[[#This Row],[人数]]="","",VLOOKUP(堀江あいあい4000[[#This Row],[人数]],バック金額①[#All],2,TRUE))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7"/>
      <c r="U21" s="16" t="str">
        <f>IF(堀江あいあい3500[[#This Row],[人数]]="","",VLOOKUP(堀江あいあい3500[[#This Row],[人数]],バック金額①[#All],2,TRUE))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7"/>
      <c r="J22" s="16" t="str">
        <f>IF(堀江あいあい4000[[#This Row],[人数]]="","",VLOOKUP(堀江あいあい4000[[#This Row],[人数]],バック金額①[#All],2,TRUE))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7"/>
      <c r="U22" s="16" t="str">
        <f>IF(堀江あいあい3500[[#This Row],[人数]]="","",VLOOKUP(堀江あいあい3500[[#This Row],[人数]],バック金額①[#All],2,TRUE))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7"/>
      <c r="J23" s="16" t="str">
        <f>IF(堀江あいあい4000[[#This Row],[人数]]="","",VLOOKUP(堀江あいあい4000[[#This Row],[人数]],バック金額①[#All],2,TRUE))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7"/>
      <c r="U23" s="16" t="str">
        <f>IF(堀江あいあい3500[[#This Row],[人数]]="","",VLOOKUP(堀江あいあい3500[[#This Row],[人数]],バック金額①[#All],2,TRUE))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7"/>
      <c r="J24" s="16" t="str">
        <f>IF(堀江あいあい4000[[#This Row],[人数]]="","",VLOOKUP(堀江あいあい4000[[#This Row],[人数]],バック金額①[#All],2,TRUE))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7"/>
      <c r="U24" s="16" t="str">
        <f>IF(堀江あいあい3500[[#This Row],[人数]]="","",VLOOKUP(堀江あいあい3500[[#This Row],[人数]],バック金額①[#All],2,TRUE))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7"/>
      <c r="J25" s="16" t="str">
        <f>IF(堀江あいあい4000[[#This Row],[人数]]="","",VLOOKUP(堀江あいあい4000[[#This Row],[人数]],バック金額①[#All],2,TRUE))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7"/>
      <c r="U25" s="16" t="str">
        <f>IF(堀江あいあい3500[[#This Row],[人数]]="","",VLOOKUP(堀江あいあい3500[[#This Row],[人数]],バック金額①[#All],2,TRUE))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7"/>
      <c r="J26" s="16" t="str">
        <f>IF(堀江あいあい4000[[#This Row],[人数]]="","",VLOOKUP(堀江あいあい4000[[#This Row],[人数]],バック金額①[#All],2,TRUE))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7"/>
      <c r="U26" s="16" t="str">
        <f>IF(堀江あいあい3500[[#This Row],[人数]]="","",VLOOKUP(堀江あいあい3500[[#This Row],[人数]],バック金額①[#All],2,TRUE))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7"/>
      <c r="J27" s="16" t="str">
        <f>IF(堀江あいあい4000[[#This Row],[人数]]="","",VLOOKUP(堀江あいあい4000[[#This Row],[人数]],バック金額①[#All],2,TRUE))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7"/>
      <c r="U27" s="16" t="str">
        <f>IF(堀江あいあい3500[[#This Row],[人数]]="","",VLOOKUP(堀江あいあい3500[[#This Row],[人数]],バック金額①[#All],2,TRUE))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7"/>
      <c r="J28" s="16" t="str">
        <f>IF(堀江あいあい4000[[#This Row],[人数]]="","",VLOOKUP(堀江あいあい4000[[#This Row],[人数]],バック金額①[#All],2,TRUE))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7"/>
      <c r="U28" s="16" t="str">
        <f>IF(堀江あいあい3500[[#This Row],[人数]]="","",VLOOKUP(堀江あいあい3500[[#This Row],[人数]],バック金額①[#All],2,TRUE))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7"/>
      <c r="J29" s="16" t="str">
        <f>IF(堀江あいあい4000[[#This Row],[人数]]="","",VLOOKUP(堀江あいあい4000[[#This Row],[人数]],バック金額①[#All],2,TRUE))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7"/>
      <c r="U29" s="16" t="str">
        <f>IF(堀江あいあい3500[[#This Row],[人数]]="","",VLOOKUP(堀江あいあい3500[[#This Row],[人数]],バック金額①[#All],2,TRUE))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7"/>
      <c r="J30" s="16" t="str">
        <f>IF(堀江あいあい4000[[#This Row],[人数]]="","",VLOOKUP(堀江あいあい4000[[#This Row],[人数]],バック金額①[#All],2,TRUE))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7"/>
      <c r="U30" s="16" t="str">
        <f>IF(堀江あいあい3500[[#This Row],[人数]]="","",VLOOKUP(堀江あいあい3500[[#This Row],[人数]],バック金額①[#All],2,TRUE))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7"/>
      <c r="J31" s="16" t="str">
        <f>IF(堀江あいあい4000[[#This Row],[人数]]="","",VLOOKUP(堀江あいあい4000[[#This Row],[人数]],バック金額①[#All],2,TRUE))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7"/>
      <c r="U31" s="16" t="str">
        <f>IF(堀江あいあい3500[[#This Row],[人数]]="","",VLOOKUP(堀江あいあい3500[[#This Row],[人数]],バック金額①[#All],2,TRUE))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7"/>
      <c r="J32" s="16" t="str">
        <f>IF(堀江あいあい4000[[#This Row],[人数]]="","",VLOOKUP(堀江あいあい4000[[#This Row],[人数]],バック金額①[#All],2,TRUE))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7"/>
      <c r="U32" s="16" t="str">
        <f>IF(堀江あいあい3500[[#This Row],[人数]]="","",VLOOKUP(堀江あいあい3500[[#This Row],[人数]],バック金額①[#All],2,TRUE))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7"/>
      <c r="J33" s="16" t="str">
        <f>IF(堀江あいあい4000[[#This Row],[人数]]="","",VLOOKUP(堀江あいあい4000[[#This Row],[人数]],バック金額①[#All],2,TRUE))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7"/>
      <c r="U33" s="16" t="str">
        <f>IF(堀江あいあい3500[[#This Row],[人数]]="","",VLOOKUP(堀江あいあい3500[[#This Row],[人数]],バック金額①[#All],2,TRUE))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7"/>
      <c r="J34" s="16" t="str">
        <f>IF(堀江あいあい4000[[#This Row],[人数]]="","",VLOOKUP(堀江あいあい4000[[#This Row],[人数]],バック金額①[#All],2,TRUE))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7"/>
      <c r="U34" s="16" t="str">
        <f>IF(堀江あいあい3500[[#This Row],[人数]]="","",VLOOKUP(堀江あいあい3500[[#This Row],[人数]],バック金額①[#All],2,TRUE))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3"/>
      <c r="J35" s="16" t="str">
        <f>IF(堀江あいあい4000[[#This Row],[人数]]="","",VLOOKUP(堀江あいあい4000[[#This Row],[人数]],バック金額①[#All],2,TRUE))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3"/>
      <c r="U35" s="16" t="str">
        <f>IF(堀江あいあい3500[[#This Row],[人数]]="","",VLOOKUP(堀江あいあい3500[[#This Row],[人数]],バック金額①[#All],2,TRUE))</f>
        <v/>
      </c>
    </row>
    <row r="36" spans="1:21">
      <c r="A36" s="79" t="s">
        <v>211</v>
      </c>
      <c r="B36" s="16">
        <f>SUM(堀江あいあい4000[[#All],[件数]])</f>
        <v>0</v>
      </c>
      <c r="C36" s="79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79" t="s">
        <v>211</v>
      </c>
      <c r="M36" s="16">
        <f>SUM(堀江あいあい3500[[#All],[件数]])</f>
        <v>0</v>
      </c>
      <c r="N36" s="79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6" workbookViewId="0">
      <pane ySplit="4" topLeftCell="A5" activePane="bottomLeft" state="frozen"/>
      <selection pane="bottomLeft" activeCell="I19" sqref="I19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  <c r="C1" s="48" t="s">
        <v>242</v>
      </c>
      <c r="F1" s="109" t="s">
        <v>560</v>
      </c>
    </row>
    <row r="2" spans="1:21">
      <c r="A2" s="48" t="s">
        <v>374</v>
      </c>
      <c r="B2" s="8">
        <v>1300</v>
      </c>
      <c r="F2" s="109" t="s">
        <v>561</v>
      </c>
    </row>
    <row r="3" spans="1:21">
      <c r="A3" s="48" t="s">
        <v>378</v>
      </c>
      <c r="B3" s="8">
        <v>4000</v>
      </c>
      <c r="F3" s="109"/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7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7"/>
      <c r="U5" s="16" t="str">
        <f>IF(堀江ファイブ3500[[#This Row],[人数]]="","",VLOOKUP(堀江ファイブ3500[[#This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7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7"/>
      <c r="U6" s="16" t="str">
        <f>IF(堀江ファイブ3500[[#This Row],[人数]]="","",VLOOKUP(堀江ファイブ3500[[#This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7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7"/>
      <c r="U7" s="16" t="str">
        <f>IF(堀江ファイブ3500[[#This Row],[人数]]="","",VLOOKUP(堀江ファイブ3500[[#This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7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9">
        <f t="shared" si="1"/>
        <v>44596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7"/>
      <c r="U8" s="16" t="str">
        <f>IF(堀江ファイブ3500[[#This Row],[人数]]="","",VLOOKUP(堀江ファイブ3500[[#This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7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9">
        <f t="shared" si="1"/>
        <v>44597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7"/>
      <c r="U9" s="16" t="str">
        <f>IF(堀江ファイブ3500[[#This Row],[人数]]="","",VLOOKUP(堀江ファイブ3500[[#This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7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9">
        <f t="shared" si="1"/>
        <v>44598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7"/>
      <c r="U10" s="16" t="str">
        <f>IF(堀江ファイブ3500[[#This Row],[人数]]="","",VLOOKUP(堀江ファイブ3500[[#This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7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9">
        <f t="shared" si="1"/>
        <v>44599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7"/>
      <c r="U11" s="16" t="str">
        <f>IF(堀江ファイブ3500[[#This Row],[人数]]="","",VLOOKUP(堀江ファイブ3500[[#This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7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9">
        <f t="shared" si="1"/>
        <v>44600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7"/>
      <c r="U12" s="16" t="str">
        <f>IF(堀江ファイブ3500[[#This Row],[人数]]="","",VLOOKUP(堀江ファイブ3500[[#This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7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9">
        <f t="shared" si="1"/>
        <v>44601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7"/>
      <c r="U13" s="16" t="str">
        <f>IF(堀江ファイブ3500[[#This Row],[人数]]="","",VLOOKUP(堀江ファイブ3500[[#This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7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9">
        <f t="shared" si="1"/>
        <v>44602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7"/>
      <c r="U14" s="16" t="str">
        <f>IF(堀江ファイブ3500[[#This Row],[人数]]="","",VLOOKUP(堀江ファイブ3500[[#This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7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9">
        <f t="shared" si="1"/>
        <v>44603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7"/>
      <c r="U15" s="16" t="str">
        <f>IF(堀江ファイブ3500[[#This Row],[人数]]="","",VLOOKUP(堀江ファイブ3500[[#This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7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9">
        <f t="shared" si="1"/>
        <v>44604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7"/>
      <c r="U16" s="16" t="str">
        <f>IF(堀江ファイブ3500[[#This Row],[人数]]="","",VLOOKUP(堀江ファイブ3500[[#This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7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9">
        <f t="shared" si="1"/>
        <v>44605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7"/>
      <c r="U17" s="16" t="str">
        <f>IF(堀江ファイブ3500[[#This Row],[人数]]="","",VLOOKUP(堀江ファイブ3500[[#This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7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9">
        <f t="shared" si="1"/>
        <v>44606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7"/>
      <c r="U18" s="16" t="str">
        <f>IF(堀江ファイブ3500[[#This Row],[人数]]="","",VLOOKUP(堀江ファイブ3500[[#This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7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9">
        <f t="shared" si="1"/>
        <v>44607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7"/>
      <c r="U19" s="16" t="str">
        <f>IF(堀江ファイブ3500[[#This Row],[人数]]="","",VLOOKUP(堀江ファイブ3500[[#This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7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9">
        <f t="shared" si="1"/>
        <v>44608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7"/>
      <c r="U20" s="16" t="str">
        <f>IF(堀江ファイブ3500[[#This Row],[人数]]="","",VLOOKUP(堀江ファイブ3500[[#This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7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9">
        <f t="shared" si="1"/>
        <v>44609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7"/>
      <c r="U21" s="16" t="str">
        <f>IF(堀江ファイブ3500[[#This Row],[人数]]="","",VLOOKUP(堀江ファイブ3500[[#This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7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9">
        <f t="shared" si="1"/>
        <v>44610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7"/>
      <c r="U22" s="16" t="str">
        <f>IF(堀江ファイブ3500[[#This Row],[人数]]="","",VLOOKUP(堀江ファイブ3500[[#This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7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9">
        <f t="shared" si="1"/>
        <v>44611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7"/>
      <c r="U23" s="16" t="str">
        <f>IF(堀江ファイブ3500[[#This Row],[人数]]="","",VLOOKUP(堀江ファイブ3500[[#This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7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9">
        <f t="shared" si="1"/>
        <v>44612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7"/>
      <c r="U24" s="16" t="str">
        <f>IF(堀江ファイブ3500[[#This Row],[人数]]="","",VLOOKUP(堀江ファイブ3500[[#This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7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9">
        <f t="shared" si="1"/>
        <v>44613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7"/>
      <c r="U25" s="16" t="str">
        <f>IF(堀江ファイブ3500[[#This Row],[人数]]="","",VLOOKUP(堀江ファイブ3500[[#This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7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9">
        <f t="shared" si="1"/>
        <v>44614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7"/>
      <c r="U26" s="16" t="str">
        <f>IF(堀江ファイブ3500[[#This Row],[人数]]="","",VLOOKUP(堀江ファイブ3500[[#This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7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9">
        <f t="shared" si="1"/>
        <v>44615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7"/>
      <c r="U27" s="16" t="str">
        <f>IF(堀江ファイブ3500[[#This Row],[人数]]="","",VLOOKUP(堀江ファイブ3500[[#This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7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9">
        <f t="shared" si="1"/>
        <v>44616</v>
      </c>
      <c r="M28" s="13"/>
      <c r="N28" s="14"/>
      <c r="O28" s="52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7"/>
      <c r="U28" s="16" t="str">
        <f>IF(堀江ファイブ3500[[#This Row],[人数]]="","",VLOOKUP(堀江ファイブ3500[[#This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7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9">
        <f t="shared" si="1"/>
        <v>44617</v>
      </c>
      <c r="M29" s="13"/>
      <c r="N29" s="14"/>
      <c r="O29" s="52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7"/>
      <c r="U29" s="16" t="str">
        <f>IF(堀江ファイブ3500[[#This Row],[人数]]="","",VLOOKUP(堀江ファイブ3500[[#This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7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9">
        <f t="shared" si="1"/>
        <v>44618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7"/>
      <c r="U30" s="16" t="str">
        <f>IF(堀江ファイブ3500[[#This Row],[人数]]="","",VLOOKUP(堀江ファイブ3500[[#This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7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9">
        <f t="shared" si="1"/>
        <v>44619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7"/>
      <c r="U31" s="16" t="str">
        <f>IF(堀江ファイブ3500[[#This Row],[人数]]="","",VLOOKUP(堀江ファイブ3500[[#This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7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9">
        <f t="shared" si="1"/>
        <v>44620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7"/>
      <c r="U32" s="16" t="str">
        <f>IF(堀江ファイブ3500[[#This Row],[人数]]="","",VLOOKUP(堀江ファイブ3500[[#This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7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9" t="str">
        <f t="shared" si="1"/>
        <v/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7"/>
      <c r="U33" s="16" t="str">
        <f>IF(堀江ファイブ3500[[#This Row],[人数]]="","",VLOOKUP(堀江ファイブ3500[[#This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7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9" t="str">
        <f t="shared" si="1"/>
        <v/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7"/>
      <c r="U34" s="16" t="str">
        <f>IF(堀江ファイブ3500[[#This Row],[人数]]="","",VLOOKUP(堀江ファイブ3500[[#This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7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83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7"/>
      <c r="U35" s="16" t="str">
        <f>IF(堀江ファイブ3500[[#This Row],[人数]]="","",VLOOKUP(堀江ファイブ3500[[#This Row],[人数]],バック金額②[#All],2,TRUE))</f>
        <v/>
      </c>
    </row>
    <row r="36" spans="1:21">
      <c r="A36" s="79" t="s">
        <v>211</v>
      </c>
      <c r="B36" s="16">
        <f>SUM(堀江ファイブ4000[[#All],[件数]])</f>
        <v>0</v>
      </c>
      <c r="C36" s="79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79" t="s">
        <v>211</v>
      </c>
      <c r="M36" s="16">
        <f>SUM(堀江ファイブ3500[[#All],[件数]])</f>
        <v>0</v>
      </c>
      <c r="N36" s="79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85" zoomScaleNormal="85" workbookViewId="0">
      <pane ySplit="4" topLeftCell="A5" activePane="bottomLeft" state="frozen"/>
      <selection pane="bottomLeft" activeCell="D12" sqref="D12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  <c r="E1" s="48" t="s">
        <v>243</v>
      </c>
      <c r="H1" s="109" t="s">
        <v>524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7"/>
      <c r="J5" s="16" t="str">
        <f>IF(北新地ファイブ4000[[#This Row],[人数]]="","",VLOOKUP(北新地ファイブ4000[[#This Row],[人数]],バック金額②[#All],2,TRUE))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7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7"/>
      <c r="J6" s="16" t="str">
        <f>IF(北新地ファイブ4000[[#This Row],[人数]]="","",VLOOKUP(北新地ファイブ4000[[#This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7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7"/>
      <c r="J7" s="16" t="str">
        <f>IF(北新地ファイブ4000[[#This Row],[人数]]="","",VLOOKUP(北新地ファイブ4000[[#This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7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7"/>
      <c r="J8" s="16" t="str">
        <f>IF(北新地ファイブ4000[[#This Row],[人数]]="","",VLOOKUP(北新地ファイブ4000[[#This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7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9">
        <f>IFERROR(IF(DATE(YEAR($A$5),MONTH($A$5),DAY($A$5))=DATE(YEAR(A8),MONTH(A8),DAY(A8+1)),"",DATE(YEAR(A8),MONTH(A8),DAY(A8+1))),"")</f>
        <v>44597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7"/>
      <c r="J9" s="16" t="str">
        <f>IF(北新地ファイブ4000[[#This Row],[人数]]="","",VLOOKUP(北新地ファイブ4000[[#This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7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7"/>
      <c r="J10" s="16" t="str">
        <f>IF(北新地ファイブ4000[[#This Row],[人数]]="","",VLOOKUP(北新地ファイブ4000[[#This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7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7"/>
      <c r="J11" s="16" t="str">
        <f>IF(北新地ファイブ4000[[#This Row],[人数]]="","",VLOOKUP(北新地ファイブ4000[[#This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7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7"/>
      <c r="J12" s="16" t="str">
        <f>IF(北新地ファイブ4000[[#This Row],[人数]]="","",VLOOKUP(北新地ファイブ4000[[#This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7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7"/>
      <c r="J13" s="16" t="str">
        <f>IF(北新地ファイブ4000[[#This Row],[人数]]="","",VLOOKUP(北新地ファイブ4000[[#This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7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7"/>
      <c r="J14" s="16" t="str">
        <f>IF(北新地ファイブ4000[[#This Row],[人数]]="","",VLOOKUP(北新地ファイブ4000[[#This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7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7"/>
      <c r="J15" s="16" t="str">
        <f>IF(北新地ファイブ4000[[#This Row],[人数]]="","",VLOOKUP(北新地ファイブ4000[[#This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7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9">
        <f t="shared" si="0"/>
        <v>44604</v>
      </c>
      <c r="B16" s="13"/>
      <c r="C16" s="163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7"/>
      <c r="J16" s="16" t="str">
        <f>IF(北新地ファイブ4000[[#This Row],[人数]]="","",VLOOKUP(北新地ファイブ4000[[#This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7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7"/>
      <c r="J17" s="16" t="str">
        <f>IF(北新地ファイブ4000[[#This Row],[人数]]="","",VLOOKUP(北新地ファイブ4000[[#This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7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7"/>
      <c r="J18" s="16" t="str">
        <f>IF(北新地ファイブ4000[[#This Row],[人数]]="","",VLOOKUP(北新地ファイブ4000[[#This Row],[人数]],バック金額②[#All],2,TRUE))</f>
        <v/>
      </c>
      <c r="K18" s="48"/>
      <c r="L18" s="69">
        <f t="shared" si="1"/>
        <v>44606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7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7"/>
      <c r="J19" s="16" t="str">
        <f>IF(北新地ファイブ4000[[#This Row],[人数]]="","",VLOOKUP(北新地ファイブ4000[[#This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7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7"/>
      <c r="J20" s="16" t="str">
        <f>IF(北新地ファイブ4000[[#This Row],[人数]]="","",VLOOKUP(北新地ファイブ4000[[#This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7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7"/>
      <c r="J21" s="16" t="str">
        <f>IF(北新地ファイブ4000[[#This Row],[人数]]="","",VLOOKUP(北新地ファイブ4000[[#This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7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7"/>
      <c r="J22" s="16" t="str">
        <f>IF(北新地ファイブ4000[[#This Row],[人数]]="","",VLOOKUP(北新地ファイブ4000[[#This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7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7"/>
      <c r="J23" s="16" t="str">
        <f>IF(北新地ファイブ4000[[#This Row],[人数]]="","",VLOOKUP(北新地ファイブ4000[[#This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7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7"/>
      <c r="J24" s="16" t="str">
        <f>IF(北新地ファイブ4000[[#This Row],[人数]]="","",VLOOKUP(北新地ファイブ4000[[#This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7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7"/>
      <c r="J25" s="16" t="str">
        <f>IF(北新地ファイブ4000[[#This Row],[人数]]="","",VLOOKUP(北新地ファイブ4000[[#This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7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9">
        <f>IFERROR(IF(DATE(YEAR($A$5),MONTH($A$5),DAY($A$5))=DATE(YEAR(A25),MONTH(A25),DAY(A25+1)),"",DATE(YEAR(A25),MONTH(A25),DAY(A25+1))),"")</f>
        <v>44614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7"/>
      <c r="J26" s="16" t="str">
        <f>IF(北新地ファイブ4000[[#This Row],[人数]]="","",VLOOKUP(北新地ファイブ4000[[#This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7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7"/>
      <c r="J27" s="16" t="str">
        <f>IF(北新地ファイブ4000[[#This Row],[人数]]="","",VLOOKUP(北新地ファイブ4000[[#This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7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7"/>
      <c r="J28" s="16" t="str">
        <f>IF(北新地ファイブ4000[[#This Row],[人数]]="","",VLOOKUP(北新地ファイブ4000[[#This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7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7"/>
      <c r="J29" s="16" t="str">
        <f>IF(北新地ファイブ4000[[#This Row],[人数]]="","",VLOOKUP(北新地ファイブ4000[[#This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7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7"/>
      <c r="J30" s="16" t="str">
        <f>IF(北新地ファイブ4000[[#This Row],[人数]]="","",VLOOKUP(北新地ファイブ4000[[#This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7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7"/>
      <c r="J31" s="16" t="str">
        <f>IF(北新地ファイブ4000[[#This Row],[人数]]="","",VLOOKUP(北新地ファイブ4000[[#This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7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7"/>
      <c r="J32" s="16" t="str">
        <f>IF(北新地ファイブ4000[[#This Row],[人数]]="","",VLOOKUP(北新地ファイブ4000[[#This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7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7"/>
      <c r="J33" s="16" t="str">
        <f>IF(北新地ファイブ4000[[#This Row],[人数]]="","",VLOOKUP(北新地ファイブ4000[[#This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7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7"/>
      <c r="J34" s="16" t="str">
        <f>IF(北新地ファイブ4000[[#This Row],[人数]]="","",VLOOKUP(北新地ファイブ4000[[#This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7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7"/>
      <c r="J35" s="16" t="str">
        <f>IF(北新地ファイブ4000[[#This Row],[人数]]="","",VLOOKUP(北新地ファイブ4000[[#This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7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8" t="s">
        <v>324</v>
      </c>
      <c r="B36" s="16">
        <f>SUM(北新地ファイブ4000[[#All],[件数]])</f>
        <v>0</v>
      </c>
      <c r="C36" s="79"/>
      <c r="D36" s="16">
        <f>SUM(北新地ファイブ4000[[#All],[人数]])</f>
        <v>0</v>
      </c>
      <c r="E36" s="16">
        <f>SUM(北新地ファイブ4000[[#All],[Aパターン]])</f>
        <v>0</v>
      </c>
      <c r="F36" s="16">
        <f>SUM(北新地ファイブ4000[[#All],[単価合計]])</f>
        <v>0</v>
      </c>
      <c r="G36" s="16">
        <f>SUM(北新地ファイブ4000[[#All],[ゆうき取りに行く]])</f>
        <v>0</v>
      </c>
      <c r="H36" s="16"/>
      <c r="I36" s="16"/>
      <c r="J36" s="16">
        <f>SUM(北新地ファイブ4000[[#All],[イベンターへ]])</f>
        <v>0</v>
      </c>
      <c r="L36" s="79" t="s">
        <v>211</v>
      </c>
      <c r="M36" s="16">
        <f>SUM(北新地ファイブ3500[[#All],[件数]])</f>
        <v>0</v>
      </c>
      <c r="N36" s="79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2300</v>
      </c>
      <c r="E1" s="48" t="s">
        <v>513</v>
      </c>
    </row>
    <row r="2" spans="1:21">
      <c r="A2" s="48" t="s">
        <v>374</v>
      </c>
      <c r="B2" s="8">
        <v>1100</v>
      </c>
    </row>
    <row r="3" spans="1:21">
      <c r="A3" s="48" t="s">
        <v>378</v>
      </c>
      <c r="B3" s="8">
        <v>4000</v>
      </c>
      <c r="C3" s="48" t="s">
        <v>281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44609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9">
        <f>IFERROR(IF(DATE(YEAR($A$5),MONTH($A$5),DAY($A$5))=DATE(YEAR(A21),MONTH(A21),DAY(A21+1)),"",DATE(YEAR(A21),MONTH(A21),DAY(A21+1))),"")</f>
        <v>44610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78" t="s">
        <v>324</v>
      </c>
      <c r="B36" s="16">
        <f>SUM(梅田ここから4000[[#All],[件数]])</f>
        <v>0</v>
      </c>
      <c r="C36" s="79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79" t="s">
        <v>211</v>
      </c>
      <c r="M36" s="16">
        <f>SUM(梅田ここから3500[[#All],[件数]])</f>
        <v>0</v>
      </c>
      <c r="N36" s="79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  <c r="E1" s="48" t="s">
        <v>244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L3" s="48" t="s">
        <v>378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73" t="s">
        <v>205</v>
      </c>
      <c r="M4" s="71" t="s">
        <v>206</v>
      </c>
      <c r="N4" s="72" t="s">
        <v>207</v>
      </c>
      <c r="O4" s="7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9">
        <f>IF(DAY(DATE(名前リスト!$N$1,名前リスト!$O$1,ROW()-4))=ROW()-4,DATE(名前リスト!$N$1,名前リスト!$O$1,ROW()-4),"")</f>
        <v>44593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9">
        <f t="shared" si="1"/>
        <v>44596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9">
        <f t="shared" si="1"/>
        <v>44597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9">
        <f t="shared" si="1"/>
        <v>44598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9">
        <f t="shared" si="1"/>
        <v>44599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9">
        <f t="shared" si="1"/>
        <v>44600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9">
        <f t="shared" si="1"/>
        <v>44601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9">
        <f t="shared" si="1"/>
        <v>44602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9">
        <f t="shared" si="1"/>
        <v>44603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9">
        <f t="shared" si="1"/>
        <v>44604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9">
        <f t="shared" si="1"/>
        <v>44605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9">
        <f t="shared" si="1"/>
        <v>44606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9">
        <f t="shared" si="1"/>
        <v>44607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9">
        <f t="shared" si="1"/>
        <v>44608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9">
        <f t="shared" si="1"/>
        <v>44609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9">
        <f t="shared" si="1"/>
        <v>44610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9">
        <f t="shared" si="1"/>
        <v>44611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9">
        <f t="shared" si="1"/>
        <v>44612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9">
        <f t="shared" si="1"/>
        <v>44613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9">
        <f t="shared" si="1"/>
        <v>44614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9">
        <f t="shared" si="1"/>
        <v>44615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9">
        <f t="shared" si="1"/>
        <v>44616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9">
        <f t="shared" si="1"/>
        <v>44617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9">
        <f t="shared" si="1"/>
        <v>44618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9">
        <f t="shared" si="1"/>
        <v>44619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9">
        <f t="shared" si="1"/>
        <v>44620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9" t="str">
        <f t="shared" si="1"/>
        <v/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9" t="str">
        <f t="shared" si="1"/>
        <v/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9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70" t="s">
        <v>324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79" t="s">
        <v>211</v>
      </c>
      <c r="M36" s="7">
        <f>SUM(梅田石狩3500[[#All],[件数]])</f>
        <v>0</v>
      </c>
      <c r="N36" s="84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6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  <c r="C1" s="48" t="s">
        <v>245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9">
        <f>IFERROR(IF(DATE(YEAR($A$5),MONTH($A$5),DAY($A$5))=DATE(YEAR(A11),MONTH(A11),DAY(A11+1)),"",DATE(YEAR(A11),MONTH(A11),DAY(A11+1))),"")</f>
        <v>44600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9" t="str">
        <f>IFERROR(IF(DATE(YEAR($A$5),MONTH($A$5),DAY($A$5))=DATE(YEAR(A32),MONTH(A32),DAY(A32+1)),"",DATE(YEAR(A32),MONTH(A32),DAY(A32+1))),"")</f>
        <v/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79" t="s">
        <v>211</v>
      </c>
      <c r="B36" s="16">
        <f>SUM(梅田あん4000[[#All],[件数]])</f>
        <v>0</v>
      </c>
      <c r="C36" s="79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79" t="s">
        <v>211</v>
      </c>
      <c r="M36" s="16">
        <f>SUM(梅田あん3500[[#All],[件数]])</f>
        <v>0</v>
      </c>
      <c r="N36" s="79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14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246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9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44609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79" t="s">
        <v>211</v>
      </c>
      <c r="B36" s="16">
        <f>SUM(梅田煙4000[[#All],[件数]])</f>
        <v>0</v>
      </c>
      <c r="C36" s="79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79" t="s">
        <v>211</v>
      </c>
      <c r="M36" s="16">
        <f>SUM(梅田煙3500[[#All],[件数]])</f>
        <v>0</v>
      </c>
      <c r="N36" s="79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topLeftCell="K1" zoomScale="85" zoomScaleNormal="85" workbookViewId="0">
      <pane ySplit="4" topLeftCell="A14" activePane="bottomLeft" state="frozen"/>
      <selection pane="bottomLeft" activeCell="R30" sqref="R30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2000</v>
      </c>
    </row>
    <row r="2" spans="1:21">
      <c r="A2" s="48" t="s">
        <v>374</v>
      </c>
      <c r="B2" s="8">
        <v>1300</v>
      </c>
      <c r="L2" s="48" t="s">
        <v>500</v>
      </c>
      <c r="M2" s="8">
        <v>500</v>
      </c>
    </row>
    <row r="3" spans="1:21">
      <c r="A3" s="48" t="s">
        <v>378</v>
      </c>
      <c r="B3" s="8">
        <v>4000</v>
      </c>
      <c r="C3" s="48" t="s">
        <v>247</v>
      </c>
      <c r="L3" s="48" t="s">
        <v>378</v>
      </c>
      <c r="M3" s="8">
        <v>3500</v>
      </c>
      <c r="N3" s="48" t="s">
        <v>499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30">
        <f>IFERROR(IF(DATE(YEAR($A$5),MONTH($A$5),DAY($A$5))=DATE(YEAR(L5),MONTH(L5),DAY(L5+1)),"",DATE(YEAR(L5),MONTH(L5),DAY(L5+1))),"")</f>
        <v>44594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30">
        <f t="shared" ref="A7:A34" si="0">IFERROR(IF(DATE(YEAR($A$5),MONTH($A$5),DAY($A$5))=DATE(YEAR(L6),MONTH(L6),DAY(L6+1)),"",DATE(YEAR(L6),MONTH(L6),DAY(L6+1))),"")</f>
        <v>44595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9">
        <f t="shared" ref="L7:L34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30">
        <f t="shared" si="0"/>
        <v>44596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9">
        <f t="shared" si="1"/>
        <v>44596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30">
        <f t="shared" si="0"/>
        <v>44597</v>
      </c>
      <c r="B9" s="13"/>
      <c r="C9" s="14"/>
      <c r="D9" s="15"/>
      <c r="E9" s="15"/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5"/>
      <c r="J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9">
        <f t="shared" si="1"/>
        <v>44597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30">
        <f t="shared" si="0"/>
        <v>44598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9">
        <f t="shared" si="1"/>
        <v>44598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30">
        <f t="shared" si="0"/>
        <v>44599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9">
        <f t="shared" si="1"/>
        <v>44599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30">
        <f t="shared" si="0"/>
        <v>44600</v>
      </c>
      <c r="B12" s="13"/>
      <c r="C12" s="51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9">
        <f t="shared" si="1"/>
        <v>44600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30">
        <f t="shared" si="0"/>
        <v>44601</v>
      </c>
      <c r="B13" s="13"/>
      <c r="C13" s="14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9">
        <f t="shared" si="1"/>
        <v>44601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30">
        <f t="shared" si="0"/>
        <v>44602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9">
        <f t="shared" si="1"/>
        <v>44602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30">
        <f t="shared" si="0"/>
        <v>44603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37"/>
      <c r="J15" s="13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9">
        <f t="shared" si="1"/>
        <v>44603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30">
        <f t="shared" si="0"/>
        <v>44604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37"/>
      <c r="J16" s="13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9">
        <f t="shared" si="1"/>
        <v>44604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30">
        <f t="shared" si="0"/>
        <v>44605</v>
      </c>
      <c r="B17" s="13"/>
      <c r="C17" s="14"/>
      <c r="D17" s="15"/>
      <c r="E17" s="15"/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37"/>
      <c r="J17" s="13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9">
        <f t="shared" si="1"/>
        <v>44605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30">
        <f t="shared" si="0"/>
        <v>44606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5"/>
      <c r="J1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9">
        <f t="shared" si="1"/>
        <v>44606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30">
        <f t="shared" si="0"/>
        <v>44607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5"/>
      <c r="J1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9">
        <f t="shared" si="1"/>
        <v>44607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30">
        <f t="shared" si="0"/>
        <v>44608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9">
        <f t="shared" si="1"/>
        <v>44608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30">
        <f t="shared" si="0"/>
        <v>44609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9">
        <f t="shared" si="1"/>
        <v>44609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30">
        <f t="shared" si="0"/>
        <v>44610</v>
      </c>
      <c r="B22" s="13"/>
      <c r="C22" s="14"/>
      <c r="D22" s="15"/>
      <c r="E22" s="15"/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2" s="137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9">
        <f t="shared" si="1"/>
        <v>44610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30">
        <f t="shared" si="0"/>
        <v>44611</v>
      </c>
      <c r="B23" s="13"/>
      <c r="C23" s="14"/>
      <c r="D23" s="15"/>
      <c r="E23" s="15"/>
      <c r="F23" s="13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3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37"/>
      <c r="J23" s="13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9">
        <f t="shared" si="1"/>
        <v>44611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30">
        <f t="shared" si="0"/>
        <v>44612</v>
      </c>
      <c r="B24" s="13">
        <v>1</v>
      </c>
      <c r="C24" s="14">
        <v>0</v>
      </c>
      <c r="D24" s="15">
        <v>6</v>
      </c>
      <c r="E24" s="15"/>
      <c r="F2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24" s="16">
        <f>IFERROR(($B$3*心斎橋サファリ4000[[#This Row],[人数]])-心斎橋サファリ4000[[#This Row],[単価合計]]-(心斎橋サファリ4000[[#This Row],[キャンセル人数]]*$B$2),"")</f>
        <v>12000</v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5"/>
      <c r="J24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4" s="69">
        <f t="shared" si="1"/>
        <v>44612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30">
        <f t="shared" si="0"/>
        <v>44613</v>
      </c>
      <c r="B25" s="13"/>
      <c r="C25" s="14"/>
      <c r="D25" s="15"/>
      <c r="E25" s="15"/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9">
        <f t="shared" si="1"/>
        <v>44613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30">
        <f t="shared" si="0"/>
        <v>44614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9">
        <f t="shared" si="1"/>
        <v>44614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30">
        <f t="shared" si="0"/>
        <v>44615</v>
      </c>
      <c r="B27" s="13"/>
      <c r="C27" s="14"/>
      <c r="D27" s="15"/>
      <c r="E27" s="15"/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9">
        <f t="shared" si="1"/>
        <v>44615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30">
        <f t="shared" si="0"/>
        <v>44616</v>
      </c>
      <c r="B28" s="13"/>
      <c r="C28" s="14"/>
      <c r="D28" s="15"/>
      <c r="E28" s="15"/>
      <c r="F28" s="13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3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37"/>
      <c r="J28" s="13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9">
        <f t="shared" si="1"/>
        <v>44616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30">
        <f t="shared" si="0"/>
        <v>44617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9">
        <f t="shared" si="1"/>
        <v>44617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30">
        <f t="shared" si="0"/>
        <v>44618</v>
      </c>
      <c r="B30" s="13"/>
      <c r="C30" s="14"/>
      <c r="D30" s="15"/>
      <c r="E30" s="15"/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9">
        <f t="shared" si="1"/>
        <v>44618</v>
      </c>
      <c r="M30" s="13">
        <v>1</v>
      </c>
      <c r="N30" s="14">
        <v>40</v>
      </c>
      <c r="O30" s="15">
        <v>4</v>
      </c>
      <c r="P30" s="15"/>
      <c r="Q30" s="16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>8000</v>
      </c>
      <c r="R30" s="16">
        <f>IFERROR(($M$3*心斎橋サファリ3500[[#This Row],[人数]])-心斎橋サファリ3500[[#This Row],[単価合計]]-(心斎橋サファリ3500[[#This Row],[キャンセル人数]]*$B$2),"")</f>
        <v>6000</v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>2000</v>
      </c>
    </row>
    <row r="31" spans="1:21">
      <c r="A31" s="30">
        <f t="shared" si="0"/>
        <v>44619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9">
        <f t="shared" si="1"/>
        <v>44619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30">
        <f t="shared" si="0"/>
        <v>44620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37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9">
        <f t="shared" si="1"/>
        <v>44620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30" t="str">
        <f t="shared" si="0"/>
        <v/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9" t="str">
        <f t="shared" si="1"/>
        <v/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30" t="str">
        <f t="shared" si="0"/>
        <v/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9" t="str">
        <f t="shared" si="1"/>
        <v/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80" t="s">
        <v>324</v>
      </c>
      <c r="B35" s="16">
        <f>SUM(心斎橋サファリ4000[[#All],[件数]])</f>
        <v>1</v>
      </c>
      <c r="C35" s="79"/>
      <c r="D35" s="16">
        <f>SUM(心斎橋サファリ4000[[#All],[人数]])</f>
        <v>6</v>
      </c>
      <c r="E35" s="16">
        <f>SUM(心斎橋サファリ4000[[#All],[Aパターン]])</f>
        <v>0</v>
      </c>
      <c r="F35" s="16">
        <f>SUM(心斎橋サファリ4000[[#All],[単価合計]])</f>
        <v>12000</v>
      </c>
      <c r="G35" s="16">
        <f>SUM(心斎橋サファリ4000[[#All],[ゆうき取りに行く]])</f>
        <v>12000</v>
      </c>
      <c r="H35" s="16"/>
      <c r="I35" s="16"/>
      <c r="J35" s="16">
        <f>SUM(心斎橋サファリ4000[[#All],[イベンターへ]])</f>
        <v>7000</v>
      </c>
      <c r="L35" s="80" t="s">
        <v>324</v>
      </c>
      <c r="M35" s="16">
        <f>SUM(心斎橋サファリ3500[[#All],[件数]])</f>
        <v>1</v>
      </c>
      <c r="N35" s="79"/>
      <c r="O35" s="16">
        <f>SUM(心斎橋サファリ3500[[#All],[人数]])</f>
        <v>4</v>
      </c>
      <c r="P35" s="16">
        <f>SUM(心斎橋サファリ3500[[#All],[Aパターン]])</f>
        <v>0</v>
      </c>
      <c r="Q35" s="16">
        <f>SUM(心斎橋サファリ3500[[#All],[単価合計]])</f>
        <v>8000</v>
      </c>
      <c r="R35" s="16">
        <f>SUM(心斎橋サファリ3500[[#All],[ゆうき取りに行く]])</f>
        <v>6000</v>
      </c>
      <c r="S35" s="16"/>
      <c r="T35" s="16"/>
      <c r="U35" s="16">
        <f>SUM(心斎橋サファリ3500[[#All],[イベンターへ]])</f>
        <v>2000</v>
      </c>
    </row>
    <row r="36" spans="1:21" s="75" customFormat="1">
      <c r="A36" s="8"/>
      <c r="B36" s="8"/>
      <c r="C36" s="8"/>
      <c r="D36" s="8"/>
      <c r="E36" s="8"/>
      <c r="F36" s="9"/>
      <c r="G36" s="9"/>
      <c r="H36" s="9"/>
      <c r="I36" s="9"/>
      <c r="J36" s="9"/>
      <c r="L36" s="8"/>
      <c r="M36" s="8"/>
      <c r="N36" s="8"/>
      <c r="O36" s="8"/>
      <c r="P36" s="8"/>
      <c r="Q36" s="9"/>
      <c r="R36" s="9"/>
      <c r="S36" s="9"/>
      <c r="T36" s="9"/>
      <c r="U36" s="9"/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8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248</v>
      </c>
      <c r="L3" s="48" t="s">
        <v>378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9">
        <f t="shared" si="1"/>
        <v>44596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9">
        <f t="shared" si="1"/>
        <v>44597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IFERROR((5000*心斎橋3ebar4000円[[#This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Row],[人数]]&lt;=39,$B$1*4,IF(心斎橋3ebar4000円[[#This Row],[人数]]&lt;=47,$B$1*5,"")))))))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76" t="s">
        <v>324</v>
      </c>
      <c r="B36" s="81">
        <f>SUM(心斎橋3ebar4000円[[#All],[件数]])</f>
        <v>0</v>
      </c>
      <c r="C36" s="82"/>
      <c r="D36" s="81">
        <f>SUM(心斎橋3ebar4000円[[#All],[人数]])</f>
        <v>0</v>
      </c>
      <c r="E36" s="81">
        <f>SUM(心斎橋3ebar4000円[[#All],[Aパターン]])</f>
        <v>0</v>
      </c>
      <c r="F36" s="81">
        <f>SUM(心斎橋3ebar4000円[[#All],[単価合計]])</f>
        <v>0</v>
      </c>
      <c r="G36" s="81">
        <f>SUM(心斎橋3ebar4000円[[#All],[ゆうき取りに行く]])</f>
        <v>0</v>
      </c>
      <c r="H36" s="81"/>
      <c r="I36" s="81"/>
      <c r="J36" s="81">
        <f>SUM(心斎橋3ebar4000円[[#All],[イベンターへ]])</f>
        <v>0</v>
      </c>
      <c r="L36" s="74" t="s">
        <v>324</v>
      </c>
      <c r="M36" s="81">
        <f>SUM(心斎橋3ebar3500円[[#All],[件数]])</f>
        <v>0</v>
      </c>
      <c r="N36" s="82"/>
      <c r="O36" s="81">
        <f>SUM(心斎橋3ebar3500円[[#All],[人数]])</f>
        <v>0</v>
      </c>
      <c r="P36" s="81">
        <f>SUM(心斎橋3ebar3500円[[#All],[Aパターン]])</f>
        <v>0</v>
      </c>
      <c r="Q36" s="81">
        <f>SUM(心斎橋3ebar3500円[[#All],[単価合計]])</f>
        <v>0</v>
      </c>
      <c r="R36" s="81">
        <f>SUM(心斎橋3ebar3500円[[#All],[ゆうき取りに行く]])</f>
        <v>0</v>
      </c>
      <c r="S36" s="81"/>
      <c r="T36" s="81"/>
      <c r="U36" s="81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8" t="s">
        <v>373</v>
      </c>
      <c r="B1" s="8">
        <v>2300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249</v>
      </c>
      <c r="L3" s="48" t="s">
        <v>378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9" t="str">
        <f t="shared" si="1"/>
        <v/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9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76" t="s">
        <v>324</v>
      </c>
      <c r="B36" s="16">
        <f>SUM(心斎橋ラプロメッサ4000円[[#All],[件数]])</f>
        <v>0</v>
      </c>
      <c r="C36" s="79"/>
      <c r="D36" s="16">
        <f>SUM(心斎橋ラプロメッサ4000円[[#All],[人数]])</f>
        <v>0</v>
      </c>
      <c r="E36" s="16">
        <f>SUM(心斎橋ラプロメッサ4000円[[#All],[Aパターン]])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80" t="s">
        <v>324</v>
      </c>
      <c r="M36" s="16">
        <f>SUM(心斎橋ラプロメッサ3500円[[#All],[件数]])</f>
        <v>0</v>
      </c>
      <c r="N36" s="79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6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8" t="s">
        <v>373</v>
      </c>
      <c r="B1" s="8">
        <v>2300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250</v>
      </c>
      <c r="L3" s="48" t="s">
        <v>378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9">
        <f>IFERROR(IF(DATE(YEAR($A$5),MONTH($A$5),DAY($A$5))=DATE(YEAR(L10),MONTH(L10),DAY(L10+1)),"",DATE(YEAR(L10),MONTH(L10),DAY(L10+1))),"")</f>
        <v>44599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9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 s="75" customFormat="1">
      <c r="A36" s="78" t="s">
        <v>324</v>
      </c>
      <c r="B36" s="16">
        <f>SUM(心斎橋MアンドM4000円[[#All],[件数]])</f>
        <v>0</v>
      </c>
      <c r="C36" s="79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80" t="s">
        <v>324</v>
      </c>
      <c r="M36" s="16">
        <f>SUM(心斎橋MアンドM3500円[[#All],[件数]])</f>
        <v>0</v>
      </c>
      <c r="N36" s="79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8" t="s">
        <v>373</v>
      </c>
      <c r="B1" s="8">
        <v>2000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251</v>
      </c>
      <c r="L3" s="48" t="s">
        <v>378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4" t="str">
        <f>IFERROR(($B$3*心斎橋CSB4000円[[#This Row],[人数]])-心斎橋CSB4000円[[#This Row],[単価合計]]-(心斎橋CSB4000円[[#This Row],[キャンセル人数]]*$B$2),"")</f>
        <v/>
      </c>
      <c r="H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4" t="str">
        <f>IF(心斎橋CSB4000円[[#This Row],[人数]]="","",VLOOKUP(心斎橋CSB4000円[[#This Row],[人数]],バック金額②[#All],2,TRUE)-(心斎橋CSB4000円[[#This Row],[キャンセル人数]]*$B$2))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4" t="str">
        <f>IFERROR(($M$3*心斎橋CSB3500円[[#This Row],[人数]])-心斎橋CSB3500円[[#This Row],[単価合計]]-(心斎橋CSB3500円[[#This Row],[キャンセル人数]]*$B$2),"")</f>
        <v/>
      </c>
      <c r="S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4" t="str">
        <f>IF(心斎橋CSB3500円[[#This Row],[人数]]="","",VLOOKUP(心斎橋CSB3500円[[#This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4" t="str">
        <f>IFERROR(($B$3*心斎橋CSB4000円[[#This Row],[人数]])-心斎橋CSB4000円[[#This Row],[単価合計]]-(心斎橋CSB4000円[[#This Row],[キャンセル人数]]*$B$2),"")</f>
        <v/>
      </c>
      <c r="H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4" t="str">
        <f>IF(心斎橋CSB4000円[[#This Row],[人数]]="","",VLOOKUP(心斎橋CSB4000円[[#This Row],[人数]],バック金額②[#All],2,TRUE)-(心斎橋CSB4000円[[#This Row],[キャンセル人数]]*$B$2))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4" t="str">
        <f>IFERROR(($M$3*心斎橋CSB3500円[[#This Row],[人数]])-心斎橋CSB3500円[[#This Row],[単価合計]]-(心斎橋CSB3500円[[#This Row],[キャンセル人数]]*$B$2),"")</f>
        <v/>
      </c>
      <c r="S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4" t="str">
        <f>IF(心斎橋CSB3500円[[#This Row],[人数]]="","",VLOOKUP(心斎橋CSB3500円[[#This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4" t="str">
        <f>IFERROR(($B$3*心斎橋CSB4000円[[#This Row],[人数]])-心斎橋CSB4000円[[#This Row],[単価合計]]-(心斎橋CSB4000円[[#This Row],[キャンセル人数]]*$B$2),"")</f>
        <v/>
      </c>
      <c r="H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4" t="str">
        <f>IF(心斎橋CSB4000円[[#This Row],[人数]]="","",VLOOKUP(心斎橋CSB4000円[[#This Row],[人数]],バック金額②[#All],2,TRUE)-(心斎橋CSB4000円[[#This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4" t="str">
        <f>IFERROR(($M$3*心斎橋CSB3500円[[#This Row],[人数]])-心斎橋CSB3500円[[#This Row],[単価合計]]-(心斎橋CSB3500円[[#This Row],[キャンセル人数]]*$B$2),"")</f>
        <v/>
      </c>
      <c r="S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4" t="str">
        <f>IF(心斎橋CSB3500円[[#This Row],[人数]]="","",VLOOKUP(心斎橋CSB3500円[[#This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4" t="str">
        <f>IFERROR(($B$3*心斎橋CSB4000円[[#This Row],[人数]])-心斎橋CSB4000円[[#This Row],[単価合計]]-(心斎橋CSB4000円[[#This Row],[キャンセル人数]]*$B$2),"")</f>
        <v/>
      </c>
      <c r="H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4" t="str">
        <f>IF(心斎橋CSB4000円[[#This Row],[人数]]="","",VLOOKUP(心斎橋CSB4000円[[#This Row],[人数]],バック金額②[#All],2,TRUE)-(心斎橋CSB4000円[[#This Row],[キャンセル人数]]*$B$2))</f>
        <v/>
      </c>
      <c r="L8" s="69">
        <f t="shared" si="1"/>
        <v>44596</v>
      </c>
      <c r="M8" s="13"/>
      <c r="N8" s="14"/>
      <c r="O8" s="15"/>
      <c r="P8" s="15"/>
      <c r="Q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4" t="str">
        <f>IFERROR(($M$3*心斎橋CSB3500円[[#This Row],[人数]])-心斎橋CSB3500円[[#This Row],[単価合計]]-(心斎橋CSB3500円[[#This Row],[キャンセル人数]]*$B$2),"")</f>
        <v/>
      </c>
      <c r="S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4" t="str">
        <f>IF(心斎橋CSB3500円[[#This Row],[人数]]="","",VLOOKUP(心斎橋CSB3500円[[#This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4" t="str">
        <f>IFERROR(($B$3*心斎橋CSB4000円[[#This Row],[人数]])-心斎橋CSB4000円[[#This Row],[単価合計]]-(心斎橋CSB4000円[[#This Row],[キャンセル人数]]*$B$2),"")</f>
        <v/>
      </c>
      <c r="H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4" t="str">
        <f>IF(心斎橋CSB4000円[[#This Row],[人数]]="","",VLOOKUP(心斎橋CSB4000円[[#This Row],[人数]],バック金額②[#All],2,TRUE)-(心斎橋CSB4000円[[#This Row],[キャンセル人数]]*$B$2))</f>
        <v/>
      </c>
      <c r="L9" s="69">
        <f t="shared" si="1"/>
        <v>44597</v>
      </c>
      <c r="M9" s="13"/>
      <c r="N9" s="14"/>
      <c r="O9" s="15"/>
      <c r="P9" s="15"/>
      <c r="Q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4" t="str">
        <f>IFERROR(($M$3*心斎橋CSB3500円[[#This Row],[人数]])-心斎橋CSB3500円[[#This Row],[単価合計]]-(心斎橋CSB3500円[[#This Row],[キャンセル人数]]*$B$2),"")</f>
        <v/>
      </c>
      <c r="S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4" t="str">
        <f>IF(心斎橋CSB3500円[[#This Row],[人数]]="","",VLOOKUP(心斎橋CSB3500円[[#This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4" t="str">
        <f>IFERROR(($B$3*心斎橋CSB4000円[[#This Row],[人数]])-心斎橋CSB4000円[[#This Row],[単価合計]]-(心斎橋CSB4000円[[#This Row],[キャンセル人数]]*$B$2),"")</f>
        <v/>
      </c>
      <c r="H1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4" t="str">
        <f>IF(心斎橋CSB4000円[[#This Row],[人数]]="","",VLOOKUP(心斎橋CSB4000円[[#This Row],[人数]],バック金額②[#All],2,TRUE)-(心斎橋CSB4000円[[#This Row],[キャンセル人数]]*$B$2))</f>
        <v/>
      </c>
      <c r="L10" s="69">
        <f t="shared" si="1"/>
        <v>44598</v>
      </c>
      <c r="M10" s="13"/>
      <c r="N10" s="14"/>
      <c r="O10" s="15"/>
      <c r="P10" s="15"/>
      <c r="Q1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4" t="str">
        <f>IFERROR(($M$3*心斎橋CSB3500円[[#This Row],[人数]])-心斎橋CSB3500円[[#This Row],[単価合計]]-(心斎橋CSB3500円[[#This Row],[キャンセル人数]]*$B$2),"")</f>
        <v/>
      </c>
      <c r="S1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4" t="str">
        <f>IF(心斎橋CSB3500円[[#This Row],[人数]]="","",VLOOKUP(心斎橋CSB3500円[[#This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4" t="str">
        <f>IFERROR(($B$3*心斎橋CSB4000円[[#This Row],[人数]])-心斎橋CSB4000円[[#This Row],[単価合計]]-(心斎橋CSB4000円[[#This Row],[キャンセル人数]]*$B$2),"")</f>
        <v/>
      </c>
      <c r="H1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4" t="str">
        <f>IF(心斎橋CSB4000円[[#This Row],[人数]]="","",VLOOKUP(心斎橋CSB4000円[[#This Row],[人数]],バック金額②[#All],2,TRUE)-(心斎橋CSB4000円[[#This Row],[キャンセル人数]]*$B$2))</f>
        <v/>
      </c>
      <c r="L11" s="69">
        <f t="shared" si="1"/>
        <v>44599</v>
      </c>
      <c r="M11" s="13"/>
      <c r="N11" s="14"/>
      <c r="O11" s="15"/>
      <c r="P11" s="15"/>
      <c r="Q1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4" t="str">
        <f>IFERROR(($M$3*心斎橋CSB3500円[[#This Row],[人数]])-心斎橋CSB3500円[[#This Row],[単価合計]]-(心斎橋CSB3500円[[#This Row],[キャンセル人数]]*$B$2),"")</f>
        <v/>
      </c>
      <c r="S1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4" t="str">
        <f>IF(心斎橋CSB3500円[[#This Row],[人数]]="","",VLOOKUP(心斎橋CSB3500円[[#This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4" t="str">
        <f>IFERROR(($B$3*心斎橋CSB4000円[[#This Row],[人数]])-心斎橋CSB4000円[[#This Row],[単価合計]]-(心斎橋CSB4000円[[#This Row],[キャンセル人数]]*$B$2),"")</f>
        <v/>
      </c>
      <c r="H1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4" t="str">
        <f>IF(心斎橋CSB4000円[[#This Row],[人数]]="","",VLOOKUP(心斎橋CSB4000円[[#This Row],[人数]],バック金額②[#All],2,TRUE)-(心斎橋CSB4000円[[#This Row],[キャンセル人数]]*$B$2))</f>
        <v/>
      </c>
      <c r="L12" s="69">
        <f t="shared" si="1"/>
        <v>44600</v>
      </c>
      <c r="M12" s="13"/>
      <c r="N12" s="14"/>
      <c r="O12" s="15"/>
      <c r="P12" s="15"/>
      <c r="Q1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4" t="str">
        <f>IFERROR(($M$3*心斎橋CSB3500円[[#This Row],[人数]])-心斎橋CSB3500円[[#This Row],[単価合計]]-(心斎橋CSB3500円[[#This Row],[キャンセル人数]]*$B$2),"")</f>
        <v/>
      </c>
      <c r="S1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4" t="str">
        <f>IF(心斎橋CSB3500円[[#This Row],[人数]]="","",VLOOKUP(心斎橋CSB3500円[[#This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4" t="str">
        <f>IFERROR(($B$3*心斎橋CSB4000円[[#This Row],[人数]])-心斎橋CSB4000円[[#This Row],[単価合計]]-(心斎橋CSB4000円[[#This Row],[キャンセル人数]]*$B$2),"")</f>
        <v/>
      </c>
      <c r="H1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4" t="str">
        <f>IF(心斎橋CSB4000円[[#This Row],[人数]]="","",VLOOKUP(心斎橋CSB4000円[[#This Row],[人数]],バック金額②[#All],2,TRUE)-(心斎橋CSB4000円[[#This Row],[キャンセル人数]]*$B$2))</f>
        <v/>
      </c>
      <c r="L13" s="69">
        <f t="shared" si="1"/>
        <v>44601</v>
      </c>
      <c r="M13" s="13"/>
      <c r="N13" s="14"/>
      <c r="O13" s="15"/>
      <c r="P13" s="15"/>
      <c r="Q1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4" t="str">
        <f>IFERROR(($M$3*心斎橋CSB3500円[[#This Row],[人数]])-心斎橋CSB3500円[[#This Row],[単価合計]]-(心斎橋CSB3500円[[#This Row],[キャンセル人数]]*$B$2),"")</f>
        <v/>
      </c>
      <c r="S1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4" t="str">
        <f>IF(心斎橋CSB3500円[[#This Row],[人数]]="","",VLOOKUP(心斎橋CSB3500円[[#This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4" t="str">
        <f>IFERROR(($B$3*心斎橋CSB4000円[[#This Row],[人数]])-心斎橋CSB4000円[[#This Row],[単価合計]]-(心斎橋CSB4000円[[#This Row],[キャンセル人数]]*$B$2),"")</f>
        <v/>
      </c>
      <c r="H1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4" t="str">
        <f>IF(心斎橋CSB4000円[[#This Row],[人数]]="","",VLOOKUP(心斎橋CSB4000円[[#This Row],[人数]],バック金額②[#All],2,TRUE)-(心斎橋CSB4000円[[#This Row],[キャンセル人数]]*$B$2))</f>
        <v/>
      </c>
      <c r="L14" s="69">
        <f t="shared" si="1"/>
        <v>44602</v>
      </c>
      <c r="M14" s="13"/>
      <c r="N14" s="14"/>
      <c r="O14" s="15"/>
      <c r="P14" s="15"/>
      <c r="Q1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4" t="str">
        <f>IFERROR(($M$3*心斎橋CSB3500円[[#This Row],[人数]])-心斎橋CSB3500円[[#This Row],[単価合計]]-(心斎橋CSB3500円[[#This Row],[キャンセル人数]]*$B$2),"")</f>
        <v/>
      </c>
      <c r="S1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4" t="str">
        <f>IF(心斎橋CSB3500円[[#This Row],[人数]]="","",VLOOKUP(心斎橋CSB3500円[[#This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4" t="str">
        <f>IFERROR(($B$3*心斎橋CSB4000円[[#This Row],[人数]])-心斎橋CSB4000円[[#This Row],[単価合計]]-(心斎橋CSB4000円[[#This Row],[キャンセル人数]]*$B$2),"")</f>
        <v/>
      </c>
      <c r="H1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4" t="str">
        <f>IF(心斎橋CSB4000円[[#This Row],[人数]]="","",VLOOKUP(心斎橋CSB4000円[[#This Row],[人数]],バック金額②[#All],2,TRUE)-(心斎橋CSB4000円[[#This Row],[キャンセル人数]]*$B$2))</f>
        <v/>
      </c>
      <c r="L15" s="69">
        <f t="shared" si="1"/>
        <v>44603</v>
      </c>
      <c r="M15" s="13"/>
      <c r="N15" s="14"/>
      <c r="O15" s="15"/>
      <c r="P15" s="15"/>
      <c r="Q1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4" t="str">
        <f>IFERROR(($M$3*心斎橋CSB3500円[[#This Row],[人数]])-心斎橋CSB3500円[[#This Row],[単価合計]]-(心斎橋CSB3500円[[#This Row],[キャンセル人数]]*$B$2),"")</f>
        <v/>
      </c>
      <c r="S1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4" t="str">
        <f>IF(心斎橋CSB3500円[[#This Row],[人数]]="","",VLOOKUP(心斎橋CSB3500円[[#This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4" t="str">
        <f>IFERROR(($B$3*心斎橋CSB4000円[[#This Row],[人数]])-心斎橋CSB4000円[[#This Row],[単価合計]]-(心斎橋CSB4000円[[#This Row],[キャンセル人数]]*$B$2),"")</f>
        <v/>
      </c>
      <c r="H1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4" t="str">
        <f>IF(心斎橋CSB4000円[[#This Row],[人数]]="","",VLOOKUP(心斎橋CSB4000円[[#This Row],[人数]],バック金額②[#All],2,TRUE)-(心斎橋CSB4000円[[#This Row],[キャンセル人数]]*$B$2))</f>
        <v/>
      </c>
      <c r="L16" s="69">
        <f t="shared" si="1"/>
        <v>44604</v>
      </c>
      <c r="M16" s="13"/>
      <c r="N16" s="14"/>
      <c r="O16" s="15"/>
      <c r="P16" s="15"/>
      <c r="Q1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4" t="str">
        <f>IFERROR(($M$3*心斎橋CSB3500円[[#This Row],[人数]])-心斎橋CSB3500円[[#This Row],[単価合計]]-(心斎橋CSB3500円[[#This Row],[キャンセル人数]]*$B$2),"")</f>
        <v/>
      </c>
      <c r="S1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4" t="str">
        <f>IF(心斎橋CSB3500円[[#This Row],[人数]]="","",VLOOKUP(心斎橋CSB3500円[[#This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4" t="str">
        <f>IFERROR(($B$3*心斎橋CSB4000円[[#This Row],[人数]])-心斎橋CSB4000円[[#This Row],[単価合計]]-(心斎橋CSB4000円[[#This Row],[キャンセル人数]]*$B$2),"")</f>
        <v/>
      </c>
      <c r="H1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4" t="str">
        <f>IF(心斎橋CSB4000円[[#This Row],[人数]]="","",VLOOKUP(心斎橋CSB4000円[[#This Row],[人数]],バック金額②[#All],2,TRUE)-(心斎橋CSB4000円[[#This Row],[キャンセル人数]]*$B$2))</f>
        <v/>
      </c>
      <c r="L17" s="69">
        <f t="shared" si="1"/>
        <v>44605</v>
      </c>
      <c r="M17" s="13"/>
      <c r="N17" s="14"/>
      <c r="O17" s="15"/>
      <c r="P17" s="15"/>
      <c r="Q1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4" t="str">
        <f>IFERROR(($M$3*心斎橋CSB3500円[[#This Row],[人数]])-心斎橋CSB3500円[[#This Row],[単価合計]]-(心斎橋CSB3500円[[#This Row],[キャンセル人数]]*$B$2),"")</f>
        <v/>
      </c>
      <c r="S1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4" t="str">
        <f>IF(心斎橋CSB3500円[[#This Row],[人数]]="","",VLOOKUP(心斎橋CSB3500円[[#This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4" t="str">
        <f>IFERROR(($B$3*心斎橋CSB4000円[[#This Row],[人数]])-心斎橋CSB4000円[[#This Row],[単価合計]]-(心斎橋CSB4000円[[#This Row],[キャンセル人数]]*$B$2),"")</f>
        <v/>
      </c>
      <c r="H1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4" t="str">
        <f>IF(心斎橋CSB4000円[[#This Row],[人数]]="","",VLOOKUP(心斎橋CSB4000円[[#This Row],[人数]],バック金額②[#All],2,TRUE)-(心斎橋CSB4000円[[#This Row],[キャンセル人数]]*$B$2))</f>
        <v/>
      </c>
      <c r="L18" s="69">
        <f t="shared" si="1"/>
        <v>44606</v>
      </c>
      <c r="M18" s="13"/>
      <c r="N18" s="14"/>
      <c r="O18" s="15"/>
      <c r="P18" s="15"/>
      <c r="Q1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4" t="str">
        <f>IFERROR(($M$3*心斎橋CSB3500円[[#This Row],[人数]])-心斎橋CSB3500円[[#This Row],[単価合計]]-(心斎橋CSB3500円[[#This Row],[キャンセル人数]]*$B$2),"")</f>
        <v/>
      </c>
      <c r="S1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4" t="str">
        <f>IF(心斎橋CSB3500円[[#This Row],[人数]]="","",VLOOKUP(心斎橋CSB3500円[[#This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4" t="str">
        <f>IFERROR(($B$3*心斎橋CSB4000円[[#This Row],[人数]])-心斎橋CSB4000円[[#This Row],[単価合計]]-(心斎橋CSB4000円[[#This Row],[キャンセル人数]]*$B$2),"")</f>
        <v/>
      </c>
      <c r="H1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4" t="str">
        <f>IF(心斎橋CSB4000円[[#This Row],[人数]]="","",VLOOKUP(心斎橋CSB4000円[[#This Row],[人数]],バック金額②[#All],2,TRUE)-(心斎橋CSB4000円[[#This Row],[キャンセル人数]]*$B$2))</f>
        <v/>
      </c>
      <c r="L19" s="69">
        <f t="shared" si="1"/>
        <v>44607</v>
      </c>
      <c r="M19" s="13"/>
      <c r="N19" s="14"/>
      <c r="O19" s="15"/>
      <c r="P19" s="15"/>
      <c r="Q1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4" t="str">
        <f>IFERROR(($M$3*心斎橋CSB3500円[[#This Row],[人数]])-心斎橋CSB3500円[[#This Row],[単価合計]]-(心斎橋CSB3500円[[#This Row],[キャンセル人数]]*$B$2),"")</f>
        <v/>
      </c>
      <c r="S1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4" t="str">
        <f>IF(心斎橋CSB3500円[[#This Row],[人数]]="","",VLOOKUP(心斎橋CSB3500円[[#This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4" t="str">
        <f>IFERROR(($B$3*心斎橋CSB4000円[[#This Row],[人数]])-心斎橋CSB4000円[[#This Row],[単価合計]]-(心斎橋CSB4000円[[#This Row],[キャンセル人数]]*$B$2),"")</f>
        <v/>
      </c>
      <c r="H2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4" t="str">
        <f>IF(心斎橋CSB4000円[[#This Row],[人数]]="","",VLOOKUP(心斎橋CSB4000円[[#This Row],[人数]],バック金額②[#All],2,TRUE)-(心斎橋CSB4000円[[#This Row],[キャンセル人数]]*$B$2))</f>
        <v/>
      </c>
      <c r="L20" s="69">
        <f t="shared" si="1"/>
        <v>44608</v>
      </c>
      <c r="M20" s="13"/>
      <c r="N20" s="14"/>
      <c r="O20" s="15"/>
      <c r="P20" s="15"/>
      <c r="Q2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4" t="str">
        <f>IFERROR(($M$3*心斎橋CSB3500円[[#This Row],[人数]])-心斎橋CSB3500円[[#This Row],[単価合計]]-(心斎橋CSB3500円[[#This Row],[キャンセル人数]]*$B$2),"")</f>
        <v/>
      </c>
      <c r="S2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4" t="str">
        <f>IF(心斎橋CSB3500円[[#This Row],[人数]]="","",VLOOKUP(心斎橋CSB3500円[[#This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4" t="str">
        <f>IFERROR(($B$3*心斎橋CSB4000円[[#This Row],[人数]])-心斎橋CSB4000円[[#This Row],[単価合計]]-(心斎橋CSB4000円[[#This Row],[キャンセル人数]]*$B$2),"")</f>
        <v/>
      </c>
      <c r="H2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4" t="str">
        <f>IF(心斎橋CSB4000円[[#This Row],[人数]]="","",VLOOKUP(心斎橋CSB4000円[[#This Row],[人数]],バック金額②[#All],2,TRUE)-(心斎橋CSB4000円[[#This Row],[キャンセル人数]]*$B$2))</f>
        <v/>
      </c>
      <c r="L21" s="69">
        <f t="shared" si="1"/>
        <v>44609</v>
      </c>
      <c r="M21" s="13"/>
      <c r="N21" s="14"/>
      <c r="O21" s="15"/>
      <c r="P21" s="15"/>
      <c r="Q2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4" t="str">
        <f>IFERROR(($M$3*心斎橋CSB3500円[[#This Row],[人数]])-心斎橋CSB3500円[[#This Row],[単価合計]]-(心斎橋CSB3500円[[#This Row],[キャンセル人数]]*$B$2),"")</f>
        <v/>
      </c>
      <c r="S2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4" t="str">
        <f>IF(心斎橋CSB3500円[[#This Row],[人数]]="","",VLOOKUP(心斎橋CSB3500円[[#This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4" t="str">
        <f>IFERROR(($B$3*心斎橋CSB4000円[[#This Row],[人数]])-心斎橋CSB4000円[[#This Row],[単価合計]]-(心斎橋CSB4000円[[#This Row],[キャンセル人数]]*$B$2),"")</f>
        <v/>
      </c>
      <c r="H2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4" t="str">
        <f>IF(心斎橋CSB4000円[[#This Row],[人数]]="","",VLOOKUP(心斎橋CSB4000円[[#This Row],[人数]],バック金額②[#All],2,TRUE)-(心斎橋CSB4000円[[#This Row],[キャンセル人数]]*$B$2))</f>
        <v/>
      </c>
      <c r="L22" s="69">
        <f t="shared" si="1"/>
        <v>44610</v>
      </c>
      <c r="M22" s="13"/>
      <c r="N22" s="14"/>
      <c r="O22" s="15"/>
      <c r="P22" s="15"/>
      <c r="Q2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4" t="str">
        <f>IFERROR(($M$3*心斎橋CSB3500円[[#This Row],[人数]])-心斎橋CSB3500円[[#This Row],[単価合計]]-(心斎橋CSB3500円[[#This Row],[キャンセル人数]]*$B$2),"")</f>
        <v/>
      </c>
      <c r="S2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4" t="str">
        <f>IF(心斎橋CSB3500円[[#This Row],[人数]]="","",VLOOKUP(心斎橋CSB3500円[[#This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4" t="str">
        <f>IFERROR(($B$3*心斎橋CSB4000円[[#This Row],[人数]])-心斎橋CSB4000円[[#This Row],[単価合計]]-(心斎橋CSB4000円[[#This Row],[キャンセル人数]]*$B$2),"")</f>
        <v/>
      </c>
      <c r="H2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4" t="str">
        <f>IF(心斎橋CSB4000円[[#This Row],[人数]]="","",VLOOKUP(心斎橋CSB4000円[[#This Row],[人数]],バック金額②[#All],2,TRUE)-(心斎橋CSB4000円[[#This Row],[キャンセル人数]]*$B$2))</f>
        <v/>
      </c>
      <c r="L23" s="69">
        <f t="shared" si="1"/>
        <v>44611</v>
      </c>
      <c r="M23" s="13"/>
      <c r="N23" s="14"/>
      <c r="O23" s="15"/>
      <c r="P23" s="15"/>
      <c r="Q2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4" t="str">
        <f>IFERROR(($M$3*心斎橋CSB3500円[[#This Row],[人数]])-心斎橋CSB3500円[[#This Row],[単価合計]]-(心斎橋CSB3500円[[#This Row],[キャンセル人数]]*$B$2),"")</f>
        <v/>
      </c>
      <c r="S2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4" t="str">
        <f>IF(心斎橋CSB3500円[[#This Row],[人数]]="","",VLOOKUP(心斎橋CSB3500円[[#This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4" t="str">
        <f>IFERROR(($B$3*心斎橋CSB4000円[[#This Row],[人数]])-心斎橋CSB4000円[[#This Row],[単価合計]]-(心斎橋CSB4000円[[#This Row],[キャンセル人数]]*$B$2),"")</f>
        <v/>
      </c>
      <c r="H2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4" t="str">
        <f>IF(心斎橋CSB4000円[[#This Row],[人数]]="","",VLOOKUP(心斎橋CSB4000円[[#This Row],[人数]],バック金額②[#All],2,TRUE)-(心斎橋CSB4000円[[#This Row],[キャンセル人数]]*$B$2))</f>
        <v/>
      </c>
      <c r="L24" s="69">
        <f t="shared" si="1"/>
        <v>44612</v>
      </c>
      <c r="M24" s="13"/>
      <c r="N24" s="14"/>
      <c r="O24" s="15"/>
      <c r="P24" s="15"/>
      <c r="Q2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4" t="str">
        <f>IFERROR(($M$3*心斎橋CSB3500円[[#This Row],[人数]])-心斎橋CSB3500円[[#This Row],[単価合計]]-(心斎橋CSB3500円[[#This Row],[キャンセル人数]]*$B$2),"")</f>
        <v/>
      </c>
      <c r="S2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4" t="str">
        <f>IF(心斎橋CSB3500円[[#This Row],[人数]]="","",VLOOKUP(心斎橋CSB3500円[[#This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4" t="str">
        <f>IFERROR(($B$3*心斎橋CSB4000円[[#This Row],[人数]])-心斎橋CSB4000円[[#This Row],[単価合計]]-(心斎橋CSB4000円[[#This Row],[キャンセル人数]]*$B$2),"")</f>
        <v/>
      </c>
      <c r="H2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4" t="str">
        <f>IF(心斎橋CSB4000円[[#This Row],[人数]]="","",VLOOKUP(心斎橋CSB4000円[[#This Row],[人数]],バック金額②[#All],2,TRUE)-(心斎橋CSB4000円[[#This Row],[キャンセル人数]]*$B$2))</f>
        <v/>
      </c>
      <c r="L25" s="69">
        <f t="shared" si="1"/>
        <v>44613</v>
      </c>
      <c r="M25" s="13"/>
      <c r="N25" s="14"/>
      <c r="O25" s="15"/>
      <c r="P25" s="15"/>
      <c r="Q2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4" t="str">
        <f>IFERROR(($M$3*心斎橋CSB3500円[[#This Row],[人数]])-心斎橋CSB3500円[[#This Row],[単価合計]]-(心斎橋CSB3500円[[#This Row],[キャンセル人数]]*$B$2),"")</f>
        <v/>
      </c>
      <c r="S2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4" t="str">
        <f>IF(心斎橋CSB3500円[[#This Row],[人数]]="","",VLOOKUP(心斎橋CSB3500円[[#This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4" t="str">
        <f>IFERROR(($B$3*心斎橋CSB4000円[[#This Row],[人数]])-心斎橋CSB4000円[[#This Row],[単価合計]]-(心斎橋CSB4000円[[#This Row],[キャンセル人数]]*$B$2),"")</f>
        <v/>
      </c>
      <c r="H2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4" t="str">
        <f>IF(心斎橋CSB4000円[[#This Row],[人数]]="","",VLOOKUP(心斎橋CSB4000円[[#This Row],[人数]],バック金額②[#All],2,TRUE)-(心斎橋CSB4000円[[#This Row],[キャンセル人数]]*$B$2))</f>
        <v/>
      </c>
      <c r="L26" s="69">
        <f t="shared" si="1"/>
        <v>44614</v>
      </c>
      <c r="M26" s="13"/>
      <c r="N26" s="14"/>
      <c r="O26" s="15"/>
      <c r="P26" s="15"/>
      <c r="Q2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4" t="str">
        <f>IFERROR(($M$3*心斎橋CSB3500円[[#This Row],[人数]])-心斎橋CSB3500円[[#This Row],[単価合計]]-(心斎橋CSB3500円[[#This Row],[キャンセル人数]]*$B$2),"")</f>
        <v/>
      </c>
      <c r="S2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4" t="str">
        <f>IF(心斎橋CSB3500円[[#This Row],[人数]]="","",VLOOKUP(心斎橋CSB3500円[[#This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4" t="str">
        <f>IFERROR(($B$3*心斎橋CSB4000円[[#This Row],[人数]])-心斎橋CSB4000円[[#This Row],[単価合計]]-(心斎橋CSB4000円[[#This Row],[キャンセル人数]]*$B$2),"")</f>
        <v/>
      </c>
      <c r="H2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4" t="str">
        <f>IF(心斎橋CSB4000円[[#This Row],[人数]]="","",VLOOKUP(心斎橋CSB4000円[[#This Row],[人数]],バック金額②[#All],2,TRUE)-(心斎橋CSB4000円[[#This Row],[キャンセル人数]]*$B$2))</f>
        <v/>
      </c>
      <c r="L27" s="69">
        <f t="shared" si="1"/>
        <v>44615</v>
      </c>
      <c r="M27" s="13"/>
      <c r="N27" s="14"/>
      <c r="O27" s="15"/>
      <c r="P27" s="15"/>
      <c r="Q2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4" t="str">
        <f>IFERROR(($M$3*心斎橋CSB3500円[[#This Row],[人数]])-心斎橋CSB3500円[[#This Row],[単価合計]]-(心斎橋CSB3500円[[#This Row],[キャンセル人数]]*$B$2),"")</f>
        <v/>
      </c>
      <c r="S2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4" t="str">
        <f>IF(心斎橋CSB3500円[[#This Row],[人数]]="","",VLOOKUP(心斎橋CSB3500円[[#This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4" t="str">
        <f>IFERROR(($B$3*心斎橋CSB4000円[[#This Row],[人数]])-心斎橋CSB4000円[[#This Row],[単価合計]]-(心斎橋CSB4000円[[#This Row],[キャンセル人数]]*$B$2),"")</f>
        <v/>
      </c>
      <c r="H2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4" t="str">
        <f>IF(心斎橋CSB4000円[[#This Row],[人数]]="","",VLOOKUP(心斎橋CSB4000円[[#This Row],[人数]],バック金額②[#All],2,TRUE)-(心斎橋CSB4000円[[#This Row],[キャンセル人数]]*$B$2))</f>
        <v/>
      </c>
      <c r="L28" s="69">
        <f t="shared" si="1"/>
        <v>44616</v>
      </c>
      <c r="M28" s="13"/>
      <c r="N28" s="14"/>
      <c r="O28" s="15"/>
      <c r="P28" s="15"/>
      <c r="Q2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4" t="str">
        <f>IFERROR(($M$3*心斎橋CSB3500円[[#This Row],[人数]])-心斎橋CSB3500円[[#This Row],[単価合計]]-(心斎橋CSB3500円[[#This Row],[キャンセル人数]]*$B$2),"")</f>
        <v/>
      </c>
      <c r="S2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4" t="str">
        <f>IF(心斎橋CSB3500円[[#This Row],[人数]]="","",VLOOKUP(心斎橋CSB3500円[[#This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4" t="str">
        <f>IFERROR(($B$3*心斎橋CSB4000円[[#This Row],[人数]])-心斎橋CSB4000円[[#This Row],[単価合計]]-(心斎橋CSB4000円[[#This Row],[キャンセル人数]]*$B$2),"")</f>
        <v/>
      </c>
      <c r="H2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4" t="str">
        <f>IF(心斎橋CSB4000円[[#This Row],[人数]]="","",VLOOKUP(心斎橋CSB4000円[[#This Row],[人数]],バック金額②[#All],2,TRUE)-(心斎橋CSB4000円[[#This Row],[キャンセル人数]]*$B$2))</f>
        <v/>
      </c>
      <c r="L29" s="69">
        <f t="shared" si="1"/>
        <v>44617</v>
      </c>
      <c r="M29" s="13"/>
      <c r="N29" s="14"/>
      <c r="O29" s="15"/>
      <c r="P29" s="15"/>
      <c r="Q2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4" t="str">
        <f>IFERROR(($M$3*心斎橋CSB3500円[[#This Row],[人数]])-心斎橋CSB3500円[[#This Row],[単価合計]]-(心斎橋CSB3500円[[#This Row],[キャンセル人数]]*$B$2),"")</f>
        <v/>
      </c>
      <c r="S2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4" t="str">
        <f>IF(心斎橋CSB3500円[[#This Row],[人数]]="","",VLOOKUP(心斎橋CSB3500円[[#This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4" t="str">
        <f>IFERROR(($B$3*心斎橋CSB4000円[[#This Row],[人数]])-心斎橋CSB4000円[[#This Row],[単価合計]]-(心斎橋CSB4000円[[#This Row],[キャンセル人数]]*$B$2),"")</f>
        <v/>
      </c>
      <c r="H3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4" t="str">
        <f>IF(心斎橋CSB4000円[[#This Row],[人数]]="","",VLOOKUP(心斎橋CSB4000円[[#This Row],[人数]],バック金額②[#All],2,TRUE)-(心斎橋CSB4000円[[#This Row],[キャンセル人数]]*$B$2))</f>
        <v/>
      </c>
      <c r="L30" s="69">
        <f t="shared" si="1"/>
        <v>44618</v>
      </c>
      <c r="M30" s="13"/>
      <c r="N30" s="14"/>
      <c r="O30" s="15"/>
      <c r="P30" s="15"/>
      <c r="Q3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4" t="str">
        <f>IFERROR(($M$3*心斎橋CSB3500円[[#This Row],[人数]])-心斎橋CSB3500円[[#This Row],[単価合計]]-(心斎橋CSB3500円[[#This Row],[キャンセル人数]]*$B$2),"")</f>
        <v/>
      </c>
      <c r="S3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4" t="str">
        <f>IF(心斎橋CSB3500円[[#This Row],[人数]]="","",VLOOKUP(心斎橋CSB3500円[[#This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4" t="str">
        <f>IFERROR(($B$3*心斎橋CSB4000円[[#This Row],[人数]])-心斎橋CSB4000円[[#This Row],[単価合計]]-(心斎橋CSB4000円[[#This Row],[キャンセル人数]]*$B$2),"")</f>
        <v/>
      </c>
      <c r="H3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4" t="str">
        <f>IF(心斎橋CSB4000円[[#This Row],[人数]]="","",VLOOKUP(心斎橋CSB4000円[[#This Row],[人数]],バック金額②[#All],2,TRUE)-(心斎橋CSB4000円[[#This Row],[キャンセル人数]]*$B$2))</f>
        <v/>
      </c>
      <c r="L31" s="69">
        <f t="shared" si="1"/>
        <v>44619</v>
      </c>
      <c r="M31" s="13"/>
      <c r="N31" s="14"/>
      <c r="O31" s="15"/>
      <c r="P31" s="15"/>
      <c r="Q3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4" t="str">
        <f>IFERROR(($M$3*心斎橋CSB3500円[[#This Row],[人数]])-心斎橋CSB3500円[[#This Row],[単価合計]]-(心斎橋CSB3500円[[#This Row],[キャンセル人数]]*$B$2),"")</f>
        <v/>
      </c>
      <c r="S3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4" t="str">
        <f>IF(心斎橋CSB3500円[[#This Row],[人数]]="","",VLOOKUP(心斎橋CSB3500円[[#This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4" t="str">
        <f>IFERROR(($B$3*心斎橋CSB4000円[[#This Row],[人数]])-心斎橋CSB4000円[[#This Row],[単価合計]]-(心斎橋CSB4000円[[#This Row],[キャンセル人数]]*$B$2),"")</f>
        <v/>
      </c>
      <c r="H3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4" t="str">
        <f>IF(心斎橋CSB4000円[[#This Row],[人数]]="","",VLOOKUP(心斎橋CSB4000円[[#This Row],[人数]],バック金額②[#All],2,TRUE)-(心斎橋CSB4000円[[#This Row],[キャンセル人数]]*$B$2))</f>
        <v/>
      </c>
      <c r="L32" s="69">
        <f t="shared" si="1"/>
        <v>44620</v>
      </c>
      <c r="M32" s="13"/>
      <c r="N32" s="14"/>
      <c r="O32" s="15"/>
      <c r="P32" s="15"/>
      <c r="Q3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4" t="str">
        <f>IFERROR(($M$3*心斎橋CSB3500円[[#This Row],[人数]])-心斎橋CSB3500円[[#This Row],[単価合計]]-(心斎橋CSB3500円[[#This Row],[キャンセル人数]]*$B$2),"")</f>
        <v/>
      </c>
      <c r="S3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4" t="str">
        <f>IF(心斎橋CSB3500円[[#This Row],[人数]]="","",VLOOKUP(心斎橋CSB3500円[[#This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4" t="str">
        <f>IFERROR(($B$3*心斎橋CSB4000円[[#This Row],[人数]])-心斎橋CSB4000円[[#This Row],[単価合計]]-(心斎橋CSB4000円[[#This Row],[キャンセル人数]]*$B$2),"")</f>
        <v/>
      </c>
      <c r="H3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4" t="str">
        <f>IF(心斎橋CSB4000円[[#This Row],[人数]]="","",VLOOKUP(心斎橋CSB4000円[[#This Row],[人数]],バック金額②[#All],2,TRUE)-(心斎橋CSB4000円[[#This Row],[キャンセル人数]]*$B$2))</f>
        <v/>
      </c>
      <c r="L33" s="69" t="str">
        <f t="shared" si="1"/>
        <v/>
      </c>
      <c r="M33" s="13"/>
      <c r="N33" s="14"/>
      <c r="O33" s="15"/>
      <c r="P33" s="15"/>
      <c r="Q3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4" t="str">
        <f>IFERROR(($M$3*心斎橋CSB3500円[[#This Row],[人数]])-心斎橋CSB3500円[[#This Row],[単価合計]]-(心斎橋CSB3500円[[#This Row],[キャンセル人数]]*$B$2),"")</f>
        <v/>
      </c>
      <c r="S3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4" t="str">
        <f>IF(心斎橋CSB3500円[[#This Row],[人数]]="","",VLOOKUP(心斎橋CSB3500円[[#This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4" t="str">
        <f>IFERROR(($B$3*心斎橋CSB4000円[[#This Row],[人数]])-心斎橋CSB4000円[[#This Row],[単価合計]]-(心斎橋CSB4000円[[#This Row],[キャンセル人数]]*$B$2),"")</f>
        <v/>
      </c>
      <c r="H3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4" t="str">
        <f>IF(心斎橋CSB4000円[[#This Row],[人数]]="","",VLOOKUP(心斎橋CSB4000円[[#This Row],[人数]],バック金額②[#All],2,TRUE)-(心斎橋CSB4000円[[#This Row],[キャンセル人数]]*$B$2))</f>
        <v/>
      </c>
      <c r="L34" s="69" t="str">
        <f t="shared" si="1"/>
        <v/>
      </c>
      <c r="M34" s="13"/>
      <c r="N34" s="14"/>
      <c r="O34" s="15"/>
      <c r="P34" s="15"/>
      <c r="Q3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4" t="str">
        <f>IFERROR(($M$3*心斎橋CSB3500円[[#This Row],[人数]])-心斎橋CSB3500円[[#This Row],[単価合計]]-(心斎橋CSB3500円[[#This Row],[キャンセル人数]]*$B$2),"")</f>
        <v/>
      </c>
      <c r="S3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4" t="str">
        <f>IF(心斎橋CSB3500円[[#This Row],[人数]]="","",VLOOKUP(心斎橋CSB3500円[[#This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4" t="str">
        <f>IFERROR(($B$3*心斎橋CSB4000円[[#This Row],[人数]])-心斎橋CSB4000円[[#This Row],[単価合計]]-(心斎橋CSB4000円[[#This Row],[キャンセル人数]]*$B$2),"")</f>
        <v/>
      </c>
      <c r="H3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4" t="str">
        <f>IF(心斎橋CSB4000円[[#This Row],[人数]]="","",VLOOKUP(心斎橋CSB4000円[[#This Row],[人数]],バック金額②[#All],2,TRUE)-(心斎橋CSB4000円[[#This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4" t="str">
        <f>IFERROR(($M$3*心斎橋CSB3500円[[#This Row],[人数]])-心斎橋CSB3500円[[#This Row],[単価合計]]-(心斎橋CSB3500円[[#This Row],[キャンセル人数]]*$B$2),"")</f>
        <v/>
      </c>
      <c r="S3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4" t="str">
        <f>IF(心斎橋CSB3500円[[#This Row],[人数]]="","",VLOOKUP(心斎橋CSB3500円[[#This Row],[人数]],バック金額②[#All],2,TRUE))</f>
        <v/>
      </c>
    </row>
    <row r="36" spans="1:21" s="75" customFormat="1">
      <c r="A36" s="78" t="s">
        <v>324</v>
      </c>
      <c r="B36" s="16">
        <f>SUM(心斎橋CSB4000円[[#All],[件数]])</f>
        <v>0</v>
      </c>
      <c r="C36" s="79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78" t="s">
        <v>324</v>
      </c>
      <c r="M36" s="16">
        <f>SUM(心斎橋CSB3500円[[#All],[件数]])</f>
        <v>0</v>
      </c>
      <c r="N36" s="79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252</v>
      </c>
      <c r="L3" s="48" t="s">
        <v>378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70" t="s">
        <v>324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70" t="s">
        <v>324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  <c r="L2" s="48" t="s">
        <v>518</v>
      </c>
      <c r="M2" s="8">
        <v>500</v>
      </c>
    </row>
    <row r="3" spans="1:21">
      <c r="A3" s="48" t="s">
        <v>378</v>
      </c>
      <c r="B3" s="8">
        <v>4000</v>
      </c>
      <c r="C3" s="48" t="s">
        <v>253</v>
      </c>
      <c r="L3" s="48" t="s">
        <v>378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9">
        <f t="shared" si="0"/>
        <v>44596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9">
        <f t="shared" si="1"/>
        <v>44596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9">
        <f t="shared" si="1"/>
        <v>44597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9">
        <f t="shared" si="1"/>
        <v>44598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9">
        <f t="shared" si="1"/>
        <v>44599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9">
        <f t="shared" si="1"/>
        <v>44600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9">
        <f t="shared" si="1"/>
        <v>44601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9">
        <f t="shared" si="1"/>
        <v>44602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9">
        <f t="shared" si="1"/>
        <v>44603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9">
        <f t="shared" si="1"/>
        <v>44604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9">
        <f t="shared" si="1"/>
        <v>44605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9">
        <f t="shared" si="1"/>
        <v>44606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9">
        <f t="shared" si="1"/>
        <v>44607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9">
        <f t="shared" si="1"/>
        <v>44608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9">
        <f t="shared" si="1"/>
        <v>44609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9">
        <f t="shared" si="1"/>
        <v>44610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9">
        <f t="shared" si="1"/>
        <v>44611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9">
        <f t="shared" si="1"/>
        <v>44612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9">
        <f t="shared" si="1"/>
        <v>44613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9">
        <f t="shared" si="1"/>
        <v>44614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9">
        <f t="shared" si="1"/>
        <v>44615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9">
        <f t="shared" si="1"/>
        <v>44616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9">
        <f t="shared" si="1"/>
        <v>44617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9">
        <f t="shared" si="1"/>
        <v>44618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9">
        <f t="shared" si="1"/>
        <v>44619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9">
        <f t="shared" si="1"/>
        <v>44620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9" t="str">
        <f t="shared" si="1"/>
        <v/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9" t="str">
        <f t="shared" si="1"/>
        <v/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9" t="str">
        <f t="shared" si="0"/>
        <v/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0</v>
      </c>
      <c r="C36" s="6"/>
      <c r="D36" s="7">
        <f>SUM(三ノ宮多味庵4000[[#All],[人数]])</f>
        <v>0</v>
      </c>
      <c r="E36" s="7">
        <f>SUM(三ノ宮多味庵4000[[#All],[Aパターン]])</f>
        <v>0</v>
      </c>
      <c r="F36" s="7">
        <f>SUM(三ノ宮多味庵4000[[#All],[単価合計]])</f>
        <v>0</v>
      </c>
      <c r="G36" s="7">
        <f>SUM(三ノ宮多味庵4000[[#All],[ゆうき取りに行く]])</f>
        <v>0</v>
      </c>
      <c r="H36" s="7"/>
      <c r="I36" s="7"/>
      <c r="J36" s="7">
        <f>SUM(三ノ宮多味庵4000[[#All],[イベンターへ]])</f>
        <v>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238</v>
      </c>
      <c r="L3" s="48" t="s">
        <v>378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52"/>
      <c r="E5" s="52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2"/>
      <c r="J5" s="16" t="str">
        <f>IF(天王寺キャンパス4000円[[#This Row],[人数]]="","",VLOOKUP(天王寺キャンパス4000円[[#This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52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2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52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52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52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9">
        <f t="shared" si="1"/>
        <v>44597</v>
      </c>
      <c r="M9" s="13"/>
      <c r="N9" s="14"/>
      <c r="O9" s="52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52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9">
        <f t="shared" si="1"/>
        <v>44599</v>
      </c>
      <c r="M11" s="13"/>
      <c r="N11" s="14"/>
      <c r="O11" s="52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52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9">
        <f t="shared" si="1"/>
        <v>44601</v>
      </c>
      <c r="M13" s="13"/>
      <c r="N13" s="14"/>
      <c r="O13" s="52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52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9">
        <f t="shared" si="1"/>
        <v>44603</v>
      </c>
      <c r="M15" s="13"/>
      <c r="N15" s="14"/>
      <c r="O15" s="52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52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9">
        <f t="shared" si="1"/>
        <v>44605</v>
      </c>
      <c r="M17" s="13"/>
      <c r="N17" s="14"/>
      <c r="O17" s="52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52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9">
        <f t="shared" si="1"/>
        <v>44607</v>
      </c>
      <c r="M19" s="13"/>
      <c r="N19" s="14"/>
      <c r="O19" s="52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52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9">
        <f t="shared" si="1"/>
        <v>44609</v>
      </c>
      <c r="M21" s="13"/>
      <c r="N21" s="14"/>
      <c r="O21" s="52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52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9">
        <f t="shared" si="1"/>
        <v>44611</v>
      </c>
      <c r="M23" s="13"/>
      <c r="N23" s="14"/>
      <c r="O23" s="52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52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9">
        <f t="shared" si="1"/>
        <v>44613</v>
      </c>
      <c r="M25" s="13"/>
      <c r="N25" s="14"/>
      <c r="O25" s="52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52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9">
        <f t="shared" si="1"/>
        <v>44615</v>
      </c>
      <c r="M27" s="13"/>
      <c r="N27" s="14"/>
      <c r="O27" s="52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52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9">
        <f t="shared" si="1"/>
        <v>44617</v>
      </c>
      <c r="M29" s="13"/>
      <c r="N29" s="14"/>
      <c r="O29" s="52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52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9">
        <f t="shared" si="1"/>
        <v>44619</v>
      </c>
      <c r="M31" s="13"/>
      <c r="N31" s="14"/>
      <c r="O31" s="52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52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9" t="str">
        <f t="shared" si="1"/>
        <v/>
      </c>
      <c r="M33" s="13"/>
      <c r="N33" s="14"/>
      <c r="O33" s="52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52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9" t="str">
        <f t="shared" si="1"/>
        <v/>
      </c>
      <c r="M35" s="17"/>
      <c r="N35" s="18"/>
      <c r="O35" s="52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70" t="s">
        <v>324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70" t="s">
        <v>324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8" t="s">
        <v>373</v>
      </c>
      <c r="B1" s="8">
        <v>2000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251</v>
      </c>
      <c r="L3" s="48" t="s">
        <v>378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4" t="str">
        <f>IFERROR(($B$3*心斎橋CSB4000円22[[#This Row],[人数]])-心斎橋CSB4000円22[[#This Row],[単価合計]]-(心斎橋CSB4000円22[[#This Row],[キャンセル人数]]*$B$2),"")</f>
        <v/>
      </c>
      <c r="H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4" t="str">
        <f>IF(心斎橋CSB4000円22[[#This Row],[人数]]="","",VLOOKUP(心斎橋CSB4000円22[[#This Row],[人数]],バック金額②[#All],2,TRUE)-(心斎橋CSB4000円22[[#This Row],[キャンセル人数]]*$B$2))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4" t="str">
        <f>IFERROR(($M$3*心斎橋CSB3500円23[[#This Row],[人数]])-心斎橋CSB3500円23[[#This Row],[単価合計]]-(心斎橋CSB3500円23[[#This Row],[キャンセル人数]]*$B$2),"")</f>
        <v/>
      </c>
      <c r="S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4" t="str">
        <f>IF(心斎橋CSB3500円23[[#This Row],[人数]]="","",VLOOKUP(心斎橋CSB3500円23[[#This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4" t="str">
        <f>IFERROR(($B$3*心斎橋CSB4000円22[[#This Row],[人数]])-心斎橋CSB4000円22[[#This Row],[単価合計]]-(心斎橋CSB4000円22[[#This Row],[キャンセル人数]]*$B$2),"")</f>
        <v/>
      </c>
      <c r="H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4" t="str">
        <f>IF(心斎橋CSB4000円22[[#This Row],[人数]]="","",VLOOKUP(心斎橋CSB4000円22[[#This Row],[人数]],バック金額②[#All],2,TRUE)-(心斎橋CSB4000円22[[#This Row],[キャンセル人数]]*$B$2))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4" t="str">
        <f>IFERROR(($M$3*心斎橋CSB3500円23[[#This Row],[人数]])-心斎橋CSB3500円23[[#This Row],[単価合計]]-(心斎橋CSB3500円23[[#This Row],[キャンセル人数]]*$B$2),"")</f>
        <v/>
      </c>
      <c r="S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4" t="str">
        <f>IF(心斎橋CSB3500円23[[#This Row],[人数]]="","",VLOOKUP(心斎橋CSB3500円23[[#This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4" t="str">
        <f>IFERROR(($B$3*心斎橋CSB4000円22[[#This Row],[人数]])-心斎橋CSB4000円22[[#This Row],[単価合計]]-(心斎橋CSB4000円22[[#This Row],[キャンセル人数]]*$B$2),"")</f>
        <v/>
      </c>
      <c r="H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4" t="str">
        <f>IF(心斎橋CSB4000円22[[#This Row],[人数]]="","",VLOOKUP(心斎橋CSB4000円22[[#This Row],[人数]],バック金額②[#All],2,TRUE)-(心斎橋CSB4000円22[[#This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4" t="str">
        <f>IFERROR(($M$3*心斎橋CSB3500円23[[#This Row],[人数]])-心斎橋CSB3500円23[[#This Row],[単価合計]]-(心斎橋CSB3500円23[[#This Row],[キャンセル人数]]*$B$2),"")</f>
        <v/>
      </c>
      <c r="S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4" t="str">
        <f>IF(心斎橋CSB3500円23[[#This Row],[人数]]="","",VLOOKUP(心斎橋CSB3500円23[[#This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4" t="str">
        <f>IFERROR(($B$3*心斎橋CSB4000円22[[#This Row],[人数]])-心斎橋CSB4000円22[[#This Row],[単価合計]]-(心斎橋CSB4000円22[[#This Row],[キャンセル人数]]*$B$2),"")</f>
        <v/>
      </c>
      <c r="H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4" t="str">
        <f>IF(心斎橋CSB4000円22[[#This Row],[人数]]="","",VLOOKUP(心斎橋CSB4000円22[[#This Row],[人数]],バック金額②[#All],2,TRUE)-(心斎橋CSB4000円22[[#This Row],[キャンセル人数]]*$B$2))</f>
        <v/>
      </c>
      <c r="L8" s="69">
        <f t="shared" si="1"/>
        <v>44596</v>
      </c>
      <c r="M8" s="13"/>
      <c r="N8" s="14"/>
      <c r="O8" s="15"/>
      <c r="P8" s="15"/>
      <c r="Q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4" t="str">
        <f>IFERROR(($M$3*心斎橋CSB3500円23[[#This Row],[人数]])-心斎橋CSB3500円23[[#This Row],[単価合計]]-(心斎橋CSB3500円23[[#This Row],[キャンセル人数]]*$B$2),"")</f>
        <v/>
      </c>
      <c r="S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4" t="str">
        <f>IF(心斎橋CSB3500円23[[#This Row],[人数]]="","",VLOOKUP(心斎橋CSB3500円23[[#This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4" t="str">
        <f>IFERROR(($B$3*心斎橋CSB4000円22[[#This Row],[人数]])-心斎橋CSB4000円22[[#This Row],[単価合計]]-(心斎橋CSB4000円22[[#This Row],[キャンセル人数]]*$B$2),"")</f>
        <v/>
      </c>
      <c r="H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4" t="str">
        <f>IF(心斎橋CSB4000円22[[#This Row],[人数]]="","",VLOOKUP(心斎橋CSB4000円22[[#This Row],[人数]],バック金額②[#All],2,TRUE)-(心斎橋CSB4000円22[[#This Row],[キャンセル人数]]*$B$2))</f>
        <v/>
      </c>
      <c r="L9" s="69">
        <f t="shared" si="1"/>
        <v>44597</v>
      </c>
      <c r="M9" s="13"/>
      <c r="N9" s="14"/>
      <c r="O9" s="15"/>
      <c r="P9" s="15"/>
      <c r="Q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4" t="str">
        <f>IFERROR(($M$3*心斎橋CSB3500円23[[#This Row],[人数]])-心斎橋CSB3500円23[[#This Row],[単価合計]]-(心斎橋CSB3500円23[[#This Row],[キャンセル人数]]*$B$2),"")</f>
        <v/>
      </c>
      <c r="S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4" t="str">
        <f>IF(心斎橋CSB3500円23[[#This Row],[人数]]="","",VLOOKUP(心斎橋CSB3500円23[[#This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4" t="str">
        <f>IFERROR(($B$3*心斎橋CSB4000円22[[#This Row],[人数]])-心斎橋CSB4000円22[[#This Row],[単価合計]]-(心斎橋CSB4000円22[[#This Row],[キャンセル人数]]*$B$2),"")</f>
        <v/>
      </c>
      <c r="H1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4" t="str">
        <f>IF(心斎橋CSB4000円22[[#This Row],[人数]]="","",VLOOKUP(心斎橋CSB4000円22[[#This Row],[人数]],バック金額②[#All],2,TRUE)-(心斎橋CSB4000円22[[#This Row],[キャンセル人数]]*$B$2))</f>
        <v/>
      </c>
      <c r="L10" s="69">
        <f t="shared" si="1"/>
        <v>44598</v>
      </c>
      <c r="M10" s="13"/>
      <c r="N10" s="14"/>
      <c r="O10" s="15"/>
      <c r="P10" s="15"/>
      <c r="Q1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4" t="str">
        <f>IFERROR(($M$3*心斎橋CSB3500円23[[#This Row],[人数]])-心斎橋CSB3500円23[[#This Row],[単価合計]]-(心斎橋CSB3500円23[[#This Row],[キャンセル人数]]*$B$2),"")</f>
        <v/>
      </c>
      <c r="S1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4" t="str">
        <f>IF(心斎橋CSB3500円23[[#This Row],[人数]]="","",VLOOKUP(心斎橋CSB3500円23[[#This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4" t="str">
        <f>IFERROR(($B$3*心斎橋CSB4000円22[[#This Row],[人数]])-心斎橋CSB4000円22[[#This Row],[単価合計]]-(心斎橋CSB4000円22[[#This Row],[キャンセル人数]]*$B$2),"")</f>
        <v/>
      </c>
      <c r="H1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4" t="str">
        <f>IF(心斎橋CSB4000円22[[#This Row],[人数]]="","",VLOOKUP(心斎橋CSB4000円22[[#This Row],[人数]],バック金額②[#All],2,TRUE)-(心斎橋CSB4000円22[[#This Row],[キャンセル人数]]*$B$2))</f>
        <v/>
      </c>
      <c r="L11" s="69">
        <f t="shared" si="1"/>
        <v>44599</v>
      </c>
      <c r="M11" s="13"/>
      <c r="N11" s="14"/>
      <c r="O11" s="15"/>
      <c r="P11" s="15"/>
      <c r="Q1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4" t="str">
        <f>IFERROR(($M$3*心斎橋CSB3500円23[[#This Row],[人数]])-心斎橋CSB3500円23[[#This Row],[単価合計]]-(心斎橋CSB3500円23[[#This Row],[キャンセル人数]]*$B$2),"")</f>
        <v/>
      </c>
      <c r="S1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4" t="str">
        <f>IF(心斎橋CSB3500円23[[#This Row],[人数]]="","",VLOOKUP(心斎橋CSB3500円23[[#This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4" t="str">
        <f>IFERROR(($B$3*心斎橋CSB4000円22[[#This Row],[人数]])-心斎橋CSB4000円22[[#This Row],[単価合計]]-(心斎橋CSB4000円22[[#This Row],[キャンセル人数]]*$B$2),"")</f>
        <v/>
      </c>
      <c r="H1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4" t="str">
        <f>IF(心斎橋CSB4000円22[[#This Row],[人数]]="","",VLOOKUP(心斎橋CSB4000円22[[#This Row],[人数]],バック金額②[#All],2,TRUE)-(心斎橋CSB4000円22[[#This Row],[キャンセル人数]]*$B$2))</f>
        <v/>
      </c>
      <c r="L12" s="69">
        <f t="shared" si="1"/>
        <v>44600</v>
      </c>
      <c r="M12" s="13"/>
      <c r="N12" s="14"/>
      <c r="O12" s="15"/>
      <c r="P12" s="15"/>
      <c r="Q1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4" t="str">
        <f>IFERROR(($M$3*心斎橋CSB3500円23[[#This Row],[人数]])-心斎橋CSB3500円23[[#This Row],[単価合計]]-(心斎橋CSB3500円23[[#This Row],[キャンセル人数]]*$B$2),"")</f>
        <v/>
      </c>
      <c r="S1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4" t="str">
        <f>IF(心斎橋CSB3500円23[[#This Row],[人数]]="","",VLOOKUP(心斎橋CSB3500円23[[#This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4" t="str">
        <f>IFERROR(($B$3*心斎橋CSB4000円22[[#This Row],[人数]])-心斎橋CSB4000円22[[#This Row],[単価合計]]-(心斎橋CSB4000円22[[#This Row],[キャンセル人数]]*$B$2),"")</f>
        <v/>
      </c>
      <c r="H1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4" t="str">
        <f>IF(心斎橋CSB4000円22[[#This Row],[人数]]="","",VLOOKUP(心斎橋CSB4000円22[[#This Row],[人数]],バック金額②[#All],2,TRUE)-(心斎橋CSB4000円22[[#This Row],[キャンセル人数]]*$B$2))</f>
        <v/>
      </c>
      <c r="L13" s="69">
        <f t="shared" si="1"/>
        <v>44601</v>
      </c>
      <c r="M13" s="13"/>
      <c r="N13" s="14"/>
      <c r="O13" s="15"/>
      <c r="P13" s="15"/>
      <c r="Q1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4" t="str">
        <f>IFERROR(($M$3*心斎橋CSB3500円23[[#This Row],[人数]])-心斎橋CSB3500円23[[#This Row],[単価合計]]-(心斎橋CSB3500円23[[#This Row],[キャンセル人数]]*$B$2),"")</f>
        <v/>
      </c>
      <c r="S1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4" t="str">
        <f>IF(心斎橋CSB3500円23[[#This Row],[人数]]="","",VLOOKUP(心斎橋CSB3500円23[[#This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4" t="str">
        <f>IFERROR(($B$3*心斎橋CSB4000円22[[#This Row],[人数]])-心斎橋CSB4000円22[[#This Row],[単価合計]]-(心斎橋CSB4000円22[[#This Row],[キャンセル人数]]*$B$2),"")</f>
        <v/>
      </c>
      <c r="H1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4" t="str">
        <f>IF(心斎橋CSB4000円22[[#This Row],[人数]]="","",VLOOKUP(心斎橋CSB4000円22[[#This Row],[人数]],バック金額②[#All],2,TRUE)-(心斎橋CSB4000円22[[#This Row],[キャンセル人数]]*$B$2))</f>
        <v/>
      </c>
      <c r="L14" s="69">
        <f t="shared" si="1"/>
        <v>44602</v>
      </c>
      <c r="M14" s="13"/>
      <c r="N14" s="14"/>
      <c r="O14" s="15"/>
      <c r="P14" s="15"/>
      <c r="Q1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4" t="str">
        <f>IFERROR(($M$3*心斎橋CSB3500円23[[#This Row],[人数]])-心斎橋CSB3500円23[[#This Row],[単価合計]]-(心斎橋CSB3500円23[[#This Row],[キャンセル人数]]*$B$2),"")</f>
        <v/>
      </c>
      <c r="S1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4" t="str">
        <f>IF(心斎橋CSB3500円23[[#This Row],[人数]]="","",VLOOKUP(心斎橋CSB3500円23[[#This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4" t="str">
        <f>IFERROR(($B$3*心斎橋CSB4000円22[[#This Row],[人数]])-心斎橋CSB4000円22[[#This Row],[単価合計]]-(心斎橋CSB4000円22[[#This Row],[キャンセル人数]]*$B$2),"")</f>
        <v/>
      </c>
      <c r="H1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4" t="str">
        <f>IF(心斎橋CSB4000円22[[#This Row],[人数]]="","",VLOOKUP(心斎橋CSB4000円22[[#This Row],[人数]],バック金額②[#All],2,TRUE)-(心斎橋CSB4000円22[[#This Row],[キャンセル人数]]*$B$2))</f>
        <v/>
      </c>
      <c r="L15" s="69">
        <f t="shared" si="1"/>
        <v>44603</v>
      </c>
      <c r="M15" s="13"/>
      <c r="N15" s="14"/>
      <c r="O15" s="15"/>
      <c r="P15" s="15"/>
      <c r="Q1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4" t="str">
        <f>IFERROR(($M$3*心斎橋CSB3500円23[[#This Row],[人数]])-心斎橋CSB3500円23[[#This Row],[単価合計]]-(心斎橋CSB3500円23[[#This Row],[キャンセル人数]]*$B$2),"")</f>
        <v/>
      </c>
      <c r="S1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4" t="str">
        <f>IF(心斎橋CSB3500円23[[#This Row],[人数]]="","",VLOOKUP(心斎橋CSB3500円23[[#This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4" t="str">
        <f>IFERROR(($B$3*心斎橋CSB4000円22[[#This Row],[人数]])-心斎橋CSB4000円22[[#This Row],[単価合計]]-(心斎橋CSB4000円22[[#This Row],[キャンセル人数]]*$B$2),"")</f>
        <v/>
      </c>
      <c r="H1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4" t="str">
        <f>IF(心斎橋CSB4000円22[[#This Row],[人数]]="","",VLOOKUP(心斎橋CSB4000円22[[#This Row],[人数]],バック金額②[#All],2,TRUE)-(心斎橋CSB4000円22[[#This Row],[キャンセル人数]]*$B$2))</f>
        <v/>
      </c>
      <c r="L16" s="69">
        <f t="shared" si="1"/>
        <v>44604</v>
      </c>
      <c r="M16" s="13"/>
      <c r="N16" s="14"/>
      <c r="O16" s="15"/>
      <c r="P16" s="15"/>
      <c r="Q1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4" t="str">
        <f>IFERROR(($M$3*心斎橋CSB3500円23[[#This Row],[人数]])-心斎橋CSB3500円23[[#This Row],[単価合計]]-(心斎橋CSB3500円23[[#This Row],[キャンセル人数]]*$B$2),"")</f>
        <v/>
      </c>
      <c r="S1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4" t="str">
        <f>IF(心斎橋CSB3500円23[[#This Row],[人数]]="","",VLOOKUP(心斎橋CSB3500円23[[#This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4" t="str">
        <f>IFERROR(($B$3*心斎橋CSB4000円22[[#This Row],[人数]])-心斎橋CSB4000円22[[#This Row],[単価合計]]-(心斎橋CSB4000円22[[#This Row],[キャンセル人数]]*$B$2),"")</f>
        <v/>
      </c>
      <c r="H1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4" t="str">
        <f>IF(心斎橋CSB4000円22[[#This Row],[人数]]="","",VLOOKUP(心斎橋CSB4000円22[[#This Row],[人数]],バック金額②[#All],2,TRUE)-(心斎橋CSB4000円22[[#This Row],[キャンセル人数]]*$B$2))</f>
        <v/>
      </c>
      <c r="L17" s="69">
        <f t="shared" si="1"/>
        <v>44605</v>
      </c>
      <c r="M17" s="13"/>
      <c r="N17" s="14"/>
      <c r="O17" s="15"/>
      <c r="P17" s="15"/>
      <c r="Q1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4" t="str">
        <f>IFERROR(($M$3*心斎橋CSB3500円23[[#This Row],[人数]])-心斎橋CSB3500円23[[#This Row],[単価合計]]-(心斎橋CSB3500円23[[#This Row],[キャンセル人数]]*$B$2),"")</f>
        <v/>
      </c>
      <c r="S1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4" t="str">
        <f>IF(心斎橋CSB3500円23[[#This Row],[人数]]="","",VLOOKUP(心斎橋CSB3500円23[[#This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4" t="str">
        <f>IFERROR(($B$3*心斎橋CSB4000円22[[#This Row],[人数]])-心斎橋CSB4000円22[[#This Row],[単価合計]]-(心斎橋CSB4000円22[[#This Row],[キャンセル人数]]*$B$2),"")</f>
        <v/>
      </c>
      <c r="H1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4" t="str">
        <f>IF(心斎橋CSB4000円22[[#This Row],[人数]]="","",VLOOKUP(心斎橋CSB4000円22[[#This Row],[人数]],バック金額②[#All],2,TRUE)-(心斎橋CSB4000円22[[#This Row],[キャンセル人数]]*$B$2))</f>
        <v/>
      </c>
      <c r="L18" s="69">
        <f t="shared" si="1"/>
        <v>44606</v>
      </c>
      <c r="M18" s="13"/>
      <c r="N18" s="14"/>
      <c r="O18" s="15"/>
      <c r="P18" s="15"/>
      <c r="Q1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4" t="str">
        <f>IFERROR(($M$3*心斎橋CSB3500円23[[#This Row],[人数]])-心斎橋CSB3500円23[[#This Row],[単価合計]]-(心斎橋CSB3500円23[[#This Row],[キャンセル人数]]*$B$2),"")</f>
        <v/>
      </c>
      <c r="S1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4" t="str">
        <f>IF(心斎橋CSB3500円23[[#This Row],[人数]]="","",VLOOKUP(心斎橋CSB3500円23[[#This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4" t="str">
        <f>IFERROR(($B$3*心斎橋CSB4000円22[[#This Row],[人数]])-心斎橋CSB4000円22[[#This Row],[単価合計]]-(心斎橋CSB4000円22[[#This Row],[キャンセル人数]]*$B$2),"")</f>
        <v/>
      </c>
      <c r="H1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4" t="str">
        <f>IF(心斎橋CSB4000円22[[#This Row],[人数]]="","",VLOOKUP(心斎橋CSB4000円22[[#This Row],[人数]],バック金額②[#All],2,TRUE)-(心斎橋CSB4000円22[[#This Row],[キャンセル人数]]*$B$2))</f>
        <v/>
      </c>
      <c r="L19" s="69">
        <f t="shared" si="1"/>
        <v>44607</v>
      </c>
      <c r="M19" s="13"/>
      <c r="N19" s="14"/>
      <c r="O19" s="15"/>
      <c r="P19" s="15"/>
      <c r="Q1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4" t="str">
        <f>IFERROR(($M$3*心斎橋CSB3500円23[[#This Row],[人数]])-心斎橋CSB3500円23[[#This Row],[単価合計]]-(心斎橋CSB3500円23[[#This Row],[キャンセル人数]]*$B$2),"")</f>
        <v/>
      </c>
      <c r="S1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4" t="str">
        <f>IF(心斎橋CSB3500円23[[#This Row],[人数]]="","",VLOOKUP(心斎橋CSB3500円23[[#This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4" t="str">
        <f>IFERROR(($B$3*心斎橋CSB4000円22[[#This Row],[人数]])-心斎橋CSB4000円22[[#This Row],[単価合計]]-(心斎橋CSB4000円22[[#This Row],[キャンセル人数]]*$B$2),"")</f>
        <v/>
      </c>
      <c r="H2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4" t="str">
        <f>IF(心斎橋CSB4000円22[[#This Row],[人数]]="","",VLOOKUP(心斎橋CSB4000円22[[#This Row],[人数]],バック金額②[#All],2,TRUE)-(心斎橋CSB4000円22[[#This Row],[キャンセル人数]]*$B$2))</f>
        <v/>
      </c>
      <c r="L20" s="69">
        <f t="shared" si="1"/>
        <v>44608</v>
      </c>
      <c r="M20" s="13"/>
      <c r="N20" s="14"/>
      <c r="O20" s="15"/>
      <c r="P20" s="15"/>
      <c r="Q2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4" t="str">
        <f>IFERROR(($M$3*心斎橋CSB3500円23[[#This Row],[人数]])-心斎橋CSB3500円23[[#This Row],[単価合計]]-(心斎橋CSB3500円23[[#This Row],[キャンセル人数]]*$B$2),"")</f>
        <v/>
      </c>
      <c r="S2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4" t="str">
        <f>IF(心斎橋CSB3500円23[[#This Row],[人数]]="","",VLOOKUP(心斎橋CSB3500円23[[#This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4" t="str">
        <f>IFERROR(($B$3*心斎橋CSB4000円22[[#This Row],[人数]])-心斎橋CSB4000円22[[#This Row],[単価合計]]-(心斎橋CSB4000円22[[#This Row],[キャンセル人数]]*$B$2),"")</f>
        <v/>
      </c>
      <c r="H2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4" t="str">
        <f>IF(心斎橋CSB4000円22[[#This Row],[人数]]="","",VLOOKUP(心斎橋CSB4000円22[[#This Row],[人数]],バック金額②[#All],2,TRUE)-(心斎橋CSB4000円22[[#This Row],[キャンセル人数]]*$B$2))</f>
        <v/>
      </c>
      <c r="L21" s="69">
        <f t="shared" si="1"/>
        <v>44609</v>
      </c>
      <c r="M21" s="13"/>
      <c r="N21" s="14"/>
      <c r="O21" s="15"/>
      <c r="P21" s="15"/>
      <c r="Q2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4" t="str">
        <f>IFERROR(($M$3*心斎橋CSB3500円23[[#This Row],[人数]])-心斎橋CSB3500円23[[#This Row],[単価合計]]-(心斎橋CSB3500円23[[#This Row],[キャンセル人数]]*$B$2),"")</f>
        <v/>
      </c>
      <c r="S2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4" t="str">
        <f>IF(心斎橋CSB3500円23[[#This Row],[人数]]="","",VLOOKUP(心斎橋CSB3500円23[[#This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4" t="str">
        <f>IFERROR(($B$3*心斎橋CSB4000円22[[#This Row],[人数]])-心斎橋CSB4000円22[[#This Row],[単価合計]]-(心斎橋CSB4000円22[[#This Row],[キャンセル人数]]*$B$2),"")</f>
        <v/>
      </c>
      <c r="H2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4" t="str">
        <f>IF(心斎橋CSB4000円22[[#This Row],[人数]]="","",VLOOKUP(心斎橋CSB4000円22[[#This Row],[人数]],バック金額②[#All],2,TRUE)-(心斎橋CSB4000円22[[#This Row],[キャンセル人数]]*$B$2))</f>
        <v/>
      </c>
      <c r="L22" s="69">
        <f t="shared" si="1"/>
        <v>44610</v>
      </c>
      <c r="M22" s="13"/>
      <c r="N22" s="14"/>
      <c r="O22" s="15"/>
      <c r="P22" s="15"/>
      <c r="Q2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4" t="str">
        <f>IFERROR(($M$3*心斎橋CSB3500円23[[#This Row],[人数]])-心斎橋CSB3500円23[[#This Row],[単価合計]]-(心斎橋CSB3500円23[[#This Row],[キャンセル人数]]*$B$2),"")</f>
        <v/>
      </c>
      <c r="S2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4" t="str">
        <f>IF(心斎橋CSB3500円23[[#This Row],[人数]]="","",VLOOKUP(心斎橋CSB3500円23[[#This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4" t="str">
        <f>IFERROR(($B$3*心斎橋CSB4000円22[[#This Row],[人数]])-心斎橋CSB4000円22[[#This Row],[単価合計]]-(心斎橋CSB4000円22[[#This Row],[キャンセル人数]]*$B$2),"")</f>
        <v/>
      </c>
      <c r="H2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4" t="str">
        <f>IF(心斎橋CSB4000円22[[#This Row],[人数]]="","",VLOOKUP(心斎橋CSB4000円22[[#This Row],[人数]],バック金額②[#All],2,TRUE)-(心斎橋CSB4000円22[[#This Row],[キャンセル人数]]*$B$2))</f>
        <v/>
      </c>
      <c r="L23" s="69">
        <f t="shared" si="1"/>
        <v>44611</v>
      </c>
      <c r="M23" s="13"/>
      <c r="N23" s="14"/>
      <c r="O23" s="15"/>
      <c r="P23" s="15"/>
      <c r="Q2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4" t="str">
        <f>IFERROR(($M$3*心斎橋CSB3500円23[[#This Row],[人数]])-心斎橋CSB3500円23[[#This Row],[単価合計]]-(心斎橋CSB3500円23[[#This Row],[キャンセル人数]]*$B$2),"")</f>
        <v/>
      </c>
      <c r="S2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4" t="str">
        <f>IF(心斎橋CSB3500円23[[#This Row],[人数]]="","",VLOOKUP(心斎橋CSB3500円23[[#This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4" t="str">
        <f>IFERROR(($B$3*心斎橋CSB4000円22[[#This Row],[人数]])-心斎橋CSB4000円22[[#This Row],[単価合計]]-(心斎橋CSB4000円22[[#This Row],[キャンセル人数]]*$B$2),"")</f>
        <v/>
      </c>
      <c r="H2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4" t="str">
        <f>IF(心斎橋CSB4000円22[[#This Row],[人数]]="","",VLOOKUP(心斎橋CSB4000円22[[#This Row],[人数]],バック金額②[#All],2,TRUE)-(心斎橋CSB4000円22[[#This Row],[キャンセル人数]]*$B$2))</f>
        <v/>
      </c>
      <c r="L24" s="69">
        <f t="shared" si="1"/>
        <v>44612</v>
      </c>
      <c r="M24" s="13"/>
      <c r="N24" s="14"/>
      <c r="O24" s="15"/>
      <c r="P24" s="15"/>
      <c r="Q2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4" t="str">
        <f>IFERROR(($M$3*心斎橋CSB3500円23[[#This Row],[人数]])-心斎橋CSB3500円23[[#This Row],[単価合計]]-(心斎橋CSB3500円23[[#This Row],[キャンセル人数]]*$B$2),"")</f>
        <v/>
      </c>
      <c r="S2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4" t="str">
        <f>IF(心斎橋CSB3500円23[[#This Row],[人数]]="","",VLOOKUP(心斎橋CSB3500円23[[#This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4" t="str">
        <f>IFERROR(($B$3*心斎橋CSB4000円22[[#This Row],[人数]])-心斎橋CSB4000円22[[#This Row],[単価合計]]-(心斎橋CSB4000円22[[#This Row],[キャンセル人数]]*$B$2),"")</f>
        <v/>
      </c>
      <c r="H2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4" t="str">
        <f>IF(心斎橋CSB4000円22[[#This Row],[人数]]="","",VLOOKUP(心斎橋CSB4000円22[[#This Row],[人数]],バック金額②[#All],2,TRUE)-(心斎橋CSB4000円22[[#This Row],[キャンセル人数]]*$B$2))</f>
        <v/>
      </c>
      <c r="L25" s="69">
        <f t="shared" si="1"/>
        <v>44613</v>
      </c>
      <c r="M25" s="13"/>
      <c r="N25" s="14"/>
      <c r="O25" s="15"/>
      <c r="P25" s="15"/>
      <c r="Q2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4" t="str">
        <f>IFERROR(($M$3*心斎橋CSB3500円23[[#This Row],[人数]])-心斎橋CSB3500円23[[#This Row],[単価合計]]-(心斎橋CSB3500円23[[#This Row],[キャンセル人数]]*$B$2),"")</f>
        <v/>
      </c>
      <c r="S2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4" t="str">
        <f>IF(心斎橋CSB3500円23[[#This Row],[人数]]="","",VLOOKUP(心斎橋CSB3500円23[[#This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4" t="str">
        <f>IFERROR(($B$3*心斎橋CSB4000円22[[#This Row],[人数]])-心斎橋CSB4000円22[[#This Row],[単価合計]]-(心斎橋CSB4000円22[[#This Row],[キャンセル人数]]*$B$2),"")</f>
        <v/>
      </c>
      <c r="H2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4" t="str">
        <f>IF(心斎橋CSB4000円22[[#This Row],[人数]]="","",VLOOKUP(心斎橋CSB4000円22[[#This Row],[人数]],バック金額②[#All],2,TRUE)-(心斎橋CSB4000円22[[#This Row],[キャンセル人数]]*$B$2))</f>
        <v/>
      </c>
      <c r="L26" s="69">
        <f t="shared" si="1"/>
        <v>44614</v>
      </c>
      <c r="M26" s="13"/>
      <c r="N26" s="14"/>
      <c r="O26" s="15"/>
      <c r="P26" s="15"/>
      <c r="Q2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4" t="str">
        <f>IFERROR(($M$3*心斎橋CSB3500円23[[#This Row],[人数]])-心斎橋CSB3500円23[[#This Row],[単価合計]]-(心斎橋CSB3500円23[[#This Row],[キャンセル人数]]*$B$2),"")</f>
        <v/>
      </c>
      <c r="S2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4" t="str">
        <f>IF(心斎橋CSB3500円23[[#This Row],[人数]]="","",VLOOKUP(心斎橋CSB3500円23[[#This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4" t="str">
        <f>IFERROR(($B$3*心斎橋CSB4000円22[[#This Row],[人数]])-心斎橋CSB4000円22[[#This Row],[単価合計]]-(心斎橋CSB4000円22[[#This Row],[キャンセル人数]]*$B$2),"")</f>
        <v/>
      </c>
      <c r="H2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4" t="str">
        <f>IF(心斎橋CSB4000円22[[#This Row],[人数]]="","",VLOOKUP(心斎橋CSB4000円22[[#This Row],[人数]],バック金額②[#All],2,TRUE)-(心斎橋CSB4000円22[[#This Row],[キャンセル人数]]*$B$2))</f>
        <v/>
      </c>
      <c r="L27" s="69">
        <f t="shared" si="1"/>
        <v>44615</v>
      </c>
      <c r="M27" s="13"/>
      <c r="N27" s="14"/>
      <c r="O27" s="15"/>
      <c r="P27" s="15"/>
      <c r="Q2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4" t="str">
        <f>IFERROR(($M$3*心斎橋CSB3500円23[[#This Row],[人数]])-心斎橋CSB3500円23[[#This Row],[単価合計]]-(心斎橋CSB3500円23[[#This Row],[キャンセル人数]]*$B$2),"")</f>
        <v/>
      </c>
      <c r="S2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4" t="str">
        <f>IF(心斎橋CSB3500円23[[#This Row],[人数]]="","",VLOOKUP(心斎橋CSB3500円23[[#This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4" t="str">
        <f>IFERROR(($B$3*心斎橋CSB4000円22[[#This Row],[人数]])-心斎橋CSB4000円22[[#This Row],[単価合計]]-(心斎橋CSB4000円22[[#This Row],[キャンセル人数]]*$B$2),"")</f>
        <v/>
      </c>
      <c r="H2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4" t="str">
        <f>IF(心斎橋CSB4000円22[[#This Row],[人数]]="","",VLOOKUP(心斎橋CSB4000円22[[#This Row],[人数]],バック金額②[#All],2,TRUE)-(心斎橋CSB4000円22[[#This Row],[キャンセル人数]]*$B$2))</f>
        <v/>
      </c>
      <c r="L28" s="69">
        <f t="shared" si="1"/>
        <v>44616</v>
      </c>
      <c r="M28" s="13"/>
      <c r="N28" s="14"/>
      <c r="O28" s="15"/>
      <c r="P28" s="15"/>
      <c r="Q2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4" t="str">
        <f>IFERROR(($M$3*心斎橋CSB3500円23[[#This Row],[人数]])-心斎橋CSB3500円23[[#This Row],[単価合計]]-(心斎橋CSB3500円23[[#This Row],[キャンセル人数]]*$B$2),"")</f>
        <v/>
      </c>
      <c r="S2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4" t="str">
        <f>IF(心斎橋CSB3500円23[[#This Row],[人数]]="","",VLOOKUP(心斎橋CSB3500円23[[#This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4" t="str">
        <f>IFERROR(($B$3*心斎橋CSB4000円22[[#This Row],[人数]])-心斎橋CSB4000円22[[#This Row],[単価合計]]-(心斎橋CSB4000円22[[#This Row],[キャンセル人数]]*$B$2),"")</f>
        <v/>
      </c>
      <c r="H2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4" t="str">
        <f>IF(心斎橋CSB4000円22[[#This Row],[人数]]="","",VLOOKUP(心斎橋CSB4000円22[[#This Row],[人数]],バック金額②[#All],2,TRUE)-(心斎橋CSB4000円22[[#This Row],[キャンセル人数]]*$B$2))</f>
        <v/>
      </c>
      <c r="L29" s="69">
        <f t="shared" si="1"/>
        <v>44617</v>
      </c>
      <c r="M29" s="13"/>
      <c r="N29" s="14"/>
      <c r="O29" s="15"/>
      <c r="P29" s="15"/>
      <c r="Q2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4" t="str">
        <f>IFERROR(($M$3*心斎橋CSB3500円23[[#This Row],[人数]])-心斎橋CSB3500円23[[#This Row],[単価合計]]-(心斎橋CSB3500円23[[#This Row],[キャンセル人数]]*$B$2),"")</f>
        <v/>
      </c>
      <c r="S2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4" t="str">
        <f>IF(心斎橋CSB3500円23[[#This Row],[人数]]="","",VLOOKUP(心斎橋CSB3500円23[[#This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4" t="str">
        <f>IFERROR(($B$3*心斎橋CSB4000円22[[#This Row],[人数]])-心斎橋CSB4000円22[[#This Row],[単価合計]]-(心斎橋CSB4000円22[[#This Row],[キャンセル人数]]*$B$2),"")</f>
        <v/>
      </c>
      <c r="H3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4" t="str">
        <f>IF(心斎橋CSB4000円22[[#This Row],[人数]]="","",VLOOKUP(心斎橋CSB4000円22[[#This Row],[人数]],バック金額②[#All],2,TRUE)-(心斎橋CSB4000円22[[#This Row],[キャンセル人数]]*$B$2))</f>
        <v/>
      </c>
      <c r="L30" s="69">
        <f t="shared" si="1"/>
        <v>44618</v>
      </c>
      <c r="M30" s="13"/>
      <c r="N30" s="14"/>
      <c r="O30" s="15"/>
      <c r="P30" s="15"/>
      <c r="Q3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4" t="str">
        <f>IFERROR(($M$3*心斎橋CSB3500円23[[#This Row],[人数]])-心斎橋CSB3500円23[[#This Row],[単価合計]]-(心斎橋CSB3500円23[[#This Row],[キャンセル人数]]*$B$2),"")</f>
        <v/>
      </c>
      <c r="S3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4" t="str">
        <f>IF(心斎橋CSB3500円23[[#This Row],[人数]]="","",VLOOKUP(心斎橋CSB3500円23[[#This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4" t="str">
        <f>IFERROR(($B$3*心斎橋CSB4000円22[[#This Row],[人数]])-心斎橋CSB4000円22[[#This Row],[単価合計]]-(心斎橋CSB4000円22[[#This Row],[キャンセル人数]]*$B$2),"")</f>
        <v/>
      </c>
      <c r="H3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4" t="str">
        <f>IF(心斎橋CSB4000円22[[#This Row],[人数]]="","",VLOOKUP(心斎橋CSB4000円22[[#This Row],[人数]],バック金額②[#All],2,TRUE)-(心斎橋CSB4000円22[[#This Row],[キャンセル人数]]*$B$2))</f>
        <v/>
      </c>
      <c r="L31" s="69">
        <f t="shared" si="1"/>
        <v>44619</v>
      </c>
      <c r="M31" s="13"/>
      <c r="N31" s="14"/>
      <c r="O31" s="15"/>
      <c r="P31" s="15"/>
      <c r="Q3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4" t="str">
        <f>IFERROR(($M$3*心斎橋CSB3500円23[[#This Row],[人数]])-心斎橋CSB3500円23[[#This Row],[単価合計]]-(心斎橋CSB3500円23[[#This Row],[キャンセル人数]]*$B$2),"")</f>
        <v/>
      </c>
      <c r="S3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4" t="str">
        <f>IF(心斎橋CSB3500円23[[#This Row],[人数]]="","",VLOOKUP(心斎橋CSB3500円23[[#This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4" t="str">
        <f>IFERROR(($B$3*心斎橋CSB4000円22[[#This Row],[人数]])-心斎橋CSB4000円22[[#This Row],[単価合計]]-(心斎橋CSB4000円22[[#This Row],[キャンセル人数]]*$B$2),"")</f>
        <v/>
      </c>
      <c r="H3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4" t="str">
        <f>IF(心斎橋CSB4000円22[[#This Row],[人数]]="","",VLOOKUP(心斎橋CSB4000円22[[#This Row],[人数]],バック金額②[#All],2,TRUE)-(心斎橋CSB4000円22[[#This Row],[キャンセル人数]]*$B$2))</f>
        <v/>
      </c>
      <c r="L32" s="69">
        <f t="shared" si="1"/>
        <v>44620</v>
      </c>
      <c r="M32" s="13"/>
      <c r="N32" s="14"/>
      <c r="O32" s="15"/>
      <c r="P32" s="15"/>
      <c r="Q3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4" t="str">
        <f>IFERROR(($M$3*心斎橋CSB3500円23[[#This Row],[人数]])-心斎橋CSB3500円23[[#This Row],[単価合計]]-(心斎橋CSB3500円23[[#This Row],[キャンセル人数]]*$B$2),"")</f>
        <v/>
      </c>
      <c r="S3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4" t="str">
        <f>IF(心斎橋CSB3500円23[[#This Row],[人数]]="","",VLOOKUP(心斎橋CSB3500円23[[#This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4" t="str">
        <f>IFERROR(($B$3*心斎橋CSB4000円22[[#This Row],[人数]])-心斎橋CSB4000円22[[#This Row],[単価合計]]-(心斎橋CSB4000円22[[#This Row],[キャンセル人数]]*$B$2),"")</f>
        <v/>
      </c>
      <c r="H3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4" t="str">
        <f>IF(心斎橋CSB4000円22[[#This Row],[人数]]="","",VLOOKUP(心斎橋CSB4000円22[[#This Row],[人数]],バック金額②[#All],2,TRUE)-(心斎橋CSB4000円22[[#This Row],[キャンセル人数]]*$B$2))</f>
        <v/>
      </c>
      <c r="L33" s="69" t="str">
        <f t="shared" si="1"/>
        <v/>
      </c>
      <c r="M33" s="13"/>
      <c r="N33" s="14"/>
      <c r="O33" s="15"/>
      <c r="P33" s="15"/>
      <c r="Q3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4" t="str">
        <f>IFERROR(($M$3*心斎橋CSB3500円23[[#This Row],[人数]])-心斎橋CSB3500円23[[#This Row],[単価合計]]-(心斎橋CSB3500円23[[#This Row],[キャンセル人数]]*$B$2),"")</f>
        <v/>
      </c>
      <c r="S3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4" t="str">
        <f>IF(心斎橋CSB3500円23[[#This Row],[人数]]="","",VLOOKUP(心斎橋CSB3500円23[[#This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4" t="str">
        <f>IFERROR(($B$3*心斎橋CSB4000円22[[#This Row],[人数]])-心斎橋CSB4000円22[[#This Row],[単価合計]]-(心斎橋CSB4000円22[[#This Row],[キャンセル人数]]*$B$2),"")</f>
        <v/>
      </c>
      <c r="H3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4" t="str">
        <f>IF(心斎橋CSB4000円22[[#This Row],[人数]]="","",VLOOKUP(心斎橋CSB4000円22[[#This Row],[人数]],バック金額②[#All],2,TRUE)-(心斎橋CSB4000円22[[#This Row],[キャンセル人数]]*$B$2))</f>
        <v/>
      </c>
      <c r="L34" s="69" t="str">
        <f t="shared" si="1"/>
        <v/>
      </c>
      <c r="M34" s="13"/>
      <c r="N34" s="14"/>
      <c r="O34" s="15"/>
      <c r="P34" s="15"/>
      <c r="Q3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4" t="str">
        <f>IFERROR(($M$3*心斎橋CSB3500円23[[#This Row],[人数]])-心斎橋CSB3500円23[[#This Row],[単価合計]]-(心斎橋CSB3500円23[[#This Row],[キャンセル人数]]*$B$2),"")</f>
        <v/>
      </c>
      <c r="S3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4" t="str">
        <f>IF(心斎橋CSB3500円23[[#This Row],[人数]]="","",VLOOKUP(心斎橋CSB3500円23[[#This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4" t="str">
        <f>IFERROR(($B$3*心斎橋CSB4000円22[[#This Row],[人数]])-心斎橋CSB4000円22[[#This Row],[単価合計]]-(心斎橋CSB4000円22[[#This Row],[キャンセル人数]]*$B$2),"")</f>
        <v/>
      </c>
      <c r="H3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4" t="str">
        <f>IF(心斎橋CSB4000円22[[#This Row],[人数]]="","",VLOOKUP(心斎橋CSB4000円22[[#This Row],[人数]],バック金額②[#All],2,TRUE)-(心斎橋CSB4000円22[[#This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4" t="str">
        <f>IFERROR(($M$3*心斎橋CSB3500円23[[#This Row],[人数]])-心斎橋CSB3500円23[[#This Row],[単価合計]]-(心斎橋CSB3500円23[[#This Row],[キャンセル人数]]*$B$2),"")</f>
        <v/>
      </c>
      <c r="S3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4" t="str">
        <f>IF(心斎橋CSB3500円23[[#This Row],[人数]]="","",VLOOKUP(心斎橋CSB3500円23[[#This Row],[人数]],バック金額②[#All],2,TRUE))</f>
        <v/>
      </c>
    </row>
    <row r="36" spans="1:21" s="75" customFormat="1">
      <c r="A36" s="78" t="s">
        <v>324</v>
      </c>
      <c r="B36" s="16">
        <f>SUM(心斎橋CSB4000円22[[#All],[件数]])</f>
        <v>0</v>
      </c>
      <c r="C36" s="79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78" t="s">
        <v>324</v>
      </c>
      <c r="M36" s="16">
        <f>SUM(心斎橋CSB3500円23[[#All],[件数]])</f>
        <v>0</v>
      </c>
      <c r="N36" s="79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254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70" t="s">
        <v>324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70" t="s">
        <v>324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2000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255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70" t="s">
        <v>324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70" t="s">
        <v>324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2000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256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70" t="s">
        <v>324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70" t="s">
        <v>324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257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9">
        <f t="shared" si="1"/>
        <v>44596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0" t="s">
        <v>324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70" t="s">
        <v>324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tabSelected="1" zoomScale="70" zoomScaleNormal="70" workbookViewId="0">
      <pane ySplit="4" topLeftCell="A5" activePane="bottomLeft" state="frozen"/>
      <selection pane="bottomLeft" activeCell="G36" sqref="G3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  <c r="G1" s="109" t="s">
        <v>544</v>
      </c>
    </row>
    <row r="2" spans="1:21">
      <c r="A2" s="48" t="s">
        <v>374</v>
      </c>
      <c r="B2" s="8">
        <v>1300</v>
      </c>
      <c r="G2" s="109" t="s">
        <v>545</v>
      </c>
    </row>
    <row r="3" spans="1:21">
      <c r="A3" s="48" t="s">
        <v>378</v>
      </c>
      <c r="B3" s="8">
        <v>4000</v>
      </c>
      <c r="C3" s="48" t="s">
        <v>521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9">
        <f t="shared" si="0"/>
        <v>44596</v>
      </c>
      <c r="B8" s="13">
        <v>1</v>
      </c>
      <c r="C8" s="14">
        <v>0</v>
      </c>
      <c r="D8" s="15">
        <v>7</v>
      </c>
      <c r="E8" s="15"/>
      <c r="F8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8" s="16">
        <f>IFERROR(($B$3*三ノ宮Barさんかく4000[[#This Row],[人数]])-三ノ宮Barさんかく4000[[#This Row],[単価合計]]-(三ノ宮Barさんかく4000[[#This Row],[キャンセル人数]]*$B$2),"")</f>
        <v>10500</v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>
        <f>IF(三ノ宮Barさんかく4000[[#This Row],[人数]]="","",VLOOKUP(三ノ宮Barさんかく4000[[#This Row],[人数]],バック金額②[#All],2,TRUE))</f>
        <v>8000</v>
      </c>
      <c r="L8" s="69">
        <f t="shared" si="1"/>
        <v>44596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9">
        <f t="shared" si="1"/>
        <v>44597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9">
        <f t="shared" si="0"/>
        <v>44618</v>
      </c>
      <c r="B30" s="13">
        <v>1</v>
      </c>
      <c r="C30" s="14">
        <v>0</v>
      </c>
      <c r="D30" s="15">
        <v>8</v>
      </c>
      <c r="E30" s="15"/>
      <c r="F3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30" s="16">
        <f>IFERROR(($B$3*三ノ宮Barさんかく4000[[#This Row],[人数]])-三ノ宮Barさんかく4000[[#This Row],[単価合計]]-(三ノ宮Barさんかく4000[[#This Row],[キャンセル人数]]*$B$2),"")</f>
        <v>14500</v>
      </c>
      <c r="H30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0" s="15"/>
      <c r="J30" s="16">
        <f>IF(三ノ宮Barさんかく4000[[#This Row],[人数]]="","",VLOOKUP(三ノ宮Barさんかく4000[[#This Row],[人数]],バック金額②[#All],2,TRUE))</f>
        <v>9000</v>
      </c>
      <c r="L30" s="69">
        <f t="shared" si="1"/>
        <v>44618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70" t="s">
        <v>324</v>
      </c>
      <c r="B36" s="7">
        <f>SUM(三ノ宮Barさんかく4000[[#All],[件数]])</f>
        <v>2</v>
      </c>
      <c r="C36" s="6"/>
      <c r="D36" s="7">
        <f>SUM(三ノ宮Barさんかく4000[[#All],[人数]])</f>
        <v>15</v>
      </c>
      <c r="E36" s="7">
        <f>SUM(三ノ宮Barさんかく4000[[#All],[Aパターン]])</f>
        <v>0</v>
      </c>
      <c r="F36" s="7">
        <f>SUM(三ノ宮Barさんかく4000[[#All],[単価合計]])</f>
        <v>35000</v>
      </c>
      <c r="G36" s="7">
        <f>SUM(三ノ宮Barさんかく4000[[#All],[ゆうき取りに行く]])</f>
        <v>25000</v>
      </c>
      <c r="H36" s="7"/>
      <c r="I36" s="7"/>
      <c r="J36" s="7">
        <f>SUM(三ノ宮Barさんかく4000[[#All],[イベンターへ]])</f>
        <v>17000</v>
      </c>
      <c r="L36" s="70" t="s">
        <v>324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48" t="s">
        <v>258</v>
      </c>
      <c r="L3" s="48" t="s">
        <v>378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30">
        <f>IF(DAY(DATE(名前リスト!$N$1,名前リスト!$O$1,ROW()-4))=ROW()-4,DATE(名前リスト!$N$1,名前リスト!$O$1,ROW()-4),"")</f>
        <v>44593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9">
        <f>IFERROR(IF(DATE(YEAR($A$5),MONTH($A$5),DAY($A$5))=DATE(YEAR(L5),MONTH(L5),DAY(L5+1)),"",DATE(YEAR(L5),MONTH(L5),DAY(L5+1))),"")</f>
        <v>44594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9">
        <f t="shared" si="0"/>
        <v>44596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9">
        <f t="shared" si="1"/>
        <v>44596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9">
        <f t="shared" si="0"/>
        <v>44597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9">
        <f t="shared" si="1"/>
        <v>44597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9">
        <f t="shared" si="0"/>
        <v>44598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9">
        <f t="shared" si="1"/>
        <v>44598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9">
        <f t="shared" si="0"/>
        <v>44599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9">
        <f t="shared" si="1"/>
        <v>44599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9">
        <f t="shared" si="0"/>
        <v>44600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9">
        <f t="shared" si="1"/>
        <v>44600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9">
        <f t="shared" si="0"/>
        <v>44601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9">
        <f t="shared" si="1"/>
        <v>44601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9">
        <f t="shared" si="0"/>
        <v>44602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9">
        <f t="shared" si="1"/>
        <v>44602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9">
        <f t="shared" si="0"/>
        <v>44603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9">
        <f t="shared" si="1"/>
        <v>44603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9">
        <f t="shared" si="0"/>
        <v>44604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9">
        <f t="shared" si="1"/>
        <v>44604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9">
        <f t="shared" si="0"/>
        <v>44605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9">
        <f t="shared" si="1"/>
        <v>44605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9">
        <f t="shared" si="0"/>
        <v>44606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9">
        <f t="shared" si="1"/>
        <v>44606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9">
        <f t="shared" si="0"/>
        <v>44607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9">
        <f t="shared" si="1"/>
        <v>44607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9">
        <f t="shared" si="0"/>
        <v>44608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9">
        <f t="shared" si="1"/>
        <v>44608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9">
        <f t="shared" si="0"/>
        <v>44609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9">
        <f t="shared" si="1"/>
        <v>44609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9">
        <f t="shared" si="0"/>
        <v>44610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9">
        <f t="shared" si="1"/>
        <v>44610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9">
        <f t="shared" si="0"/>
        <v>44611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9">
        <f t="shared" si="1"/>
        <v>44611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9">
        <f t="shared" si="0"/>
        <v>44612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9">
        <f t="shared" si="1"/>
        <v>44612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9">
        <f t="shared" si="0"/>
        <v>44613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9">
        <f t="shared" si="1"/>
        <v>44613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9">
        <f t="shared" si="0"/>
        <v>44614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9">
        <f t="shared" si="1"/>
        <v>44614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9">
        <f t="shared" si="0"/>
        <v>44615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9">
        <f t="shared" si="1"/>
        <v>44615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9">
        <f t="shared" si="0"/>
        <v>44616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9">
        <f t="shared" si="1"/>
        <v>44616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9">
        <f t="shared" si="0"/>
        <v>44617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9">
        <f t="shared" si="1"/>
        <v>44617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9">
        <f t="shared" si="0"/>
        <v>44618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9">
        <f t="shared" si="1"/>
        <v>44618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9">
        <f t="shared" si="0"/>
        <v>44619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9">
        <f t="shared" si="1"/>
        <v>44619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9">
        <f t="shared" si="0"/>
        <v>44620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9">
        <f t="shared" si="1"/>
        <v>44620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9" t="str">
        <f t="shared" si="0"/>
        <v/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9" t="str">
        <f t="shared" si="1"/>
        <v/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9" t="str">
        <f t="shared" si="0"/>
        <v/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9" t="str">
        <f t="shared" si="1"/>
        <v/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70" t="s">
        <v>324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70" t="s">
        <v>324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CA15-8D49-5940-AFB5-0E67E9B13845}">
  <sheetPr codeName="Sheet19"/>
  <dimension ref="A1:U36"/>
  <sheetViews>
    <sheetView zoomScale="70" zoomScaleNormal="70" workbookViewId="0">
      <pane ySplit="4" topLeftCell="A5" activePane="bottomLeft" state="frozen"/>
      <selection pane="bottomLeft" activeCell="G11" sqref="G11"/>
    </sheetView>
  </sheetViews>
  <sheetFormatPr defaultColWidth="10.69140625" defaultRowHeight="20"/>
  <cols>
    <col min="1" max="1" width="20.69140625" style="31" bestFit="1" customWidth="1"/>
    <col min="2" max="2" width="5.53515625" style="31" customWidth="1"/>
    <col min="3" max="3" width="15.69140625" style="31" bestFit="1" customWidth="1"/>
    <col min="4" max="4" width="5.53515625" style="31" customWidth="1"/>
    <col min="5" max="5" width="12.84375" style="31" bestFit="1" customWidth="1"/>
    <col min="6" max="6" width="11.4609375" style="32" bestFit="1" customWidth="1"/>
    <col min="7" max="7" width="15.69140625" style="32" bestFit="1" customWidth="1"/>
    <col min="8" max="9" width="15.69140625" style="32" customWidth="1"/>
    <col min="10" max="10" width="12" style="32" bestFit="1" customWidth="1"/>
    <col min="11" max="11" width="10.69140625" style="31"/>
    <col min="12" max="12" width="20.69140625" style="31" bestFit="1" customWidth="1"/>
    <col min="13" max="13" width="6.3046875" style="31" customWidth="1"/>
    <col min="14" max="14" width="16.53515625" style="31" customWidth="1"/>
    <col min="15" max="15" width="6.3046875" style="31" customWidth="1"/>
    <col min="16" max="16" width="12.84375" style="31" bestFit="1" customWidth="1"/>
    <col min="17" max="17" width="11.4609375" style="32" bestFit="1" customWidth="1"/>
    <col min="18" max="18" width="15.69140625" style="32" bestFit="1" customWidth="1"/>
    <col min="19" max="20" width="15.69140625" style="32" customWidth="1"/>
    <col min="21" max="21" width="12" style="32" bestFit="1" customWidth="1"/>
    <col min="22" max="16384" width="10.69140625" style="31"/>
  </cols>
  <sheetData>
    <row r="1" spans="1:21">
      <c r="A1" s="48" t="s">
        <v>373</v>
      </c>
      <c r="B1" s="8">
        <v>2500</v>
      </c>
    </row>
    <row r="2" spans="1:21">
      <c r="A2" s="48" t="s">
        <v>374</v>
      </c>
      <c r="B2" s="8">
        <v>1300</v>
      </c>
    </row>
    <row r="3" spans="1:21">
      <c r="A3" s="48" t="s">
        <v>378</v>
      </c>
      <c r="B3" s="8">
        <v>4000</v>
      </c>
      <c r="C3" s="31" t="s">
        <v>259</v>
      </c>
      <c r="L3" s="48" t="s">
        <v>378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41"/>
      <c r="C5" s="42"/>
      <c r="D5" s="43"/>
      <c r="E5" s="43"/>
      <c r="F5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5" s="44" t="str">
        <f>IFERROR(($B$3*京都枠4000円[[#This Row],[人数]])-京都枠4000円[[#This Row],[単価合計]]-(京都枠4000円[[#This Row],[キャンセル人数]]*$B$2),"")</f>
        <v/>
      </c>
      <c r="H5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5" s="43"/>
      <c r="J5" s="44" t="str">
        <f>IF(京都枠4000円[[#This Row],[人数]]="","",VLOOKUP(京都枠4000円[[#This Row],[人数]],バック金額①[#All],2,TRUE))</f>
        <v/>
      </c>
      <c r="L5" s="40">
        <f>IF(DAY(DATE(名前リスト!$N$1,名前リスト!$O$1,ROW()-4))=ROW()-4,DATE(名前リスト!$N$1,名前リスト!$O$1,ROW()-4),"")</f>
        <v>44593</v>
      </c>
      <c r="M5" s="41"/>
      <c r="N5" s="42"/>
      <c r="O5" s="43"/>
      <c r="P5" s="43"/>
      <c r="Q5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5" s="44" t="str">
        <f>IFERROR(($M$3*京都枠3500円[[#This Row],[人数]])-京都枠3500円[[#This Row],[単価合計]]-(京都枠3500円[[#This Row],[キャンセル人数]]*$B$2),"")</f>
        <v/>
      </c>
      <c r="S5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5" s="43"/>
      <c r="U5" s="44" t="str">
        <f>IF(京都枠3500円[[#This Row],[人数]]="","",VLOOKUP(京都枠3500円[[#This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41"/>
      <c r="C6" s="42"/>
      <c r="D6" s="43"/>
      <c r="E6" s="43"/>
      <c r="F6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6" s="44" t="str">
        <f>IFERROR(($B$3*京都枠4000円[[#This Row],[人数]])-京都枠4000円[[#This Row],[単価合計]]-(京都枠4000円[[#This Row],[キャンセル人数]]*$B$2),"")</f>
        <v/>
      </c>
      <c r="H6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6" s="43"/>
      <c r="J6" s="44" t="str">
        <f>IF(京都枠4000円[[#This Row],[人数]]="","",VLOOKUP(京都枠4000円[[#This Row],[人数]],バック金額①[#All],2,TRUE))</f>
        <v/>
      </c>
      <c r="L6" s="69">
        <f>IFERROR(IF(DATE(YEAR($A$5),MONTH($A$5),DAY($A$5))=DATE(YEAR(L5),MONTH(L5),DAY(L5+1)),"",DATE(YEAR(L5),MONTH(L5),DAY(L5+1))),"")</f>
        <v>44594</v>
      </c>
      <c r="M6" s="41"/>
      <c r="N6" s="42"/>
      <c r="O6" s="43"/>
      <c r="P6" s="43"/>
      <c r="Q6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6" s="44" t="str">
        <f>IFERROR(($M$3*京都枠3500円[[#This Row],[人数]])-京都枠3500円[[#This Row],[単価合計]]-(京都枠3500円[[#This Row],[キャンセル人数]]*$B$2),"")</f>
        <v/>
      </c>
      <c r="S6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6" s="43"/>
      <c r="U6" s="44" t="str">
        <f>IF(京都枠3500円[[#This Row],[人数]]="","",VLOOKUP(京都枠3500円[[#This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41"/>
      <c r="C7" s="42"/>
      <c r="D7" s="43"/>
      <c r="E7" s="43"/>
      <c r="F7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7" s="44" t="str">
        <f>IFERROR(($B$3*京都枠4000円[[#This Row],[人数]])-京都枠4000円[[#This Row],[単価合計]]-(京都枠4000円[[#This Row],[キャンセル人数]]*$B$2),"")</f>
        <v/>
      </c>
      <c r="H7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7" s="43"/>
      <c r="J7" s="44" t="str">
        <f>IF(京都枠4000円[[#This Row],[人数]]="","",VLOOKUP(京都枠4000円[[#This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41"/>
      <c r="N7" s="42"/>
      <c r="O7" s="43"/>
      <c r="P7" s="43"/>
      <c r="Q7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7" s="44" t="str">
        <f>IFERROR(($M$3*京都枠3500円[[#This Row],[人数]])-京都枠3500円[[#This Row],[単価合計]]-(京都枠3500円[[#This Row],[キャンセル人数]]*$B$2),"")</f>
        <v/>
      </c>
      <c r="S7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7" s="43"/>
      <c r="U7" s="44" t="str">
        <f>IF(京都枠3500円[[#This Row],[人数]]="","",VLOOKUP(京都枠3500円[[#This Row],[人数]],バック金額①[#All],2,TRUE))</f>
        <v/>
      </c>
    </row>
    <row r="8" spans="1:21">
      <c r="A8" s="69">
        <f t="shared" si="0"/>
        <v>44596</v>
      </c>
      <c r="B8" s="41"/>
      <c r="C8" s="42"/>
      <c r="D8" s="43"/>
      <c r="E8" s="43"/>
      <c r="F8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8" s="44" t="str">
        <f>IFERROR(($B$3*京都枠4000円[[#This Row],[人数]])-京都枠4000円[[#This Row],[単価合計]]-(京都枠4000円[[#This Row],[キャンセル人数]]*$B$2),"")</f>
        <v/>
      </c>
      <c r="H8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8" s="43"/>
      <c r="J8" s="44" t="str">
        <f>IF(京都枠4000円[[#This Row],[人数]]="","",VLOOKUP(京都枠4000円[[#This Row],[人数]],バック金額①[#All],2,TRUE))</f>
        <v/>
      </c>
      <c r="L8" s="69">
        <f t="shared" si="1"/>
        <v>44596</v>
      </c>
      <c r="M8" s="41"/>
      <c r="N8" s="42"/>
      <c r="O8" s="43"/>
      <c r="P8" s="43"/>
      <c r="Q8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8" s="44" t="str">
        <f>IFERROR(($M$3*京都枠3500円[[#This Row],[人数]])-京都枠3500円[[#This Row],[単価合計]]-(京都枠3500円[[#This Row],[キャンセル人数]]*$B$2),"")</f>
        <v/>
      </c>
      <c r="S8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8" s="43"/>
      <c r="U8" s="44" t="str">
        <f>IF(京都枠3500円[[#This Row],[人数]]="","",VLOOKUP(京都枠3500円[[#This Row],[人数]],バック金額①[#All],2,TRUE))</f>
        <v/>
      </c>
    </row>
    <row r="9" spans="1:21">
      <c r="A9" s="69">
        <f t="shared" si="0"/>
        <v>44597</v>
      </c>
      <c r="B9" s="41"/>
      <c r="C9" s="42"/>
      <c r="D9" s="43"/>
      <c r="E9" s="43"/>
      <c r="F9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9" s="44" t="str">
        <f>IFERROR(($B$3*京都枠4000円[[#This Row],[人数]])-京都枠4000円[[#This Row],[単価合計]]-(京都枠4000円[[#This Row],[キャンセル人数]]*$B$2),"")</f>
        <v/>
      </c>
      <c r="H9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9" s="43"/>
      <c r="J9" s="44" t="str">
        <f>IF(京都枠4000円[[#This Row],[人数]]="","",VLOOKUP(京都枠4000円[[#This Row],[人数]],バック金額①[#All],2,TRUE))</f>
        <v/>
      </c>
      <c r="L9" s="69">
        <f t="shared" si="1"/>
        <v>44597</v>
      </c>
      <c r="M9" s="41"/>
      <c r="N9" s="42"/>
      <c r="O9" s="43"/>
      <c r="P9" s="43"/>
      <c r="Q9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9" s="44" t="str">
        <f>IFERROR(($M$3*京都枠3500円[[#This Row],[人数]])-京都枠3500円[[#This Row],[単価合計]]-(京都枠3500円[[#This Row],[キャンセル人数]]*$B$2),"")</f>
        <v/>
      </c>
      <c r="S9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9" s="43"/>
      <c r="U9" s="44" t="str">
        <f>IF(京都枠3500円[[#This Row],[人数]]="","",VLOOKUP(京都枠3500円[[#This Row],[人数]],バック金額①[#All],2,TRUE))</f>
        <v/>
      </c>
    </row>
    <row r="10" spans="1:21">
      <c r="A10" s="69">
        <f t="shared" si="0"/>
        <v>44598</v>
      </c>
      <c r="B10" s="41"/>
      <c r="C10" s="42"/>
      <c r="D10" s="43"/>
      <c r="E10" s="43"/>
      <c r="F10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0" s="44" t="str">
        <f>IFERROR(($B$3*京都枠4000円[[#This Row],[人数]])-京都枠4000円[[#This Row],[単価合計]]-(京都枠4000円[[#This Row],[キャンセル人数]]*$B$2),"")</f>
        <v/>
      </c>
      <c r="H10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0" s="43"/>
      <c r="J10" s="44" t="str">
        <f>IF(京都枠4000円[[#This Row],[人数]]="","",VLOOKUP(京都枠4000円[[#This Row],[人数]],バック金額①[#All],2,TRUE))</f>
        <v/>
      </c>
      <c r="L10" s="69">
        <f t="shared" si="1"/>
        <v>44598</v>
      </c>
      <c r="M10" s="41"/>
      <c r="N10" s="42"/>
      <c r="O10" s="43"/>
      <c r="P10" s="43"/>
      <c r="Q10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0" s="44" t="str">
        <f>IFERROR(($M$3*京都枠3500円[[#This Row],[人数]])-京都枠3500円[[#This Row],[単価合計]]-(京都枠3500円[[#This Row],[キャンセル人数]]*$B$2),"")</f>
        <v/>
      </c>
      <c r="S10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0" s="43"/>
      <c r="U10" s="44" t="str">
        <f>IF(京都枠3500円[[#This Row],[人数]]="","",VLOOKUP(京都枠3500円[[#This Row],[人数]],バック金額①[#All],2,TRUE))</f>
        <v/>
      </c>
    </row>
    <row r="11" spans="1:21">
      <c r="A11" s="69">
        <f t="shared" si="0"/>
        <v>44599</v>
      </c>
      <c r="B11" s="41"/>
      <c r="C11" s="42"/>
      <c r="D11" s="43"/>
      <c r="E11" s="43"/>
      <c r="F11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1" s="44" t="str">
        <f>IFERROR(($B$3*京都枠4000円[[#This Row],[人数]])-京都枠4000円[[#This Row],[単価合計]]-(京都枠4000円[[#This Row],[キャンセル人数]]*$B$2),"")</f>
        <v/>
      </c>
      <c r="H11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1" s="43"/>
      <c r="J11" s="44" t="str">
        <f>IF(京都枠4000円[[#This Row],[人数]]="","",VLOOKUP(京都枠4000円[[#This Row],[人数]],バック金額①[#All],2,TRUE))</f>
        <v/>
      </c>
      <c r="L11" s="69">
        <f t="shared" si="1"/>
        <v>44599</v>
      </c>
      <c r="M11" s="41"/>
      <c r="N11" s="42"/>
      <c r="O11" s="43"/>
      <c r="P11" s="43"/>
      <c r="Q11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1" s="44" t="str">
        <f>IFERROR(($M$3*京都枠3500円[[#This Row],[人数]])-京都枠3500円[[#This Row],[単価合計]]-(京都枠3500円[[#This Row],[キャンセル人数]]*$B$2),"")</f>
        <v/>
      </c>
      <c r="S11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1" s="43"/>
      <c r="U11" s="44" t="str">
        <f>IF(京都枠3500円[[#This Row],[人数]]="","",VLOOKUP(京都枠3500円[[#This Row],[人数]],バック金額①[#All],2,TRUE))</f>
        <v/>
      </c>
    </row>
    <row r="12" spans="1:21">
      <c r="A12" s="69">
        <f t="shared" si="0"/>
        <v>44600</v>
      </c>
      <c r="B12" s="41"/>
      <c r="C12" s="42"/>
      <c r="D12" s="43"/>
      <c r="E12" s="43"/>
      <c r="F12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2" s="44" t="str">
        <f>IFERROR(($B$3*京都枠4000円[[#This Row],[人数]])-京都枠4000円[[#This Row],[単価合計]]-(京都枠4000円[[#This Row],[キャンセル人数]]*$B$2),"")</f>
        <v/>
      </c>
      <c r="H12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2" s="43"/>
      <c r="J12" s="44" t="str">
        <f>IF(京都枠4000円[[#This Row],[人数]]="","",VLOOKUP(京都枠4000円[[#This Row],[人数]],バック金額①[#All],2,TRUE))</f>
        <v/>
      </c>
      <c r="L12" s="69">
        <f t="shared" si="1"/>
        <v>44600</v>
      </c>
      <c r="M12" s="41"/>
      <c r="N12" s="42"/>
      <c r="O12" s="43"/>
      <c r="P12" s="43"/>
      <c r="Q12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2" s="44" t="str">
        <f>IFERROR(($M$3*京都枠3500円[[#This Row],[人数]])-京都枠3500円[[#This Row],[単価合計]]-(京都枠3500円[[#This Row],[キャンセル人数]]*$B$2),"")</f>
        <v/>
      </c>
      <c r="S12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2" s="43"/>
      <c r="U12" s="44" t="str">
        <f>IF(京都枠3500円[[#This Row],[人数]]="","",VLOOKUP(京都枠3500円[[#This Row],[人数]],バック金額①[#All],2,TRUE))</f>
        <v/>
      </c>
    </row>
    <row r="13" spans="1:21">
      <c r="A13" s="69">
        <f t="shared" si="0"/>
        <v>44601</v>
      </c>
      <c r="B13" s="41"/>
      <c r="C13" s="42"/>
      <c r="D13" s="43"/>
      <c r="E13" s="43"/>
      <c r="F13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3" s="44" t="str">
        <f>IFERROR(($B$3*京都枠4000円[[#This Row],[人数]])-京都枠4000円[[#This Row],[単価合計]]-(京都枠4000円[[#This Row],[キャンセル人数]]*$B$2),"")</f>
        <v/>
      </c>
      <c r="H13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3" s="43"/>
      <c r="J13" s="44" t="str">
        <f>IF(京都枠4000円[[#This Row],[人数]]="","",VLOOKUP(京都枠4000円[[#This Row],[人数]],バック金額①[#All],2,TRUE))</f>
        <v/>
      </c>
      <c r="L13" s="69">
        <f t="shared" si="1"/>
        <v>44601</v>
      </c>
      <c r="M13" s="41"/>
      <c r="N13" s="42"/>
      <c r="O13" s="43"/>
      <c r="P13" s="43"/>
      <c r="Q13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3" s="44" t="str">
        <f>IFERROR(($M$3*京都枠3500円[[#This Row],[人数]])-京都枠3500円[[#This Row],[単価合計]]-(京都枠3500円[[#This Row],[キャンセル人数]]*$B$2),"")</f>
        <v/>
      </c>
      <c r="S13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3" s="43"/>
      <c r="U13" s="44" t="str">
        <f>IF(京都枠3500円[[#This Row],[人数]]="","",VLOOKUP(京都枠3500円[[#This Row],[人数]],バック金額①[#All],2,TRUE))</f>
        <v/>
      </c>
    </row>
    <row r="14" spans="1:21">
      <c r="A14" s="69">
        <f t="shared" si="0"/>
        <v>44602</v>
      </c>
      <c r="B14" s="41"/>
      <c r="C14" s="42"/>
      <c r="D14" s="43"/>
      <c r="E14" s="43"/>
      <c r="F14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4" s="44" t="str">
        <f>IFERROR(($B$3*京都枠4000円[[#This Row],[人数]])-京都枠4000円[[#This Row],[単価合計]]-(京都枠4000円[[#This Row],[キャンセル人数]]*$B$2),"")</f>
        <v/>
      </c>
      <c r="H14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4" s="43"/>
      <c r="J14" s="44" t="str">
        <f>IF(京都枠4000円[[#This Row],[人数]]="","",VLOOKUP(京都枠4000円[[#This Row],[人数]],バック金額①[#All],2,TRUE))</f>
        <v/>
      </c>
      <c r="L14" s="69">
        <f t="shared" si="1"/>
        <v>44602</v>
      </c>
      <c r="M14" s="41"/>
      <c r="N14" s="42"/>
      <c r="O14" s="43"/>
      <c r="P14" s="43"/>
      <c r="Q14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4" s="44" t="str">
        <f>IFERROR(($M$3*京都枠3500円[[#This Row],[人数]])-京都枠3500円[[#This Row],[単価合計]]-(京都枠3500円[[#This Row],[キャンセル人数]]*$B$2),"")</f>
        <v/>
      </c>
      <c r="S14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4" s="43"/>
      <c r="U14" s="44" t="str">
        <f>IF(京都枠3500円[[#This Row],[人数]]="","",VLOOKUP(京都枠3500円[[#This Row],[人数]],バック金額①[#All],2,TRUE))</f>
        <v/>
      </c>
    </row>
    <row r="15" spans="1:21">
      <c r="A15" s="69">
        <f t="shared" si="0"/>
        <v>44603</v>
      </c>
      <c r="B15" s="41"/>
      <c r="C15" s="42"/>
      <c r="D15" s="43"/>
      <c r="E15" s="43"/>
      <c r="F15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5" s="44" t="str">
        <f>IFERROR(($B$3*京都枠4000円[[#This Row],[人数]])-京都枠4000円[[#This Row],[単価合計]]-(京都枠4000円[[#This Row],[キャンセル人数]]*$B$2),"")</f>
        <v/>
      </c>
      <c r="H15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5" s="43"/>
      <c r="J15" s="44" t="str">
        <f>IF(京都枠4000円[[#This Row],[人数]]="","",VLOOKUP(京都枠4000円[[#This Row],[人数]],バック金額①[#All],2,TRUE))</f>
        <v/>
      </c>
      <c r="L15" s="69">
        <f t="shared" si="1"/>
        <v>44603</v>
      </c>
      <c r="M15" s="41"/>
      <c r="N15" s="42"/>
      <c r="O15" s="43"/>
      <c r="P15" s="43"/>
      <c r="Q15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5" s="44" t="str">
        <f>IFERROR(($M$3*京都枠3500円[[#This Row],[人数]])-京都枠3500円[[#This Row],[単価合計]]-(京都枠3500円[[#This Row],[キャンセル人数]]*$B$2),"")</f>
        <v/>
      </c>
      <c r="S15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5" s="43"/>
      <c r="U15" s="44" t="str">
        <f>IF(京都枠3500円[[#This Row],[人数]]="","",VLOOKUP(京都枠3500円[[#This Row],[人数]],バック金額①[#All],2,TRUE))</f>
        <v/>
      </c>
    </row>
    <row r="16" spans="1:21">
      <c r="A16" s="69">
        <f t="shared" si="0"/>
        <v>44604</v>
      </c>
      <c r="B16" s="41"/>
      <c r="C16" s="42"/>
      <c r="D16" s="43"/>
      <c r="E16" s="43"/>
      <c r="F16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6" s="44" t="str">
        <f>IFERROR(($B$3*京都枠4000円[[#This Row],[人数]])-京都枠4000円[[#This Row],[単価合計]]-(京都枠4000円[[#This Row],[キャンセル人数]]*$B$2),"")</f>
        <v/>
      </c>
      <c r="H16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6" s="43"/>
      <c r="J16" s="44" t="str">
        <f>IF(京都枠4000円[[#This Row],[人数]]="","",VLOOKUP(京都枠4000円[[#This Row],[人数]],バック金額①[#All],2,TRUE))</f>
        <v/>
      </c>
      <c r="L16" s="69">
        <f t="shared" si="1"/>
        <v>44604</v>
      </c>
      <c r="M16" s="41"/>
      <c r="N16" s="42"/>
      <c r="O16" s="43"/>
      <c r="P16" s="43"/>
      <c r="Q16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6" s="44" t="str">
        <f>IFERROR(($M$3*京都枠3500円[[#This Row],[人数]])-京都枠3500円[[#This Row],[単価合計]]-(京都枠3500円[[#This Row],[キャンセル人数]]*$B$2),"")</f>
        <v/>
      </c>
      <c r="S16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6" s="43"/>
      <c r="U16" s="44" t="str">
        <f>IF(京都枠3500円[[#This Row],[人数]]="","",VLOOKUP(京都枠3500円[[#This Row],[人数]],バック金額①[#All],2,TRUE))</f>
        <v/>
      </c>
    </row>
    <row r="17" spans="1:21">
      <c r="A17" s="69">
        <f t="shared" si="0"/>
        <v>44605</v>
      </c>
      <c r="B17" s="41"/>
      <c r="C17" s="42"/>
      <c r="D17" s="43"/>
      <c r="E17" s="43"/>
      <c r="F17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7" s="44" t="str">
        <f>IFERROR(($B$3*京都枠4000円[[#This Row],[人数]])-京都枠4000円[[#This Row],[単価合計]]-(京都枠4000円[[#This Row],[キャンセル人数]]*$B$2),"")</f>
        <v/>
      </c>
      <c r="H17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7" s="43"/>
      <c r="J17" s="44" t="str">
        <f>IF(京都枠4000円[[#This Row],[人数]]="","",VLOOKUP(京都枠4000円[[#This Row],[人数]],バック金額①[#All],2,TRUE))</f>
        <v/>
      </c>
      <c r="L17" s="69">
        <f t="shared" si="1"/>
        <v>44605</v>
      </c>
      <c r="M17" s="41"/>
      <c r="N17" s="42"/>
      <c r="O17" s="43"/>
      <c r="P17" s="43"/>
      <c r="Q17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7" s="44" t="str">
        <f>IFERROR(($M$3*京都枠3500円[[#This Row],[人数]])-京都枠3500円[[#This Row],[単価合計]]-(京都枠3500円[[#This Row],[キャンセル人数]]*$B$2),"")</f>
        <v/>
      </c>
      <c r="S17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7" s="43"/>
      <c r="U17" s="44" t="str">
        <f>IF(京都枠3500円[[#This Row],[人数]]="","",VLOOKUP(京都枠3500円[[#This Row],[人数]],バック金額①[#All],2,TRUE))</f>
        <v/>
      </c>
    </row>
    <row r="18" spans="1:21">
      <c r="A18" s="69">
        <f t="shared" si="0"/>
        <v>44606</v>
      </c>
      <c r="B18" s="41"/>
      <c r="C18" s="42"/>
      <c r="D18" s="43"/>
      <c r="E18" s="43"/>
      <c r="F18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8" s="44" t="str">
        <f>IFERROR(($B$3*京都枠4000円[[#This Row],[人数]])-京都枠4000円[[#This Row],[単価合計]]-(京都枠4000円[[#This Row],[キャンセル人数]]*$B$2),"")</f>
        <v/>
      </c>
      <c r="H18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8" s="43"/>
      <c r="J18" s="44" t="str">
        <f>IF(京都枠4000円[[#This Row],[人数]]="","",VLOOKUP(京都枠4000円[[#This Row],[人数]],バック金額①[#All],2,TRUE))</f>
        <v/>
      </c>
      <c r="L18" s="69">
        <f t="shared" si="1"/>
        <v>44606</v>
      </c>
      <c r="M18" s="41"/>
      <c r="N18" s="42"/>
      <c r="O18" s="43"/>
      <c r="P18" s="43"/>
      <c r="Q18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8" s="44" t="str">
        <f>IFERROR(($M$3*京都枠3500円[[#This Row],[人数]])-京都枠3500円[[#This Row],[単価合計]]-(京都枠3500円[[#This Row],[キャンセル人数]]*$B$2),"")</f>
        <v/>
      </c>
      <c r="S18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8" s="43"/>
      <c r="U18" s="44" t="str">
        <f>IF(京都枠3500円[[#This Row],[人数]]="","",VLOOKUP(京都枠3500円[[#This Row],[人数]],バック金額①[#All],2,TRUE))</f>
        <v/>
      </c>
    </row>
    <row r="19" spans="1:21">
      <c r="A19" s="69">
        <f t="shared" si="0"/>
        <v>44607</v>
      </c>
      <c r="B19" s="41"/>
      <c r="C19" s="42"/>
      <c r="D19" s="43"/>
      <c r="E19" s="43"/>
      <c r="F19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19" s="44" t="str">
        <f>IFERROR(($B$3*京都枠4000円[[#This Row],[人数]])-京都枠4000円[[#This Row],[単価合計]]-(京都枠4000円[[#This Row],[キャンセル人数]]*$B$2),"")</f>
        <v/>
      </c>
      <c r="H19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19" s="43"/>
      <c r="J19" s="44" t="str">
        <f>IF(京都枠4000円[[#This Row],[人数]]="","",VLOOKUP(京都枠4000円[[#This Row],[人数]],バック金額①[#All],2,TRUE))</f>
        <v/>
      </c>
      <c r="L19" s="69">
        <f t="shared" si="1"/>
        <v>44607</v>
      </c>
      <c r="M19" s="41"/>
      <c r="N19" s="42"/>
      <c r="O19" s="43"/>
      <c r="P19" s="43"/>
      <c r="Q19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19" s="44" t="str">
        <f>IFERROR(($M$3*京都枠3500円[[#This Row],[人数]])-京都枠3500円[[#This Row],[単価合計]]-(京都枠3500円[[#This Row],[キャンセル人数]]*$B$2),"")</f>
        <v/>
      </c>
      <c r="S19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19" s="43"/>
      <c r="U19" s="44" t="str">
        <f>IF(京都枠3500円[[#This Row],[人数]]="","",VLOOKUP(京都枠3500円[[#This Row],[人数]],バック金額①[#All],2,TRUE))</f>
        <v/>
      </c>
    </row>
    <row r="20" spans="1:21">
      <c r="A20" s="69">
        <f t="shared" si="0"/>
        <v>44608</v>
      </c>
      <c r="B20" s="41"/>
      <c r="C20" s="42"/>
      <c r="D20" s="43"/>
      <c r="E20" s="43"/>
      <c r="F20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0" s="44" t="str">
        <f>IFERROR(($B$3*京都枠4000円[[#This Row],[人数]])-京都枠4000円[[#This Row],[単価合計]]-(京都枠4000円[[#This Row],[キャンセル人数]]*$B$2),"")</f>
        <v/>
      </c>
      <c r="H20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0" s="43"/>
      <c r="J20" s="44" t="str">
        <f>IF(京都枠4000円[[#This Row],[人数]]="","",VLOOKUP(京都枠4000円[[#This Row],[人数]],バック金額①[#All],2,TRUE))</f>
        <v/>
      </c>
      <c r="L20" s="69">
        <f t="shared" si="1"/>
        <v>44608</v>
      </c>
      <c r="M20" s="41"/>
      <c r="N20" s="42"/>
      <c r="O20" s="43"/>
      <c r="P20" s="43"/>
      <c r="Q20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0" s="44" t="str">
        <f>IFERROR(($M$3*京都枠3500円[[#This Row],[人数]])-京都枠3500円[[#This Row],[単価合計]]-(京都枠3500円[[#This Row],[キャンセル人数]]*$B$2),"")</f>
        <v/>
      </c>
      <c r="S20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0" s="43"/>
      <c r="U20" s="44" t="str">
        <f>IF(京都枠3500円[[#This Row],[人数]]="","",VLOOKUP(京都枠3500円[[#This Row],[人数]],バック金額①[#All],2,TRUE))</f>
        <v/>
      </c>
    </row>
    <row r="21" spans="1:21">
      <c r="A21" s="69">
        <f t="shared" si="0"/>
        <v>44609</v>
      </c>
      <c r="B21" s="41"/>
      <c r="C21" s="42"/>
      <c r="D21" s="43"/>
      <c r="E21" s="43"/>
      <c r="F21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1" s="44" t="str">
        <f>IFERROR(($B$3*京都枠4000円[[#This Row],[人数]])-京都枠4000円[[#This Row],[単価合計]]-(京都枠4000円[[#This Row],[キャンセル人数]]*$B$2),"")</f>
        <v/>
      </c>
      <c r="H21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1" s="43"/>
      <c r="J21" s="44" t="str">
        <f>IF(京都枠4000円[[#This Row],[人数]]="","",VLOOKUP(京都枠4000円[[#This Row],[人数]],バック金額①[#All],2,TRUE))</f>
        <v/>
      </c>
      <c r="L21" s="69">
        <f t="shared" si="1"/>
        <v>44609</v>
      </c>
      <c r="M21" s="41"/>
      <c r="N21" s="42"/>
      <c r="O21" s="43"/>
      <c r="P21" s="43"/>
      <c r="Q21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1" s="44" t="str">
        <f>IFERROR(($M$3*京都枠3500円[[#This Row],[人数]])-京都枠3500円[[#This Row],[単価合計]]-(京都枠3500円[[#This Row],[キャンセル人数]]*$B$2),"")</f>
        <v/>
      </c>
      <c r="S21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1" s="43"/>
      <c r="U21" s="44" t="str">
        <f>IF(京都枠3500円[[#This Row],[人数]]="","",VLOOKUP(京都枠3500円[[#This Row],[人数]],バック金額①[#All],2,TRUE))</f>
        <v/>
      </c>
    </row>
    <row r="22" spans="1:21">
      <c r="A22" s="69">
        <f t="shared" si="0"/>
        <v>44610</v>
      </c>
      <c r="B22" s="41"/>
      <c r="C22" s="42"/>
      <c r="D22" s="43"/>
      <c r="E22" s="43"/>
      <c r="F22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2" s="44" t="str">
        <f>IFERROR(($B$3*京都枠4000円[[#This Row],[人数]])-京都枠4000円[[#This Row],[単価合計]]-(京都枠4000円[[#This Row],[キャンセル人数]]*$B$2),"")</f>
        <v/>
      </c>
      <c r="H22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2" s="43"/>
      <c r="J22" s="44" t="str">
        <f>IF(京都枠4000円[[#This Row],[人数]]="","",VLOOKUP(京都枠4000円[[#This Row],[人数]],バック金額①[#All],2,TRUE))</f>
        <v/>
      </c>
      <c r="L22" s="69">
        <f t="shared" si="1"/>
        <v>44610</v>
      </c>
      <c r="M22" s="41"/>
      <c r="N22" s="42"/>
      <c r="O22" s="43"/>
      <c r="P22" s="43"/>
      <c r="Q22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2" s="44" t="str">
        <f>IFERROR(($M$3*京都枠3500円[[#This Row],[人数]])-京都枠3500円[[#This Row],[単価合計]]-(京都枠3500円[[#This Row],[キャンセル人数]]*$B$2),"")</f>
        <v/>
      </c>
      <c r="S22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2" s="43"/>
      <c r="U22" s="44" t="str">
        <f>IF(京都枠3500円[[#This Row],[人数]]="","",VLOOKUP(京都枠3500円[[#This Row],[人数]],バック金額①[#All],2,TRUE))</f>
        <v/>
      </c>
    </row>
    <row r="23" spans="1:21">
      <c r="A23" s="69">
        <f t="shared" si="0"/>
        <v>44611</v>
      </c>
      <c r="B23" s="41"/>
      <c r="C23" s="42"/>
      <c r="D23" s="43"/>
      <c r="E23" s="43"/>
      <c r="F23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3" s="44" t="str">
        <f>IFERROR(($B$3*京都枠4000円[[#This Row],[人数]])-京都枠4000円[[#This Row],[単価合計]]-(京都枠4000円[[#This Row],[キャンセル人数]]*$B$2),"")</f>
        <v/>
      </c>
      <c r="H23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3" s="43"/>
      <c r="J23" s="44" t="str">
        <f>IF(京都枠4000円[[#This Row],[人数]]="","",VLOOKUP(京都枠4000円[[#This Row],[人数]],バック金額①[#All],2,TRUE))</f>
        <v/>
      </c>
      <c r="L23" s="69">
        <f t="shared" si="1"/>
        <v>44611</v>
      </c>
      <c r="M23" s="41"/>
      <c r="N23" s="42"/>
      <c r="O23" s="43"/>
      <c r="P23" s="43"/>
      <c r="Q23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3" s="44" t="str">
        <f>IFERROR(($M$3*京都枠3500円[[#This Row],[人数]])-京都枠3500円[[#This Row],[単価合計]]-(京都枠3500円[[#This Row],[キャンセル人数]]*$B$2),"")</f>
        <v/>
      </c>
      <c r="S23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3" s="43"/>
      <c r="U23" s="44" t="str">
        <f>IF(京都枠3500円[[#This Row],[人数]]="","",VLOOKUP(京都枠3500円[[#This Row],[人数]],バック金額①[#All],2,TRUE))</f>
        <v/>
      </c>
    </row>
    <row r="24" spans="1:21">
      <c r="A24" s="69">
        <f t="shared" si="0"/>
        <v>44612</v>
      </c>
      <c r="B24" s="41"/>
      <c r="C24" s="42"/>
      <c r="D24" s="43"/>
      <c r="E24" s="43"/>
      <c r="F24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4" s="44" t="str">
        <f>IFERROR(($B$3*京都枠4000円[[#This Row],[人数]])-京都枠4000円[[#This Row],[単価合計]]-(京都枠4000円[[#This Row],[キャンセル人数]]*$B$2),"")</f>
        <v/>
      </c>
      <c r="H24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4" s="43"/>
      <c r="J24" s="44" t="str">
        <f>IF(京都枠4000円[[#This Row],[人数]]="","",VLOOKUP(京都枠4000円[[#This Row],[人数]],バック金額①[#All],2,TRUE))</f>
        <v/>
      </c>
      <c r="L24" s="69">
        <f t="shared" si="1"/>
        <v>44612</v>
      </c>
      <c r="M24" s="41"/>
      <c r="N24" s="42"/>
      <c r="O24" s="43"/>
      <c r="P24" s="43"/>
      <c r="Q24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4" s="44" t="str">
        <f>IFERROR(($M$3*京都枠3500円[[#This Row],[人数]])-京都枠3500円[[#This Row],[単価合計]]-(京都枠3500円[[#This Row],[キャンセル人数]]*$B$2),"")</f>
        <v/>
      </c>
      <c r="S24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4" s="43"/>
      <c r="U24" s="44" t="str">
        <f>IF(京都枠3500円[[#This Row],[人数]]="","",VLOOKUP(京都枠3500円[[#This Row],[人数]],バック金額①[#All],2,TRUE))</f>
        <v/>
      </c>
    </row>
    <row r="25" spans="1:21">
      <c r="A25" s="69">
        <f t="shared" si="0"/>
        <v>44613</v>
      </c>
      <c r="B25" s="41"/>
      <c r="C25" s="42"/>
      <c r="D25" s="43"/>
      <c r="E25" s="43"/>
      <c r="F25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5" s="44" t="str">
        <f>IFERROR(($B$3*京都枠4000円[[#This Row],[人数]])-京都枠4000円[[#This Row],[単価合計]]-(京都枠4000円[[#This Row],[キャンセル人数]]*$B$2),"")</f>
        <v/>
      </c>
      <c r="H25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5" s="43"/>
      <c r="J25" s="44" t="str">
        <f>IF(京都枠4000円[[#This Row],[人数]]="","",VLOOKUP(京都枠4000円[[#This Row],[人数]],バック金額①[#All],2,TRUE))</f>
        <v/>
      </c>
      <c r="L25" s="69">
        <f t="shared" si="1"/>
        <v>44613</v>
      </c>
      <c r="M25" s="41"/>
      <c r="N25" s="42"/>
      <c r="O25" s="43"/>
      <c r="P25" s="43"/>
      <c r="Q25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5" s="44" t="str">
        <f>IFERROR(($M$3*京都枠3500円[[#This Row],[人数]])-京都枠3500円[[#This Row],[単価合計]]-(京都枠3500円[[#This Row],[キャンセル人数]]*$B$2),"")</f>
        <v/>
      </c>
      <c r="S25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5" s="43"/>
      <c r="U25" s="44" t="str">
        <f>IF(京都枠3500円[[#This Row],[人数]]="","",VLOOKUP(京都枠3500円[[#This Row],[人数]],バック金額①[#All],2,TRUE))</f>
        <v/>
      </c>
    </row>
    <row r="26" spans="1:21">
      <c r="A26" s="69">
        <f t="shared" si="0"/>
        <v>44614</v>
      </c>
      <c r="B26" s="41"/>
      <c r="C26" s="42"/>
      <c r="D26" s="43"/>
      <c r="E26" s="43"/>
      <c r="F26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6" s="44" t="str">
        <f>IFERROR(($B$3*京都枠4000円[[#This Row],[人数]])-京都枠4000円[[#This Row],[単価合計]]-(京都枠4000円[[#This Row],[キャンセル人数]]*$B$2),"")</f>
        <v/>
      </c>
      <c r="H26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6" s="43"/>
      <c r="J26" s="44" t="str">
        <f>IF(京都枠4000円[[#This Row],[人数]]="","",VLOOKUP(京都枠4000円[[#This Row],[人数]],バック金額①[#All],2,TRUE))</f>
        <v/>
      </c>
      <c r="L26" s="69">
        <f t="shared" si="1"/>
        <v>44614</v>
      </c>
      <c r="M26" s="41"/>
      <c r="N26" s="42"/>
      <c r="O26" s="43"/>
      <c r="P26" s="43"/>
      <c r="Q26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6" s="44" t="str">
        <f>IFERROR(($M$3*京都枠3500円[[#This Row],[人数]])-京都枠3500円[[#This Row],[単価合計]]-(京都枠3500円[[#This Row],[キャンセル人数]]*$B$2),"")</f>
        <v/>
      </c>
      <c r="S26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6" s="43"/>
      <c r="U26" s="44" t="str">
        <f>IF(京都枠3500円[[#This Row],[人数]]="","",VLOOKUP(京都枠3500円[[#This Row],[人数]],バック金額①[#All],2,TRUE))</f>
        <v/>
      </c>
    </row>
    <row r="27" spans="1:21">
      <c r="A27" s="69">
        <f t="shared" si="0"/>
        <v>44615</v>
      </c>
      <c r="B27" s="41"/>
      <c r="C27" s="42"/>
      <c r="D27" s="43"/>
      <c r="E27" s="43"/>
      <c r="F27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7" s="44" t="str">
        <f>IFERROR(($B$3*京都枠4000円[[#This Row],[人数]])-京都枠4000円[[#This Row],[単価合計]]-(京都枠4000円[[#This Row],[キャンセル人数]]*$B$2),"")</f>
        <v/>
      </c>
      <c r="H27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7" s="43"/>
      <c r="J27" s="44" t="str">
        <f>IF(京都枠4000円[[#This Row],[人数]]="","",VLOOKUP(京都枠4000円[[#This Row],[人数]],バック金額①[#All],2,TRUE))</f>
        <v/>
      </c>
      <c r="L27" s="69">
        <f t="shared" si="1"/>
        <v>44615</v>
      </c>
      <c r="M27" s="41"/>
      <c r="N27" s="42"/>
      <c r="O27" s="43"/>
      <c r="P27" s="43"/>
      <c r="Q27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7" s="44" t="str">
        <f>IFERROR(($M$3*京都枠3500円[[#This Row],[人数]])-京都枠3500円[[#This Row],[単価合計]]-(京都枠3500円[[#This Row],[キャンセル人数]]*$B$2),"")</f>
        <v/>
      </c>
      <c r="S27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7" s="43"/>
      <c r="U27" s="44" t="str">
        <f>IF(京都枠3500円[[#This Row],[人数]]="","",VLOOKUP(京都枠3500円[[#This Row],[人数]],バック金額①[#All],2,TRUE))</f>
        <v/>
      </c>
    </row>
    <row r="28" spans="1:21">
      <c r="A28" s="69">
        <f t="shared" si="0"/>
        <v>44616</v>
      </c>
      <c r="B28" s="41"/>
      <c r="C28" s="42"/>
      <c r="D28" s="43"/>
      <c r="E28" s="43"/>
      <c r="F28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8" s="44" t="str">
        <f>IFERROR(($B$3*京都枠4000円[[#This Row],[人数]])-京都枠4000円[[#This Row],[単価合計]]-(京都枠4000円[[#This Row],[キャンセル人数]]*$B$2),"")</f>
        <v/>
      </c>
      <c r="H28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8" s="43"/>
      <c r="J28" s="44" t="str">
        <f>IF(京都枠4000円[[#This Row],[人数]]="","",VLOOKUP(京都枠4000円[[#This Row],[人数]],バック金額①[#All],2,TRUE))</f>
        <v/>
      </c>
      <c r="L28" s="69">
        <f t="shared" si="1"/>
        <v>44616</v>
      </c>
      <c r="M28" s="41"/>
      <c r="N28" s="42"/>
      <c r="O28" s="43"/>
      <c r="P28" s="43"/>
      <c r="Q28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8" s="44" t="str">
        <f>IFERROR(($M$3*京都枠3500円[[#This Row],[人数]])-京都枠3500円[[#This Row],[単価合計]]-(京都枠3500円[[#This Row],[キャンセル人数]]*$B$2),"")</f>
        <v/>
      </c>
      <c r="S28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8" s="43"/>
      <c r="U28" s="44" t="str">
        <f>IF(京都枠3500円[[#This Row],[人数]]="","",VLOOKUP(京都枠3500円[[#This Row],[人数]],バック金額①[#All],2,TRUE))</f>
        <v/>
      </c>
    </row>
    <row r="29" spans="1:21">
      <c r="A29" s="69">
        <f t="shared" si="0"/>
        <v>44617</v>
      </c>
      <c r="B29" s="41"/>
      <c r="C29" s="42"/>
      <c r="D29" s="43"/>
      <c r="E29" s="43"/>
      <c r="F29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29" s="44" t="str">
        <f>IFERROR(($B$3*京都枠4000円[[#This Row],[人数]])-京都枠4000円[[#This Row],[単価合計]]-(京都枠4000円[[#This Row],[キャンセル人数]]*$B$2),"")</f>
        <v/>
      </c>
      <c r="H29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29" s="43"/>
      <c r="J29" s="44" t="str">
        <f>IF(京都枠4000円[[#This Row],[人数]]="","",VLOOKUP(京都枠4000円[[#This Row],[人数]],バック金額①[#All],2,TRUE))</f>
        <v/>
      </c>
      <c r="L29" s="69">
        <f t="shared" si="1"/>
        <v>44617</v>
      </c>
      <c r="M29" s="41"/>
      <c r="N29" s="42"/>
      <c r="O29" s="43"/>
      <c r="P29" s="43"/>
      <c r="Q29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29" s="44" t="str">
        <f>IFERROR(($M$3*京都枠3500円[[#This Row],[人数]])-京都枠3500円[[#This Row],[単価合計]]-(京都枠3500円[[#This Row],[キャンセル人数]]*$B$2),"")</f>
        <v/>
      </c>
      <c r="S29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29" s="43"/>
      <c r="U29" s="44" t="str">
        <f>IF(京都枠3500円[[#This Row],[人数]]="","",VLOOKUP(京都枠3500円[[#This Row],[人数]],バック金額①[#All],2,TRUE))</f>
        <v/>
      </c>
    </row>
    <row r="30" spans="1:21">
      <c r="A30" s="69">
        <f t="shared" si="0"/>
        <v>44618</v>
      </c>
      <c r="B30" s="41"/>
      <c r="C30" s="42"/>
      <c r="D30" s="43"/>
      <c r="E30" s="43"/>
      <c r="F30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0" s="44" t="str">
        <f>IFERROR(($B$3*京都枠4000円[[#This Row],[人数]])-京都枠4000円[[#This Row],[単価合計]]-(京都枠4000円[[#This Row],[キャンセル人数]]*$B$2),"")</f>
        <v/>
      </c>
      <c r="H30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0" s="43"/>
      <c r="J30" s="44" t="str">
        <f>IF(京都枠4000円[[#This Row],[人数]]="","",VLOOKUP(京都枠4000円[[#This Row],[人数]],バック金額①[#All],2,TRUE))</f>
        <v/>
      </c>
      <c r="L30" s="69">
        <f t="shared" si="1"/>
        <v>44618</v>
      </c>
      <c r="M30" s="41"/>
      <c r="N30" s="42"/>
      <c r="O30" s="43"/>
      <c r="P30" s="43"/>
      <c r="Q30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0" s="44" t="str">
        <f>IFERROR(($M$3*京都枠3500円[[#This Row],[人数]])-京都枠3500円[[#This Row],[単価合計]]-(京都枠3500円[[#This Row],[キャンセル人数]]*$B$2),"")</f>
        <v/>
      </c>
      <c r="S30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0" s="43"/>
      <c r="U30" s="44" t="str">
        <f>IF(京都枠3500円[[#This Row],[人数]]="","",VLOOKUP(京都枠3500円[[#This Row],[人数]],バック金額①[#All],2,TRUE))</f>
        <v/>
      </c>
    </row>
    <row r="31" spans="1:21">
      <c r="A31" s="69">
        <f t="shared" si="0"/>
        <v>44619</v>
      </c>
      <c r="B31" s="41"/>
      <c r="C31" s="42"/>
      <c r="D31" s="43"/>
      <c r="E31" s="43"/>
      <c r="F31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1" s="44" t="str">
        <f>IFERROR(($B$3*京都枠4000円[[#This Row],[人数]])-京都枠4000円[[#This Row],[単価合計]]-(京都枠4000円[[#This Row],[キャンセル人数]]*$B$2),"")</f>
        <v/>
      </c>
      <c r="H31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1" s="43"/>
      <c r="J31" s="44" t="str">
        <f>IF(京都枠4000円[[#This Row],[人数]]="","",VLOOKUP(京都枠4000円[[#This Row],[人数]],バック金額①[#All],2,TRUE))</f>
        <v/>
      </c>
      <c r="L31" s="69">
        <f t="shared" si="1"/>
        <v>44619</v>
      </c>
      <c r="M31" s="41"/>
      <c r="N31" s="42"/>
      <c r="O31" s="43"/>
      <c r="P31" s="43"/>
      <c r="Q31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1" s="44" t="str">
        <f>IFERROR(($M$3*京都枠3500円[[#This Row],[人数]])-京都枠3500円[[#This Row],[単価合計]]-(京都枠3500円[[#This Row],[キャンセル人数]]*$B$2),"")</f>
        <v/>
      </c>
      <c r="S31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1" s="43"/>
      <c r="U31" s="44" t="str">
        <f>IF(京都枠3500円[[#This Row],[人数]]="","",VLOOKUP(京都枠3500円[[#This Row],[人数]],バック金額①[#All],2,TRUE))</f>
        <v/>
      </c>
    </row>
    <row r="32" spans="1:21">
      <c r="A32" s="69">
        <f t="shared" si="0"/>
        <v>44620</v>
      </c>
      <c r="B32" s="41"/>
      <c r="C32" s="42"/>
      <c r="D32" s="43"/>
      <c r="E32" s="43"/>
      <c r="F32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2" s="44" t="str">
        <f>IFERROR(($B$3*京都枠4000円[[#This Row],[人数]])-京都枠4000円[[#This Row],[単価合計]]-(京都枠4000円[[#This Row],[キャンセル人数]]*$B$2),"")</f>
        <v/>
      </c>
      <c r="H32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2" s="43"/>
      <c r="J32" s="44" t="str">
        <f>IF(京都枠4000円[[#This Row],[人数]]="","",VLOOKUP(京都枠4000円[[#This Row],[人数]],バック金額①[#All],2,TRUE))</f>
        <v/>
      </c>
      <c r="L32" s="69">
        <f t="shared" si="1"/>
        <v>44620</v>
      </c>
      <c r="M32" s="41"/>
      <c r="N32" s="42"/>
      <c r="O32" s="43"/>
      <c r="P32" s="43"/>
      <c r="Q32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2" s="44" t="str">
        <f>IFERROR(($M$3*京都枠3500円[[#This Row],[人数]])-京都枠3500円[[#This Row],[単価合計]]-(京都枠3500円[[#This Row],[キャンセル人数]]*$B$2),"")</f>
        <v/>
      </c>
      <c r="S32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2" s="43"/>
      <c r="U32" s="44" t="str">
        <f>IF(京都枠3500円[[#This Row],[人数]]="","",VLOOKUP(京都枠3500円[[#This Row],[人数]],バック金額①[#All],2,TRUE))</f>
        <v/>
      </c>
    </row>
    <row r="33" spans="1:21">
      <c r="A33" s="69" t="str">
        <f t="shared" si="0"/>
        <v/>
      </c>
      <c r="B33" s="41"/>
      <c r="C33" s="42"/>
      <c r="D33" s="43"/>
      <c r="E33" s="43"/>
      <c r="F33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3" s="44" t="str">
        <f>IFERROR(($B$3*京都枠4000円[[#This Row],[人数]])-京都枠4000円[[#This Row],[単価合計]]-(京都枠4000円[[#This Row],[キャンセル人数]]*$B$2),"")</f>
        <v/>
      </c>
      <c r="H33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3" s="43"/>
      <c r="J33" s="44" t="str">
        <f>IF(京都枠4000円[[#This Row],[人数]]="","",VLOOKUP(京都枠4000円[[#This Row],[人数]],バック金額①[#All],2,TRUE))</f>
        <v/>
      </c>
      <c r="L33" s="69" t="str">
        <f t="shared" si="1"/>
        <v/>
      </c>
      <c r="M33" s="41"/>
      <c r="N33" s="42"/>
      <c r="O33" s="43"/>
      <c r="P33" s="43"/>
      <c r="Q33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3" s="44" t="str">
        <f>IFERROR(($M$3*京都枠3500円[[#This Row],[人数]])-京都枠3500円[[#This Row],[単価合計]]-(京都枠3500円[[#This Row],[キャンセル人数]]*$B$2),"")</f>
        <v/>
      </c>
      <c r="S33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3" s="43"/>
      <c r="U33" s="44" t="str">
        <f>IF(京都枠3500円[[#This Row],[人数]]="","",VLOOKUP(京都枠3500円[[#This Row],[人数]],バック金額①[#All],2,TRUE))</f>
        <v/>
      </c>
    </row>
    <row r="34" spans="1:21">
      <c r="A34" s="69" t="str">
        <f t="shared" si="0"/>
        <v/>
      </c>
      <c r="B34" s="41"/>
      <c r="C34" s="42"/>
      <c r="D34" s="43"/>
      <c r="E34" s="43"/>
      <c r="F34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4" s="44" t="str">
        <f>IFERROR(($B$3*京都枠4000円[[#This Row],[人数]])-京都枠4000円[[#This Row],[単価合計]]-(京都枠4000円[[#This Row],[キャンセル人数]]*$B$2),"")</f>
        <v/>
      </c>
      <c r="H34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4" s="43"/>
      <c r="J34" s="44" t="str">
        <f>IF(京都枠4000円[[#This Row],[人数]]="","",VLOOKUP(京都枠4000円[[#This Row],[人数]],バック金額①[#All],2,TRUE))</f>
        <v/>
      </c>
      <c r="L34" s="69" t="str">
        <f t="shared" si="1"/>
        <v/>
      </c>
      <c r="M34" s="41"/>
      <c r="N34" s="42"/>
      <c r="O34" s="43"/>
      <c r="P34" s="43"/>
      <c r="Q34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4" s="44" t="str">
        <f>IFERROR(($M$3*京都枠3500円[[#This Row],[人数]])-京都枠3500円[[#This Row],[単価合計]]-(京都枠3500円[[#This Row],[キャンセル人数]]*$B$2),"")</f>
        <v/>
      </c>
      <c r="S34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4" s="43"/>
      <c r="U34" s="44" t="str">
        <f>IF(京都枠3500円[[#This Row],[人数]]="","",VLOOKUP(京都枠3500円[[#This Row],[人数]],バック金額①[#All],2,TRUE))</f>
        <v/>
      </c>
    </row>
    <row r="35" spans="1:21">
      <c r="A35" s="69" t="str">
        <f t="shared" si="0"/>
        <v/>
      </c>
      <c r="B35" s="41"/>
      <c r="C35" s="42"/>
      <c r="D35" s="43"/>
      <c r="E35" s="43"/>
      <c r="F35" s="44" t="str">
        <f>IF(京都枠4000円[[#This Row],[人数]]="","",IF(京都枠4000円[[#This Row],[人数]]&lt;=7,$B$1*京都枠4000円[[#This Row],[人数]],$B$1*京都枠4000円[[#This Row],[人数]]-京都枠4000円[[#This Row],[幹事無料]]))</f>
        <v/>
      </c>
      <c r="G35" s="44" t="str">
        <f>IFERROR(($B$3*京都枠4000円[[#This Row],[人数]])-京都枠4000円[[#This Row],[単価合計]]-(京都枠4000円[[#This Row],[キャンセル人数]]*$B$2),"")</f>
        <v/>
      </c>
      <c r="H35" s="44" t="str">
        <f>IF(京都枠4000円[[#This Row],[人数]]=0,"",IF(京都枠4000円[[#This Row],[人数]]&lt;=7,"",IF(京都枠4000円[[#This Row],[人数]]&lt;=15,$B$1,IF(京都枠4000円[[#This Row],[人数]]&lt;=23,$B$1*2,IF(京都枠4000円[[#This Row],[人数]]&lt;=31,$B$1*3,IF(京都枠4000円[[#This Row],[人数]]&lt;=39,$B$1*4,""))))))</f>
        <v/>
      </c>
      <c r="I35" s="43"/>
      <c r="J35" s="44" t="str">
        <f>IF(京都枠4000円[[#This Row],[人数]]="","",VLOOKUP(京都枠4000円[[#This Row],[人数]],バック金額①[#All],2,TRUE))</f>
        <v/>
      </c>
      <c r="L35" s="69" t="str">
        <f t="shared" si="1"/>
        <v/>
      </c>
      <c r="M35" s="45"/>
      <c r="N35" s="46"/>
      <c r="O35" s="47"/>
      <c r="P35" s="47"/>
      <c r="Q35" s="44" t="str">
        <f>IF(京都枠3500円[[#This Row],[人数]]="","",IF(京都枠3500円[[#This Row],[人数]]&lt;=7,$B$1*京都枠3500円[[#This Row],[人数]],$B$1*京都枠3500円[[#This Row],[人数]]-京都枠3500円[[#This Row],[幹事無料]]))</f>
        <v/>
      </c>
      <c r="R35" s="44" t="str">
        <f>IFERROR(($M$3*京都枠3500円[[#This Row],[人数]])-京都枠3500円[[#This Row],[単価合計]]-(京都枠3500円[[#This Row],[キャンセル人数]]*$B$2),"")</f>
        <v/>
      </c>
      <c r="S35" s="44" t="str">
        <f>IF(京都枠3500円[[#This Row],[人数]]=0,"",IF(京都枠3500円[[#This Row],[人数]]&lt;=7,"",IF(京都枠3500円[[#This Row],[人数]]&lt;=15,$B$1,IF(京都枠3500円[[#This Row],[人数]]&lt;=23,$B$1*2,IF(京都枠3500円[[#This Row],[人数]]&lt;=31,$B$1*3,IF(京都枠3500円[[#This Row],[人数]]&lt;=39,$B$1*4,""))))))</f>
        <v/>
      </c>
      <c r="T35" s="43"/>
      <c r="U35" s="44" t="str">
        <f>IF(京都枠3500円[[#This Row],[人数]]="","",VLOOKUP(京都枠3500円[[#This Row],[人数]],バック金額①[#All],2,TRUE))</f>
        <v/>
      </c>
    </row>
    <row r="36" spans="1:21">
      <c r="A36" s="33" t="s">
        <v>211</v>
      </c>
      <c r="B36" s="36">
        <f>SUM(京都枠4000円[[#All],[件数]])</f>
        <v>0</v>
      </c>
      <c r="C36" s="36"/>
      <c r="D36" s="36">
        <f>SUM(京都枠4000円[[#All],[人数]])</f>
        <v>0</v>
      </c>
      <c r="E36" s="36">
        <f>SUM(京都枠4000円[[#All],[Aパターン]])</f>
        <v>0</v>
      </c>
      <c r="F36" s="36">
        <f>SUM(京都枠4000円[[#All],[単価合計]])</f>
        <v>0</v>
      </c>
      <c r="G36" s="36">
        <f>SUM(京都枠4000円[[#All],[ゆうき取りに行く]])</f>
        <v>0</v>
      </c>
      <c r="H36" s="36"/>
      <c r="I36" s="36"/>
      <c r="J36" s="36">
        <f>SUM(京都枠4000円[[#All],[イベンターへ]])</f>
        <v>0</v>
      </c>
      <c r="L36" s="33" t="s">
        <v>211</v>
      </c>
      <c r="M36" s="36">
        <f>SUM(京都枠3500円[[#All],[件数]])</f>
        <v>0</v>
      </c>
      <c r="N36" s="36"/>
      <c r="O36" s="36">
        <f>SUM(京都枠3500円[[#All],[人数]])</f>
        <v>0</v>
      </c>
      <c r="P36" s="36">
        <f>SUM(京都枠3500円[[#All],[Aパターン]])</f>
        <v>0</v>
      </c>
      <c r="Q36" s="36">
        <f>SUM(京都枠3500円[[#All],[単価合計]])</f>
        <v>0</v>
      </c>
      <c r="R36" s="36">
        <f>SUM(京都枠3500円[[#All],[ゆうき取りに行く]])</f>
        <v>0</v>
      </c>
      <c r="S36" s="36"/>
      <c r="T36" s="36"/>
      <c r="U36" s="36">
        <f>SUM(京都枠3500円[[#All],[イベンターへ]])</f>
        <v>0</v>
      </c>
    </row>
  </sheetData>
  <phoneticPr fontId="1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85" zoomScaleNormal="85" workbookViewId="0">
      <pane ySplit="4" topLeftCell="A5" activePane="bottomLeft" state="frozen"/>
      <selection pane="bottomLeft" activeCell="I17" sqref="I17"/>
    </sheetView>
  </sheetViews>
  <sheetFormatPr defaultColWidth="10.69140625" defaultRowHeight="20"/>
  <cols>
    <col min="1" max="1" width="20.69140625" style="31" bestFit="1" customWidth="1"/>
    <col min="2" max="2" width="5.53515625" style="31" customWidth="1"/>
    <col min="3" max="3" width="15.69140625" style="31" bestFit="1" customWidth="1"/>
    <col min="4" max="4" width="8.3046875" style="31" bestFit="1" customWidth="1"/>
    <col min="5" max="5" width="13.23046875" style="31" bestFit="1" customWidth="1"/>
    <col min="6" max="6" width="12" style="32" bestFit="1" customWidth="1"/>
    <col min="7" max="7" width="15.69140625" style="32" bestFit="1" customWidth="1"/>
    <col min="8" max="9" width="15.69140625" style="32" customWidth="1"/>
    <col min="10" max="10" width="12" style="32" bestFit="1" customWidth="1"/>
    <col min="11" max="11" width="10.69140625" style="31"/>
    <col min="12" max="12" width="20.69140625" style="31" bestFit="1" customWidth="1"/>
    <col min="13" max="13" width="6.3046875" style="31" customWidth="1"/>
    <col min="14" max="14" width="16.53515625" style="31" customWidth="1"/>
    <col min="15" max="15" width="6.3046875" style="31" customWidth="1"/>
    <col min="16" max="16" width="13.23046875" style="31" bestFit="1" customWidth="1"/>
    <col min="17" max="17" width="11.4609375" style="32" bestFit="1" customWidth="1"/>
    <col min="18" max="18" width="15.69140625" style="32" bestFit="1" customWidth="1"/>
    <col min="19" max="20" width="15.69140625" style="32" customWidth="1"/>
    <col min="21" max="21" width="12" style="32" bestFit="1" customWidth="1"/>
    <col min="22" max="16384" width="10.69140625" style="31"/>
  </cols>
  <sheetData>
    <row r="1" spans="1:21">
      <c r="A1" s="48" t="s">
        <v>373</v>
      </c>
      <c r="B1" s="8">
        <v>2500</v>
      </c>
      <c r="K1" s="31" t="s">
        <v>512</v>
      </c>
    </row>
    <row r="2" spans="1:21">
      <c r="A2" s="48" t="s">
        <v>374</v>
      </c>
      <c r="B2" s="8">
        <v>1300</v>
      </c>
      <c r="L2" s="31" t="s">
        <v>517</v>
      </c>
      <c r="M2" s="31">
        <v>500</v>
      </c>
    </row>
    <row r="3" spans="1:21">
      <c r="A3" s="48" t="s">
        <v>378</v>
      </c>
      <c r="B3" s="8">
        <v>4000</v>
      </c>
      <c r="C3" s="31" t="s">
        <v>260</v>
      </c>
      <c r="L3" s="48" t="s">
        <v>378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5" t="s">
        <v>377</v>
      </c>
      <c r="F4" s="68" t="s">
        <v>375</v>
      </c>
      <c r="G4" s="53" t="s">
        <v>209</v>
      </c>
      <c r="H4" s="112" t="s">
        <v>371</v>
      </c>
      <c r="I4" s="112" t="s">
        <v>372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5" t="s">
        <v>377</v>
      </c>
      <c r="Q4" s="68" t="s">
        <v>375</v>
      </c>
      <c r="R4" s="53" t="s">
        <v>209</v>
      </c>
      <c r="S4" s="112" t="s">
        <v>371</v>
      </c>
      <c r="T4" s="112" t="s">
        <v>372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44593</v>
      </c>
      <c r="B5" s="41"/>
      <c r="C5" s="42"/>
      <c r="D5" s="43"/>
      <c r="E5" s="43"/>
      <c r="F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4" t="str">
        <f>IFERROR(($B$3*京都A554000円[[#This Row],[人数]])-京都A554000円[[#This Row],[単価合計]]-(京都A554000円[[#This Row],[キャンセル人数]]*$B$2),"")</f>
        <v/>
      </c>
      <c r="H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3"/>
      <c r="J5" s="44" t="str">
        <f>IF(京都A554000円[[#This Row],[人数]]="","",VLOOKUP(京都A554000円[[#This Row],[人数]],バック金額①[#All],2,TRUE)-(京都A554000円[[#This Row],[キャンセル人数]]*$B$2))</f>
        <v/>
      </c>
      <c r="L5" s="40">
        <f>IF(DAY(DATE(名前リスト!$N$1,名前リスト!$O$1,ROW()-4))=ROW()-4,DATE(名前リスト!$N$1,名前リスト!$O$1,ROW()-4),"")</f>
        <v>44593</v>
      </c>
      <c r="M5" s="41"/>
      <c r="N5" s="42"/>
      <c r="O5" s="43"/>
      <c r="P5" s="43"/>
      <c r="Q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4" t="str">
        <f>IFERROR(($M$3*京都A553500円[[#This Row],[人数]])-京都A553500円[[#This Row],[単価合計]]-(京都A553500円[[#This Row],[キャンセル人数]]*$B$2),"")</f>
        <v/>
      </c>
      <c r="S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3"/>
      <c r="U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9">
        <f>IFERROR(IF(DATE(YEAR($A$5),MONTH($A$5),DAY($A$5))=DATE(YEAR(A5),MONTH(A5),DAY(A5+1)),"",DATE(YEAR(A5),MONTH(A5),DAY(A5+1))),"")</f>
        <v>44594</v>
      </c>
      <c r="B6" s="41"/>
      <c r="C6" s="42"/>
      <c r="D6" s="43"/>
      <c r="E6" s="43"/>
      <c r="F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4" t="str">
        <f>IFERROR(($B$3*京都A554000円[[#This Row],[人数]])-京都A554000円[[#This Row],[単価合計]]-(京都A554000円[[#This Row],[キャンセル人数]]*$B$2),"")</f>
        <v/>
      </c>
      <c r="H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3"/>
      <c r="J6" s="44" t="str">
        <f>IF(京都A554000円[[#This Row],[人数]]="","",VLOOKUP(京都A554000円[[#This Row],[人数]],バック金額①[#All],2,TRUE)-(京都A554000円[[#This Row],[キャンセル人数]]*$B$2))</f>
        <v/>
      </c>
      <c r="L6" s="69">
        <f>IFERROR(IF(DATE(YEAR($A$5),MONTH($A$5),DAY($A$5))=DATE(YEAR(L5),MONTH(L5),DAY(L5+1)),"",DATE(YEAR(L5),MONTH(L5),DAY(L5+1))),"")</f>
        <v>44594</v>
      </c>
      <c r="M6" s="41"/>
      <c r="N6" s="42"/>
      <c r="O6" s="43"/>
      <c r="P6" s="43"/>
      <c r="Q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4" t="str">
        <f>IFERROR(($M$3*京都A553500円[[#This Row],[人数]])-京都A553500円[[#This Row],[単価合計]]-(京都A553500円[[#This Row],[キャンセル人数]]*$B$2),"")</f>
        <v/>
      </c>
      <c r="S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3"/>
      <c r="U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44595</v>
      </c>
      <c r="B7" s="41"/>
      <c r="C7" s="42"/>
      <c r="D7" s="43"/>
      <c r="E7" s="43"/>
      <c r="F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4" t="str">
        <f>IFERROR(($B$3*京都A554000円[[#This Row],[人数]])-京都A554000円[[#This Row],[単価合計]]-(京都A554000円[[#This Row],[キャンセル人数]]*$B$2),"")</f>
        <v/>
      </c>
      <c r="H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3"/>
      <c r="J7" s="44" t="str">
        <f>IF(京都A554000円[[#This Row],[人数]]="","",VLOOKUP(京都A554000円[[#This Row],[人数]],バック金額①[#All],2,TRUE)-(京都A554000円[[#This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44595</v>
      </c>
      <c r="M7" s="41"/>
      <c r="N7" s="42"/>
      <c r="O7" s="43"/>
      <c r="P7" s="43"/>
      <c r="Q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4" t="str">
        <f>IFERROR(($M$3*京都A553500円[[#This Row],[人数]])-京都A553500円[[#This Row],[単価合計]]-(京都A553500円[[#This Row],[キャンセル人数]]*$B$2),"")</f>
        <v/>
      </c>
      <c r="S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3"/>
      <c r="U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9">
        <f t="shared" si="0"/>
        <v>44596</v>
      </c>
      <c r="B8" s="41"/>
      <c r="C8" s="42"/>
      <c r="D8" s="43"/>
      <c r="E8" s="43"/>
      <c r="F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4" t="str">
        <f>IFERROR(($B$3*京都A554000円[[#This Row],[人数]])-京都A554000円[[#This Row],[単価合計]]-(京都A554000円[[#This Row],[キャンセル人数]]*$B$2),"")</f>
        <v/>
      </c>
      <c r="H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3"/>
      <c r="J8" s="44" t="str">
        <f>IF(京都A554000円[[#This Row],[人数]]="","",VLOOKUP(京都A554000円[[#This Row],[人数]],バック金額①[#All],2,TRUE)-(京都A554000円[[#This Row],[キャンセル人数]]*$B$2))</f>
        <v/>
      </c>
      <c r="L8" s="69">
        <f t="shared" si="1"/>
        <v>44596</v>
      </c>
      <c r="M8" s="41"/>
      <c r="N8" s="42"/>
      <c r="O8" s="43"/>
      <c r="P8" s="43"/>
      <c r="Q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4" t="str">
        <f>IFERROR(($M$3*京都A553500円[[#This Row],[人数]])-京都A553500円[[#This Row],[単価合計]]-(京都A553500円[[#This Row],[キャンセル人数]]*$B$2),"")</f>
        <v/>
      </c>
      <c r="S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3"/>
      <c r="U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9">
        <f t="shared" si="0"/>
        <v>44597</v>
      </c>
      <c r="B9" s="41"/>
      <c r="C9" s="42"/>
      <c r="D9" s="43"/>
      <c r="E9" s="43"/>
      <c r="F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4" t="str">
        <f>IFERROR(($B$3*京都A554000円[[#This Row],[人数]])-京都A554000円[[#This Row],[単価合計]]-(京都A554000円[[#This Row],[キャンセル人数]]*$B$2),"")</f>
        <v/>
      </c>
      <c r="H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3"/>
      <c r="J9" s="44" t="str">
        <f>IF(京都A554000円[[#This Row],[人数]]="","",VLOOKUP(京都A554000円[[#This Row],[人数]],バック金額①[#All],2,TRUE)-(京都A554000円[[#This Row],[キャンセル人数]]*$B$2))</f>
        <v/>
      </c>
      <c r="L9" s="69">
        <f t="shared" si="1"/>
        <v>44597</v>
      </c>
      <c r="M9" s="41"/>
      <c r="N9" s="42"/>
      <c r="O9" s="43"/>
      <c r="P9" s="43"/>
      <c r="Q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4" t="str">
        <f>IFERROR(($M$3*京都A553500円[[#This Row],[人数]])-京都A553500円[[#This Row],[単価合計]]-(京都A553500円[[#This Row],[キャンセル人数]]*$B$2),"")</f>
        <v/>
      </c>
      <c r="S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3"/>
      <c r="U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9">
        <f t="shared" si="0"/>
        <v>44598</v>
      </c>
      <c r="B10" s="41"/>
      <c r="C10" s="42"/>
      <c r="D10" s="43"/>
      <c r="E10" s="43"/>
      <c r="F1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4" t="str">
        <f>IFERROR(($B$3*京都A554000円[[#This Row],[人数]])-京都A554000円[[#This Row],[単価合計]]-(京都A554000円[[#This Row],[キャンセル人数]]*$B$2),"")</f>
        <v/>
      </c>
      <c r="H1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3"/>
      <c r="J10" s="44" t="str">
        <f>IF(京都A554000円[[#This Row],[人数]]="","",VLOOKUP(京都A554000円[[#This Row],[人数]],バック金額①[#All],2,TRUE)-(京都A554000円[[#This Row],[キャンセル人数]]*$B$2))</f>
        <v/>
      </c>
      <c r="L10" s="69">
        <f t="shared" si="1"/>
        <v>44598</v>
      </c>
      <c r="M10" s="41"/>
      <c r="N10" s="42"/>
      <c r="O10" s="43"/>
      <c r="P10" s="43"/>
      <c r="Q1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4" t="str">
        <f>IFERROR(($M$3*京都A553500円[[#This Row],[人数]])-京都A553500円[[#This Row],[単価合計]]-(京都A553500円[[#This Row],[キャンセル人数]]*$B$2),"")</f>
        <v/>
      </c>
      <c r="S1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3"/>
      <c r="U1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9">
        <f t="shared" si="0"/>
        <v>44599</v>
      </c>
      <c r="B11" s="41"/>
      <c r="C11" s="42"/>
      <c r="D11" s="43"/>
      <c r="E11" s="43"/>
      <c r="F1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4" t="str">
        <f>IFERROR(($B$3*京都A554000円[[#This Row],[人数]])-京都A554000円[[#This Row],[単価合計]]-(京都A554000円[[#This Row],[キャンセル人数]]*$B$2),"")</f>
        <v/>
      </c>
      <c r="H1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3"/>
      <c r="J11" s="44" t="str">
        <f>IF(京都A554000円[[#This Row],[人数]]="","",VLOOKUP(京都A554000円[[#This Row],[人数]],バック金額①[#All],2,TRUE)-(京都A554000円[[#This Row],[キャンセル人数]]*$B$2))</f>
        <v/>
      </c>
      <c r="L11" s="69">
        <f t="shared" si="1"/>
        <v>44599</v>
      </c>
      <c r="M11" s="41"/>
      <c r="N11" s="42"/>
      <c r="O11" s="43"/>
      <c r="P11" s="43"/>
      <c r="Q1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4" t="str">
        <f>IFERROR(($M$3*京都A553500円[[#This Row],[人数]])-京都A553500円[[#This Row],[単価合計]]-(京都A553500円[[#This Row],[キャンセル人数]]*$B$2),"")</f>
        <v/>
      </c>
      <c r="S1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3"/>
      <c r="U1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9">
        <f t="shared" si="0"/>
        <v>44600</v>
      </c>
      <c r="B12" s="41"/>
      <c r="C12" s="42"/>
      <c r="D12" s="43"/>
      <c r="E12" s="43"/>
      <c r="F1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4" t="str">
        <f>IFERROR(($B$3*京都A554000円[[#This Row],[人数]])-京都A554000円[[#This Row],[単価合計]]-(京都A554000円[[#This Row],[キャンセル人数]]*$B$2),"")</f>
        <v/>
      </c>
      <c r="H1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3"/>
      <c r="J12" s="44" t="str">
        <f>IF(京都A554000円[[#This Row],[人数]]="","",VLOOKUP(京都A554000円[[#This Row],[人数]],バック金額①[#All],2,TRUE)-(京都A554000円[[#This Row],[キャンセル人数]]*$B$2))</f>
        <v/>
      </c>
      <c r="L12" s="69">
        <f t="shared" si="1"/>
        <v>44600</v>
      </c>
      <c r="M12" s="41"/>
      <c r="N12" s="42"/>
      <c r="O12" s="43"/>
      <c r="P12" s="43"/>
      <c r="Q1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4" t="str">
        <f>IFERROR(($M$3*京都A553500円[[#This Row],[人数]])-京都A553500円[[#This Row],[単価合計]]-(京都A553500円[[#This Row],[キャンセル人数]]*$B$2),"")</f>
        <v/>
      </c>
      <c r="S1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3"/>
      <c r="U1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9">
        <f t="shared" si="0"/>
        <v>44601</v>
      </c>
      <c r="B13" s="41"/>
      <c r="C13" s="42"/>
      <c r="D13" s="43"/>
      <c r="E13" s="43"/>
      <c r="F1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4" t="str">
        <f>IFERROR(($B$3*京都A554000円[[#This Row],[人数]])-京都A554000円[[#This Row],[単価合計]]-(京都A554000円[[#This Row],[キャンセル人数]]*$B$2),"")</f>
        <v/>
      </c>
      <c r="H1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3"/>
      <c r="J13" s="44" t="str">
        <f>IF(京都A554000円[[#This Row],[人数]]="","",VLOOKUP(京都A554000円[[#This Row],[人数]],バック金額①[#All],2,TRUE)-(京都A554000円[[#This Row],[キャンセル人数]]*$B$2))</f>
        <v/>
      </c>
      <c r="L13" s="69">
        <f t="shared" si="1"/>
        <v>44601</v>
      </c>
      <c r="M13" s="41"/>
      <c r="N13" s="42"/>
      <c r="O13" s="43"/>
      <c r="P13" s="43"/>
      <c r="Q1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4" t="str">
        <f>IFERROR(($M$3*京都A553500円[[#This Row],[人数]])-京都A553500円[[#This Row],[単価合計]]-(京都A553500円[[#This Row],[キャンセル人数]]*$B$2),"")</f>
        <v/>
      </c>
      <c r="S1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3"/>
      <c r="U1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9">
        <f t="shared" si="0"/>
        <v>44602</v>
      </c>
      <c r="B14" s="41"/>
      <c r="C14" s="42"/>
      <c r="D14" s="43"/>
      <c r="E14" s="43"/>
      <c r="F1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4" t="str">
        <f>IFERROR(($B$3*京都A554000円[[#This Row],[人数]])-京都A554000円[[#This Row],[単価合計]]-(京都A554000円[[#This Row],[キャンセル人数]]*$B$2),"")</f>
        <v/>
      </c>
      <c r="H1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3"/>
      <c r="J14" s="44" t="str">
        <f>IF(京都A554000円[[#This Row],[人数]]="","",VLOOKUP(京都A554000円[[#This Row],[人数]],バック金額①[#All],2,TRUE)-(京都A554000円[[#This Row],[キャンセル人数]]*$B$2))</f>
        <v/>
      </c>
      <c r="L14" s="69">
        <f t="shared" si="1"/>
        <v>44602</v>
      </c>
      <c r="M14" s="41"/>
      <c r="N14" s="42"/>
      <c r="O14" s="43"/>
      <c r="P14" s="43"/>
      <c r="Q1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4" t="str">
        <f>IFERROR(($M$3*京都A553500円[[#This Row],[人数]])-京都A553500円[[#This Row],[単価合計]]-(京都A553500円[[#This Row],[キャンセル人数]]*$B$2),"")</f>
        <v/>
      </c>
      <c r="S1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3"/>
      <c r="U1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9">
        <f t="shared" si="0"/>
        <v>44603</v>
      </c>
      <c r="B15" s="41"/>
      <c r="C15" s="42"/>
      <c r="D15" s="43"/>
      <c r="E15" s="43"/>
      <c r="F1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4" t="str">
        <f>IFERROR(($B$3*京都A554000円[[#This Row],[人数]])-京都A554000円[[#This Row],[単価合計]]-(京都A554000円[[#This Row],[キャンセル人数]]*$B$2),"")</f>
        <v/>
      </c>
      <c r="H1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3"/>
      <c r="J15" s="44" t="str">
        <f>IF(京都A554000円[[#This Row],[人数]]="","",VLOOKUP(京都A554000円[[#This Row],[人数]],バック金額①[#All],2,TRUE)-(京都A554000円[[#This Row],[キャンセル人数]]*$B$2))</f>
        <v/>
      </c>
      <c r="L15" s="69">
        <f t="shared" si="1"/>
        <v>44603</v>
      </c>
      <c r="M15" s="41"/>
      <c r="N15" s="42"/>
      <c r="O15" s="43"/>
      <c r="P15" s="43"/>
      <c r="Q1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4" t="str">
        <f>IFERROR(($M$3*京都A553500円[[#This Row],[人数]])-京都A553500円[[#This Row],[単価合計]]-(京都A553500円[[#This Row],[キャンセル人数]]*$B$2),"")</f>
        <v/>
      </c>
      <c r="S1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3"/>
      <c r="U1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9">
        <f t="shared" si="0"/>
        <v>44604</v>
      </c>
      <c r="B16" s="41"/>
      <c r="C16" s="42"/>
      <c r="D16" s="43"/>
      <c r="E16" s="43"/>
      <c r="F1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4" t="str">
        <f>IFERROR(($B$3*京都A554000円[[#This Row],[人数]])-京都A554000円[[#This Row],[単価合計]]-(京都A554000円[[#This Row],[キャンセル人数]]*$B$2),"")</f>
        <v/>
      </c>
      <c r="H1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3"/>
      <c r="J16" s="44" t="str">
        <f>IF(京都A554000円[[#This Row],[人数]]="","",VLOOKUP(京都A554000円[[#This Row],[人数]],バック金額①[#All],2,TRUE)-(京都A554000円[[#This Row],[キャンセル人数]]*$B$2))</f>
        <v/>
      </c>
      <c r="L16" s="69">
        <f t="shared" si="1"/>
        <v>44604</v>
      </c>
      <c r="M16" s="41"/>
      <c r="N16" s="42"/>
      <c r="O16" s="43"/>
      <c r="P16" s="43"/>
      <c r="Q1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4" t="str">
        <f>IFERROR(($M$3*京都A553500円[[#This Row],[人数]])-京都A553500円[[#This Row],[単価合計]]-(京都A553500円[[#This Row],[キャンセル人数]]*$B$2),"")</f>
        <v/>
      </c>
      <c r="S1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3"/>
      <c r="U1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9">
        <f t="shared" si="0"/>
        <v>44605</v>
      </c>
      <c r="B17" s="41"/>
      <c r="C17" s="42"/>
      <c r="D17" s="43"/>
      <c r="E17" s="43"/>
      <c r="F1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4" t="str">
        <f>IFERROR(($B$3*京都A554000円[[#This Row],[人数]])-京都A554000円[[#This Row],[単価合計]]-(京都A554000円[[#This Row],[キャンセル人数]]*$B$2),"")</f>
        <v/>
      </c>
      <c r="H1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3"/>
      <c r="J17" s="44" t="str">
        <f>IF(京都A554000円[[#This Row],[人数]]="","",VLOOKUP(京都A554000円[[#This Row],[人数]],バック金額①[#All],2,TRUE)-(京都A554000円[[#This Row],[キャンセル人数]]*$B$2))</f>
        <v/>
      </c>
      <c r="L17" s="69">
        <f t="shared" si="1"/>
        <v>44605</v>
      </c>
      <c r="M17" s="41"/>
      <c r="N17" s="42"/>
      <c r="O17" s="43"/>
      <c r="P17" s="43"/>
      <c r="Q1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4" t="str">
        <f>IFERROR(($M$3*京都A553500円[[#This Row],[人数]])-京都A553500円[[#This Row],[単価合計]]-(京都A553500円[[#This Row],[キャンセル人数]]*$B$2),"")</f>
        <v/>
      </c>
      <c r="S1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3"/>
      <c r="U1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9">
        <f t="shared" si="0"/>
        <v>44606</v>
      </c>
      <c r="B18" s="41"/>
      <c r="C18" s="42"/>
      <c r="D18" s="43"/>
      <c r="E18" s="43"/>
      <c r="F1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4" t="str">
        <f>IFERROR(($B$3*京都A554000円[[#This Row],[人数]])-京都A554000円[[#This Row],[単価合計]]-(京都A554000円[[#This Row],[キャンセル人数]]*$B$2),"")</f>
        <v/>
      </c>
      <c r="H1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3"/>
      <c r="J18" s="44" t="str">
        <f>IF(京都A554000円[[#This Row],[人数]]="","",VLOOKUP(京都A554000円[[#This Row],[人数]],バック金額①[#All],2,TRUE)-(京都A554000円[[#This Row],[キャンセル人数]]*$B$2))</f>
        <v/>
      </c>
      <c r="L18" s="69">
        <f t="shared" si="1"/>
        <v>44606</v>
      </c>
      <c r="M18" s="41"/>
      <c r="N18" s="42"/>
      <c r="O18" s="43"/>
      <c r="P18" s="43"/>
      <c r="Q1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4" t="str">
        <f>IFERROR(($M$3*京都A553500円[[#This Row],[人数]])-京都A553500円[[#This Row],[単価合計]]-(京都A553500円[[#This Row],[キャンセル人数]]*$B$2),"")</f>
        <v/>
      </c>
      <c r="S1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3"/>
      <c r="U1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9">
        <f t="shared" si="0"/>
        <v>44607</v>
      </c>
      <c r="B19" s="41"/>
      <c r="C19" s="42"/>
      <c r="D19" s="43"/>
      <c r="E19" s="43"/>
      <c r="F1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4" t="str">
        <f>IFERROR(($B$3*京都A554000円[[#This Row],[人数]])-京都A554000円[[#This Row],[単価合計]]-(京都A554000円[[#This Row],[キャンセル人数]]*$B$2),"")</f>
        <v/>
      </c>
      <c r="H1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3"/>
      <c r="J19" s="44" t="str">
        <f>IF(京都A554000円[[#This Row],[人数]]="","",VLOOKUP(京都A554000円[[#This Row],[人数]],バック金額①[#All],2,TRUE)-(京都A554000円[[#This Row],[キャンセル人数]]*$B$2))</f>
        <v/>
      </c>
      <c r="L19" s="69">
        <f t="shared" si="1"/>
        <v>44607</v>
      </c>
      <c r="M19" s="41"/>
      <c r="N19" s="42"/>
      <c r="O19" s="43"/>
      <c r="P19" s="43"/>
      <c r="Q1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4" t="str">
        <f>IFERROR(($M$3*京都A553500円[[#This Row],[人数]])-京都A553500円[[#This Row],[単価合計]]-(京都A553500円[[#This Row],[キャンセル人数]]*$B$2),"")</f>
        <v/>
      </c>
      <c r="S1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3"/>
      <c r="U1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9">
        <f t="shared" si="0"/>
        <v>44608</v>
      </c>
      <c r="B20" s="41"/>
      <c r="C20" s="42"/>
      <c r="D20" s="43"/>
      <c r="E20" s="43"/>
      <c r="F2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4" t="str">
        <f>IFERROR(($B$3*京都A554000円[[#This Row],[人数]])-京都A554000円[[#This Row],[単価合計]]-(京都A554000円[[#This Row],[キャンセル人数]]*$B$2),"")</f>
        <v/>
      </c>
      <c r="H2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3"/>
      <c r="J20" s="44" t="str">
        <f>IF(京都A554000円[[#This Row],[人数]]="","",VLOOKUP(京都A554000円[[#This Row],[人数]],バック金額①[#All],2,TRUE)-(京都A554000円[[#This Row],[キャンセル人数]]*$B$2))</f>
        <v/>
      </c>
      <c r="L20" s="69">
        <f t="shared" si="1"/>
        <v>44608</v>
      </c>
      <c r="M20" s="41"/>
      <c r="N20" s="42"/>
      <c r="O20" s="43"/>
      <c r="P20" s="43"/>
      <c r="Q2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4" t="str">
        <f>IFERROR(($M$3*京都A553500円[[#This Row],[人数]])-京都A553500円[[#This Row],[単価合計]]-(京都A553500円[[#This Row],[キャンセル人数]]*$B$2),"")</f>
        <v/>
      </c>
      <c r="S2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3"/>
      <c r="U2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9">
        <f t="shared" si="0"/>
        <v>44609</v>
      </c>
      <c r="B21" s="41"/>
      <c r="C21" s="42"/>
      <c r="D21" s="43"/>
      <c r="E21" s="43"/>
      <c r="F2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4" t="str">
        <f>IFERROR(($B$3*京都A554000円[[#This Row],[人数]])-京都A554000円[[#This Row],[単価合計]]-(京都A554000円[[#This Row],[キャンセル人数]]*$B$2),"")</f>
        <v/>
      </c>
      <c r="H2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3"/>
      <c r="J21" s="44" t="str">
        <f>IF(京都A554000円[[#This Row],[人数]]="","",VLOOKUP(京都A554000円[[#This Row],[人数]],バック金額①[#All],2,TRUE)-(京都A554000円[[#This Row],[キャンセル人数]]*$B$2))</f>
        <v/>
      </c>
      <c r="L21" s="69">
        <f t="shared" si="1"/>
        <v>44609</v>
      </c>
      <c r="M21" s="41"/>
      <c r="N21" s="42"/>
      <c r="O21" s="43"/>
      <c r="P21" s="43"/>
      <c r="Q2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4" t="str">
        <f>IFERROR(($M$3*京都A553500円[[#This Row],[人数]])-京都A553500円[[#This Row],[単価合計]]-(京都A553500円[[#This Row],[キャンセル人数]]*$B$2),"")</f>
        <v/>
      </c>
      <c r="S2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3"/>
      <c r="U2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9">
        <f t="shared" si="0"/>
        <v>44610</v>
      </c>
      <c r="B22" s="41"/>
      <c r="C22" s="42"/>
      <c r="D22" s="43"/>
      <c r="E22" s="43"/>
      <c r="F2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4" t="str">
        <f>IFERROR(($B$3*京都A554000円[[#This Row],[人数]])-京都A554000円[[#This Row],[単価合計]]-(京都A554000円[[#This Row],[キャンセル人数]]*$B$2),"")</f>
        <v/>
      </c>
      <c r="H2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3"/>
      <c r="J22" s="44" t="str">
        <f>IF(京都A554000円[[#This Row],[人数]]="","",VLOOKUP(京都A554000円[[#This Row],[人数]],バック金額①[#All],2,TRUE)-(京都A554000円[[#This Row],[キャンセル人数]]*$B$2))</f>
        <v/>
      </c>
      <c r="L22" s="69">
        <f t="shared" si="1"/>
        <v>44610</v>
      </c>
      <c r="M22" s="41"/>
      <c r="N22" s="42"/>
      <c r="O22" s="43"/>
      <c r="P22" s="43"/>
      <c r="Q2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4" t="str">
        <f>IFERROR(($M$3*京都A553500円[[#This Row],[人数]])-京都A553500円[[#This Row],[単価合計]]-(京都A553500円[[#This Row],[キャンセル人数]]*$B$2),"")</f>
        <v/>
      </c>
      <c r="S2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3"/>
      <c r="U2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9">
        <f t="shared" si="0"/>
        <v>44611</v>
      </c>
      <c r="B23" s="41"/>
      <c r="C23" s="42"/>
      <c r="D23" s="43"/>
      <c r="E23" s="43"/>
      <c r="F2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4" t="str">
        <f>IFERROR(($B$3*京都A554000円[[#This Row],[人数]])-京都A554000円[[#This Row],[単価合計]]-(京都A554000円[[#This Row],[キャンセル人数]]*$B$2),"")</f>
        <v/>
      </c>
      <c r="H2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3"/>
      <c r="J23" s="44" t="str">
        <f>IF(京都A554000円[[#This Row],[人数]]="","",VLOOKUP(京都A554000円[[#This Row],[人数]],バック金額①[#All],2,TRUE)-(京都A554000円[[#This Row],[キャンセル人数]]*$B$2))</f>
        <v/>
      </c>
      <c r="L23" s="69">
        <f t="shared" si="1"/>
        <v>44611</v>
      </c>
      <c r="M23" s="41"/>
      <c r="N23" s="42"/>
      <c r="O23" s="43"/>
      <c r="P23" s="43"/>
      <c r="Q2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4" t="str">
        <f>IFERROR(($M$3*京都A553500円[[#This Row],[人数]])-京都A553500円[[#This Row],[単価合計]]-(京都A553500円[[#This Row],[キャンセル人数]]*$B$2),"")</f>
        <v/>
      </c>
      <c r="S2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3"/>
      <c r="U2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9">
        <f t="shared" si="0"/>
        <v>44612</v>
      </c>
      <c r="B24" s="41"/>
      <c r="C24" s="42"/>
      <c r="D24" s="43"/>
      <c r="E24" s="43"/>
      <c r="F2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4" t="str">
        <f>IFERROR(($B$3*京都A554000円[[#This Row],[人数]])-京都A554000円[[#This Row],[単価合計]]-(京都A554000円[[#This Row],[キャンセル人数]]*$B$2),"")</f>
        <v/>
      </c>
      <c r="H2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3"/>
      <c r="J24" s="44" t="str">
        <f>IF(京都A554000円[[#This Row],[人数]]="","",VLOOKUP(京都A554000円[[#This Row],[人数]],バック金額①[#All],2,TRUE)-(京都A554000円[[#This Row],[キャンセル人数]]*$B$2))</f>
        <v/>
      </c>
      <c r="L24" s="69">
        <f t="shared" si="1"/>
        <v>44612</v>
      </c>
      <c r="M24" s="41"/>
      <c r="N24" s="42"/>
      <c r="O24" s="43"/>
      <c r="P24" s="43"/>
      <c r="Q2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4" t="str">
        <f>IFERROR(($M$3*京都A553500円[[#This Row],[人数]])-京都A553500円[[#This Row],[単価合計]]-(京都A553500円[[#This Row],[キャンセル人数]]*$B$2),"")</f>
        <v/>
      </c>
      <c r="S2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3"/>
      <c r="U2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9">
        <f t="shared" si="0"/>
        <v>44613</v>
      </c>
      <c r="B25" s="41"/>
      <c r="C25" s="42"/>
      <c r="D25" s="43"/>
      <c r="E25" s="43"/>
      <c r="F2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4" t="str">
        <f>IFERROR(($B$3*京都A554000円[[#This Row],[人数]])-京都A554000円[[#This Row],[単価合計]]-(京都A554000円[[#This Row],[キャンセル人数]]*$B$2),"")</f>
        <v/>
      </c>
      <c r="H2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3"/>
      <c r="J25" s="44" t="str">
        <f>IF(京都A554000円[[#This Row],[人数]]="","",VLOOKUP(京都A554000円[[#This Row],[人数]],バック金額①[#All],2,TRUE)-(京都A554000円[[#This Row],[キャンセル人数]]*$B$2))</f>
        <v/>
      </c>
      <c r="L25" s="69">
        <f t="shared" si="1"/>
        <v>44613</v>
      </c>
      <c r="M25" s="41"/>
      <c r="N25" s="42"/>
      <c r="O25" s="43"/>
      <c r="P25" s="43"/>
      <c r="Q2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4" t="str">
        <f>IFERROR(($M$3*京都A553500円[[#This Row],[人数]])-京都A553500円[[#This Row],[単価合計]]-(京都A553500円[[#This Row],[キャンセル人数]]*$B$2),"")</f>
        <v/>
      </c>
      <c r="S2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3"/>
      <c r="U2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9">
        <f t="shared" si="0"/>
        <v>44614</v>
      </c>
      <c r="B26" s="41"/>
      <c r="C26" s="42"/>
      <c r="D26" s="43"/>
      <c r="E26" s="43"/>
      <c r="F2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4" t="str">
        <f>IFERROR(($B$3*京都A554000円[[#This Row],[人数]])-京都A554000円[[#This Row],[単価合計]]-(京都A554000円[[#This Row],[キャンセル人数]]*$B$2),"")</f>
        <v/>
      </c>
      <c r="H2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3"/>
      <c r="J26" s="44" t="str">
        <f>IF(京都A554000円[[#This Row],[人数]]="","",VLOOKUP(京都A554000円[[#This Row],[人数]],バック金額①[#All],2,TRUE)-(京都A554000円[[#This Row],[キャンセル人数]]*$B$2))</f>
        <v/>
      </c>
      <c r="L26" s="69">
        <f t="shared" si="1"/>
        <v>44614</v>
      </c>
      <c r="M26" s="41"/>
      <c r="N26" s="42"/>
      <c r="O26" s="43"/>
      <c r="P26" s="43"/>
      <c r="Q2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4" t="str">
        <f>IFERROR(($M$3*京都A553500円[[#This Row],[人数]])-京都A553500円[[#This Row],[単価合計]]-(京都A553500円[[#This Row],[キャンセル人数]]*$B$2),"")</f>
        <v/>
      </c>
      <c r="S2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3"/>
      <c r="U2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9">
        <f t="shared" si="0"/>
        <v>44615</v>
      </c>
      <c r="B27" s="41"/>
      <c r="C27" s="42"/>
      <c r="D27" s="43"/>
      <c r="E27" s="43"/>
      <c r="F2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4" t="str">
        <f>IFERROR(($B$3*京都A554000円[[#This Row],[人数]])-京都A554000円[[#This Row],[単価合計]]-(京都A554000円[[#This Row],[キャンセル人数]]*$B$2),"")</f>
        <v/>
      </c>
      <c r="H2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3"/>
      <c r="J27" s="44" t="str">
        <f>IF(京都A554000円[[#This Row],[人数]]="","",VLOOKUP(京都A554000円[[#This Row],[人数]],バック金額①[#All],2,TRUE)-(京都A554000円[[#This Row],[キャンセル人数]]*$B$2))</f>
        <v/>
      </c>
      <c r="L27" s="69">
        <f t="shared" si="1"/>
        <v>44615</v>
      </c>
      <c r="M27" s="41"/>
      <c r="N27" s="42"/>
      <c r="O27" s="43"/>
      <c r="P27" s="43"/>
      <c r="Q2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4" t="str">
        <f>IFERROR(($M$3*京都A553500円[[#This Row],[人数]])-京都A553500円[[#This Row],[単価合計]]-(京都A553500円[[#This Row],[キャンセル人数]]*$B$2),"")</f>
        <v/>
      </c>
      <c r="S2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3"/>
      <c r="U2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9">
        <f t="shared" si="0"/>
        <v>44616</v>
      </c>
      <c r="B28" s="41"/>
      <c r="C28" s="42"/>
      <c r="D28" s="43"/>
      <c r="E28" s="43"/>
      <c r="F2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4" t="str">
        <f>IFERROR(($B$3*京都A554000円[[#This Row],[人数]])-京都A554000円[[#This Row],[単価合計]]-(京都A554000円[[#This Row],[キャンセル人数]]*$B$2),"")</f>
        <v/>
      </c>
      <c r="H2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3"/>
      <c r="J28" s="44" t="str">
        <f>IF(京都A554000円[[#This Row],[人数]]="","",VLOOKUP(京都A554000円[[#This Row],[人数]],バック金額①[#All],2,TRUE)-(京都A554000円[[#This Row],[キャンセル人数]]*$B$2))</f>
        <v/>
      </c>
      <c r="L28" s="69">
        <f t="shared" si="1"/>
        <v>44616</v>
      </c>
      <c r="M28" s="41"/>
      <c r="N28" s="42"/>
      <c r="O28" s="43"/>
      <c r="P28" s="43"/>
      <c r="Q2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4" t="str">
        <f>IFERROR(($M$3*京都A553500円[[#This Row],[人数]])-京都A553500円[[#This Row],[単価合計]]-(京都A553500円[[#This Row],[キャンセル人数]]*$B$2),"")</f>
        <v/>
      </c>
      <c r="S2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3"/>
      <c r="U2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9">
        <f t="shared" si="0"/>
        <v>44617</v>
      </c>
      <c r="B29" s="41"/>
      <c r="C29" s="42"/>
      <c r="D29" s="43"/>
      <c r="E29" s="43"/>
      <c r="F2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4" t="str">
        <f>IFERROR(($B$3*京都A554000円[[#This Row],[人数]])-京都A554000円[[#This Row],[単価合計]]-(京都A554000円[[#This Row],[キャンセル人数]]*$B$2),"")</f>
        <v/>
      </c>
      <c r="H2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3"/>
      <c r="J29" s="44" t="str">
        <f>IF(京都A554000円[[#This Row],[人数]]="","",VLOOKUP(京都A554000円[[#This Row],[人数]],バック金額①[#All],2,TRUE)-(京都A554000円[[#This Row],[キャンセル人数]]*$B$2))</f>
        <v/>
      </c>
      <c r="L29" s="69">
        <f t="shared" si="1"/>
        <v>44617</v>
      </c>
      <c r="M29" s="41"/>
      <c r="N29" s="42"/>
      <c r="O29" s="43"/>
      <c r="P29" s="43"/>
      <c r="Q2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4" t="str">
        <f>IFERROR(($M$3*京都A553500円[[#This Row],[人数]])-京都A553500円[[#This Row],[単価合計]]-(京都A553500円[[#This Row],[キャンセル人数]]*$B$2),"")</f>
        <v/>
      </c>
      <c r="S2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3"/>
      <c r="U2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9">
        <f t="shared" si="0"/>
        <v>44618</v>
      </c>
      <c r="B30" s="41"/>
      <c r="C30" s="42"/>
      <c r="D30" s="43"/>
      <c r="E30" s="43"/>
      <c r="F3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4" t="str">
        <f>IFERROR(($B$3*京都A554000円[[#This Row],[人数]])-京都A554000円[[#This Row],[単価合計]]-(京都A554000円[[#This Row],[キャンセル人数]]*$B$2),"")</f>
        <v/>
      </c>
      <c r="H3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3"/>
      <c r="J30" s="44" t="str">
        <f>IF(京都A554000円[[#This Row],[人数]]="","",VLOOKUP(京都A554000円[[#This Row],[人数]],バック金額①[#All],2,TRUE)-(京都A554000円[[#This Row],[キャンセル人数]]*$B$2))</f>
        <v/>
      </c>
      <c r="L30" s="69">
        <f t="shared" si="1"/>
        <v>44618</v>
      </c>
      <c r="M30" s="41"/>
      <c r="N30" s="42"/>
      <c r="O30" s="43"/>
      <c r="P30" s="43"/>
      <c r="Q3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4" t="str">
        <f>IFERROR(($M$3*京都A553500円[[#This Row],[人数]])-京都A553500円[[#This Row],[単価合計]]-(京都A553500円[[#This Row],[キャンセル人数]]*$B$2),"")</f>
        <v/>
      </c>
      <c r="S3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3"/>
      <c r="U3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9">
        <f t="shared" si="0"/>
        <v>44619</v>
      </c>
      <c r="B31" s="41"/>
      <c r="C31" s="42"/>
      <c r="D31" s="43"/>
      <c r="E31" s="43"/>
      <c r="F3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4" t="str">
        <f>IFERROR(($B$3*京都A554000円[[#This Row],[人数]])-京都A554000円[[#This Row],[単価合計]]-(京都A554000円[[#This Row],[キャンセル人数]]*$B$2),"")</f>
        <v/>
      </c>
      <c r="H3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3"/>
      <c r="J31" s="44" t="str">
        <f>IF(京都A554000円[[#This Row],[人数]]="","",VLOOKUP(京都A554000円[[#This Row],[人数]],バック金額①[#All],2,TRUE)-(京都A554000円[[#This Row],[キャンセル人数]]*$B$2))</f>
        <v/>
      </c>
      <c r="L31" s="69">
        <f t="shared" si="1"/>
        <v>44619</v>
      </c>
      <c r="M31" s="41"/>
      <c r="N31" s="42"/>
      <c r="O31" s="43"/>
      <c r="P31" s="43"/>
      <c r="Q3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4" t="str">
        <f>IFERROR(($M$3*京都A553500円[[#This Row],[人数]])-京都A553500円[[#This Row],[単価合計]]-(京都A553500円[[#This Row],[キャンセル人数]]*$B$2),"")</f>
        <v/>
      </c>
      <c r="S3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3"/>
      <c r="U3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9">
        <f t="shared" si="0"/>
        <v>44620</v>
      </c>
      <c r="B32" s="41"/>
      <c r="C32" s="42"/>
      <c r="D32" s="43"/>
      <c r="E32" s="43"/>
      <c r="F3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4" t="str">
        <f>IFERROR(($B$3*京都A554000円[[#This Row],[人数]])-京都A554000円[[#This Row],[単価合計]]-(京都A554000円[[#This Row],[キャンセル人数]]*$B$2),"")</f>
        <v/>
      </c>
      <c r="H3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3"/>
      <c r="J32" s="44" t="str">
        <f>IF(京都A554000円[[#This Row],[人数]]="","",VLOOKUP(京都A554000円[[#This Row],[人数]],バック金額①[#All],2,TRUE)-(京都A554000円[[#This Row],[キャンセル人数]]*$B$2))</f>
        <v/>
      </c>
      <c r="L32" s="69">
        <f t="shared" si="1"/>
        <v>44620</v>
      </c>
      <c r="M32" s="41"/>
      <c r="N32" s="42"/>
      <c r="O32" s="43"/>
      <c r="P32" s="43"/>
      <c r="Q3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4" t="str">
        <f>IFERROR(($M$3*京都A553500円[[#This Row],[人数]])-京都A553500円[[#This Row],[単価合計]]-(京都A553500円[[#This Row],[キャンセル人数]]*$B$2),"")</f>
        <v/>
      </c>
      <c r="S3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3"/>
      <c r="U3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9" t="str">
        <f t="shared" si="0"/>
        <v/>
      </c>
      <c r="B33" s="41"/>
      <c r="C33" s="42"/>
      <c r="D33" s="43"/>
      <c r="E33" s="43"/>
      <c r="F3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4" t="str">
        <f>IFERROR(($B$3*京都A554000円[[#This Row],[人数]])-京都A554000円[[#This Row],[単価合計]]-(京都A554000円[[#This Row],[キャンセル人数]]*$B$2),"")</f>
        <v/>
      </c>
      <c r="H3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3"/>
      <c r="J33" s="44" t="str">
        <f>IF(京都A554000円[[#This Row],[人数]]="","",VLOOKUP(京都A554000円[[#This Row],[人数]],バック金額①[#All],2,TRUE)-(京都A554000円[[#This Row],[キャンセル人数]]*$B$2))</f>
        <v/>
      </c>
      <c r="L33" s="69" t="str">
        <f t="shared" si="1"/>
        <v/>
      </c>
      <c r="M33" s="41"/>
      <c r="N33" s="42"/>
      <c r="O33" s="43"/>
      <c r="P33" s="43"/>
      <c r="Q3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4" t="str">
        <f>IFERROR(($M$3*京都A553500円[[#This Row],[人数]])-京都A553500円[[#This Row],[単価合計]]-(京都A553500円[[#This Row],[キャンセル人数]]*$B$2),"")</f>
        <v/>
      </c>
      <c r="S3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3"/>
      <c r="U3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9" t="str">
        <f t="shared" si="0"/>
        <v/>
      </c>
      <c r="B34" s="41"/>
      <c r="C34" s="42"/>
      <c r="D34" s="43"/>
      <c r="E34" s="43"/>
      <c r="F3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4" t="str">
        <f>IFERROR(($B$3*京都A554000円[[#This Row],[人数]])-京都A554000円[[#This Row],[単価合計]]-(京都A554000円[[#This Row],[キャンセル人数]]*$B$2),"")</f>
        <v/>
      </c>
      <c r="H3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3"/>
      <c r="J34" s="44" t="str">
        <f>IF(京都A554000円[[#This Row],[人数]]="","",VLOOKUP(京都A554000円[[#This Row],[人数]],バック金額①[#All],2,TRUE)-(京都A554000円[[#This Row],[キャンセル人数]]*$B$2))</f>
        <v/>
      </c>
      <c r="L34" s="69" t="str">
        <f t="shared" si="1"/>
        <v/>
      </c>
      <c r="M34" s="41"/>
      <c r="N34" s="42"/>
      <c r="O34" s="43"/>
      <c r="P34" s="43"/>
      <c r="Q3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4" t="str">
        <f>IFERROR(($M$3*京都A553500円[[#This Row],[人数]])-京都A553500円[[#This Row],[単価合計]]-(京都A553500円[[#This Row],[キャンセル人数]]*$B$2),"")</f>
        <v/>
      </c>
      <c r="S3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3"/>
      <c r="U3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9" t="str">
        <f t="shared" si="0"/>
        <v/>
      </c>
      <c r="B35" s="41"/>
      <c r="C35" s="42"/>
      <c r="D35" s="43"/>
      <c r="E35" s="43"/>
      <c r="F3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4" t="str">
        <f>IFERROR(($B$3*京都A554000円[[#This Row],[人数]])-京都A554000円[[#This Row],[単価合計]]-(京都A554000円[[#This Row],[キャンセル人数]]*$B$2),"")</f>
        <v/>
      </c>
      <c r="H3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3"/>
      <c r="J35" s="44" t="str">
        <f>IF(京都A554000円[[#This Row],[人数]]="","",VLOOKUP(京都A554000円[[#This Row],[人数]],バック金額①[#All],2,TRUE)-(京都A554000円[[#This Row],[キャンセル人数]]*$B$2))</f>
        <v/>
      </c>
      <c r="L35" s="69" t="str">
        <f t="shared" si="1"/>
        <v/>
      </c>
      <c r="M35" s="45"/>
      <c r="N35" s="46"/>
      <c r="O35" s="47"/>
      <c r="P35" s="47"/>
      <c r="Q3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4" t="str">
        <f>IFERROR(($M$3*京都A553500円[[#This Row],[人数]])-京都A553500円[[#This Row],[単価合計]]-(京都A553500円[[#This Row],[キャンセル人数]]*$B$2),"")</f>
        <v/>
      </c>
      <c r="S3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3"/>
      <c r="U3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3" t="s">
        <v>211</v>
      </c>
      <c r="B36" s="36">
        <f>SUM(京都A554000円[[#All],[件数]])</f>
        <v>0</v>
      </c>
      <c r="C36" s="36"/>
      <c r="D36" s="36">
        <f>SUM(京都A554000円[[#All],[人数]])</f>
        <v>0</v>
      </c>
      <c r="E36" s="36">
        <f>SUM(京都A554000円[[#All],[Aパターン]])</f>
        <v>0</v>
      </c>
      <c r="F36" s="36">
        <f>SUM(京都A554000円[[#All],[単価合計]])</f>
        <v>0</v>
      </c>
      <c r="G36" s="36">
        <f>SUM(京都A554000円[[#All],[ゆうき取りに行く]])</f>
        <v>0</v>
      </c>
      <c r="H36" s="36"/>
      <c r="I36" s="36"/>
      <c r="J36" s="36">
        <f>SUM(京都A554000円[[#All],[イベンターへ]])</f>
        <v>0</v>
      </c>
      <c r="L36" s="33" t="s">
        <v>211</v>
      </c>
      <c r="M36" s="36">
        <f>SUM(京都A553500円[[#All],[件数]])</f>
        <v>0</v>
      </c>
      <c r="N36" s="36"/>
      <c r="O36" s="36">
        <f>SUM(京都A553500円[[#All],[人数]])</f>
        <v>0</v>
      </c>
      <c r="P36" s="36">
        <f>SUM(京都A553500円[[#All],[Aパターン]])</f>
        <v>0</v>
      </c>
      <c r="Q36" s="36">
        <f>SUM(京都A553500円[[#All],[単価合計]])</f>
        <v>0</v>
      </c>
      <c r="R36" s="36">
        <f>SUM(京都A553500円[[#All],[ゆうき取りに行く]])</f>
        <v>0</v>
      </c>
      <c r="S36" s="36"/>
      <c r="T36" s="36"/>
      <c r="U36" s="36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①（き）粋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2022-02-26T07:01:56Z</dcterms:modified>
</cp:coreProperties>
</file>