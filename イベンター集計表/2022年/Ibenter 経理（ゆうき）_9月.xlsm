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CAEF0835-38A2-4332-89B9-C1729871BF55}" xr6:coauthVersionLast="47" xr6:coauthVersionMax="47" xr10:uidLastSave="{00000000-0000-0000-0000-000000000000}"/>
  <bookViews>
    <workbookView xWindow="-120" yWindow="-120" windowWidth="29040" windowHeight="15720" firstSheet="11" activeTab="16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35" i="43" l="1"/>
  <c r="S35" i="43"/>
  <c r="Q35" i="43"/>
  <c r="R35" i="43" s="1"/>
  <c r="F17" i="43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H30" i="43"/>
  <c r="F30" i="43" s="1"/>
  <c r="G30" i="43" s="1"/>
  <c r="J30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5" i="43"/>
  <c r="F25" i="43" s="1"/>
  <c r="G25" i="43" s="1"/>
  <c r="J25" i="43"/>
  <c r="D36" i="43"/>
  <c r="H6" i="43"/>
  <c r="F6" i="43" s="1"/>
  <c r="G6" i="43" s="1"/>
  <c r="H7" i="43"/>
  <c r="H8" i="43"/>
  <c r="H10" i="43"/>
  <c r="H11" i="43"/>
  <c r="F11" i="43" s="1"/>
  <c r="G11" i="43" s="1"/>
  <c r="H12" i="43"/>
  <c r="F12" i="43" s="1"/>
  <c r="G12" i="43" s="1"/>
  <c r="H13" i="43"/>
  <c r="H14" i="43"/>
  <c r="F14" i="43" s="1"/>
  <c r="G14" i="43" s="1"/>
  <c r="H15" i="43"/>
  <c r="F15" i="43" s="1"/>
  <c r="G15" i="43" s="1"/>
  <c r="H16" i="43"/>
  <c r="F16" i="43" s="1"/>
  <c r="G16" i="43" s="1"/>
  <c r="H18" i="43"/>
  <c r="F18" i="43" s="1"/>
  <c r="G18" i="43" s="1"/>
  <c r="H19" i="43"/>
  <c r="H20" i="43"/>
  <c r="F20" i="43" s="1"/>
  <c r="G20" i="43" s="1"/>
  <c r="H21" i="43"/>
  <c r="F21" i="43" s="1"/>
  <c r="G21" i="43" s="1"/>
  <c r="H22" i="43"/>
  <c r="F22" i="43" s="1"/>
  <c r="H23" i="43"/>
  <c r="F23" i="43" s="1"/>
  <c r="G23" i="43" s="1"/>
  <c r="H24" i="43"/>
  <c r="F24" i="43" s="1"/>
  <c r="G24" i="43" s="1"/>
  <c r="H26" i="43"/>
  <c r="H27" i="43"/>
  <c r="H28" i="43"/>
  <c r="F28" i="43" s="1"/>
  <c r="G28" i="43" s="1"/>
  <c r="H29" i="43"/>
  <c r="H31" i="43"/>
  <c r="H32" i="43"/>
  <c r="H33" i="43"/>
  <c r="H34" i="43"/>
  <c r="H35" i="43"/>
  <c r="F35" i="43" s="1"/>
  <c r="G35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F7" i="43"/>
  <c r="G7" i="43" s="1"/>
  <c r="F8" i="43"/>
  <c r="G8" i="43" s="1"/>
  <c r="F10" i="43"/>
  <c r="G10" i="43" s="1"/>
  <c r="F13" i="43"/>
  <c r="G13" i="43" s="1"/>
  <c r="F19" i="43"/>
  <c r="G19" i="43" s="1"/>
  <c r="F26" i="43"/>
  <c r="G26" i="43" s="1"/>
  <c r="F27" i="43"/>
  <c r="G27" i="43" s="1"/>
  <c r="F29" i="43"/>
  <c r="G29" i="43" s="1"/>
  <c r="F31" i="43"/>
  <c r="G31" i="43" s="1"/>
  <c r="F32" i="43"/>
  <c r="G32" i="43" s="1"/>
  <c r="F33" i="43"/>
  <c r="G33" i="43" s="1"/>
  <c r="F34" i="43"/>
  <c r="G34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0" i="43"/>
  <c r="J21" i="43"/>
  <c r="J22" i="43"/>
  <c r="J23" i="43"/>
  <c r="J24" i="43"/>
  <c r="J26" i="43"/>
  <c r="J27" i="43"/>
  <c r="J28" i="43"/>
  <c r="J29" i="43"/>
  <c r="J31" i="43"/>
  <c r="J32" i="43"/>
  <c r="J33" i="43"/>
  <c r="J34" i="43"/>
  <c r="J35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6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H2" i="46" s="1"/>
  <c r="P36" i="45"/>
  <c r="E36" i="45"/>
  <c r="P36" i="43"/>
  <c r="E36" i="43"/>
  <c r="F2" i="43" s="1"/>
  <c r="P36" i="42"/>
  <c r="E36" i="42"/>
  <c r="P36" i="41"/>
  <c r="E36" i="41"/>
  <c r="P36" i="40"/>
  <c r="E36" i="40"/>
  <c r="P36" i="62"/>
  <c r="E36" i="62"/>
  <c r="P36" i="39"/>
  <c r="E36" i="39"/>
  <c r="F2" i="39" s="1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 s="1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5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L35" i="43" l="1"/>
  <c r="A34" i="43"/>
  <c r="A20" i="43"/>
  <c r="A26" i="43"/>
  <c r="A24" i="43"/>
  <c r="A14" i="43"/>
  <c r="A12" i="43"/>
  <c r="A18" i="43"/>
  <c r="A16" i="43"/>
  <c r="A29" i="43"/>
  <c r="A30" i="43"/>
  <c r="A10" i="43"/>
  <c r="A8" i="43"/>
  <c r="A32" i="43"/>
  <c r="A21" i="43"/>
  <c r="A33" i="43"/>
  <c r="A31" i="43"/>
  <c r="A13" i="43"/>
  <c r="A27" i="43"/>
  <c r="A25" i="43"/>
  <c r="A23" i="43"/>
  <c r="A28" i="43"/>
  <c r="A22" i="43"/>
  <c r="A19" i="43"/>
  <c r="A17" i="43"/>
  <c r="A15" i="43"/>
  <c r="A11" i="43"/>
  <c r="A9" i="43"/>
  <c r="A7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23" i="1" l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<sst xmlns="http://schemas.openxmlformats.org/spreadsheetml/2006/main" count="1408" uniqueCount="565">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</sst>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406" tableBorderDxfId="405" totalsRowBorderDxfId="404">
  <autoFilter ref="A4:J35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3" sqref="O3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29" t="s">
        <v>398</v>
      </c>
      <c r="B1" s="137" t="s">
        <v>517</v>
      </c>
      <c r="C1" s="1" t="s">
        <v>0</v>
      </c>
      <c r="D1" s="86" t="s">
        <v>390</v>
      </c>
      <c r="E1" s="89" t="s">
        <v>391</v>
      </c>
      <c r="F1" s="83" t="s">
        <v>395</v>
      </c>
      <c r="G1" s="83" t="s">
        <v>394</v>
      </c>
      <c r="H1" s="83" t="s">
        <v>392</v>
      </c>
      <c r="I1" s="83" t="s">
        <v>393</v>
      </c>
      <c r="J1" s="83" t="s">
        <v>343</v>
      </c>
      <c r="K1" s="83"/>
      <c r="M1" s="146" t="s">
        <v>235</v>
      </c>
      <c r="N1" s="143">
        <v>2022</v>
      </c>
      <c r="O1" s="145">
        <v>9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4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366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367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399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4000</v>
      </c>
      <c r="E23" s="80">
        <f>VLOOKUP(名前リスト[[#This Row],[管理番号]],まとめ表_各店舗件数[[#All],[管理番号]:[合計件数]],4,FALSE)</f>
        <v>2</v>
      </c>
      <c r="F23" s="111" t="str">
        <f>VLOOKUP(名前リスト[[#This Row],[管理番号]],まとめ表_各Aパターン件数[[#All],[管理番号]:[Aパターン]],4,FALSE)</f>
        <v/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4000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342</v>
      </c>
      <c r="C83" s="47" t="s">
        <v>342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286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281</v>
      </c>
      <c r="C143" s="47" t="s">
        <v>281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282</v>
      </c>
      <c r="C144" s="47" t="s">
        <v>282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283</v>
      </c>
      <c r="C145" s="47" t="s">
        <v>283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284</v>
      </c>
      <c r="C146" s="47" t="s">
        <v>284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285</v>
      </c>
      <c r="C147" s="47" t="s">
        <v>285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287</v>
      </c>
      <c r="C148" s="47" t="s">
        <v>287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288</v>
      </c>
      <c r="C149" s="54" t="s">
        <v>288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289</v>
      </c>
      <c r="C150" s="54" t="s">
        <v>289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290</v>
      </c>
      <c r="C151" s="54" t="s">
        <v>290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291</v>
      </c>
      <c r="C152" s="4" t="s">
        <v>291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292</v>
      </c>
      <c r="C153" s="4" t="s">
        <v>292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293</v>
      </c>
      <c r="C154" s="5" t="s">
        <v>294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295</v>
      </c>
      <c r="C155" s="5" t="s">
        <v>296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297</v>
      </c>
      <c r="C156" s="5" t="s">
        <v>298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299</v>
      </c>
      <c r="C157" s="5" t="s">
        <v>300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301</v>
      </c>
      <c r="C158" s="5" t="s">
        <v>302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303</v>
      </c>
      <c r="C159" s="5" t="s">
        <v>304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305</v>
      </c>
      <c r="C160" s="5" t="s">
        <v>306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307</v>
      </c>
      <c r="C161" s="5" t="s">
        <v>308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309</v>
      </c>
      <c r="C162" s="5" t="s">
        <v>310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311</v>
      </c>
      <c r="C163" s="5" t="s">
        <v>312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313</v>
      </c>
      <c r="C164" s="5" t="s">
        <v>314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315</v>
      </c>
      <c r="C165" s="5" t="s">
        <v>316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330</v>
      </c>
      <c r="C166" s="58" t="s">
        <v>330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331</v>
      </c>
      <c r="C167" s="58" t="s">
        <v>331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332</v>
      </c>
      <c r="C168" s="58" t="s">
        <v>332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333</v>
      </c>
      <c r="C169" s="58" t="s">
        <v>333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334</v>
      </c>
      <c r="C170" s="58" t="s">
        <v>334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335</v>
      </c>
      <c r="C171" s="58" t="s">
        <v>335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336</v>
      </c>
      <c r="C172" s="58" t="s">
        <v>336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337</v>
      </c>
      <c r="C173" s="58" t="s">
        <v>337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338</v>
      </c>
      <c r="C174" s="58" t="s">
        <v>338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339</v>
      </c>
      <c r="C175" s="58" t="s">
        <v>339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340</v>
      </c>
      <c r="C176" s="58" t="s">
        <v>340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341</v>
      </c>
      <c r="C177" s="58" t="s">
        <v>341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345</v>
      </c>
      <c r="C178" s="5" t="s">
        <v>345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346</v>
      </c>
      <c r="C179" s="5" t="s">
        <v>346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347</v>
      </c>
      <c r="C180" s="5" t="s">
        <v>347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348</v>
      </c>
      <c r="C181" s="5" t="s">
        <v>348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349</v>
      </c>
      <c r="C182" s="5" t="s">
        <v>349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350</v>
      </c>
      <c r="C183" s="5" t="s">
        <v>350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351</v>
      </c>
      <c r="C184" s="5" t="s">
        <v>351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352</v>
      </c>
      <c r="C185" s="91" t="s">
        <v>352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353</v>
      </c>
      <c r="C186" s="91" t="s">
        <v>353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354</v>
      </c>
      <c r="C187" s="91" t="s">
        <v>354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355</v>
      </c>
      <c r="C188" s="91" t="s">
        <v>355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356</v>
      </c>
      <c r="C189" s="91" t="s">
        <v>356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358</v>
      </c>
      <c r="C190" s="91" t="s">
        <v>358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359</v>
      </c>
      <c r="C191" s="58" t="s">
        <v>359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357</v>
      </c>
      <c r="C192" s="4" t="s">
        <v>357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360</v>
      </c>
      <c r="C193" s="58" t="s">
        <v>360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361</v>
      </c>
      <c r="C194" s="4" t="s">
        <v>361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362</v>
      </c>
      <c r="C195" s="4" t="s">
        <v>362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363</v>
      </c>
      <c r="C196" s="4" t="s">
        <v>363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364</v>
      </c>
      <c r="C197" s="4" t="s">
        <v>364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365</v>
      </c>
      <c r="C198" s="4" t="s">
        <v>365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382</v>
      </c>
      <c r="C199" s="4" t="s">
        <v>382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383</v>
      </c>
      <c r="C200" s="4" t="s">
        <v>383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384</v>
      </c>
      <c r="C201" s="4" t="s">
        <v>384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385</v>
      </c>
      <c r="C202" s="4" t="s">
        <v>385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386</v>
      </c>
      <c r="C203" s="81" t="s">
        <v>386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387</v>
      </c>
      <c r="C204" s="90" t="s">
        <v>387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388</v>
      </c>
      <c r="C205" s="80" t="s">
        <v>388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389</v>
      </c>
      <c r="C206" s="80" t="s">
        <v>389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401</v>
      </c>
      <c r="C207" s="80" t="s">
        <v>400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403</v>
      </c>
      <c r="C208" s="80" t="s">
        <v>402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405</v>
      </c>
      <c r="C209" s="80" t="s">
        <v>404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500</v>
      </c>
      <c r="C210" s="80" t="s">
        <v>500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501</v>
      </c>
      <c r="C211" s="80" t="s">
        <v>501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502</v>
      </c>
      <c r="C212" s="80" t="s">
        <v>502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503</v>
      </c>
      <c r="C213" s="80" t="s">
        <v>503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504</v>
      </c>
      <c r="C214" s="80" t="s">
        <v>504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508</v>
      </c>
      <c r="C215" s="130" t="s">
        <v>508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505</v>
      </c>
      <c r="C216" s="80" t="s">
        <v>505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506</v>
      </c>
      <c r="C217" s="80" t="s">
        <v>506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507</v>
      </c>
      <c r="C218" s="80" t="s">
        <v>507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509</v>
      </c>
      <c r="C219" s="80" t="s">
        <v>509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512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513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514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523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524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525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526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527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528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529</v>
      </c>
      <c r="D229" s="87">
        <f>VLOOKUP(名前リスト[[#This Row],[管理番号]],まとめ表_バック金額[[#All],[管理番号]:[バック金額合計]],4,FALSE)</f>
        <v>11000</v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11000</v>
      </c>
      <c r="J229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</row>
    <row r="230" spans="1:10" ht="15" customHeight="1">
      <c r="A230" s="138">
        <v>229</v>
      </c>
      <c r="B230" s="138"/>
      <c r="C230" s="138" t="s">
        <v>530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531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532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533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534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535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536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537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538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539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540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541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544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545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546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547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548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549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550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551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552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553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554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555</v>
      </c>
      <c r="D254" s="87">
        <f>VLOOKUP(名前リスト[[#This Row],[管理番号]],まとめ表_バック金額[[#All],[管理番号]:[バック金額合計]],4,FALSE)</f>
        <v>9000</v>
      </c>
      <c r="E254" s="130">
        <f>VLOOKUP(名前リスト[[#This Row],[管理番号]],まとめ表_各店舗件数[[#All],[管理番号]:[合計件数]],4,FALSE)</f>
        <v>1</v>
      </c>
      <c r="F254" s="131">
        <f>VLOOKUP(名前リスト[[#This Row],[管理番号]],まとめ表_各Aパターン件数[[#All],[管理番号]:[Aパターン]],4,FALSE)</f>
        <v>1</v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254" s="139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55" spans="1:10" ht="15" customHeight="1">
      <c r="A255" s="138">
        <v>264</v>
      </c>
      <c r="B255" s="138"/>
      <c r="C255" s="138" t="s">
        <v>556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557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406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407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408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409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410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411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412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413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414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415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416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417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418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419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420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421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422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423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424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425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426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427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428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429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430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431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432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433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434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435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436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437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438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439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440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441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499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442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443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444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445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446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447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448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449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450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451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452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453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454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455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456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457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458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459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460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461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462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463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464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465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466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467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468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469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470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471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471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472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473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474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475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476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477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478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479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480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481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482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483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484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485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486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487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488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489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490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491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492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493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494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518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46" t="s">
        <v>324</v>
      </c>
      <c r="B1" s="146"/>
      <c r="C1" s="121">
        <v>60000</v>
      </c>
    </row>
    <row r="2" spans="1:3">
      <c r="A2" s="125" t="s">
        <v>234</v>
      </c>
      <c r="B2" s="119" t="s">
        <v>396</v>
      </c>
      <c r="C2" s="126" t="s">
        <v>397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344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6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2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2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>
        <f t="shared" si="4"/>
        <v>1</v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1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375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325</v>
      </c>
      <c r="K1" s="60" t="s">
        <v>322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317</v>
      </c>
      <c r="U1" s="60" t="s">
        <v>318</v>
      </c>
      <c r="V1" s="60" t="s">
        <v>319</v>
      </c>
      <c r="W1" s="60" t="s">
        <v>320</v>
      </c>
      <c r="X1" s="60" t="s">
        <v>327</v>
      </c>
      <c r="Y1" s="60" t="s">
        <v>321</v>
      </c>
      <c r="Z1" s="60" t="s">
        <v>326</v>
      </c>
      <c r="AA1" s="108" t="s">
        <v>328</v>
      </c>
      <c r="AB1" s="117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 t="str">
        <f t="shared" si="0"/>
        <v/>
      </c>
      <c r="E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>
        <f t="shared" si="3"/>
        <v>1</v>
      </c>
      <c r="E25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1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77" t="s">
        <v>234</v>
      </c>
      <c r="B1" s="11" t="s">
        <v>197</v>
      </c>
      <c r="C1" s="12" t="s">
        <v>198</v>
      </c>
      <c r="D1" s="78" t="s">
        <v>329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8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4000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4000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>
        <f t="shared" si="3"/>
        <v>11000</v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11000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>
        <f t="shared" si="3"/>
        <v>9000</v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9000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85" t="s">
        <v>380</v>
      </c>
      <c r="B1" s="85" t="s">
        <v>324</v>
      </c>
      <c r="E1" s="85" t="s">
        <v>381</v>
      </c>
      <c r="F1" s="85" t="s">
        <v>324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H22" sqref="H22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8" bestFit="1" customWidth="1"/>
    <col min="15" max="15" width="7.6640625" style="8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6" t="s">
        <v>371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372</v>
      </c>
      <c r="B2" s="8">
        <v>1000</v>
      </c>
      <c r="J2" s="93" t="s">
        <v>368</v>
      </c>
      <c r="N2" s="46" t="s">
        <v>496</v>
      </c>
      <c r="O2" s="46">
        <v>500</v>
      </c>
    </row>
    <row r="3" spans="1:24">
      <c r="A3" s="46" t="s">
        <v>374</v>
      </c>
      <c r="B3" s="8">
        <v>4000</v>
      </c>
      <c r="N3" s="46" t="s">
        <v>374</v>
      </c>
      <c r="O3" s="8">
        <v>3500</v>
      </c>
      <c r="Q3" s="46" t="s">
        <v>495</v>
      </c>
    </row>
    <row r="4" spans="1:24">
      <c r="A4" s="20" t="s">
        <v>205</v>
      </c>
      <c r="B4" s="75" t="s">
        <v>379</v>
      </c>
      <c r="C4" s="10" t="s">
        <v>206</v>
      </c>
      <c r="D4" s="11" t="s">
        <v>207</v>
      </c>
      <c r="E4" s="12" t="s">
        <v>208</v>
      </c>
      <c r="F4" s="78" t="s">
        <v>375</v>
      </c>
      <c r="G4" s="62" t="s">
        <v>373</v>
      </c>
      <c r="H4" s="51" t="s">
        <v>209</v>
      </c>
      <c r="I4" s="96" t="s">
        <v>369</v>
      </c>
      <c r="J4" s="96" t="s">
        <v>370</v>
      </c>
      <c r="K4" s="52" t="s">
        <v>210</v>
      </c>
      <c r="L4" s="94"/>
      <c r="N4" s="104" t="s">
        <v>205</v>
      </c>
      <c r="O4" s="75" t="s">
        <v>379</v>
      </c>
      <c r="P4" s="10" t="s">
        <v>206</v>
      </c>
      <c r="Q4" s="11" t="s">
        <v>207</v>
      </c>
      <c r="R4" s="12" t="s">
        <v>208</v>
      </c>
      <c r="S4" s="78" t="s">
        <v>375</v>
      </c>
      <c r="T4" s="62" t="s">
        <v>373</v>
      </c>
      <c r="U4" s="51" t="s">
        <v>209</v>
      </c>
      <c r="V4" s="96" t="s">
        <v>369</v>
      </c>
      <c r="W4" s="96" t="s">
        <v>370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44805</v>
      </c>
      <c r="B5" s="105" t="str">
        <f>TEXT(DATE(名前リスト!$N$1,名前リスト!$O$1,ROW()-4),"aaa")</f>
        <v>木</v>
      </c>
      <c r="C5" s="13"/>
      <c r="D5" s="14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44805</v>
      </c>
      <c r="O5" s="105" t="str">
        <f>TEXT(DATE(名前リスト!$N$1,名前リスト!$O$1,ROW()-4),"aaa")</f>
        <v>木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44806</v>
      </c>
      <c r="B6" s="105" t="str">
        <f>TEXT(DATE(名前リスト!$N$1,名前リスト!$O$1,ROW()-4),"aaa")</f>
        <v>金</v>
      </c>
      <c r="C6" s="13"/>
      <c r="D6" s="14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44806</v>
      </c>
      <c r="O6" s="105" t="str">
        <f>TEXT(DATE(名前リスト!$N$1,名前リスト!$O$1,ROW()-4),"aaa")</f>
        <v>金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44807</v>
      </c>
      <c r="B7" s="105" t="str">
        <f>TEXT(DATE(名前リスト!$N$1,名前リスト!$O$1,ROW()-4),"aaa")</f>
        <v>土</v>
      </c>
      <c r="C7" s="13"/>
      <c r="D7" s="14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44807</v>
      </c>
      <c r="O7" s="105" t="str">
        <f>TEXT(DATE(名前リスト!$N$1,名前リスト!$O$1,ROW()-4),"aaa")</f>
        <v>土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44808</v>
      </c>
      <c r="B8" s="105" t="str">
        <f>TEXT(DATE(名前リスト!$N$1,名前リスト!$O$1,ROW()-4),"aaa")</f>
        <v>日</v>
      </c>
      <c r="C8" s="13"/>
      <c r="D8" s="14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44808</v>
      </c>
      <c r="O8" s="105" t="str">
        <f>TEXT(DATE(名前リスト!$N$1,名前リスト!$O$1,ROW()-4),"aaa")</f>
        <v>日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44809</v>
      </c>
      <c r="B9" s="105" t="str">
        <f>TEXT(DATE(名前リスト!$N$1,名前リスト!$O$1,ROW()-4),"aaa")</f>
        <v>月</v>
      </c>
      <c r="C9" s="13"/>
      <c r="D9" s="14"/>
      <c r="E9" s="50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44809</v>
      </c>
      <c r="O9" s="105" t="str">
        <f>TEXT(DATE(名前リスト!$N$1,名前リスト!$O$1,ROW()-4),"aaa")</f>
        <v>月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44810</v>
      </c>
      <c r="B10" s="105" t="str">
        <f>TEXT(DATE(名前リスト!$N$1,名前リスト!$O$1,ROW()-4),"aaa")</f>
        <v>火</v>
      </c>
      <c r="C10" s="13"/>
      <c r="D10" s="14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44810</v>
      </c>
      <c r="O10" s="105" t="str">
        <f>TEXT(DATE(名前リスト!$N$1,名前リスト!$O$1,ROW()-4),"aaa")</f>
        <v>火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44811</v>
      </c>
      <c r="B11" s="105" t="str">
        <f>TEXT(DATE(名前リスト!$N$1,名前リスト!$O$1,ROW()-4),"aaa")</f>
        <v>水</v>
      </c>
      <c r="C11" s="13"/>
      <c r="D11" s="14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44811</v>
      </c>
      <c r="O11" s="105" t="str">
        <f>TEXT(DATE(名前リスト!$N$1,名前リスト!$O$1,ROW()-4),"aaa")</f>
        <v>水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44812</v>
      </c>
      <c r="B12" s="105" t="str">
        <f>TEXT(DATE(名前リスト!$N$1,名前リスト!$O$1,ROW()-4),"aaa")</f>
        <v>木</v>
      </c>
      <c r="C12" s="13"/>
      <c r="D12" s="14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44812</v>
      </c>
      <c r="O12" s="105" t="str">
        <f>TEXT(DATE(名前リスト!$N$1,名前リスト!$O$1,ROW()-4),"aaa")</f>
        <v>木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44813</v>
      </c>
      <c r="B13" s="105" t="str">
        <f>TEXT(DATE(名前リスト!$N$1,名前リスト!$O$1,ROW()-4),"aaa")</f>
        <v>金</v>
      </c>
      <c r="C13" s="13"/>
      <c r="D13" s="14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44813</v>
      </c>
      <c r="O13" s="105" t="str">
        <f>TEXT(DATE(名前リスト!$N$1,名前リスト!$O$1,ROW()-4),"aaa")</f>
        <v>金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44814</v>
      </c>
      <c r="B14" s="105" t="str">
        <f>TEXT(DATE(名前リスト!$N$1,名前リスト!$O$1,ROW()-4),"aaa")</f>
        <v>土</v>
      </c>
      <c r="C14" s="13"/>
      <c r="D14" s="14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44814</v>
      </c>
      <c r="O14" s="105" t="str">
        <f>TEXT(DATE(名前リスト!$N$1,名前リスト!$O$1,ROW()-4),"aaa")</f>
        <v>土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44815</v>
      </c>
      <c r="B15" s="105" t="str">
        <f>TEXT(DATE(名前リスト!$N$1,名前リスト!$O$1,ROW()-4),"aaa")</f>
        <v>日</v>
      </c>
      <c r="C15" s="13"/>
      <c r="D15" s="14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44815</v>
      </c>
      <c r="O15" s="105" t="str">
        <f>TEXT(DATE(名前リスト!$N$1,名前リスト!$O$1,ROW()-4),"aaa")</f>
        <v>日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44816</v>
      </c>
      <c r="B16" s="105" t="str">
        <f>TEXT(DATE(名前リスト!$N$1,名前リスト!$O$1,ROW()-4),"aaa")</f>
        <v>月</v>
      </c>
      <c r="C16" s="13"/>
      <c r="D16" s="14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44816</v>
      </c>
      <c r="O16" s="105" t="str">
        <f>TEXT(DATE(名前リスト!$N$1,名前リスト!$O$1,ROW()-4),"aaa")</f>
        <v>月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44817</v>
      </c>
      <c r="B17" s="105" t="str">
        <f>TEXT(DATE(名前リスト!$N$1,名前リスト!$O$1,ROW()-4),"aaa")</f>
        <v>火</v>
      </c>
      <c r="C17" s="13"/>
      <c r="D17" s="14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44817</v>
      </c>
      <c r="O17" s="105" t="str">
        <f>TEXT(DATE(名前リスト!$N$1,名前リスト!$O$1,ROW()-4),"aaa")</f>
        <v>火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44818</v>
      </c>
      <c r="B18" s="105" t="str">
        <f>TEXT(DATE(名前リスト!$N$1,名前リスト!$O$1,ROW()-4),"aaa")</f>
        <v>水</v>
      </c>
      <c r="C18" s="13"/>
      <c r="D18" s="14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44818</v>
      </c>
      <c r="O18" s="105" t="str">
        <f>TEXT(DATE(名前リスト!$N$1,名前リスト!$O$1,ROW()-4),"aaa")</f>
        <v>水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44819</v>
      </c>
      <c r="B19" s="105" t="str">
        <f>TEXT(DATE(名前リスト!$N$1,名前リスト!$O$1,ROW()-4),"aaa")</f>
        <v>木</v>
      </c>
      <c r="C19" s="13"/>
      <c r="D19" s="14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44819</v>
      </c>
      <c r="O19" s="105" t="str">
        <f>TEXT(DATE(名前リスト!$N$1,名前リスト!$O$1,ROW()-4),"aaa")</f>
        <v>木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44820</v>
      </c>
      <c r="B20" s="105" t="str">
        <f>TEXT(DATE(名前リスト!$N$1,名前リスト!$O$1,ROW()-4),"aaa")</f>
        <v>金</v>
      </c>
      <c r="C20" s="13"/>
      <c r="D20" s="14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44820</v>
      </c>
      <c r="O20" s="105" t="str">
        <f>TEXT(DATE(名前リスト!$N$1,名前リスト!$O$1,ROW()-4),"aaa")</f>
        <v>金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44821</v>
      </c>
      <c r="B21" s="105" t="str">
        <f>TEXT(DATE(名前リスト!$N$1,名前リスト!$O$1,ROW()-4),"aaa")</f>
        <v>土</v>
      </c>
      <c r="C21" s="13"/>
      <c r="D21" s="14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44821</v>
      </c>
      <c r="O21" s="105" t="str">
        <f>TEXT(DATE(名前リスト!$N$1,名前リスト!$O$1,ROW()-4),"aaa")</f>
        <v>土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44822</v>
      </c>
      <c r="B22" s="105" t="str">
        <f>TEXT(DATE(名前リスト!$N$1,名前リスト!$O$1,ROW()-4),"aaa")</f>
        <v>日</v>
      </c>
      <c r="C22" s="13"/>
      <c r="D22" s="14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44822</v>
      </c>
      <c r="O22" s="105" t="str">
        <f>TEXT(DATE(名前リスト!$N$1,名前リスト!$O$1,ROW()-4),"aaa")</f>
        <v>日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44823</v>
      </c>
      <c r="B23" s="105" t="str">
        <f>TEXT(DATE(名前リスト!$N$1,名前リスト!$O$1,ROW()-4),"aaa")</f>
        <v>月</v>
      </c>
      <c r="C23" s="13"/>
      <c r="D23" s="14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44823</v>
      </c>
      <c r="O23" s="105" t="str">
        <f>TEXT(DATE(名前リスト!$N$1,名前リスト!$O$1,ROW()-4),"aaa")</f>
        <v>月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44824</v>
      </c>
      <c r="B24" s="105" t="str">
        <f>TEXT(DATE(名前リスト!$N$1,名前リスト!$O$1,ROW()-4),"aaa")</f>
        <v>火</v>
      </c>
      <c r="C24" s="13"/>
      <c r="D24" s="14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44824</v>
      </c>
      <c r="O24" s="105" t="str">
        <f>TEXT(DATE(名前リスト!$N$1,名前リスト!$O$1,ROW()-4),"aaa")</f>
        <v>火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44825</v>
      </c>
      <c r="B25" s="105" t="str">
        <f>TEXT(DATE(名前リスト!$N$1,名前リスト!$O$1,ROW()-4),"aaa")</f>
        <v>水</v>
      </c>
      <c r="C25" s="13"/>
      <c r="D25" s="14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44825</v>
      </c>
      <c r="O25" s="105" t="str">
        <f>TEXT(DATE(名前リスト!$N$1,名前リスト!$O$1,ROW()-4),"aaa")</f>
        <v>水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44826</v>
      </c>
      <c r="B26" s="105" t="str">
        <f>TEXT(DATE(名前リスト!$N$1,名前リスト!$O$1,ROW()-4),"aaa")</f>
        <v>木</v>
      </c>
      <c r="C26" s="13"/>
      <c r="D26" s="53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44826</v>
      </c>
      <c r="O26" s="105" t="str">
        <f>TEXT(DATE(名前リスト!$N$1,名前リスト!$O$1,ROW()-4),"aaa")</f>
        <v>木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44827</v>
      </c>
      <c r="B27" s="105" t="str">
        <f>TEXT(DATE(名前リスト!$N$1,名前リスト!$O$1,ROW()-4),"aaa")</f>
        <v>金</v>
      </c>
      <c r="C27" s="13"/>
      <c r="D27" s="14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44827</v>
      </c>
      <c r="O27" s="105" t="str">
        <f>TEXT(DATE(名前リスト!$N$1,名前リスト!$O$1,ROW()-4),"aaa")</f>
        <v>金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44828</v>
      </c>
      <c r="B28" s="105" t="str">
        <f>TEXT(DATE(名前リスト!$N$1,名前リスト!$O$1,ROW()-4),"aaa")</f>
        <v>土</v>
      </c>
      <c r="C28" s="13"/>
      <c r="D28" s="14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44828</v>
      </c>
      <c r="O28" s="105" t="str">
        <f>TEXT(DATE(名前リスト!$N$1,名前リスト!$O$1,ROW()-4),"aaa")</f>
        <v>土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44829</v>
      </c>
      <c r="B29" s="105" t="str">
        <f>TEXT(DATE(名前リスト!$N$1,名前リスト!$O$1,ROW()-4),"aaa")</f>
        <v>日</v>
      </c>
      <c r="C29" s="13"/>
      <c r="D29" s="14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44829</v>
      </c>
      <c r="O29" s="105" t="str">
        <f>TEXT(DATE(名前リスト!$N$1,名前リスト!$O$1,ROW()-4),"aaa")</f>
        <v>日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44830</v>
      </c>
      <c r="B30" s="105" t="str">
        <f>TEXT(DATE(名前リスト!$N$1,名前リスト!$O$1,ROW()-4),"aaa")</f>
        <v>月</v>
      </c>
      <c r="C30" s="13"/>
      <c r="D30" s="14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44830</v>
      </c>
      <c r="O30" s="105" t="str">
        <f>TEXT(DATE(名前リスト!$N$1,名前リスト!$O$1,ROW()-4),"aaa")</f>
        <v>月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44831</v>
      </c>
      <c r="B31" s="105" t="str">
        <f>TEXT(DATE(名前リスト!$N$1,名前リスト!$O$1,ROW()-4),"aaa")</f>
        <v>火</v>
      </c>
      <c r="C31" s="13"/>
      <c r="D31" s="14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44831</v>
      </c>
      <c r="O31" s="105" t="str">
        <f>TEXT(DATE(名前リスト!$N$1,名前リスト!$O$1,ROW()-4),"aaa")</f>
        <v>火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44832</v>
      </c>
      <c r="B32" s="105" t="str">
        <f>TEXT(DATE(名前リスト!$N$1,名前リスト!$O$1,ROW()-4),"aaa")</f>
        <v>水</v>
      </c>
      <c r="C32" s="13"/>
      <c r="D32" s="14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44832</v>
      </c>
      <c r="O32" s="105" t="str">
        <f>TEXT(DATE(名前リスト!$N$1,名前リスト!$O$1,ROW()-4),"aaa")</f>
        <v>水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44833</v>
      </c>
      <c r="B33" s="105" t="str">
        <f>TEXT(DATE(名前リスト!$N$1,名前リスト!$O$1,ROW()-4),"aaa")</f>
        <v>木</v>
      </c>
      <c r="C33" s="13"/>
      <c r="D33" s="14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44833</v>
      </c>
      <c r="O33" s="105" t="str">
        <f>TEXT(DATE(名前リスト!$N$1,名前リスト!$O$1,ROW()-4),"aaa")</f>
        <v>木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44834</v>
      </c>
      <c r="B34" s="105" t="str">
        <f>TEXT(DATE(名前リスト!$N$1,名前リスト!$O$1,ROW()-4),"aaa")</f>
        <v>金</v>
      </c>
      <c r="C34" s="13"/>
      <c r="D34" s="14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44834</v>
      </c>
      <c r="O34" s="105" t="str">
        <f>TEXT(DATE(名前リスト!$N$1,名前リスト!$O$1,ROW()-4),"aaa")</f>
        <v>金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 t="str">
        <f t="shared" si="0"/>
        <v/>
      </c>
      <c r="B35" s="105" t="str">
        <f>TEXT(DATE(名前リスト!$N$1,名前リスト!$O$1,ROW()-4),"aaa")</f>
        <v>土</v>
      </c>
      <c r="C35" s="17"/>
      <c r="D35" s="18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 t="str">
        <f t="shared" si="1"/>
        <v/>
      </c>
      <c r="O35" s="105" t="str">
        <f>TEXT(DATE(名前リスト!$N$1,名前リスト!$O$1,ROW()-4),"aaa")</f>
        <v>土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0</v>
      </c>
      <c r="D36" s="6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95"/>
      <c r="N36" s="69" t="s">
        <v>323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I1" s="46" t="s">
        <v>240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62" t="s">
        <v>377</v>
      </c>
      <c r="I4" s="62" t="s">
        <v>378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375</v>
      </c>
      <c r="Q4" s="62" t="s">
        <v>373</v>
      </c>
      <c r="R4" s="51" t="s">
        <v>209</v>
      </c>
      <c r="S4" s="62" t="s">
        <v>377</v>
      </c>
      <c r="T4" s="62" t="s">
        <v>378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44808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44809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44834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323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E1" s="46" t="s">
        <v>241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44808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44809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C1" s="46" t="s">
        <v>242</v>
      </c>
      <c r="F1" s="93"/>
      <c r="K1" s="8" t="s">
        <v>558</v>
      </c>
    </row>
    <row r="2" spans="1:21">
      <c r="A2" s="46" t="s">
        <v>372</v>
      </c>
      <c r="B2" s="8">
        <v>1300</v>
      </c>
      <c r="F2" s="93"/>
      <c r="K2" s="46" t="s">
        <v>561</v>
      </c>
    </row>
    <row r="3" spans="1:21">
      <c r="A3" s="46" t="s">
        <v>376</v>
      </c>
      <c r="B3" s="8">
        <v>4000</v>
      </c>
      <c r="F3" s="93"/>
      <c r="K3" s="46" t="s">
        <v>560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44808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44809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44810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44811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44812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44813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44814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44815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44816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44817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44818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44819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44820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44821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44822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44823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44824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44825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44826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44827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44828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44829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44830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44831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44832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44833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44834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E1" sqref="E1:F2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243</v>
      </c>
      <c r="H1" s="93" t="s">
        <v>522</v>
      </c>
    </row>
    <row r="2" spans="1:21">
      <c r="A2" s="46" t="s">
        <v>372</v>
      </c>
      <c r="B2" s="8">
        <v>1300</v>
      </c>
      <c r="E2" s="46" t="s">
        <v>562</v>
      </c>
      <c r="F2" s="9">
        <f>$B$1*($D$36-$E$36)</f>
        <v>122500</v>
      </c>
      <c r="H2" s="93" t="s">
        <v>564</v>
      </c>
    </row>
    <row r="3" spans="1:21">
      <c r="A3" s="46" t="s">
        <v>376</v>
      </c>
      <c r="B3" s="8">
        <v>4000</v>
      </c>
      <c r="E3" s="46"/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>
        <v>1</v>
      </c>
      <c r="C6" s="14">
        <v>0</v>
      </c>
      <c r="D6" s="15">
        <v>8</v>
      </c>
      <c r="E6" s="15">
        <v>1</v>
      </c>
      <c r="F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6" s="16">
        <f>IFERROR(($B$3*北新地ファイブ4000[[#This Row],[人数]])-北新地ファイブ4000[[#This Row],[単価合計]]-(北新地ファイブ4000[[#This Row],[キャンセル人数]]*$B$2),"")</f>
        <v>14500</v>
      </c>
      <c r="H6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6" s="70"/>
      <c r="J6" s="16">
        <f>IF(北新地ファイブ4000[[#This Row],[人数]]="","",VLOOKUP(北新地ファイブ4000[[#This Row],[人数]],バック金額②[#All],2,TRUE))</f>
        <v>9000</v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44809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44812</v>
      </c>
      <c r="B12" s="13">
        <v>1</v>
      </c>
      <c r="C12" s="14">
        <v>228</v>
      </c>
      <c r="D12" s="15">
        <v>10</v>
      </c>
      <c r="E12" s="15">
        <v>1</v>
      </c>
      <c r="F12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22500</v>
      </c>
      <c r="G12" s="16">
        <f>IFERROR(($B$3*北新地ファイブ4000[[#This Row],[人数]])-北新地ファイブ4000[[#This Row],[単価合計]]-(北新地ファイブ4000[[#This Row],[キャンセル人数]]*$B$2),"")</f>
        <v>17500</v>
      </c>
      <c r="H12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12" s="70"/>
      <c r="J12" s="16">
        <f>IF(北新地ファイブ4000[[#This Row],[人数]]="","",VLOOKUP(北新地ファイブ4000[[#This Row],[人数]],バック金額②[#All],2,TRUE))</f>
        <v>11000</v>
      </c>
      <c r="L12" s="63">
        <f t="shared" si="1"/>
        <v>44812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44816</v>
      </c>
      <c r="B16" s="13"/>
      <c r="C16" s="53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44818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44826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44831</v>
      </c>
      <c r="B31" s="13">
        <v>1</v>
      </c>
      <c r="C31" s="14">
        <v>0</v>
      </c>
      <c r="D31" s="15">
        <v>27</v>
      </c>
      <c r="E31" s="15">
        <v>3</v>
      </c>
      <c r="F31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60000</v>
      </c>
      <c r="G31" s="16">
        <f>IFERROR(($B$3*北新地ファイブ4000[[#This Row],[人数]])-北新地ファイブ4000[[#This Row],[単価合計]]-(北新地ファイブ4000[[#This Row],[キャンセル人数]]*$B$2),"")</f>
        <v>48000</v>
      </c>
      <c r="H31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7500</v>
      </c>
      <c r="I31" s="70"/>
      <c r="J31" s="16">
        <f>IF(北新地ファイブ4000[[#This Row],[人数]]="","",VLOOKUP(北新地ファイブ4000[[#This Row],[人数]],バック金額②[#All],2,TRUE))</f>
        <v>30000</v>
      </c>
      <c r="L31" s="63">
        <f t="shared" si="1"/>
        <v>44831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44834</v>
      </c>
      <c r="B34" s="13">
        <v>1</v>
      </c>
      <c r="C34" s="14">
        <v>0</v>
      </c>
      <c r="D34" s="15">
        <v>10</v>
      </c>
      <c r="E34" s="15">
        <v>1</v>
      </c>
      <c r="F34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22500</v>
      </c>
      <c r="G34" s="16">
        <f>IFERROR(($B$3*北新地ファイブ4000[[#This Row],[人数]])-北新地ファイブ4000[[#This Row],[単価合計]]-(北新地ファイブ4000[[#This Row],[キャンセル人数]]*$B$2),"")</f>
        <v>17500</v>
      </c>
      <c r="H34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34" s="70"/>
      <c r="J34" s="16">
        <f>IF(北新地ファイブ4000[[#This Row],[人数]]="","",VLOOKUP(北新地ファイブ4000[[#This Row],[人数]],バック金額②[#All],2,TRUE))</f>
        <v>11000</v>
      </c>
      <c r="L34" s="63">
        <f t="shared" si="1"/>
        <v>44834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323</v>
      </c>
      <c r="B36" s="16">
        <f>SUM(北新地ファイブ4000[[#All],[件数]])</f>
        <v>4</v>
      </c>
      <c r="C36" s="6"/>
      <c r="D36" s="16">
        <f>SUM(北新地ファイブ4000[[#All],[人数]])</f>
        <v>55</v>
      </c>
      <c r="E36" s="16">
        <f>SUM(北新地ファイブ4000[[#All],[Aパターン]])</f>
        <v>6</v>
      </c>
      <c r="F36" s="16">
        <f>SUM(北新地ファイブ4000[[#All],[単価合計]])</f>
        <v>122500</v>
      </c>
      <c r="G36" s="16">
        <f>SUM(北新地ファイブ4000[[#All],[ゆうき取りに行く]])</f>
        <v>97500</v>
      </c>
      <c r="H36" s="16"/>
      <c r="I36" s="16"/>
      <c r="J36" s="16">
        <f>SUM(北新地ファイブ4000[[#All],[イベンターへ]])</f>
        <v>61000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2300</v>
      </c>
      <c r="E1" s="46" t="s">
        <v>511</v>
      </c>
    </row>
    <row r="2" spans="1:21">
      <c r="A2" s="46" t="s">
        <v>372</v>
      </c>
      <c r="B2" s="8">
        <v>1100</v>
      </c>
    </row>
    <row r="3" spans="1:21">
      <c r="A3" s="46" t="s">
        <v>376</v>
      </c>
      <c r="B3" s="8">
        <v>4000</v>
      </c>
      <c r="C3" s="46" t="s">
        <v>280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44821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44822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323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244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44805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44808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44809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44810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44811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44812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44813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44814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44815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44816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44817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44818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44819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44820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44821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44822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44823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44824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44825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44826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44827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44828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44829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44830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44831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44832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44833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44834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C1" s="46" t="s">
        <v>245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44812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44833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44821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tabSelected="1" zoomScale="70" zoomScaleNormal="70" workbookViewId="0">
      <pane ySplit="4" topLeftCell="A5" activePane="bottomLeft" state="frozen"/>
      <selection pane="bottomLeft" activeCell="L17" sqref="L17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E1" s="46" t="s">
        <v>243</v>
      </c>
    </row>
    <row r="2" spans="1:21">
      <c r="A2" s="46" t="s">
        <v>372</v>
      </c>
      <c r="B2" s="8">
        <v>1300</v>
      </c>
      <c r="E2" s="46" t="s">
        <v>562</v>
      </c>
      <c r="F2" s="9">
        <f>$B$1*($D$36-$E$36)</f>
        <v>74000</v>
      </c>
      <c r="L2" s="46" t="s">
        <v>498</v>
      </c>
      <c r="M2" s="8">
        <v>500</v>
      </c>
    </row>
    <row r="3" spans="1:21">
      <c r="A3" s="46" t="s">
        <v>376</v>
      </c>
      <c r="B3" s="8">
        <v>4000</v>
      </c>
      <c r="C3" s="46" t="s">
        <v>247</v>
      </c>
      <c r="L3" s="46" t="s">
        <v>376</v>
      </c>
      <c r="M3" s="8">
        <v>3500</v>
      </c>
      <c r="N3" s="46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44806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35" si="0">IFERROR(IF(DATE(YEAR($A$5),MONTH($A$5),DAY($A$5))=DATE(YEAR(L6),MONTH(L6),DAY(L6+1)),"",DATE(YEAR(L6),MONTH(L6),DAY(L6+1))),"")</f>
        <v>44807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44808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44808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44809</v>
      </c>
      <c r="B9" s="13"/>
      <c r="C9" s="14"/>
      <c r="D9" s="15"/>
      <c r="E9" s="15"/>
      <c r="F9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14" t="str">
        <f>IFERROR(($B$3*心斎橋サファリ4000[[#This Row],[人数]])-心斎橋サファリ4000[[#This Row],[単価合計]]-(心斎橋サファリ4000[[#This Row],[キャンセル人数]]*$B$2),"")</f>
        <v/>
      </c>
      <c r="H9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44809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44810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44810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44811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44811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44812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44812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44813</v>
      </c>
      <c r="B13" s="13">
        <v>1</v>
      </c>
      <c r="C13" s="49">
        <v>0</v>
      </c>
      <c r="D13" s="15">
        <v>8</v>
      </c>
      <c r="E13" s="15">
        <v>1</v>
      </c>
      <c r="F1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13" s="16">
        <f>IFERROR(($B$3*心斎橋サファリ4000[[#This Row],[人数]])-心斎橋サファリ4000[[#This Row],[単価合計]]-(心斎橋サファリ4000[[#This Row],[キャンセル人数]]*$B$2),"")</f>
        <v>18000</v>
      </c>
      <c r="H13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13" s="15"/>
      <c r="J13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3" s="63">
        <f t="shared" si="1"/>
        <v>44813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44814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44814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44815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44815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44816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44816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44817</v>
      </c>
      <c r="B17" s="13">
        <v>1</v>
      </c>
      <c r="C17" s="14">
        <v>22</v>
      </c>
      <c r="D17" s="15">
        <v>0</v>
      </c>
      <c r="E17" s="15"/>
      <c r="F17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0</v>
      </c>
      <c r="G17" s="114">
        <f>IFERROR(($B$3*心斎橋サファリ4000[[#This Row],[人数]])-心斎橋サファリ4000[[#This Row],[単価合計]]-(心斎橋サファリ4000[[#This Row],[キャンセル人数]]*$B$2),"")</f>
        <v>-5200</v>
      </c>
      <c r="H17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15">
        <v>4</v>
      </c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44817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44818</v>
      </c>
      <c r="B18" s="13">
        <v>1</v>
      </c>
      <c r="C18" s="14">
        <v>22</v>
      </c>
      <c r="D18" s="15">
        <v>4</v>
      </c>
      <c r="E18" s="15"/>
      <c r="F1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18" s="16">
        <f>IFERROR(($B$3*心斎橋サファリ4000[[#This Row],[人数]])-心斎橋サファリ4000[[#This Row],[単価合計]]-(心斎橋サファリ4000[[#This Row],[キャンセル人数]]*$B$2),"")</f>
        <v>8000</v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15"/>
      <c r="J18" s="114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18" s="63">
        <f t="shared" si="1"/>
        <v>44818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44819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44819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44820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44820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44821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44821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 t="shared" si="0"/>
        <v>44822</v>
      </c>
      <c r="B22" s="13">
        <v>1</v>
      </c>
      <c r="C22" s="14">
        <v>0</v>
      </c>
      <c r="D22" s="15">
        <v>8</v>
      </c>
      <c r="E22" s="15">
        <v>1</v>
      </c>
      <c r="F2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2" s="16">
        <v>46000</v>
      </c>
      <c r="H22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2" s="15"/>
      <c r="J22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2" s="63">
        <f t="shared" si="1"/>
        <v>44822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si="0"/>
        <v>44823</v>
      </c>
      <c r="B23" s="13"/>
      <c r="C23" s="14"/>
      <c r="D23" s="15"/>
      <c r="E23" s="15"/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44823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0"/>
        <v>44824</v>
      </c>
      <c r="B24" s="13">
        <v>1</v>
      </c>
      <c r="C24" s="14">
        <v>311</v>
      </c>
      <c r="D24" s="15">
        <v>6</v>
      </c>
      <c r="E24" s="15"/>
      <c r="F2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24" s="16">
        <f>IFERROR(($B$3*心斎橋サファリ4000[[#This Row],[人数]])-心斎橋サファリ4000[[#This Row],[単価合計]]-(心斎橋サファリ4000[[#This Row],[キャンセル人数]]*$B$2),"")</f>
        <v>12000</v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15"/>
      <c r="J24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4" s="63">
        <f t="shared" si="1"/>
        <v>44824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0"/>
        <v>44825</v>
      </c>
      <c r="B25" s="13">
        <v>1</v>
      </c>
      <c r="C25" s="14">
        <v>311</v>
      </c>
      <c r="D25" s="15">
        <v>8</v>
      </c>
      <c r="E25" s="50">
        <v>1</v>
      </c>
      <c r="F25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14000</v>
      </c>
      <c r="G25" s="16">
        <f>IFERROR(($B$3*心斎橋サファリ4000[[#This Row],[人数]])-心斎橋サファリ4000[[#This Row],[単価合計]]-(心斎橋サファリ4000[[#This Row],[キャンセル人数]]*$B$2),"")</f>
        <v>18000</v>
      </c>
      <c r="H25" s="114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2000</v>
      </c>
      <c r="I25" s="115"/>
      <c r="J25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3">
        <f t="shared" si="1"/>
        <v>44825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0"/>
        <v>44826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44826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0"/>
        <v>44827</v>
      </c>
      <c r="B27" s="13"/>
      <c r="C27" s="14"/>
      <c r="D27" s="15"/>
      <c r="E27" s="15"/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44827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0"/>
        <v>44828</v>
      </c>
      <c r="B28" s="13">
        <v>1</v>
      </c>
      <c r="C28" s="14">
        <v>329</v>
      </c>
      <c r="D28" s="15">
        <v>6</v>
      </c>
      <c r="E28" s="15"/>
      <c r="F2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12000</v>
      </c>
      <c r="G28" s="16">
        <f>IFERROR(($B$3*心斎橋サファリ4000[[#This Row],[人数]])-心斎橋サファリ4000[[#This Row],[単価合計]]-(心斎橋サファリ4000[[#This Row],[キャンセル人数]]*$B$2),"")</f>
        <v>12000</v>
      </c>
      <c r="H2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5"/>
      <c r="J28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8" s="63">
        <f t="shared" si="1"/>
        <v>44828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0"/>
        <v>44829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44829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0"/>
        <v>44830</v>
      </c>
      <c r="B30" s="13"/>
      <c r="C30" s="14"/>
      <c r="D30" s="15"/>
      <c r="E30" s="15"/>
      <c r="F30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15"/>
      <c r="J3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44830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0"/>
        <v>44831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44831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0"/>
        <v>44832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44832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0"/>
        <v>44833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44833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f t="shared" si="0"/>
        <v>44834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44834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 t="str">
        <f t="shared" si="0"/>
        <v/>
      </c>
      <c r="B35" s="13"/>
      <c r="C35" s="14"/>
      <c r="D35" s="15"/>
      <c r="E35" s="15"/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 t="str">
        <f t="shared" si="1"/>
        <v/>
      </c>
      <c r="M35" s="17"/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71" t="s">
        <v>323</v>
      </c>
      <c r="B36" s="16">
        <f>SUM(心斎橋サファリ4000[[#All],[件数]])</f>
        <v>7</v>
      </c>
      <c r="C36" s="6"/>
      <c r="D36" s="16">
        <f>SUM(心斎橋サファリ4000[[#All],[人数]])</f>
        <v>40</v>
      </c>
      <c r="E36" s="16">
        <f>SUM(心斎橋サファリ4000[[#All],[Aパターン]])</f>
        <v>3</v>
      </c>
      <c r="F36" s="16">
        <f>SUM(心斎橋サファリ4000[[#All],[単価合計]])</f>
        <v>74000</v>
      </c>
      <c r="G36" s="16">
        <f>SUM(心斎橋サファリ4000[[#All],[ゆうき取りに行く]])</f>
        <v>108800</v>
      </c>
      <c r="H36" s="16"/>
      <c r="I36" s="16"/>
      <c r="J36" s="16">
        <f>SUM(心斎橋サファリ4000[[#All],[イベンターへ]])</f>
        <v>48000</v>
      </c>
      <c r="L36" s="71" t="s">
        <v>323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SUM(心斎橋サファリ3500[[#All],[Aパターン]])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248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44808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44809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323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323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H2" sqref="H2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  <c r="G2" s="93" t="s">
        <v>563</v>
      </c>
      <c r="H2" s="9">
        <f>$B$1*($D$36-$E$36)</f>
        <v>16100</v>
      </c>
    </row>
    <row r="3" spans="1:21">
      <c r="A3" s="46" t="s">
        <v>376</v>
      </c>
      <c r="B3" s="8">
        <v>4000</v>
      </c>
      <c r="C3" s="46" t="s">
        <v>249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44834</v>
      </c>
      <c r="B34" s="13">
        <v>1</v>
      </c>
      <c r="C34" s="14">
        <v>263</v>
      </c>
      <c r="D34" s="15">
        <v>8</v>
      </c>
      <c r="E34" s="15">
        <v>1</v>
      </c>
      <c r="F34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16100</v>
      </c>
      <c r="G34" s="16">
        <f>IFERROR(($B$3*心斎橋ラプロメッサ4000円[[#This Row],[人数]])-心斎橋ラプロメッサ4000円[[#This Row],[単価合計]]-(心斎橋ラプロメッサ4000円[[#This Row],[キャンセル人数]]*$B$2),"")</f>
        <v>15900</v>
      </c>
      <c r="H34" s="16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>2300</v>
      </c>
      <c r="I34" s="15"/>
      <c r="J34" s="16">
        <f>IF(心斎橋ラプロメッサ4000円[[#This Row],[人数]]="","",VLOOKUP(心斎橋ラプロメッサ4000円[[#This Row],[人数]],バック金額②[#All],2,TRUE))</f>
        <v>9000</v>
      </c>
      <c r="L34" s="63">
        <f t="shared" si="1"/>
        <v>44834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323</v>
      </c>
      <c r="B36" s="16">
        <f>SUM(心斎橋ラプロメッサ4000円[[#All],[件数]])</f>
        <v>1</v>
      </c>
      <c r="C36" s="6"/>
      <c r="D36" s="16">
        <f>SUM(心斎橋ラプロメッサ4000円[[#All],[人数]])</f>
        <v>8</v>
      </c>
      <c r="E36" s="16">
        <f>SUM(心斎橋ラプロメッサ4000円[[#All],[Aパターン]])</f>
        <v>1</v>
      </c>
      <c r="F36" s="16">
        <f>SUM(心斎橋ラプロメッサ4000円[[#All],[単価合計]])</f>
        <v>16100</v>
      </c>
      <c r="G36" s="16">
        <f>SUM(心斎橋ラプロメッサ4000円[[#All],[ゆうき取りに行く]])</f>
        <v>15900</v>
      </c>
      <c r="H36" s="16"/>
      <c r="I36" s="16"/>
      <c r="J36" s="16">
        <f>SUM(心斎橋ラプロメッサ4000円[[#All],[イベンターへ]])</f>
        <v>9000</v>
      </c>
      <c r="L36" s="71" t="s">
        <v>323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250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44811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323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323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44808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44809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44810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44811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44812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44813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44814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44815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44816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44817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44818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44819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44820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44821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44822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44823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44824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44825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44826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44827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44828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44829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44830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44831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44832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44833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44834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323</v>
      </c>
      <c r="B36" s="16">
        <f>SUM(心斎橋CSB4000円[[#All],[件数]])</f>
        <v>0</v>
      </c>
      <c r="C36" s="6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69" t="s">
        <v>323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252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H15" sqref="H1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  <c r="G2" s="93" t="s">
        <v>563</v>
      </c>
      <c r="H2" s="9">
        <f>$B$1*($D$36-$E$36)</f>
        <v>22500</v>
      </c>
      <c r="L2" s="46" t="s">
        <v>516</v>
      </c>
      <c r="M2" s="8">
        <v>500</v>
      </c>
    </row>
    <row r="3" spans="1:21">
      <c r="A3" s="46" t="s">
        <v>376</v>
      </c>
      <c r="B3" s="8">
        <v>4000</v>
      </c>
      <c r="C3" s="46" t="s">
        <v>253</v>
      </c>
      <c r="L3" s="46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44807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44807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44808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44808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44809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44810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44811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44812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44813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44814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44815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44816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44817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44818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44819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44820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44821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44822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44823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44824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44825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44826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44827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44828</v>
      </c>
      <c r="B28" s="13">
        <v>1</v>
      </c>
      <c r="C28" s="14">
        <v>0</v>
      </c>
      <c r="D28" s="15">
        <v>10</v>
      </c>
      <c r="E28" s="15">
        <v>1</v>
      </c>
      <c r="F28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28" s="16">
        <f>IFERROR(($B$3*三ノ宮多味庵4000[[#This Row],[人数]])-三ノ宮多味庵4000[[#This Row],[単価合計]]-(三ノ宮多味庵4000[[#This Row],[キャンセル人数]]*$B$2),"")</f>
        <v>17500</v>
      </c>
      <c r="H28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8" s="15"/>
      <c r="J28" s="16">
        <f>IF(三ノ宮多味庵4000[[#This Row],[人数]]="","",VLOOKUP(三ノ宮多味庵4000[[#This Row],[人数]],バック金額②[#All],2,TRUE)-(三ノ宮多味庵4000[[#This Row],[キャンセル人数]]*$B$2))</f>
        <v>11000</v>
      </c>
      <c r="L28" s="63">
        <f t="shared" si="1"/>
        <v>44828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44829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44830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44831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44832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44833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44834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10</v>
      </c>
      <c r="E36" s="7">
        <f>SUM(三ノ宮多味庵4000[[#All],[Aパターン]])</f>
        <v>1</v>
      </c>
      <c r="F36" s="7">
        <f>SUM(三ノ宮多味庵4000[[#All],[単価合計]])</f>
        <v>22500</v>
      </c>
      <c r="G36" s="7">
        <f>SUM(三ノ宮多味庵4000[[#All],[ゆうき取りに行く]])</f>
        <v>17500</v>
      </c>
      <c r="H36" s="7"/>
      <c r="I36" s="7"/>
      <c r="J36" s="7">
        <f>SUM(三ノ宮多味庵4000[[#All],[イベンターへ]])</f>
        <v>11000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238</v>
      </c>
      <c r="L3" s="46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44809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44811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44813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44815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44817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44819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44821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44823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44825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44827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44829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44831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44833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 t="str">
        <f t="shared" si="1"/>
        <v/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44808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44809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44810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44811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44812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44813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44814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44815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44816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44817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44818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44819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44820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44821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44822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44823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44824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44825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44826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44827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44828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44829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44830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44831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44832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44833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44834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323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323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254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255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257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G32" sqref="G32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G1" s="93" t="s">
        <v>542</v>
      </c>
    </row>
    <row r="2" spans="1:21">
      <c r="A2" s="46" t="s">
        <v>372</v>
      </c>
      <c r="B2" s="8">
        <v>1300</v>
      </c>
      <c r="G2" s="93" t="s">
        <v>543</v>
      </c>
    </row>
    <row r="3" spans="1:21">
      <c r="A3" s="46" t="s">
        <v>376</v>
      </c>
      <c r="B3" s="8">
        <v>4000</v>
      </c>
      <c r="C3" s="46" t="s">
        <v>519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44808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44809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44815</v>
      </c>
      <c r="B15" s="13">
        <v>1</v>
      </c>
      <c r="C15" s="14">
        <v>0</v>
      </c>
      <c r="D15" s="15">
        <v>10</v>
      </c>
      <c r="E15" s="15"/>
      <c r="F15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22500</v>
      </c>
      <c r="G15" s="16">
        <f>IFERROR(($B$3*三ノ宮Barさんかく4000[[#This Row],[人数]])-三ノ宮Barさんかく4000[[#This Row],[単価合計]]-(三ノ宮Barさんかく4000[[#This Row],[キャンセル人数]]*$B$2),"")</f>
        <v>17500</v>
      </c>
      <c r="H15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5" s="15"/>
      <c r="J15" s="16">
        <f>IF(三ノ宮Barさんかく4000[[#This Row],[人数]]="","",VLOOKUP(三ノ宮Barさんかく4000[[#This Row],[人数]],バック金額②[#All],2,TRUE))</f>
        <v>11000</v>
      </c>
      <c r="L15" s="63">
        <f t="shared" si="1"/>
        <v>44815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44825</v>
      </c>
      <c r="B25" s="13">
        <v>1</v>
      </c>
      <c r="C25" s="14">
        <v>0</v>
      </c>
      <c r="D25" s="15">
        <v>9</v>
      </c>
      <c r="E25" s="15"/>
      <c r="F25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25" s="16">
        <f>IFERROR(($B$3*三ノ宮Barさんかく4000[[#This Row],[人数]])-三ノ宮Barさんかく4000[[#This Row],[単価合計]]-(三ノ宮Barさんかく4000[[#This Row],[キャンセル人数]]*$B$2),"")</f>
        <v>16000</v>
      </c>
      <c r="H25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5" s="15"/>
      <c r="J25" s="16">
        <f>IF(三ノ宮Barさんかく4000[[#This Row],[人数]]="","",VLOOKUP(三ノ宮Barさんかく4000[[#This Row],[人数]],バック金額②[#All],2,TRUE))</f>
        <v>10000</v>
      </c>
      <c r="L25" s="63">
        <f t="shared" si="1"/>
        <v>44825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44832</v>
      </c>
      <c r="B32" s="13">
        <v>1</v>
      </c>
      <c r="C32" s="14">
        <v>0</v>
      </c>
      <c r="D32" s="15">
        <v>8</v>
      </c>
      <c r="E32" s="15"/>
      <c r="F32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32" s="16">
        <f>IFERROR(($B$3*三ノ宮Barさんかく4000[[#This Row],[人数]])-三ノ宮Barさんかく4000[[#This Row],[単価合計]]-(三ノ宮Barさんかく4000[[#This Row],[キャンセル人数]]*$B$2),"")</f>
        <v>14500</v>
      </c>
      <c r="H32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2" s="15"/>
      <c r="J32" s="16">
        <f>IF(三ノ宮Barさんかく4000[[#This Row],[人数]]="","",VLOOKUP(三ノ宮Barさんかく4000[[#This Row],[人数]],バック金額②[#All],2,TRUE))</f>
        <v>9000</v>
      </c>
      <c r="L32" s="63">
        <f t="shared" si="1"/>
        <v>44832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323</v>
      </c>
      <c r="B36" s="7">
        <f>SUM(三ノ宮Barさんかく4000[[#All],[件数]])</f>
        <v>3</v>
      </c>
      <c r="C36" s="6"/>
      <c r="D36" s="7">
        <f>SUM(三ノ宮Barさんかく4000[[#All],[人数]])</f>
        <v>27</v>
      </c>
      <c r="E36" s="7">
        <f>SUM(三ノ宮Barさんかく4000[[#All],[Aパターン]])</f>
        <v>0</v>
      </c>
      <c r="F36" s="7">
        <f>SUM(三ノ宮Barさんかく4000[[#All],[単価合計]])</f>
        <v>60000</v>
      </c>
      <c r="G36" s="7">
        <f>SUM(三ノ宮Barさんかく4000[[#All],[ゆうき取りに行く]])</f>
        <v>48000</v>
      </c>
      <c r="H36" s="7"/>
      <c r="I36" s="7"/>
      <c r="J36" s="7">
        <f>SUM(三ノ宮Barさんかく4000[[#All],[イベンターへ]])</f>
        <v>30000</v>
      </c>
      <c r="L36" s="64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258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44805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44806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44808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44808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44809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44809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44810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44810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44811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44811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44812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44812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44813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44813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44814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44814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44815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44815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44816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44816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44817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44817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44818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44818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44819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44819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44820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44820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44821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44821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44822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44822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44823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44823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44824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44824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44825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44825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44826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44826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44827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44827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44828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44828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44829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44829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44830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44830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44831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44831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44832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44832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44833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44833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44834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44834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29" bestFit="1" customWidth="1"/>
    <col min="2" max="2" width="5.5546875" style="29" customWidth="1"/>
    <col min="3" max="3" width="15.6640625" style="29" bestFit="1" customWidth="1"/>
    <col min="4" max="4" width="8.33203125" style="29" bestFit="1" customWidth="1"/>
    <col min="5" max="5" width="13.21875" style="29" bestFit="1" customWidth="1"/>
    <col min="6" max="6" width="12" style="30" bestFit="1" customWidth="1"/>
    <col min="7" max="7" width="15.6640625" style="30" bestFit="1" customWidth="1"/>
    <col min="8" max="9" width="15.6640625" style="30" customWidth="1"/>
    <col min="10" max="10" width="12" style="30" bestFit="1" customWidth="1"/>
    <col min="11" max="11" width="10.6640625" style="29"/>
    <col min="12" max="12" width="20.6640625" style="29" bestFit="1" customWidth="1"/>
    <col min="13" max="13" width="6.33203125" style="29" customWidth="1"/>
    <col min="14" max="14" width="16.5546875" style="29" customWidth="1"/>
    <col min="15" max="15" width="6.33203125" style="29" customWidth="1"/>
    <col min="16" max="16" width="13.21875" style="29" bestFit="1" customWidth="1"/>
    <col min="17" max="17" width="11.44140625" style="30" bestFit="1" customWidth="1"/>
    <col min="18" max="18" width="15.6640625" style="30" bestFit="1" customWidth="1"/>
    <col min="19" max="20" width="15.6640625" style="30" customWidth="1"/>
    <col min="21" max="21" width="12" style="30" bestFit="1" customWidth="1"/>
    <col min="22" max="16384" width="10.6640625" style="29"/>
  </cols>
  <sheetData>
    <row r="1" spans="1:21">
      <c r="A1" s="46" t="s">
        <v>371</v>
      </c>
      <c r="B1" s="8">
        <v>2500</v>
      </c>
      <c r="K1" s="29" t="s">
        <v>510</v>
      </c>
    </row>
    <row r="2" spans="1:21">
      <c r="A2" s="46" t="s">
        <v>372</v>
      </c>
      <c r="B2" s="8">
        <v>1300</v>
      </c>
      <c r="L2" s="29" t="s">
        <v>515</v>
      </c>
      <c r="M2" s="29">
        <v>500</v>
      </c>
    </row>
    <row r="3" spans="1:21">
      <c r="A3" s="46" t="s">
        <v>376</v>
      </c>
      <c r="B3" s="8">
        <v>4000</v>
      </c>
      <c r="C3" s="29" t="s">
        <v>259</v>
      </c>
      <c r="L3" s="46" t="s">
        <v>376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44805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44805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44806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44806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44807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44807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44808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44808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44809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44809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44810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44810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44811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44811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44812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44812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44813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44813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44814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44814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44815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44815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44816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44816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44817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44817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44818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44818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44819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44819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44820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44820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44821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44821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44822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44822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44823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44823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44824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44824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44825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44825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44826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44826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44827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44827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44828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44828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44829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44829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44830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44830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44831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44831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44832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44832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44833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44833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44834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44834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 t="str">
        <f t="shared" si="0"/>
        <v/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 t="str">
        <f t="shared" si="1"/>
        <v/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2022-10-23T04:42:56Z</dcterms:modified>
</cp:coreProperties>
</file>