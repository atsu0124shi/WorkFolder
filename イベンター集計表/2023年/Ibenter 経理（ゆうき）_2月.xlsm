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su0\OneDrive\デスクトップ\イベンター集計表\2023年\"/>
    </mc:Choice>
  </mc:AlternateContent>
  <xr:revisionPtr revIDLastSave="0" documentId="13_ncr:1_{78F452F0-8C03-4741-8599-3E870323EE7A}" xr6:coauthVersionLast="47" xr6:coauthVersionMax="47" xr10:uidLastSave="{00000000-0000-0000-0000-000000000000}"/>
  <bookViews>
    <workbookView xWindow="-110" yWindow="-110" windowWidth="22780" windowHeight="14540" firstSheet="11" activeTab="11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state="hidden" r:id="rId9"/>
    <sheet name="①（堀江）aiai" sheetId="37" state="hidden" r:id="rId10"/>
    <sheet name="②（堀江）ファイブ" sheetId="38" state="hidden" r:id="rId11"/>
    <sheet name="②（北新地）エルソル" sheetId="49" r:id="rId12"/>
    <sheet name="②（北新地）ファイブ" sheetId="39" r:id="rId13"/>
    <sheet name="②（う）石狩" sheetId="40" state="hidden" r:id="rId14"/>
    <sheet name="②（う）あん" sheetId="41" state="hidden" r:id="rId15"/>
    <sheet name="②（う）煙" sheetId="42" state="hidden" r:id="rId16"/>
    <sheet name="①（し）サファリ" sheetId="43" r:id="rId17"/>
    <sheet name="①（し）3e BAR" sheetId="45" state="hidden" r:id="rId18"/>
    <sheet name="②（し）ラプロメッサ" sheetId="46" state="hidden" r:id="rId19"/>
    <sheet name="②（し）M &amp;M" sheetId="48" state="hidden" r:id="rId20"/>
    <sheet name="②（な）煙" sheetId="50" state="hidden" r:id="rId21"/>
    <sheet name="②（さ）多味庵" sheetId="51" r:id="rId22"/>
    <sheet name="②（て）キャンパス" sheetId="52" state="hidden" r:id="rId23"/>
    <sheet name="②（て）CSB" sheetId="77" state="hidden" r:id="rId24"/>
    <sheet name="②（さ）琥珀の泉" sheetId="53" state="hidden" r:id="rId25"/>
    <sheet name="②（さ）旬家" sheetId="54" state="hidden" r:id="rId26"/>
    <sheet name="②（さ）肉バルしょうじ" sheetId="56" state="hidden" r:id="rId27"/>
    <sheet name="②（さ）きさらぎ" sheetId="55" state="hidden" r:id="rId28"/>
    <sheet name="（さ）HAKU" sheetId="62" r:id="rId29"/>
    <sheet name="②（さ）Bar さんかく" sheetId="76" r:id="rId30"/>
    <sheet name="①（き）パンプキ" sheetId="57" state="hidden" r:id="rId31"/>
    <sheet name="(き)a55" sheetId="61" state="hidden" r:id="rId32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</workbook>
</file>

<file path=xl/calcChain.xml><?xml version="1.0" encoding="utf-8"?>
<calcChain xmlns="http://schemas.openxmlformats.org/spreadsheetml/2006/main">
  <c r="G36" i="49" l="1"/>
  <c r="P35" i="76"/>
  <c r="P34" i="76"/>
  <c r="P33" i="76"/>
  <c r="P32" i="76"/>
  <c r="P31" i="76"/>
  <c r="P30" i="76"/>
  <c r="P29" i="76"/>
  <c r="P28" i="76"/>
  <c r="P27" i="76"/>
  <c r="P26" i="76"/>
  <c r="P25" i="76"/>
  <c r="P24" i="76"/>
  <c r="P23" i="76"/>
  <c r="P22" i="76"/>
  <c r="P21" i="76"/>
  <c r="P20" i="76"/>
  <c r="P19" i="76"/>
  <c r="P18" i="76"/>
  <c r="P17" i="76"/>
  <c r="P16" i="76"/>
  <c r="P15" i="76"/>
  <c r="P14" i="76"/>
  <c r="P13" i="76"/>
  <c r="P12" i="76"/>
  <c r="P11" i="76"/>
  <c r="P10" i="76"/>
  <c r="P9" i="76"/>
  <c r="P8" i="76"/>
  <c r="P7" i="76"/>
  <c r="P6" i="76"/>
  <c r="P5" i="76"/>
  <c r="M35" i="76"/>
  <c r="M34" i="76"/>
  <c r="M33" i="76"/>
  <c r="M32" i="76"/>
  <c r="M31" i="76"/>
  <c r="M30" i="76"/>
  <c r="M29" i="76"/>
  <c r="M28" i="76"/>
  <c r="M27" i="76"/>
  <c r="M26" i="76"/>
  <c r="M25" i="76"/>
  <c r="M24" i="76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P35" i="62"/>
  <c r="P34" i="62"/>
  <c r="P33" i="62"/>
  <c r="P32" i="62"/>
  <c r="P31" i="62"/>
  <c r="P30" i="62"/>
  <c r="P29" i="62"/>
  <c r="P28" i="62"/>
  <c r="P27" i="62"/>
  <c r="P26" i="62"/>
  <c r="P25" i="62"/>
  <c r="P24" i="62"/>
  <c r="P23" i="62"/>
  <c r="P22" i="62"/>
  <c r="P21" i="62"/>
  <c r="P20" i="62"/>
  <c r="P19" i="62"/>
  <c r="P18" i="62"/>
  <c r="P17" i="62"/>
  <c r="P16" i="62"/>
  <c r="P15" i="62"/>
  <c r="P14" i="62"/>
  <c r="P13" i="62"/>
  <c r="P12" i="62"/>
  <c r="P11" i="62"/>
  <c r="P10" i="62"/>
  <c r="P9" i="62"/>
  <c r="P8" i="62"/>
  <c r="P7" i="62"/>
  <c r="P6" i="62"/>
  <c r="P5" i="62"/>
  <c r="M35" i="62"/>
  <c r="M34" i="62"/>
  <c r="M33" i="62"/>
  <c r="M32" i="62"/>
  <c r="M31" i="62"/>
  <c r="M30" i="62"/>
  <c r="M29" i="62"/>
  <c r="M28" i="62"/>
  <c r="M27" i="62"/>
  <c r="M26" i="62"/>
  <c r="M25" i="62"/>
  <c r="M24" i="62"/>
  <c r="M23" i="62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P35" i="39"/>
  <c r="P34" i="39"/>
  <c r="P33" i="39"/>
  <c r="P32" i="39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M35" i="39"/>
  <c r="M34" i="39"/>
  <c r="M33" i="39"/>
  <c r="M32" i="39"/>
  <c r="M31" i="39"/>
  <c r="M30" i="39"/>
  <c r="M29" i="39"/>
  <c r="M28" i="39"/>
  <c r="M27" i="39"/>
  <c r="M26" i="39"/>
  <c r="M25" i="39"/>
  <c r="M24" i="39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B29" i="76" l="1"/>
  <c r="B30" i="76"/>
  <c r="B31" i="76"/>
  <c r="B32" i="76"/>
  <c r="B33" i="76"/>
  <c r="B34" i="76"/>
  <c r="B35" i="76"/>
  <c r="B25" i="76"/>
  <c r="B26" i="76"/>
  <c r="B27" i="76"/>
  <c r="B28" i="76"/>
  <c r="B6" i="76"/>
  <c r="B7" i="76"/>
  <c r="B8" i="76"/>
  <c r="B9" i="76"/>
  <c r="B10" i="76"/>
  <c r="B11" i="76"/>
  <c r="B12" i="76"/>
  <c r="B13" i="76"/>
  <c r="B14" i="76"/>
  <c r="B15" i="76"/>
  <c r="B16" i="76"/>
  <c r="B17" i="76"/>
  <c r="B18" i="76"/>
  <c r="B19" i="76"/>
  <c r="B20" i="76"/>
  <c r="B21" i="76"/>
  <c r="B22" i="76"/>
  <c r="B23" i="76"/>
  <c r="B24" i="76"/>
  <c r="B5" i="76"/>
  <c r="B6" i="62"/>
  <c r="B7" i="62"/>
  <c r="B8" i="62"/>
  <c r="B9" i="62"/>
  <c r="B10" i="62"/>
  <c r="B11" i="62"/>
  <c r="B12" i="62"/>
  <c r="B13" i="62"/>
  <c r="B14" i="62"/>
  <c r="B15" i="62"/>
  <c r="B16" i="62"/>
  <c r="B17" i="62"/>
  <c r="B18" i="62"/>
  <c r="B19" i="62"/>
  <c r="B20" i="62"/>
  <c r="B21" i="62"/>
  <c r="B22" i="62"/>
  <c r="B23" i="62"/>
  <c r="B24" i="62"/>
  <c r="B25" i="62"/>
  <c r="B26" i="62"/>
  <c r="B27" i="62"/>
  <c r="B28" i="62"/>
  <c r="B29" i="62"/>
  <c r="B30" i="62"/>
  <c r="B31" i="62"/>
  <c r="B32" i="62"/>
  <c r="B33" i="62"/>
  <c r="B34" i="62"/>
  <c r="B35" i="62"/>
  <c r="B5" i="62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19" i="62"/>
  <c r="E20" i="62"/>
  <c r="E21" i="62"/>
  <c r="E22" i="62"/>
  <c r="E23" i="62"/>
  <c r="E24" i="62"/>
  <c r="E25" i="62"/>
  <c r="E26" i="62"/>
  <c r="E27" i="62"/>
  <c r="E28" i="62"/>
  <c r="E29" i="62"/>
  <c r="E30" i="62"/>
  <c r="E31" i="62"/>
  <c r="E32" i="62"/>
  <c r="E33" i="62"/>
  <c r="E34" i="62"/>
  <c r="E35" i="62"/>
  <c r="E5" i="62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5" i="35"/>
  <c r="B6" i="49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B35" i="49"/>
  <c r="B5" i="49"/>
  <c r="B6" i="39"/>
  <c r="B7" i="39"/>
  <c r="B8" i="39"/>
  <c r="B9" i="39"/>
  <c r="B10" i="39"/>
  <c r="B11" i="39"/>
  <c r="B12" i="39"/>
  <c r="B13" i="39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5" i="39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5" i="43"/>
  <c r="B6" i="46"/>
  <c r="B7" i="46"/>
  <c r="B8" i="46"/>
  <c r="B9" i="46"/>
  <c r="B10" i="46"/>
  <c r="B11" i="46"/>
  <c r="B12" i="46"/>
  <c r="B13" i="46"/>
  <c r="B14" i="46"/>
  <c r="B15" i="46"/>
  <c r="B16" i="46"/>
  <c r="B17" i="46"/>
  <c r="B18" i="46"/>
  <c r="B19" i="46"/>
  <c r="B20" i="46"/>
  <c r="B21" i="46"/>
  <c r="B22" i="46"/>
  <c r="B23" i="46"/>
  <c r="B24" i="46"/>
  <c r="B25" i="46"/>
  <c r="B26" i="46"/>
  <c r="B27" i="46"/>
  <c r="B28" i="46"/>
  <c r="B29" i="46"/>
  <c r="B30" i="46"/>
  <c r="B31" i="46"/>
  <c r="B32" i="46"/>
  <c r="B33" i="46"/>
  <c r="B34" i="46"/>
  <c r="B35" i="46"/>
  <c r="B5" i="46"/>
  <c r="B6" i="51"/>
  <c r="B7" i="51"/>
  <c r="B8" i="51"/>
  <c r="B9" i="51"/>
  <c r="B10" i="51"/>
  <c r="B11" i="51"/>
  <c r="B12" i="51"/>
  <c r="B13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5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5" i="51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19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5" i="39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5" i="35"/>
  <c r="E33" i="49"/>
  <c r="E34" i="49"/>
  <c r="E35" i="49"/>
  <c r="E14" i="49"/>
  <c r="E15" i="49"/>
  <c r="E16" i="49"/>
  <c r="E17" i="49"/>
  <c r="E18" i="49"/>
  <c r="E19" i="49"/>
  <c r="E20" i="49"/>
  <c r="E21" i="49"/>
  <c r="E22" i="49"/>
  <c r="E23" i="49"/>
  <c r="E24" i="49"/>
  <c r="E25" i="49"/>
  <c r="E26" i="49"/>
  <c r="E27" i="49"/>
  <c r="E28" i="49"/>
  <c r="E29" i="49"/>
  <c r="E30" i="49"/>
  <c r="E31" i="49"/>
  <c r="E32" i="49"/>
  <c r="E6" i="49"/>
  <c r="E7" i="49"/>
  <c r="E8" i="49"/>
  <c r="E9" i="49"/>
  <c r="E10" i="49"/>
  <c r="E11" i="49"/>
  <c r="E12" i="49"/>
  <c r="E13" i="49"/>
  <c r="E5" i="49"/>
  <c r="E6" i="76"/>
  <c r="E7" i="76"/>
  <c r="E8" i="76"/>
  <c r="E9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E23" i="76"/>
  <c r="E24" i="76"/>
  <c r="E25" i="76"/>
  <c r="E26" i="76"/>
  <c r="E27" i="76"/>
  <c r="E28" i="76"/>
  <c r="E29" i="76"/>
  <c r="E30" i="76"/>
  <c r="E31" i="76"/>
  <c r="E32" i="76"/>
  <c r="E33" i="76"/>
  <c r="E34" i="76"/>
  <c r="E35" i="76"/>
  <c r="E5" i="76"/>
  <c r="H11" i="46"/>
  <c r="H27" i="46"/>
  <c r="H32" i="46"/>
  <c r="H5" i="46"/>
  <c r="E6" i="46"/>
  <c r="H6" i="46" s="1"/>
  <c r="E7" i="46"/>
  <c r="H7" i="46" s="1"/>
  <c r="E8" i="46"/>
  <c r="H8" i="46" s="1"/>
  <c r="E9" i="46"/>
  <c r="H9" i="46" s="1"/>
  <c r="E10" i="46"/>
  <c r="H10" i="46" s="1"/>
  <c r="E11" i="46"/>
  <c r="E12" i="46"/>
  <c r="H12" i="46" s="1"/>
  <c r="E13" i="46"/>
  <c r="H13" i="46" s="1"/>
  <c r="E14" i="46"/>
  <c r="H14" i="46" s="1"/>
  <c r="E15" i="46"/>
  <c r="H15" i="46" s="1"/>
  <c r="E16" i="46"/>
  <c r="H16" i="46" s="1"/>
  <c r="E17" i="46"/>
  <c r="H17" i="46" s="1"/>
  <c r="E18" i="46"/>
  <c r="H18" i="46" s="1"/>
  <c r="E19" i="46"/>
  <c r="H19" i="46" s="1"/>
  <c r="E20" i="46"/>
  <c r="H20" i="46" s="1"/>
  <c r="E21" i="46"/>
  <c r="H21" i="46" s="1"/>
  <c r="E22" i="46"/>
  <c r="H22" i="46" s="1"/>
  <c r="E23" i="46"/>
  <c r="H23" i="46" s="1"/>
  <c r="E24" i="46"/>
  <c r="H24" i="46" s="1"/>
  <c r="E25" i="46"/>
  <c r="H25" i="46" s="1"/>
  <c r="E26" i="46"/>
  <c r="H26" i="46" s="1"/>
  <c r="E27" i="46"/>
  <c r="E28" i="46"/>
  <c r="H28" i="46" s="1"/>
  <c r="E29" i="46"/>
  <c r="H29" i="46" s="1"/>
  <c r="E30" i="46"/>
  <c r="H30" i="46" s="1"/>
  <c r="E31" i="46"/>
  <c r="H31" i="46" s="1"/>
  <c r="E32" i="46"/>
  <c r="E33" i="46"/>
  <c r="H33" i="46" s="1"/>
  <c r="E34" i="46"/>
  <c r="H34" i="46" s="1"/>
  <c r="E35" i="46"/>
  <c r="H35" i="46" s="1"/>
  <c r="E5" i="46"/>
  <c r="E6" i="43"/>
  <c r="H6" i="43" s="1"/>
  <c r="F6" i="43" s="1"/>
  <c r="G6" i="43" s="1"/>
  <c r="E7" i="43"/>
  <c r="H7" i="43" s="1"/>
  <c r="F7" i="43" s="1"/>
  <c r="G7" i="43" s="1"/>
  <c r="E8" i="43"/>
  <c r="H8" i="43" s="1"/>
  <c r="E9" i="43"/>
  <c r="H9" i="43" s="1"/>
  <c r="E10" i="43"/>
  <c r="H10" i="43" s="1"/>
  <c r="E11" i="43"/>
  <c r="H11" i="43" s="1"/>
  <c r="E12" i="43"/>
  <c r="H12" i="43" s="1"/>
  <c r="E13" i="43"/>
  <c r="H13" i="43" s="1"/>
  <c r="E14" i="43"/>
  <c r="E15" i="43"/>
  <c r="H15" i="43" s="1"/>
  <c r="E16" i="43"/>
  <c r="H16" i="43" s="1"/>
  <c r="E17" i="43"/>
  <c r="H17" i="43" s="1"/>
  <c r="F17" i="43" s="1"/>
  <c r="G17" i="43" s="1"/>
  <c r="E18" i="43"/>
  <c r="H18" i="43" s="1"/>
  <c r="F18" i="43" s="1"/>
  <c r="G18" i="43" s="1"/>
  <c r="E19" i="43"/>
  <c r="H19" i="43" s="1"/>
  <c r="E20" i="43"/>
  <c r="H20" i="43" s="1"/>
  <c r="E21" i="43"/>
  <c r="H21" i="43" s="1"/>
  <c r="E22" i="43"/>
  <c r="H22" i="43" s="1"/>
  <c r="E23" i="43"/>
  <c r="H23" i="43" s="1"/>
  <c r="E24" i="43"/>
  <c r="H24" i="43" s="1"/>
  <c r="F24" i="43" s="1"/>
  <c r="G24" i="43" s="1"/>
  <c r="E25" i="43"/>
  <c r="H25" i="43" s="1"/>
  <c r="E26" i="43"/>
  <c r="H26" i="43" s="1"/>
  <c r="E27" i="43"/>
  <c r="H27" i="43" s="1"/>
  <c r="E28" i="43"/>
  <c r="H28" i="43" s="1"/>
  <c r="E29" i="43"/>
  <c r="H29" i="43" s="1"/>
  <c r="E30" i="43"/>
  <c r="H30" i="43" s="1"/>
  <c r="E31" i="43"/>
  <c r="H31" i="43" s="1"/>
  <c r="E32" i="43"/>
  <c r="H32" i="43" s="1"/>
  <c r="E33" i="43"/>
  <c r="H33" i="43" s="1"/>
  <c r="F33" i="43" s="1"/>
  <c r="G33" i="43" s="1"/>
  <c r="E34" i="43"/>
  <c r="H34" i="43" s="1"/>
  <c r="E35" i="43"/>
  <c r="H35" i="43" s="1"/>
  <c r="E5" i="43"/>
  <c r="H5" i="43" s="1"/>
  <c r="H14" i="43"/>
  <c r="F14" i="43" s="1"/>
  <c r="G14" i="43" s="1"/>
  <c r="F8" i="43"/>
  <c r="G8" i="43" s="1"/>
  <c r="F9" i="43"/>
  <c r="G9" i="43" s="1"/>
  <c r="F10" i="43"/>
  <c r="G10" i="43" s="1"/>
  <c r="F11" i="43"/>
  <c r="G11" i="43" s="1"/>
  <c r="F12" i="43"/>
  <c r="G12" i="43"/>
  <c r="F13" i="43"/>
  <c r="G13" i="43" s="1"/>
  <c r="F15" i="43"/>
  <c r="G15" i="43" s="1"/>
  <c r="F16" i="43"/>
  <c r="G16" i="43" s="1"/>
  <c r="F19" i="43"/>
  <c r="G19" i="43" s="1"/>
  <c r="F20" i="43"/>
  <c r="G20" i="43" s="1"/>
  <c r="F21" i="43"/>
  <c r="G21" i="43" s="1"/>
  <c r="F22" i="43"/>
  <c r="G22" i="43" s="1"/>
  <c r="F23" i="43"/>
  <c r="G23" i="43" s="1"/>
  <c r="F25" i="43"/>
  <c r="G25" i="43" s="1"/>
  <c r="F26" i="43"/>
  <c r="G26" i="43" s="1"/>
  <c r="F27" i="43"/>
  <c r="G27" i="43" s="1"/>
  <c r="F28" i="43"/>
  <c r="G28" i="43" s="1"/>
  <c r="F29" i="43"/>
  <c r="G29" i="43" s="1"/>
  <c r="F30" i="43"/>
  <c r="G30" i="43" s="1"/>
  <c r="F31" i="43"/>
  <c r="G31" i="43"/>
  <c r="F32" i="43"/>
  <c r="G32" i="43" s="1"/>
  <c r="F34" i="43"/>
  <c r="G34" i="43" s="1"/>
  <c r="F35" i="43"/>
  <c r="G35" i="43" s="1"/>
  <c r="F27" i="39" l="1"/>
  <c r="G27" i="39" s="1"/>
  <c r="J28" i="43"/>
  <c r="J27" i="43"/>
  <c r="J20" i="43"/>
  <c r="U35" i="43"/>
  <c r="S35" i="43"/>
  <c r="Q35" i="43"/>
  <c r="R35" i="43" s="1"/>
  <c r="J17" i="43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 s="1"/>
  <c r="H5" i="51"/>
  <c r="J5" i="51"/>
  <c r="G8" i="38"/>
  <c r="G10" i="38"/>
  <c r="G11" i="38"/>
  <c r="G13" i="38"/>
  <c r="G16" i="38"/>
  <c r="G22" i="38"/>
  <c r="F6" i="38"/>
  <c r="G6" i="38" s="1"/>
  <c r="F7" i="38"/>
  <c r="G7" i="38" s="1"/>
  <c r="F8" i="38"/>
  <c r="F9" i="38"/>
  <c r="G9" i="38" s="1"/>
  <c r="F10" i="38"/>
  <c r="F11" i="38"/>
  <c r="F12" i="38"/>
  <c r="G12" i="38" s="1"/>
  <c r="F13" i="38"/>
  <c r="F14" i="38"/>
  <c r="G14" i="38" s="1"/>
  <c r="F15" i="38"/>
  <c r="G15" i="38" s="1"/>
  <c r="F16" i="38"/>
  <c r="F17" i="38"/>
  <c r="G17" i="38" s="1"/>
  <c r="F18" i="38"/>
  <c r="G18" i="38" s="1"/>
  <c r="F20" i="38"/>
  <c r="G20" i="38" s="1"/>
  <c r="F21" i="38"/>
  <c r="G21" i="38" s="1"/>
  <c r="F22" i="38"/>
  <c r="F23" i="38"/>
  <c r="G23" i="38" s="1"/>
  <c r="F24" i="38"/>
  <c r="G24" i="38" s="1"/>
  <c r="F26" i="38"/>
  <c r="G26" i="38" s="1"/>
  <c r="F28" i="38"/>
  <c r="G28" i="38" s="1"/>
  <c r="F30" i="38"/>
  <c r="G30" i="38" s="1"/>
  <c r="F31" i="38"/>
  <c r="G31" i="38" s="1"/>
  <c r="F32" i="38"/>
  <c r="G32" i="38" s="1"/>
  <c r="F33" i="38"/>
  <c r="G33" i="38" s="1"/>
  <c r="F34" i="38"/>
  <c r="G34" i="38" s="1"/>
  <c r="F35" i="38"/>
  <c r="G35" i="38" s="1"/>
  <c r="J33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J26" i="43"/>
  <c r="D36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Q34" i="77"/>
  <c r="R34" i="77" s="1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Q26" i="77"/>
  <c r="R26" i="77" s="1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Q19" i="77"/>
  <c r="R19" i="77" s="1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Q17" i="77"/>
  <c r="R17" i="77" s="1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Q12" i="77"/>
  <c r="R12" i="77" s="1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Q10" i="77"/>
  <c r="R10" i="77" s="1"/>
  <c r="J10" i="77"/>
  <c r="H10" i="77"/>
  <c r="F10" i="77"/>
  <c r="G10" i="77" s="1"/>
  <c r="U9" i="77"/>
  <c r="S9" i="77"/>
  <c r="Q9" i="77"/>
  <c r="R9" i="77" s="1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Q6" i="77"/>
  <c r="R6" i="77" s="1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8" i="51"/>
  <c r="G18" i="51" s="1"/>
  <c r="F19" i="51"/>
  <c r="G19" i="51" s="1"/>
  <c r="F21" i="51"/>
  <c r="G21" i="51" s="1"/>
  <c r="F22" i="51"/>
  <c r="G22" i="51" s="1"/>
  <c r="F23" i="51"/>
  <c r="F24" i="51"/>
  <c r="G24" i="51" s="1"/>
  <c r="F26" i="51"/>
  <c r="G26" i="51" s="1"/>
  <c r="F27" i="51"/>
  <c r="G27" i="51" s="1"/>
  <c r="F29" i="51"/>
  <c r="G29" i="51" s="1"/>
  <c r="F30" i="51"/>
  <c r="G30" i="51" s="1"/>
  <c r="F32" i="51"/>
  <c r="G32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F16" i="51" s="1"/>
  <c r="G16" i="51" s="1"/>
  <c r="H17" i="51"/>
  <c r="F17" i="51" s="1"/>
  <c r="G17" i="51" s="1"/>
  <c r="H18" i="51"/>
  <c r="H19" i="51"/>
  <c r="H20" i="51"/>
  <c r="F20" i="51" s="1"/>
  <c r="G20" i="51" s="1"/>
  <c r="H21" i="51"/>
  <c r="H22" i="51"/>
  <c r="G23" i="51"/>
  <c r="H23" i="51"/>
  <c r="H24" i="51"/>
  <c r="H25" i="51"/>
  <c r="F25" i="51" s="1"/>
  <c r="G25" i="51" s="1"/>
  <c r="H26" i="51"/>
  <c r="H27" i="51"/>
  <c r="H28" i="51"/>
  <c r="F28" i="51" s="1"/>
  <c r="G28" i="51" s="1"/>
  <c r="H29" i="51"/>
  <c r="H30" i="51"/>
  <c r="H31" i="51"/>
  <c r="F31" i="51" s="1"/>
  <c r="G31" i="51" s="1"/>
  <c r="H32" i="51"/>
  <c r="H33" i="51"/>
  <c r="F33" i="51" s="1"/>
  <c r="G33" i="51" s="1"/>
  <c r="G34" i="51"/>
  <c r="H34" i="51"/>
  <c r="H35" i="5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T350" i="63" s="1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T342" i="63" s="1"/>
  <c r="A343" i="63"/>
  <c r="A344" i="63"/>
  <c r="A345" i="63"/>
  <c r="T345" i="63" s="1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1" i="43"/>
  <c r="J22" i="43"/>
  <c r="J23" i="43"/>
  <c r="J24" i="43"/>
  <c r="J25" i="43"/>
  <c r="J29" i="43"/>
  <c r="J30" i="43"/>
  <c r="J31" i="43"/>
  <c r="J32" i="43"/>
  <c r="J34" i="43"/>
  <c r="J35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6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6" i="43"/>
  <c r="E36" i="43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2" i="35"/>
  <c r="I16" i="35"/>
  <c r="I18" i="35"/>
  <c r="I19" i="35"/>
  <c r="I20" i="35"/>
  <c r="I21" i="35"/>
  <c r="I22" i="35"/>
  <c r="I23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I11" i="35" s="1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B22" i="35"/>
  <c r="B23" i="35"/>
  <c r="B24" i="35"/>
  <c r="I24" i="35" s="1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Q18" i="61"/>
  <c r="R18" i="61" s="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Q26" i="57"/>
  <c r="R26" i="57" s="1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F14" i="57"/>
  <c r="G14" i="57" s="1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F6" i="57"/>
  <c r="G6" i="57" s="1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F32" i="56"/>
  <c r="G32" i="56" s="1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Q31" i="56"/>
  <c r="R31" i="56" s="1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Q14" i="56"/>
  <c r="R14" i="56" s="1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Q29" i="55"/>
  <c r="R29" i="55" s="1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Q22" i="55"/>
  <c r="R22" i="55" s="1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Q13" i="55"/>
  <c r="R13" i="55" s="1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Q6" i="55"/>
  <c r="R6" i="55" s="1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F23" i="55"/>
  <c r="G23" i="55" s="1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Q30" i="54"/>
  <c r="R30" i="54" s="1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Q22" i="54"/>
  <c r="R22" i="54" s="1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Q5" i="54"/>
  <c r="R5" i="54" s="1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F18" i="54"/>
  <c r="G18" i="54" s="1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F10" i="54"/>
  <c r="G10" i="54" s="1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F29" i="53"/>
  <c r="G29" i="53" s="1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F7" i="53"/>
  <c r="G7" i="53" s="1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Q25" i="53"/>
  <c r="R25" i="53" s="1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Q9" i="53"/>
  <c r="R9" i="53" s="1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Q23" i="49"/>
  <c r="R23" i="49" s="1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 s="1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F35" i="46"/>
  <c r="G35" i="46" s="1"/>
  <c r="F34" i="46"/>
  <c r="G34" i="46" s="1"/>
  <c r="F33" i="46"/>
  <c r="G33" i="46" s="1"/>
  <c r="F32" i="46"/>
  <c r="G32" i="46" s="1"/>
  <c r="F31" i="46"/>
  <c r="G31" i="46" s="1"/>
  <c r="F30" i="46"/>
  <c r="G30" i="46" s="1"/>
  <c r="F29" i="46"/>
  <c r="G29" i="46" s="1"/>
  <c r="F28" i="46"/>
  <c r="G28" i="46" s="1"/>
  <c r="F27" i="46"/>
  <c r="G27" i="46" s="1"/>
  <c r="F26" i="46"/>
  <c r="G26" i="46" s="1"/>
  <c r="F25" i="46"/>
  <c r="G25" i="46" s="1"/>
  <c r="F24" i="46"/>
  <c r="G24" i="46" s="1"/>
  <c r="F23" i="46"/>
  <c r="G23" i="46" s="1"/>
  <c r="F22" i="46"/>
  <c r="G22" i="46" s="1"/>
  <c r="F21" i="46"/>
  <c r="G21" i="46" s="1"/>
  <c r="F20" i="46"/>
  <c r="G20" i="46" s="1"/>
  <c r="F19" i="46"/>
  <c r="G19" i="46" s="1"/>
  <c r="F18" i="46"/>
  <c r="G18" i="46" s="1"/>
  <c r="F17" i="46"/>
  <c r="G17" i="46" s="1"/>
  <c r="F16" i="46"/>
  <c r="G16" i="46" s="1"/>
  <c r="F15" i="46"/>
  <c r="G15" i="46" s="1"/>
  <c r="F14" i="46"/>
  <c r="G14" i="46" s="1"/>
  <c r="F13" i="46"/>
  <c r="G13" i="46" s="1"/>
  <c r="F12" i="46"/>
  <c r="G12" i="46" s="1"/>
  <c r="F11" i="46"/>
  <c r="G11" i="46" s="1"/>
  <c r="F10" i="46"/>
  <c r="G10" i="46" s="1"/>
  <c r="F9" i="46"/>
  <c r="G9" i="46" s="1"/>
  <c r="F8" i="46"/>
  <c r="G8" i="46" s="1"/>
  <c r="F7" i="46"/>
  <c r="G7" i="46" s="1"/>
  <c r="F6" i="46"/>
  <c r="G6" i="46" s="1"/>
  <c r="S5" i="46"/>
  <c r="Q5" i="46"/>
  <c r="R5" i="46" s="1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Q25" i="45"/>
  <c r="R25" i="45" s="1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Q34" i="40"/>
  <c r="R34" i="40" s="1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 s="1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 s="1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H29" i="62"/>
  <c r="F29" i="62" s="1"/>
  <c r="G29" i="62" s="1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F27" i="38" s="1"/>
  <c r="G27" i="38" s="1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 s="1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 s="1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 s="1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 s="1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 s="1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 s="1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A35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A30" i="43" l="1"/>
  <c r="A28" i="43"/>
  <c r="A26" i="43"/>
  <c r="A24" i="43"/>
  <c r="A34" i="43"/>
  <c r="A22" i="43"/>
  <c r="A20" i="43"/>
  <c r="A18" i="43"/>
  <c r="A16" i="43"/>
  <c r="A14" i="43"/>
  <c r="A12" i="43"/>
  <c r="A10" i="43"/>
  <c r="A8" i="43"/>
  <c r="A32" i="43"/>
  <c r="A31" i="43"/>
  <c r="A29" i="43"/>
  <c r="A27" i="43"/>
  <c r="A25" i="43"/>
  <c r="A23" i="43"/>
  <c r="A21" i="43"/>
  <c r="A19" i="43"/>
  <c r="A17" i="43"/>
  <c r="A15" i="43"/>
  <c r="A13" i="43"/>
  <c r="A11" i="43"/>
  <c r="A9" i="43"/>
  <c r="A7" i="43"/>
  <c r="L35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6" i="43"/>
  <c r="F2" i="43" s="1"/>
  <c r="M36" i="43"/>
  <c r="R36" i="43" l="1"/>
  <c r="Q36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F2" i="39" s="1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H2" i="46" s="1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H2" i="51" s="1"/>
  <c r="B36" i="51"/>
  <c r="O36" i="50"/>
  <c r="M36" i="50"/>
  <c r="D36" i="50"/>
  <c r="B36" i="50"/>
  <c r="O36" i="49"/>
  <c r="M36" i="49"/>
  <c r="D36" i="49"/>
  <c r="F2" i="49" s="1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6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6" i="43"/>
  <c r="J36" i="43"/>
  <c r="G36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J79" i="25"/>
  <c r="I79" i="25"/>
  <c r="Y78" i="25"/>
  <c r="X78" i="25"/>
  <c r="T78" i="25"/>
  <c r="S78" i="25"/>
  <c r="U78" i="25" s="1"/>
  <c r="O78" i="25"/>
  <c r="N78" i="25"/>
  <c r="J78" i="25"/>
  <c r="I78" i="25"/>
  <c r="Y77" i="25"/>
  <c r="X77" i="25"/>
  <c r="T77" i="25"/>
  <c r="S77" i="25"/>
  <c r="U77" i="25" s="1"/>
  <c r="O77" i="25"/>
  <c r="N77" i="25"/>
  <c r="J77" i="25"/>
  <c r="I77" i="25"/>
  <c r="Y76" i="25"/>
  <c r="X76" i="25"/>
  <c r="T76" i="25"/>
  <c r="S76" i="25"/>
  <c r="U76" i="25" s="1"/>
  <c r="O76" i="25"/>
  <c r="N76" i="25"/>
  <c r="J76" i="25"/>
  <c r="I76" i="25"/>
  <c r="Y75" i="25"/>
  <c r="X75" i="25"/>
  <c r="T75" i="25"/>
  <c r="S75" i="25"/>
  <c r="U75" i="25" s="1"/>
  <c r="O75" i="25"/>
  <c r="N75" i="25"/>
  <c r="J75" i="25"/>
  <c r="I75" i="25"/>
  <c r="Y74" i="25"/>
  <c r="X74" i="25"/>
  <c r="T74" i="25"/>
  <c r="S74" i="25"/>
  <c r="U74" i="25" s="1"/>
  <c r="O74" i="25"/>
  <c r="N74" i="25"/>
  <c r="J74" i="25"/>
  <c r="I74" i="25"/>
  <c r="Y73" i="25"/>
  <c r="X73" i="25"/>
  <c r="T73" i="25"/>
  <c r="S73" i="25"/>
  <c r="U73" i="25" s="1"/>
  <c r="O73" i="25"/>
  <c r="N73" i="25"/>
  <c r="J73" i="25"/>
  <c r="I73" i="25"/>
  <c r="Y72" i="25"/>
  <c r="X72" i="25"/>
  <c r="T72" i="25"/>
  <c r="S72" i="25"/>
  <c r="U72" i="25" s="1"/>
  <c r="O72" i="25"/>
  <c r="N72" i="25"/>
  <c r="J72" i="25"/>
  <c r="I72" i="25"/>
  <c r="Y71" i="25"/>
  <c r="X71" i="25"/>
  <c r="T71" i="25"/>
  <c r="S71" i="25"/>
  <c r="U71" i="25" s="1"/>
  <c r="O71" i="25"/>
  <c r="N71" i="25"/>
  <c r="J71" i="25"/>
  <c r="I71" i="25"/>
  <c r="Y70" i="25"/>
  <c r="X70" i="25"/>
  <c r="T70" i="25"/>
  <c r="S70" i="25"/>
  <c r="U70" i="25" s="1"/>
  <c r="O70" i="25"/>
  <c r="N70" i="25"/>
  <c r="J70" i="25"/>
  <c r="I70" i="25"/>
  <c r="Y69" i="25"/>
  <c r="X69" i="25"/>
  <c r="T69" i="25"/>
  <c r="S69" i="25"/>
  <c r="U69" i="25" s="1"/>
  <c r="O69" i="25"/>
  <c r="N69" i="25"/>
  <c r="J69" i="25"/>
  <c r="I69" i="25"/>
  <c r="Y68" i="25"/>
  <c r="X68" i="25"/>
  <c r="T68" i="25"/>
  <c r="S68" i="25"/>
  <c r="U68" i="25" s="1"/>
  <c r="O68" i="25"/>
  <c r="N68" i="25"/>
  <c r="J68" i="25"/>
  <c r="I68" i="25"/>
  <c r="Y67" i="25"/>
  <c r="X67" i="25"/>
  <c r="T67" i="25"/>
  <c r="S67" i="25"/>
  <c r="U67" i="25" s="1"/>
  <c r="O67" i="25"/>
  <c r="N67" i="25"/>
  <c r="J67" i="25"/>
  <c r="I67" i="25"/>
  <c r="Y66" i="25"/>
  <c r="X66" i="25"/>
  <c r="T66" i="25"/>
  <c r="S66" i="25"/>
  <c r="U66" i="25" s="1"/>
  <c r="O66" i="25"/>
  <c r="N66" i="25"/>
  <c r="J66" i="25"/>
  <c r="I66" i="25"/>
  <c r="Y65" i="25"/>
  <c r="X65" i="25"/>
  <c r="T65" i="25"/>
  <c r="S65" i="25"/>
  <c r="U65" i="25" s="1"/>
  <c r="O65" i="25"/>
  <c r="N65" i="25"/>
  <c r="J65" i="25"/>
  <c r="I65" i="25"/>
  <c r="Y64" i="25"/>
  <c r="X64" i="25"/>
  <c r="T64" i="25"/>
  <c r="S64" i="25"/>
  <c r="U64" i="25" s="1"/>
  <c r="O64" i="25"/>
  <c r="N64" i="25"/>
  <c r="J64" i="25"/>
  <c r="I64" i="25"/>
  <c r="Y63" i="25"/>
  <c r="X63" i="25"/>
  <c r="T63" i="25"/>
  <c r="S63" i="25"/>
  <c r="U63" i="25" s="1"/>
  <c r="O63" i="25"/>
  <c r="N63" i="25"/>
  <c r="J63" i="25"/>
  <c r="I63" i="25"/>
  <c r="Y62" i="25"/>
  <c r="X62" i="25"/>
  <c r="T62" i="25"/>
  <c r="S62" i="25"/>
  <c r="U62" i="25" s="1"/>
  <c r="O62" i="25"/>
  <c r="N62" i="25"/>
  <c r="J62" i="25"/>
  <c r="I62" i="25"/>
  <c r="Y59" i="25"/>
  <c r="X59" i="25"/>
  <c r="T59" i="25"/>
  <c r="S59" i="25"/>
  <c r="U59" i="25" s="1"/>
  <c r="O59" i="25"/>
  <c r="N59" i="25"/>
  <c r="J59" i="25"/>
  <c r="I59" i="25"/>
  <c r="Y58" i="25"/>
  <c r="X58" i="25"/>
  <c r="T58" i="25"/>
  <c r="S58" i="25"/>
  <c r="U58" i="25" s="1"/>
  <c r="O58" i="25"/>
  <c r="N58" i="25"/>
  <c r="J58" i="25"/>
  <c r="I58" i="25"/>
  <c r="Y57" i="25"/>
  <c r="X57" i="25"/>
  <c r="T57" i="25"/>
  <c r="S57" i="25"/>
  <c r="U57" i="25" s="1"/>
  <c r="O57" i="25"/>
  <c r="N57" i="25"/>
  <c r="J57" i="25"/>
  <c r="I57" i="25"/>
  <c r="Y56" i="25"/>
  <c r="X56" i="25"/>
  <c r="T56" i="25"/>
  <c r="S56" i="25"/>
  <c r="U56" i="25" s="1"/>
  <c r="O56" i="25"/>
  <c r="N56" i="25"/>
  <c r="J56" i="25"/>
  <c r="I56" i="25"/>
  <c r="Y55" i="25"/>
  <c r="X55" i="25"/>
  <c r="T55" i="25"/>
  <c r="S55" i="25"/>
  <c r="U55" i="25" s="1"/>
  <c r="O55" i="25"/>
  <c r="N55" i="25"/>
  <c r="J55" i="25"/>
  <c r="I55" i="25"/>
  <c r="Y54" i="25"/>
  <c r="X54" i="25"/>
  <c r="T54" i="25"/>
  <c r="S54" i="25"/>
  <c r="U54" i="25" s="1"/>
  <c r="O54" i="25"/>
  <c r="N54" i="25"/>
  <c r="J54" i="25"/>
  <c r="I54" i="25"/>
  <c r="Y53" i="25"/>
  <c r="X53" i="25"/>
  <c r="T53" i="25"/>
  <c r="S53" i="25"/>
  <c r="U53" i="25" s="1"/>
  <c r="O53" i="25"/>
  <c r="N53" i="25"/>
  <c r="J53" i="25"/>
  <c r="I53" i="25"/>
  <c r="Y52" i="25"/>
  <c r="X52" i="25"/>
  <c r="T52" i="25"/>
  <c r="S52" i="25"/>
  <c r="U52" i="25" s="1"/>
  <c r="O52" i="25"/>
  <c r="N52" i="25"/>
  <c r="J52" i="25"/>
  <c r="I52" i="25"/>
  <c r="Y51" i="25"/>
  <c r="X51" i="25"/>
  <c r="T51" i="25"/>
  <c r="S51" i="25"/>
  <c r="U51" i="25" s="1"/>
  <c r="O51" i="25"/>
  <c r="N51" i="25"/>
  <c r="J51" i="25"/>
  <c r="I51" i="25"/>
  <c r="Y50" i="25"/>
  <c r="X50" i="25"/>
  <c r="T50" i="25"/>
  <c r="S50" i="25"/>
  <c r="U50" i="25" s="1"/>
  <c r="O50" i="25"/>
  <c r="N50" i="25"/>
  <c r="J50" i="25"/>
  <c r="I50" i="25"/>
  <c r="Y49" i="25"/>
  <c r="X49" i="25"/>
  <c r="T49" i="25"/>
  <c r="S49" i="25"/>
  <c r="U49" i="25" s="1"/>
  <c r="O49" i="25"/>
  <c r="N49" i="25"/>
  <c r="J49" i="25"/>
  <c r="I49" i="25"/>
  <c r="Y48" i="25"/>
  <c r="X48" i="25"/>
  <c r="T48" i="25"/>
  <c r="S48" i="25"/>
  <c r="U48" i="25" s="1"/>
  <c r="O48" i="25"/>
  <c r="N48" i="25"/>
  <c r="J48" i="25"/>
  <c r="I48" i="25"/>
  <c r="Y47" i="25"/>
  <c r="X47" i="25"/>
  <c r="T47" i="25"/>
  <c r="S47" i="25"/>
  <c r="U47" i="25" s="1"/>
  <c r="O47" i="25"/>
  <c r="N47" i="25"/>
  <c r="J47" i="25"/>
  <c r="I47" i="25"/>
  <c r="Y46" i="25"/>
  <c r="X46" i="25"/>
  <c r="T46" i="25"/>
  <c r="S46" i="25"/>
  <c r="U46" i="25" s="1"/>
  <c r="O46" i="25"/>
  <c r="N46" i="25"/>
  <c r="J46" i="25"/>
  <c r="I46" i="25"/>
  <c r="Y45" i="25"/>
  <c r="X45" i="25"/>
  <c r="T45" i="25"/>
  <c r="S45" i="25"/>
  <c r="U45" i="25" s="1"/>
  <c r="O45" i="25"/>
  <c r="N45" i="25"/>
  <c r="J45" i="25"/>
  <c r="I45" i="25"/>
  <c r="Y44" i="25"/>
  <c r="X44" i="25"/>
  <c r="T44" i="25"/>
  <c r="S44" i="25"/>
  <c r="U44" i="25" s="1"/>
  <c r="O44" i="25"/>
  <c r="N44" i="25"/>
  <c r="J44" i="25"/>
  <c r="I44" i="25"/>
  <c r="Y43" i="25"/>
  <c r="X43" i="25"/>
  <c r="T43" i="25"/>
  <c r="S43" i="25"/>
  <c r="U43" i="25" s="1"/>
  <c r="O43" i="25"/>
  <c r="N43" i="25"/>
  <c r="J43" i="25"/>
  <c r="I43" i="25"/>
  <c r="Y42" i="25"/>
  <c r="X42" i="25"/>
  <c r="T42" i="25"/>
  <c r="S42" i="25"/>
  <c r="U42" i="25" s="1"/>
  <c r="O42" i="25"/>
  <c r="N42" i="25"/>
  <c r="J42" i="25"/>
  <c r="I42" i="25"/>
  <c r="Y39" i="25"/>
  <c r="X39" i="25"/>
  <c r="T39" i="25"/>
  <c r="S39" i="25"/>
  <c r="U39" i="25" s="1"/>
  <c r="O39" i="25"/>
  <c r="N39" i="25"/>
  <c r="J39" i="25"/>
  <c r="I39" i="25"/>
  <c r="Y38" i="25"/>
  <c r="X38" i="25"/>
  <c r="T38" i="25"/>
  <c r="S38" i="25"/>
  <c r="U38" i="25" s="1"/>
  <c r="O38" i="25"/>
  <c r="N38" i="25"/>
  <c r="J38" i="25"/>
  <c r="I38" i="25"/>
  <c r="F38" i="25"/>
  <c r="D38" i="25"/>
  <c r="E38" i="25" s="1"/>
  <c r="Y37" i="25"/>
  <c r="X37" i="25"/>
  <c r="T37" i="25"/>
  <c r="S37" i="25"/>
  <c r="O37" i="25"/>
  <c r="N37" i="25"/>
  <c r="J37" i="25"/>
  <c r="I37" i="25"/>
  <c r="F37" i="25"/>
  <c r="D37" i="25"/>
  <c r="E37" i="25" s="1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D30" i="25"/>
  <c r="E30" i="25" s="1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I10" i="25"/>
  <c r="K10" i="25" s="1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I8" i="25"/>
  <c r="K8" i="25" s="1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N6" i="25"/>
  <c r="P6" i="25" s="1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X3" i="25"/>
  <c r="Z3" i="25" s="1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34" i="25" l="1"/>
  <c r="U22" i="25"/>
  <c r="U37" i="25"/>
  <c r="P38" i="25"/>
  <c r="P39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U31" i="25"/>
  <c r="P22" i="25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11" i="1" l="1"/>
  <c r="J23" i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<sst xmlns="http://schemas.openxmlformats.org/spreadsheetml/2006/main" count="1409" uniqueCount="572">
  <si>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</si>
  <si>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</si>
  <si>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</si>
  <si>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</si>
  <si>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</si>
  <si>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</si>
  <si>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</si>
  <si>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</si>
  <si>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</si>
  <si>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</si>
  <si>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</si>
  <si>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</si>
  <si>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</si>
  <si>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</si>
  <si>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</si>
  <si>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</si>
  <si>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</si>
  <si>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</si>
  <si>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</si>
  <si>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</si>
  <si>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</si>
  <si>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</si>
  <si>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</si>
  <si>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</si>
  <si>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</si>
  <si>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</si>
  <si>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</si>
  <si>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</si>
  <si>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</si>
  <si>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</si>
  <si>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</si>
  <si>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</si>
  <si>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</si>
  <si>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</si>
  <si>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</si>
  <si>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</si>
  <si>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</si>
  <si>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</si>
  <si>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</si>
  <si>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</si>
  <si>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</si>
  <si>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</si>
  <si>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</si>
  <si>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</si>
  <si>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</si>
  <si>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</si>
  <si>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</si>
  <si>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</si>
  <si>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</si>
  <si>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</si>
  <si>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</si>
  <si>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</si>
  <si>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</si>
  <si>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</si>
  <si>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</si>
  <si>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</si>
  <si>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</si>
  <si>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</si>
  <si>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</si>
  <si>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</si>
  <si>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</si>
  <si>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</si>
  <si>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</si>
  <si>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</si>
  <si>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</si>
  <si>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</si>
  <si>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</si>
  <si>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</si>
  <si>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</si>
  <si>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</si>
  <si>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</si>
  <si>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</si>
  <si>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</si>
  <si>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</si>
  <si>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</si>
  <si>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</si>
  <si>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</si>
  <si>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</si>
  <si>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</si>
  <si>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</si>
  <si>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</si>
  <si>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</si>
  <si>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</si>
  <si>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</si>
  <si>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</si>
  <si>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</si>
  <si>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</si>
  <si>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</si>
  <si>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</si>
  <si>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</si>
  <si>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</si>
  <si>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</si>
  <si>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</si>
  <si>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</si>
  <si>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</si>
  <si>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</si>
  <si>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</si>
  <si>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</si>
  <si>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</si>
  <si>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</si>
  <si>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</si>
  <si>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</si>
  <si>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</si>
  <si>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</si>
  <si>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</si>
  <si>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</si>
  <si>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</si>
  <si>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</si>
  <si>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</si>
  <si>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</si>
  <si>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</si>
  <si>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</si>
  <si>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</si>
  <si>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</si>
  <si>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</si>
  <si>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</si>
  <si>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</si>
  <si>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</si>
  <si>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</si>
  <si>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</si>
  <si>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</si>
  <si>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</si>
  <si>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</si>
  <si>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</si>
  <si>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</si>
  <si>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</si>
  <si>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</si>
  <si>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</si>
  <si>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</si>
  <si>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</si>
  <si>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</si>
  <si>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</si>
  <si>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</si>
  <si>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</si>
  <si>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</si>
  <si>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</si>
  <si>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</si>
  <si>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</si>
  <si>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</si>
  <si>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</si>
  <si>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</si>
  <si>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</si>
  <si>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</si>
  <si>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</si>
  <si>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</si>
  <si>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</si>
  <si>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</si>
  <si>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</si>
  <si>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</si>
  <si>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</si>
  <si>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</si>
  <si>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</si>
  <si>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</si>
  <si>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</si>
  <si>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</si>
  <si>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</si>
  <si>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</si>
  <si>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</si>
  <si>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</si>
  <si>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</si>
  <si>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</si>
  <si>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</si>
  <si>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</si>
  <si>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</si>
  <si>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</si>
  <si>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</si>
  <si>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</si>
  <si>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</si>
  <si>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</si>
  <si>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</si>
  <si>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</si>
  <si>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</si>
  <si>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</si>
  <si>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</si>
  <si>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</si>
  <si>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</si>
  <si>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</si>
  <si>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</si>
  <si>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</si>
  <si>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</si>
  <si>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</si>
  <si>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</si>
  <si>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</si>
  <si>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</si>
  <si>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</si>
  <si>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</si>
  <si>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</si>
  <si>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</si>
  <si>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</si>
  <si>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</si>
  <si>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</si>
  <si>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</si>
  <si>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</si>
  <si>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</si>
  <si>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</si>
  <si>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</si>
  <si>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</si>
  <si>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</si>
  <si>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</si>
  <si>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</si>
  <si>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</si>
  <si>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</si>
  <si>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</si>
  <si>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</si>
  <si>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</si>
  <si>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</si>
  <si>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</si>
  <si>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</si>
  <si>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</si>
  <si>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</si>
  <si>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</si>
  <si>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</si>
  <si>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</si>
  <si>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</si>
  <si>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</si>
  <si>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</si>
  <si>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</si>
  <si>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</si>
  <si>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</si>
  <si>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</si>
  <si>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</si>
  <si>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</si>
  <si>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</si>
  <si>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</si>
  <si>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</si>
  <si>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</si>
  <si>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</si>
  <si>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</si>
  <si>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</si>
  <si>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</si>
  <si>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</si>
  <si>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</si>
  <si>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</si>
  <si>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</si>
  <si>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</si>
  <si>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</si>
  <si>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</si>
  <si>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</si>
  <si>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</si>
  <si>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</si>
  <si>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</si>
  <si>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</si>
  <si>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</si>
  <si>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</si>
  <si>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</si>
  <si>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</si>
  <si>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</si>
  <si>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</si>
  <si>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</si>
  <si>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</si>
  <si>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</si>
  <si>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</si>
  <si>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</si>
  <si>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</si>
  <si>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</si>
  <si>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</si>
  <si>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</si>
  <si>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</si>
  <si>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</si>
  <si>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</si>
  <si>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</si>
  <si>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</si>
  <si>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</si>
  <si>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</si>
  <si>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</si>
  <si>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</si>
  <si>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</si>
  <si>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</si>
  <si>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</si>
  <si>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</si>
  <si>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</si>
  <si>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</si>
  <si>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</si>
  <si>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</si>
  <si>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</si>
  <si>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</si>
  <si>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</si>
  <si>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</si>
  <si>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</si>
  <si>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</si>
  <si>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</si>
  <si>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</si>
  <si>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</si>
  <si>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</si>
  <si>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</si>
  <si>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</si>
  <si>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</si>
  <si>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</si>
  <si>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</si>
  <si>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</si>
  <si>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</si>
  <si>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</si>
  <si>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</si>
  <si>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</si>
  <si>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</si>
  <si>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</si>
  <si>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</si>
  <si>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</si>
  <si>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</si>
  <si>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</si>
  <si>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</si>
  <si>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</si>
  <si>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</si>
  <si>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</si>
  <si>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</si>
  <si>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</si>
  <si>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</si>
  <si>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</si>
  <si>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</si>
  <si>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</si>
  <si>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</si>
  <si>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</si>
  <si>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</si>
  <si>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</si>
  <si>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</si>
  <si>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</si>
  <si>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</si>
  <si>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</si>
  <si>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</si>
  <si>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</si>
  <si>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</si>
  <si>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</si>
  <si>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</si>
  <si>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</si>
  <si>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</si>
  <si>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</si>
  <si>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</si>
  <si>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</si>
  <si>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</si>
  <si>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</si>
  <si>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</si>
  <si>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</si>
  <si>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</si>
  <si>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</si>
  <si>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</si>
  <si>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</si>
  <si>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</si>
  <si>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</si>
  <si>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</si>
  <si>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</si>
  <si>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</si>
  <si>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</si>
  <si>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</si>
  <si>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</si>
  <si>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</si>
  <si>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</si>
  <si>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</si>
  <si>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</si>
  <si>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</si>
  <si>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</si>
  <si>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</si>
  <si>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</si>
  <si>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</si>
  <si>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</si>
  <si>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</si>
  <si>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</si>
  <si>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</si>
  <si>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</si>
  <si>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</si>
  <si>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</si>
  <si>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</si>
  <si>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</si>
  <si>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</si>
  <si>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</si>
  <si>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</si>
  <si>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</si>
  <si>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</si>
  <si>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</si>
  <si>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</si>
  <si>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</si>
  <si>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</si>
  <si>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</si>
  <si>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</si>
  <si>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</si>
  <si>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</si>
  <si>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</si>
  <si>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</si>
  <si>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</si>
  <si>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</si>
  <si>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</si>
  <si>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</si>
  <si>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</si>
  <si>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</si>
  <si>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</si>
  <si>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</si>
  <si>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</si>
  <si>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</si>
  <si>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</si>
  <si>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</si>
  <si>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</si>
  <si>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</si>
  <si>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</si>
  <si>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</si>
  <si>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</si>
  <si>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</si>
  <si>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</si>
  <si>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</si>
  <si>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</si>
  <si>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</si>
  <si>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</si>
  <si>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</si>
  <si>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</si>
  <si>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</si>
  <si>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</si>
  <si>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</si>
  <si>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</si>
  <si>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</si>
  <si>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</si>
  <si>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</si>
  <si>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</si>
  <si>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</si>
  <si>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</si>
  <si>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</si>
  <si>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</si>
  <si>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</si>
  <si>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</si>
  <si>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</si>
  <si>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</si>
  <si>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</si>
  <si>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</si>
  <si>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</si>
  <si>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</si>
  <si>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</si>
  <si>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</si>
  <si>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</si>
  <si>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</si>
  <si>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</si>
  <si>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</si>
  <si>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</si>
  <si>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</si>
  <si>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</si>
  <si>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</si>
  <si>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</si>
  <si>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</si>
  <si>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</si>
  <si>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</si>
  <si>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</si>
  <si>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</si>
  <si>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</si>
  <si>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</si>
  <si>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</si>
  <si>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</si>
  <si>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</si>
  <si>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</si>
  <si>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</si>
  <si>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</si>
  <si>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</si>
  <si>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</si>
  <si>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</si>
  <si>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</si>
  <si>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</si>
  <si>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</si>
  <si>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</si>
  <si>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</si>
  <si>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</si>
  <si>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</si>
  <si>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</si>
  <si>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</si>
  <si>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</si>
  <si>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</si>
  <si>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</si>
  <si>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</si>
  <si>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</si>
  <si>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</si>
  <si>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</si>
  <si>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</si>
  <si>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</si>
  <si>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</si>
  <si>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</si>
  <si>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</si>
  <si>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</si>
  <si>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</si>
  <si>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</si>
  <si>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</si>
  <si>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</si>
  <si>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</si>
  <si>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</si>
  <si>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</si>
  <si>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</si>
  <si>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</si>
  <si>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</si>
  <si>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</si>
  <si>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</si>
  <si>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</si>
  <si>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</si>
  <si>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</si>
  <si>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</si>
  <si>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</si>
  <si>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</si>
  <si>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</si>
  <si>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</si>
  <si>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</si>
  <si>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</si>
  <si>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</si>
  <si>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</si>
  <si>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</si>
  <si>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</si>
  <si>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</si>
  <si>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</si>
  <si>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</si>
  <si>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</si>
  <si>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</si>
  <si>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</si>
  <si>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</si>
  <si>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</si>
  <si>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</si>
  <si>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</si>
  <si>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</si>
  <si>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</si>
  <si>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</si>
  <si>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</si>
  <si>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</si>
  <si>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</si>
  <si>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</si>
  <si>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</si>
  <si>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</si>
  <si>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</si>
  <si>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</si>
  <si>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</si>
  <si>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</si>
  <si>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</si>
  <si>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</si>
  <si>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</si>
  <si>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</si>
  <si>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</si>
  <si>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</si>
  <si>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</si>
  <si>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</si>
  <si>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</si>
  <si>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</si>
  <si>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</si>
  <si>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</si>
  <si>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</si>
  <si>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</si>
  <si>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</si>
  <si>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</si>
  <si>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</si>
  <si>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</si>
  <si>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</si>
  <si>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</si>
  <si>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</si>
  <si>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</si>
  <si>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</si>
  <si>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</si>
  <si>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</si>
  <si>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</si>
  <si>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</si>
  <si>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</si>
  <si>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</si>
  <si>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</si>
  <si>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</si>
  <si>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</si>
  <si>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</si>
  <si>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</si>
  <si>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</si>
  <si>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</si>
  <si>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</si>
  <si>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</si>
  <si>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</si>
  <si>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</si>
  <si>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</si>
  <si>
    <t>領収書記載金額</t>
    <rPh sb="0" eb="7">
      <t>リョウシュウショキサイキンガク</t>
    </rPh>
    <phoneticPr fontId="2"/>
  </si>
  <si>
    <t>領収書記載金額：</t>
    <rPh sb="0" eb="7">
      <t>リョウシュウショキサイキンガク</t>
    </rPh>
    <phoneticPr fontId="2"/>
  </si>
  <si>
    <t>個室の予約は10人で1名で無料計算</t>
    <rPh sb="0" eb="2">
      <t>コシツ</t>
    </rPh>
    <rPh sb="3" eb="5">
      <t>ヨヤク</t>
    </rPh>
    <rPh sb="8" eb="9">
      <t>ニン</t>
    </rPh>
    <rPh sb="11" eb="12">
      <t>メイ</t>
    </rPh>
    <rPh sb="13" eb="15">
      <t>ムリョウ</t>
    </rPh>
    <rPh sb="15" eb="17">
      <t>ケイサン</t>
    </rPh>
    <phoneticPr fontId="2"/>
  </si>
  <si>
    <t>サファリ</t>
    <phoneticPr fontId="2"/>
  </si>
  <si>
    <t>三宮　HAKU</t>
    <rPh sb="0" eb="2">
      <t>サンノミヤ</t>
    </rPh>
    <phoneticPr fontId="2"/>
  </si>
  <si>
    <t>北新地　エルソル</t>
    <rPh sb="0" eb="3">
      <t>キタシンチ</t>
    </rPh>
    <phoneticPr fontId="2"/>
  </si>
  <si>
    <t>8名以上件数</t>
    <rPh sb="1" eb="2">
      <t>メイ</t>
    </rPh>
    <rPh sb="2" eb="4">
      <t>イジョウ</t>
    </rPh>
    <rPh sb="4" eb="6">
      <t>ケンスウ</t>
    </rPh>
    <phoneticPr fontId="2"/>
  </si>
  <si>
    <t>8件以上件数</t>
    <rPh sb="1" eb="2">
      <t>ケン</t>
    </rPh>
    <rPh sb="2" eb="4">
      <t>イジョウ</t>
    </rPh>
    <rPh sb="4" eb="6">
      <t>ケンスウ</t>
    </rPh>
    <phoneticPr fontId="2"/>
  </si>
  <si>
    <t>8人以上件数</t>
    <rPh sb="1" eb="2">
      <t>ニン</t>
    </rPh>
    <rPh sb="2" eb="4">
      <t>イジョウ</t>
    </rPh>
    <rPh sb="4" eb="6">
      <t>ケンスウ</t>
    </rPh>
    <phoneticPr fontId="2"/>
  </si>
  <si>
    <t>8名以上件数</t>
    <rPh sb="1" eb="4">
      <t>メイイジョウ</t>
    </rPh>
    <rPh sb="4" eb="6">
      <t>ケンスウ</t>
    </rPh>
    <phoneticPr fontId="2"/>
  </si>
  <si>
    <t>8件以上件数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</si>
</sst>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 shrinkToFit="1"/>
    </xf>
    <xf numFmtId="0" fontId="0" fillId="0" borderId="6" xfId="0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0" fontId="1" fillId="3" borderId="7" xfId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7" fillId="0" borderId="6" xfId="0" applyFont="1" applyBorder="1" applyAlignment="1">
      <alignment vertical="center" shrinkToFit="1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11" fillId="0" borderId="7" xfId="0" applyNumberFormat="1" applyFont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15" xfId="0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Border="1">
      <alignment vertical="center"/>
    </xf>
    <xf numFmtId="31" fontId="7" fillId="0" borderId="29" xfId="0" applyNumberFormat="1" applyFont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0" fillId="0" borderId="13" xfId="0" applyBorder="1" applyAlignment="1">
      <alignment vertical="center"/>
    </xf>
    <xf numFmtId="38" fontId="7" fillId="0" borderId="7" xfId="2" applyFont="1" applyBorder="1" applyAlignment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31" fontId="11" fillId="0" borderId="31" xfId="0" applyNumberFormat="1" applyFont="1" applyBorder="1" applyAlignment="1">
      <alignment horizontal="right" vertical="center"/>
    </xf>
    <xf numFmtId="38" fontId="7" fillId="0" borderId="15" xfId="2" applyFont="1" applyFill="1" applyBorder="1">
      <alignment vertical="center"/>
    </xf>
    <xf numFmtId="0" fontId="7" fillId="3" borderId="16" xfId="1" applyFont="1" applyFill="1" applyBorder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56"/>
      <tableStyleElement type="firstRowStripe" dxfId="855"/>
      <tableStyleElement type="secondRowStripe" dxfId="854"/>
    </tableStyle>
    <tableStyle name="各店舗件数-style" pivot="0" count="3" xr9:uid="{00000000-0011-0000-FFFF-FFFF01000000}">
      <tableStyleElement type="headerRow" dxfId="853"/>
      <tableStyleElement type="firstRowStripe" dxfId="852"/>
      <tableStyleElement type="secondRowStripe" dxfId="851"/>
    </tableStyle>
    <tableStyle name="店舗名集-style" pivot="0" count="3" xr9:uid="{00000000-0011-0000-FFFF-FFFF02000000}">
      <tableStyleElement type="headerRow" dxfId="850"/>
      <tableStyleElement type="firstRowStripe" dxfId="849"/>
      <tableStyleElement type="secondRowStripe" dxfId="8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</xdr:row>
          <xdr:rowOff>152400</xdr:rowOff>
        </xdr:from>
        <xdr:to>
          <xdr:col>12</xdr:col>
          <xdr:colOff>628650</xdr:colOff>
          <xdr:row>3</xdr:row>
          <xdr:rowOff>165100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3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5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6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6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A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B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1C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D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F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47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46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45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44"/>
    <tableColumn id="11" xr3:uid="{D07885CD-345A-41E3-8854-9D6C28ABE6D8}" name="Bパターン" dataDxfId="843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42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41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40" headerRowBorderDxfId="839" tableBorderDxfId="838" totalsRowBorderDxfId="837">
  <autoFilter ref="A2:C15" xr:uid="{AB2EB2CF-299B-4598-990D-D745775F2350}"/>
  <tableColumns count="3">
    <tableColumn id="1" xr3:uid="{CB412B2B-5596-4A33-AD3C-88415E3CE5A1}" name="管理番号" dataDxfId="836"/>
    <tableColumn id="2" xr3:uid="{9A7B09FC-E8EF-4F7A-A624-EB9B76267B13}" name="B件数" dataDxfId="835"/>
    <tableColumn id="3" xr3:uid="{637D4B54-0388-4C03-B793-68763C5D9D72}" name="バック合計金額" dataDxfId="834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33" tableBorderDxfId="832" totalsRowBorderDxfId="831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30" totalsRowDxfId="829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28" totalsRowDxfId="827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26" totalsRowDxfId="825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24" totalsRowDxfId="823" dataCellStyle="標準 2">
      <calculatedColumnFormula>IF(SUM(E2:XFD2)=0,"",SUM(E2:XFD2))</calculatedColumnFormula>
    </tableColumn>
    <tableColumn id="5" xr3:uid="{802613F8-2CBB-4F45-AAE8-34F38D6DECCD}" name="キャンプ" dataDxfId="822" totalsRowDxfId="821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20" totalsRowDxfId="819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18" totalsRowDxfId="817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16" totalsRowDxfId="815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14" totalsRowDxfId="813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12" totalsRowDxfId="811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10" totalsRowDxfId="809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08" totalsRowDxfId="807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06" totalsRowDxfId="805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04" totalsRowDxfId="803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02" totalsRowDxfId="801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00" totalsRowDxfId="799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798" totalsRowDxfId="797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796" totalsRowDxfId="795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794" totalsRowDxfId="793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792" totalsRowDxfId="791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790" totalsRowDxfId="789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788" totalsRowDxfId="787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786" totalsRowDxfId="785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784" totalsRowDxfId="783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782" totalsRowDxfId="781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780" totalsRowDxfId="779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778" totalsRowDxfId="777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776" totalsRowDxfId="775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774" totalsRowDxfId="771" headerRowBorderDxfId="773" tableBorderDxfId="772" totalsRowBorderDxfId="770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69" totalsRowDxfId="768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67" totalsRowDxfId="766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65" totalsRowDxfId="764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63" totalsRowDxfId="762" dataCellStyle="標準 2">
      <calculatedColumnFormula>IF(SUM(E2:XFD2)=0,"",SUM(E2:XFD2))</calculatedColumnFormula>
    </tableColumn>
    <tableColumn id="5" xr3:uid="{F3F9E92F-DBE9-4C91-A3D6-1FC8488B488D}" name="キャンプ" dataDxfId="761" totalsRowDxfId="760" dataCellStyle="桁区切り 2">
      <calculatedColumnFormula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59" totalsRowDxfId="758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57" totalsRowDxfId="756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55" totalsRowDxfId="754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53" totalsRowDxfId="752" dataCellStyle="桁区切り 2">
      <calculatedColumnFormula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51" totalsRowDxfId="750" dataCellStyle="桁区切り 2">
      <calculatedColumnFormula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calculatedColumnFormula>
    </tableColumn>
    <tableColumn id="15" xr3:uid="{F301EE54-C810-4048-8F07-AFF2CA67B0C0}" name="石狩" dataDxfId="749" totalsRowDxfId="748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47" totalsRowDxfId="746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45" totalsRowDxfId="744" dataCellStyle="桁区切り 2">
      <calculatedColumnFormula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calculatedColumnFormula>
    </tableColumn>
    <tableColumn id="16" xr3:uid="{62400C4B-74FA-40CA-A2EA-F6B8D29C4FA4}" name="3e BAR" dataDxfId="743" totalsRowDxfId="742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41" totalsRowDxfId="740" dataCellStyle="桁区切り 2">
      <calculatedColumnFormula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39" totalsRowDxfId="738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37" totalsRowDxfId="736" dataCellStyle="桁区切り 2">
      <calculatedColumnFormula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35" totalsRowDxfId="734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33" totalsRowDxfId="732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31" totalsRowDxfId="730" dataCellStyle="桁区切り 2">
      <calculatedColumnFormula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29" totalsRowDxfId="728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27" totalsRowDxfId="726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25" totalsRowDxfId="724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23" totalsRowDxfId="722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21" totalsRowDxfId="720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19" totalsRowDxfId="718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17" totalsRowDxfId="716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15" totalsRowDxfId="714" dataCellStyle="標準 2">
      <calculatedColumnFormula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13" tableBorderDxfId="712" totalsRowBorderDxfId="711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10" totalsRowDxfId="709" dataCellStyle="標準 2">
      <totalsRowFormula>名前リスト[[#This Row],[管理番号]]</totalsRowFormula>
    </tableColumn>
    <tableColumn id="2" xr3:uid="{E00F0DDB-8B63-4E1E-B01B-7BE68F79A001}" name="LINE名" dataDxfId="708" totalsRowDxfId="707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06" totalsRowDxfId="705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04" totalsRowDxfId="703" dataCellStyle="標準 2">
      <calculatedColumnFormula>IF(SUM(E2:XFD2)=0,"",SUM(E2:XFD2))</calculatedColumnFormula>
    </tableColumn>
    <tableColumn id="5" xr3:uid="{4A102B82-2720-4325-8037-0E5518D460F7}" name="キャンプ" dataDxfId="702" totalsRowDxfId="701" dataCellStyle="桁区切り 2"/>
    <tableColumn id="6" xr3:uid="{9C26370B-D29B-41B4-8909-F547A75A1753}" name="パンプキン" dataDxfId="700" totalsRowDxfId="699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698" totalsRowDxfId="697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696" totalsRowDxfId="695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694" totalsRowDxfId="693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692" totalsRowDxfId="691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690" totalsRowDxfId="689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688" totalsRowDxfId="687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686" totalsRowDxfId="685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684" totalsRowDxfId="683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682" totalsRowDxfId="681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680" totalsRowDxfId="679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678" totalsRowDxfId="677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676" totalsRowDxfId="675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674" totalsRowDxfId="673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72" totalsRowDxfId="671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70" totalsRowDxfId="669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68" totalsRowDxfId="667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66" totalsRowDxfId="665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64" totalsRowDxfId="663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62" totalsRowDxfId="661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60" totalsRowDxfId="659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58" totalsRowDxfId="657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56" totalsRowDxfId="655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54" tableBorderDxfId="653" totalsRowBorderDxfId="652">
  <autoFilter ref="A4:K35" xr:uid="{1C819D62-6B3E-FF4E-B390-0F457A3E12CA}"/>
  <tableColumns count="11">
    <tableColumn id="5" xr3:uid="{0AF8CF28-69E4-4707-A8E2-BA8FAAE40241}" name="日付" dataDxfId="651"/>
    <tableColumn id="11" xr3:uid="{53E4264F-ECDA-4F8C-A073-3A349CF30892}" name="曜日" dataDxfId="650">
      <calculatedColumnFormula>TEXT(DATE(名前リスト!$N$1,名前リスト!$O$1,ROW()-4),"aaa")</calculatedColumnFormula>
    </tableColumn>
    <tableColumn id="1" xr3:uid="{54EF7B02-B46E-B449-8BC6-8AE73D296814}" name="件数" dataDxfId="649">
      <calculatedColumnFormula>IF(梅田キャンプ4000[[#This Row],[人数]]=0,"",1)</calculatedColumnFormula>
    </tableColumn>
    <tableColumn id="2" xr3:uid="{F598C703-5ACC-5E4E-AEDA-02A6A3FCF484}" name="イベンター予約名" dataDxfId="648"/>
    <tableColumn id="3" xr3:uid="{C0EE1808-3110-1C40-8D7C-5526EFFF07A5}" name="人数" dataDxfId="647"/>
    <tableColumn id="4" xr3:uid="{985FA722-FC50-438E-8B5B-A12627543BAA}" name="8名以上件数" dataDxfId="646" dataCellStyle="標準 2">
      <calculatedColumnFormula>ROUNDDOWN(梅田キャンプ4000[[#This Row],[人数]]/8,0)</calculatedColumnFormula>
    </tableColumn>
    <tableColumn id="6" xr3:uid="{5958ACCD-BACA-4C11-BE88-96B71C8857EB}" name="単価合計" dataDxfId="645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44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43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42" dataCellStyle="桁区切り 2"/>
    <tableColumn id="8" xr3:uid="{58D5C86F-F9D6-48F5-9C2E-05153EBDE039}" name="イベンターへ" dataDxfId="641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40" tableBorderDxfId="639" totalsRowBorderDxfId="638">
  <autoFilter ref="N4:X35" xr:uid="{A57C9AC2-FAEA-414A-8B7A-12BE15CF477A}"/>
  <tableColumns count="11">
    <tableColumn id="5" xr3:uid="{E8E3E8AD-D130-4D59-887F-D5E507E98DB1}" name="日付" dataDxfId="637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36">
      <calculatedColumnFormula>TEXT(DATE(名前リスト!$N$1,名前リスト!$O$1,ROW()-4),"aaa")</calculatedColumnFormula>
    </tableColumn>
    <tableColumn id="1" xr3:uid="{C0F1D673-B511-4B44-A484-A4BB499D78B8}" name="件数" dataDxfId="635"/>
    <tableColumn id="2" xr3:uid="{C94A4F89-4012-A449-9569-C4413BBE2B7E}" name="イベンター予約名" dataDxfId="634"/>
    <tableColumn id="3" xr3:uid="{B07AB96B-BAFF-5E49-8839-20C6E628EF2A}" name="人数" dataDxfId="633"/>
    <tableColumn id="10" xr3:uid="{40E201B1-4362-4411-A900-D1C1C6B9DCF6}" name="Aパターン" dataDxfId="632" dataCellStyle="標準 2"/>
    <tableColumn id="6" xr3:uid="{6DB5BF60-8A57-4E1A-9E7C-A80611B203DB}" name="単価合計" dataDxfId="631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30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29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28" dataCellStyle="桁区切り 2"/>
    <tableColumn id="8" xr3:uid="{92E3588D-686A-4D42-A1F2-40A5DD760394}" name="イベンターへ" dataDxfId="627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26" tableBorderDxfId="625" totalsRowBorderDxfId="624">
  <autoFilter ref="A4:J35" xr:uid="{AC98DDB4-C99F-804D-8BB2-05BACB46A2B6}"/>
  <tableColumns count="10">
    <tableColumn id="4" xr3:uid="{34159E48-3150-4D24-ACB5-C536C0DCD0B2}" name="日付" dataDxfId="623"/>
    <tableColumn id="1" xr3:uid="{85FF0C8C-1EE4-1143-B6E9-EE4764778A88}" name="件数" dataDxfId="622"/>
    <tableColumn id="2" xr3:uid="{E3E95BD7-4AEF-174A-9AE9-DED974BB4C02}" name="イベンター予約名" dataDxfId="621"/>
    <tableColumn id="3" xr3:uid="{1103A459-F480-7148-B304-A43C04DC809E}" name="人数" dataDxfId="620"/>
    <tableColumn id="8" xr3:uid="{ACA56ADB-02D5-4294-B38E-385A8A7E2744}" name="Aパターン" dataDxfId="619" dataCellStyle="標準 2"/>
    <tableColumn id="5" xr3:uid="{C0A03C70-B519-4312-B11D-572A3B67E99F}" name="単価合計" dataDxfId="618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17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16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15" dataCellStyle="桁区切り 2"/>
    <tableColumn id="7" xr3:uid="{ECA27F94-51C3-4E96-90EC-7A345F4909E3}" name="イベンターへ" dataDxfId="614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13" tableBorderDxfId="612" totalsRowBorderDxfId="611">
  <autoFilter ref="L4:U35" xr:uid="{3E57F02E-592A-3348-A18A-D5DD432C963B}"/>
  <tableColumns count="10">
    <tableColumn id="4" xr3:uid="{D473D240-9DE6-425E-AB65-4311D496F778}" name="日付" dataDxfId="610"/>
    <tableColumn id="1" xr3:uid="{55538ED1-D224-3145-A903-F1CC95B58C65}" name="件数" dataDxfId="609"/>
    <tableColumn id="2" xr3:uid="{ACA63795-775C-934B-96A5-B00F83841BEA}" name="イベンター予約名" dataDxfId="608"/>
    <tableColumn id="3" xr3:uid="{86E14928-98E4-C841-8D34-F7AE7446A904}" name="人数" dataDxfId="607"/>
    <tableColumn id="8" xr3:uid="{C1843680-C7F5-41FF-9AB9-5D4368D03C9E}" name="Aパターン" dataDxfId="606" dataCellStyle="標準 2"/>
    <tableColumn id="5" xr3:uid="{08630C1F-BB61-4382-B9DC-70F7A4054F05}" name="単価合計" dataDxfId="605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04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03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02" dataCellStyle="桁区切り 2"/>
    <tableColumn id="7" xr3:uid="{EB388A81-07F0-406A-9417-7A9CB7892D21}" name="イベンターへ" dataDxfId="601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00" tableBorderDxfId="599" totalsRowBorderDxfId="598">
  <autoFilter ref="A4:J35" xr:uid="{D374D742-2137-914C-8A19-F9253E8E1D5A}"/>
  <tableColumns count="10">
    <tableColumn id="4" xr3:uid="{537C21FC-009E-420E-846B-37D142E1F85D}" name="日付" dataDxfId="597"/>
    <tableColumn id="1" xr3:uid="{E3332CAE-9C9A-2A45-9DD8-E91B4F8689DA}" name="件数" dataDxfId="596"/>
    <tableColumn id="2" xr3:uid="{AC0B30D4-9965-514F-BD99-9729C95979A0}" name="イベンター予約名" dataDxfId="595"/>
    <tableColumn id="3" xr3:uid="{8CDE216A-E62A-614B-8E9F-15837328291A}" name="人数" dataDxfId="594"/>
    <tableColumn id="8" xr3:uid="{D9D0C3C8-9692-4051-9F55-EF48DDB1A1CF}" name="Aパターン" dataDxfId="593" dataCellStyle="標準 2"/>
    <tableColumn id="5" xr3:uid="{35DF3688-E833-4755-B4C5-C93B0FAEC171}" name="単価合計" dataDxfId="592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591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590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589" dataCellStyle="桁区切り 2"/>
    <tableColumn id="7" xr3:uid="{EB7D622C-E99D-4141-8517-F76B3D59789D}" name="イベンターへ" dataDxfId="588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587" tableBorderDxfId="586" totalsRowBorderDxfId="585">
  <autoFilter ref="L4:U35" xr:uid="{09AE8972-D540-2448-B01B-ED78C26BF16D}"/>
  <tableColumns count="10">
    <tableColumn id="4" xr3:uid="{603E23F2-CE6F-4F9F-A797-396A87DC2289}" name="日付" dataDxfId="584"/>
    <tableColumn id="1" xr3:uid="{3A4F7611-5722-FF4F-B199-AA231B3A17EC}" name="件数" dataDxfId="583"/>
    <tableColumn id="2" xr3:uid="{A8821E48-1ABD-8D49-A94A-979D81E0B49F}" name="イベンター予約名" dataDxfId="582"/>
    <tableColumn id="3" xr3:uid="{39BF6BE9-32C3-9646-B9DB-1DD72A4107ED}" name="人数" dataDxfId="581"/>
    <tableColumn id="8" xr3:uid="{42D479C9-5DC7-441B-A555-7C01991BBA8D}" name="Aパターン" dataDxfId="580" dataCellStyle="標準 2"/>
    <tableColumn id="5" xr3:uid="{5B7CCB84-B31A-42EE-893A-02CA29F84619}" name="単価合計" dataDxfId="579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578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577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576" dataCellStyle="桁区切り 2"/>
    <tableColumn id="7" xr3:uid="{8A0235B5-2634-4CC0-92ED-AD05C3B2D786}" name="イベンターへ" dataDxfId="575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574" tableBorderDxfId="573" totalsRowBorderDxfId="572">
  <autoFilter ref="A4:J35" xr:uid="{F886D309-6A5A-1849-A5C8-3E7A055EE878}"/>
  <tableColumns count="10">
    <tableColumn id="4" xr3:uid="{26E6BD57-11D5-4C91-B375-CC2F95DD23BB}" name="日付" dataDxfId="571"/>
    <tableColumn id="1" xr3:uid="{85C80E7D-DD82-144F-97E9-B3282EC8BCA3}" name="件数" dataDxfId="570"/>
    <tableColumn id="2" xr3:uid="{93E54C17-3669-E140-9AE2-83E7530D7729}" name="イベンター予約名" dataDxfId="569"/>
    <tableColumn id="3" xr3:uid="{B090F4C7-C475-C749-A5B1-CB07D4A1B09C}" name="人数" dataDxfId="568"/>
    <tableColumn id="8" xr3:uid="{CDEE4284-EC61-4EDA-B6DF-010AF2EB11F2}" name="Aパターン" dataDxfId="567" dataCellStyle="標準 2"/>
    <tableColumn id="5" xr3:uid="{08BF85E1-8911-41C9-A2DB-DAEC19E54656}" name="単価合計" dataDxfId="566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65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64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63" dataCellStyle="桁区切り 2"/>
    <tableColumn id="7" xr3:uid="{D90A7B18-5E9E-434A-BD0E-0F99BDF60D9D}" name="イベンターへ" dataDxfId="562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61" tableBorderDxfId="560" totalsRowBorderDxfId="559">
  <autoFilter ref="L4:U35" xr:uid="{104AD32B-319A-1748-B7BE-15AC6E98306B}"/>
  <tableColumns count="10">
    <tableColumn id="4" xr3:uid="{B66F2EA9-607C-4365-B5E8-6521D84E0FED}" name="日付" dataDxfId="558"/>
    <tableColumn id="1" xr3:uid="{A5C57821-4C45-EA4D-9E4F-0AF31FB0F087}" name="件数" dataDxfId="557"/>
    <tableColumn id="2" xr3:uid="{E67936AC-4568-E24D-B97D-436815ABB093}" name="イベンター予約名" dataDxfId="556"/>
    <tableColumn id="3" xr3:uid="{DAA653DB-A781-CF44-996A-2DFA1866C0B9}" name="人数" dataDxfId="555"/>
    <tableColumn id="8" xr3:uid="{CC473835-9FB8-431C-A3DA-BEBC015666D2}" name="Aパターン" dataDxfId="554" dataCellStyle="標準 2"/>
    <tableColumn id="5" xr3:uid="{3A485FE8-792E-4295-88B0-B232926D468A}" name="単価合計" dataDxfId="553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52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51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50" dataCellStyle="桁区切り 2"/>
    <tableColumn id="7" xr3:uid="{74F9D3B1-2CC2-481E-941D-C3F40FC33D4B}" name="イベンターへ" dataDxfId="549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548" tableBorderDxfId="547" totalsRowBorderDxfId="546">
  <autoFilter ref="A4:J35" xr:uid="{42414338-E444-BB4D-BA80-49E4335CE2E2}"/>
  <tableColumns count="10">
    <tableColumn id="4" xr3:uid="{22E9A47A-F49D-467F-9DDA-31903DA500BE}" name="日付" dataDxfId="545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544">
      <calculatedColumnFormula>IF(心斎橋CSB4000円[[#This Row],[人数]]=0,"",1)</calculatedColumnFormula>
    </tableColumn>
    <tableColumn id="2" xr3:uid="{4BF66E7A-3B30-654B-A605-CCFBAC441848}" name="予約番号" dataDxfId="543"/>
    <tableColumn id="3" xr3:uid="{2C188A72-23C9-FE41-BDD6-A823AAD0BFCB}" name="人数" dataDxfId="542"/>
    <tableColumn id="8" xr3:uid="{60288A73-20D5-4508-BE42-4FB47F58B012}" name="8人以上件数" dataDxfId="541" dataCellStyle="標準 2">
      <calculatedColumnFormula>ROUNDDOWN(心斎橋CSB4000円[[#This Row],[人数]]/8,0)</calculatedColumnFormula>
    </tableColumn>
    <tableColumn id="5" xr3:uid="{F486775F-119A-42CF-9FD1-63801B9DFF2B}" name="単価合計" dataDxfId="540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539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538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537" dataCellStyle="標準 2"/>
    <tableColumn id="7" xr3:uid="{0BFF34ED-9F1A-4E4E-AC9C-74E571CDBEFA}" name="イベンターへ" dataDxfId="536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535" tableBorderDxfId="534" totalsRowBorderDxfId="533">
  <autoFilter ref="L4:U35" xr:uid="{F7A875AA-1543-644B-A9EF-2AB1CA39FE70}"/>
  <tableColumns count="10">
    <tableColumn id="4" xr3:uid="{E2F695D9-AEDE-482A-BC81-27B8F984826B}" name="日付" dataDxfId="532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531"/>
    <tableColumn id="2" xr3:uid="{029B344B-D744-5D49-A8AA-E3B34531FF96}" name="予約番号" dataDxfId="530"/>
    <tableColumn id="3" xr3:uid="{3339AAB1-64BA-BB4A-9CF5-BAC2D7B2A670}" name="人数" dataDxfId="529" dataCellStyle="標準 2"/>
    <tableColumn id="8" xr3:uid="{B88186CA-9360-4AB3-A122-4EBC448D3C09}" name="Aパターン" dataDxfId="528" dataCellStyle="標準 2"/>
    <tableColumn id="5" xr3:uid="{0C483613-2F19-402E-AA51-597E5B731E02}" name="単価合計" dataDxfId="527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526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525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524" dataCellStyle="標準 2"/>
    <tableColumn id="7" xr3:uid="{511083DE-4120-44B0-A791-95FBE68F9FA7}" name="イベンターへ" dataDxfId="523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22" tableBorderDxfId="521" totalsRowBorderDxfId="520">
  <autoFilter ref="A4:J35" xr:uid="{00DBB7E4-242C-1647-AB5F-10B637CF6C0F}"/>
  <tableColumns count="10">
    <tableColumn id="4" xr3:uid="{14C1A76E-63E2-4748-8CF2-E5A20E3BD634}" name="日付" dataDxfId="519"/>
    <tableColumn id="1" xr3:uid="{312BCEFE-CCFB-DE47-AC2E-53BFF7C95D0A}" name="件数" dataDxfId="518">
      <calculatedColumnFormula>IF(北新地ファイブ4000[[#This Row],[人数]]=0,"",1)</calculatedColumnFormula>
    </tableColumn>
    <tableColumn id="2" xr3:uid="{9CAC6E22-07B0-3E4F-9C0E-229AD7B6BB4A}" name="イベンター予約名" dataDxfId="517"/>
    <tableColumn id="3" xr3:uid="{DC96C07E-E016-BF46-B1CE-AD6CA6D7C610}" name="人数" dataDxfId="516"/>
    <tableColumn id="8" xr3:uid="{5D12CD71-1E77-4EDA-81D7-C1E55CBB28DC}" name="8名以上件数" dataDxfId="515" dataCellStyle="標準 2">
      <calculatedColumnFormula>ROUNDDOWN(北新地ファイブ4000[[#This Row],[人数]]/8,0)</calculatedColumnFormula>
    </tableColumn>
    <tableColumn id="5" xr3:uid="{9774124C-E665-4F19-B841-3CC13DF71B05}" name="単価合計" dataDxfId="514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13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12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11" dataCellStyle="桁区切り 2"/>
    <tableColumn id="7" xr3:uid="{2C0BA5DD-6969-4272-B48B-35BB1507AB2F}" name="イベンターへ" dataDxfId="510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09" tableBorderDxfId="508" totalsRowBorderDxfId="507">
  <autoFilter ref="L4:U35" xr:uid="{C4695727-ADE7-9646-A4E3-4527B6CF8249}"/>
  <tableColumns count="10">
    <tableColumn id="4" xr3:uid="{37B87638-DCB3-47A1-B65F-51490680C21F}" name="日付" dataDxfId="506"/>
    <tableColumn id="1" xr3:uid="{8B7A3305-B137-E249-9FB8-1347B57215FC}" name="件数" dataDxfId="505"/>
    <tableColumn id="2" xr3:uid="{FFF256E6-39AD-A043-A510-B4F12FF4C48D}" name="イベンター予約名" dataDxfId="504"/>
    <tableColumn id="3" xr3:uid="{9198BD1F-0A2B-1A48-B03D-8E6CA169373C}" name="人数" dataDxfId="503"/>
    <tableColumn id="8" xr3:uid="{94F38A54-AB74-4F29-A937-64D862A2A61F}" name="Aパターン" dataDxfId="502" dataCellStyle="標準 2">
      <calculatedColumnFormula>ROUNDDOWN(北新地ファイブ3500[[#This Row],[人数]]/8,0)</calculatedColumnFormula>
    </tableColumn>
    <tableColumn id="5" xr3:uid="{0148A512-60B2-446A-8720-D11A68F2CF48}" name="単価合計" dataDxfId="501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00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499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498" dataCellStyle="桁区切り 2"/>
    <tableColumn id="7" xr3:uid="{927FDBE2-67E8-4344-A492-B260AB64E618}" name="イベンターへ" dataDxfId="497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496" tableBorderDxfId="495" totalsRowBorderDxfId="494">
  <autoFilter ref="A4:J35" xr:uid="{62F91FF4-4080-3340-9AC5-2ACE07372ADD}"/>
  <tableColumns count="10">
    <tableColumn id="4" xr3:uid="{59080236-4147-48EC-BBE2-E097A0F415BD}" name="日付" dataDxfId="493"/>
    <tableColumn id="1" xr3:uid="{76486FA3-7CA0-4042-818C-98D89F0D5D6E}" name="件数" dataDxfId="492"/>
    <tableColumn id="2" xr3:uid="{5C245712-E27B-784C-A2D2-013B21C874B9}" name="イベンター予約名" dataDxfId="491"/>
    <tableColumn id="3" xr3:uid="{AE27A717-DE0D-A64B-B4CD-CAA7124396D3}" name="人数" dataDxfId="490"/>
    <tableColumn id="8" xr3:uid="{3F9E1689-4B3F-4F6D-95EB-59EA0B8BCB8E}" name="Aパターン" dataDxfId="489" dataCellStyle="標準 2"/>
    <tableColumn id="5" xr3:uid="{525A36E8-9969-4B35-A41D-F0185BE1A7D0}" name="単価合計" dataDxfId="488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487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486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485" dataCellStyle="標準 2"/>
    <tableColumn id="7" xr3:uid="{739C578D-FC4F-4332-B3F7-04004EB5D8D9}" name="イベンターへ" dataDxfId="484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483" tableBorderDxfId="482">
  <autoFilter ref="L4:U35" xr:uid="{6DFA22B9-8EB7-9248-B298-2B750038B558}"/>
  <tableColumns count="10">
    <tableColumn id="4" xr3:uid="{1CC7A160-665B-4A7C-8710-521F938A25BB}" name="日付" dataDxfId="481"/>
    <tableColumn id="1" xr3:uid="{D944B779-B01F-804B-9FE9-E4BBC9EE5233}" name="件数" dataDxfId="480"/>
    <tableColumn id="2" xr3:uid="{C522888F-4439-224E-8E3A-FD5C24E7F550}" name="イベンター予約名" dataDxfId="479"/>
    <tableColumn id="3" xr3:uid="{F4B2F804-28BE-6E45-B358-D8D05624D08D}" name="人数" dataDxfId="478"/>
    <tableColumn id="8" xr3:uid="{7CD520DA-C40B-40C1-B401-B84F7A65F851}" name="Aパターン" dataDxfId="477" dataCellStyle="標準 2"/>
    <tableColumn id="5" xr3:uid="{FFBE462F-F79A-4BA9-AFF0-03F1CA32712B}" name="単価合計" dataDxfId="476" dataCellStyle="桁区切り 2"/>
    <tableColumn id="6" xr3:uid="{0518D18A-597A-4542-B6B3-62EC6FD89DB3}" name="ゆうき取りに行く" dataDxfId="475" dataCellStyle="桁区切り 2"/>
    <tableColumn id="10" xr3:uid="{8A059EF9-A372-4642-95DB-A8F04A5D5959}" name="幹事無料" dataDxfId="474" dataCellStyle="桁区切り 2"/>
    <tableColumn id="9" xr3:uid="{5CA35A16-BAEC-4C28-9702-F279B99C231D}" name="キャンセル人数" dataDxfId="473" dataCellStyle="標準 2"/>
    <tableColumn id="7" xr3:uid="{6560018D-D3BB-4848-A2CD-0F2658B91111}" name="イベンターへ" dataDxfId="472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71" tableBorderDxfId="470" totalsRowBorderDxfId="469">
  <autoFilter ref="A4:J35" xr:uid="{2E201B2B-C135-5348-9EF7-19824F81D136}"/>
  <tableColumns count="10">
    <tableColumn id="4" xr3:uid="{9C28E968-A8FC-4FD2-8BF8-7271E0DACFDA}" name="日付" dataDxfId="468"/>
    <tableColumn id="1" xr3:uid="{867279B2-DDE4-0C40-A0F7-F1BC84924F86}" name="件数" dataDxfId="467"/>
    <tableColumn id="2" xr3:uid="{A446E765-2680-0243-A935-9B28EAA04D7C}" name="イベンター予約名" dataDxfId="466"/>
    <tableColumn id="3" xr3:uid="{06C26C8D-C7F6-1741-9FC5-55E8B9C04C91}" name="人数" dataDxfId="465"/>
    <tableColumn id="8" xr3:uid="{1BA33673-8FCB-47C9-B15C-5C45FCFFB05A}" name="Aパターン" dataDxfId="464" dataCellStyle="標準 2"/>
    <tableColumn id="5" xr3:uid="{E54D90D7-A9E0-4B90-B748-CFA78122A511}" name="単価合計" dataDxfId="463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62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61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60" dataCellStyle="標準 2"/>
    <tableColumn id="7" xr3:uid="{498AED04-AA20-4C81-9CF8-EB065D78F2B1}" name="イベンターへ" dataDxfId="459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58" tableBorderDxfId="457" totalsRowBorderDxfId="456">
  <autoFilter ref="L4:U35" xr:uid="{941FBA15-8A12-044C-B1B0-BA95DB5FAD42}"/>
  <tableColumns count="10">
    <tableColumn id="4" xr3:uid="{6FDC9B73-DA77-4AC6-8498-2FB7EE71DA9C}" name="日付" dataDxfId="455"/>
    <tableColumn id="1" xr3:uid="{8B64C0EC-A67A-E547-BA0D-AA44A8E7159F}" name="件数" dataDxfId="454"/>
    <tableColumn id="2" xr3:uid="{1985FCC0-46E4-5F49-B86D-27734FF65863}" name="イベンター予約名" dataDxfId="453"/>
    <tableColumn id="3" xr3:uid="{7CE50DC2-E143-B049-AD86-8006E4FC28D6}" name="人数" dataDxfId="452"/>
    <tableColumn id="8" xr3:uid="{DA377476-3B23-4E1A-81BD-A1BD27D3AF98}" name="Aパターン" dataDxfId="451" dataCellStyle="標準 2"/>
    <tableColumn id="5" xr3:uid="{FD5300DD-3769-4E9C-B182-A32ED38712C2}" name="単価合計" dataDxfId="450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49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48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47" dataCellStyle="標準 2"/>
    <tableColumn id="7" xr3:uid="{B9F7B0F8-56B7-45A0-AF8F-C8086E386158}" name="イベンターへ" dataDxfId="446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45" tableBorderDxfId="444" totalsRowBorderDxfId="443">
  <autoFilter ref="A4:J35" xr:uid="{31C78C54-9AB8-3E41-B7AF-1EDCC6B28865}"/>
  <tableColumns count="10">
    <tableColumn id="4" xr3:uid="{82B95FC2-3580-48F9-80ED-4E20F631BA08}" name="日付" dataDxfId="442"/>
    <tableColumn id="1" xr3:uid="{4474DA7D-149D-AA4D-9461-242257564874}" name="件数" dataDxfId="441"/>
    <tableColumn id="2" xr3:uid="{5C3933B7-00B1-8F44-A744-EE77351A07F7}" name="イベンター予約名" dataDxfId="440"/>
    <tableColumn id="3" xr3:uid="{6C0722B2-9D46-244A-9583-70823AE91301}" name="人数" dataDxfId="439"/>
    <tableColumn id="8" xr3:uid="{6E63496D-D51C-4E7F-BA0A-63F99F4CE249}" name="Aパターン" dataDxfId="438" dataCellStyle="標準 2"/>
    <tableColumn id="5" xr3:uid="{0E755931-CA26-4ACD-B510-9E17EBB5BEB2}" name="単価合計" dataDxfId="437" dataCellStyle="桁区切り 2"/>
    <tableColumn id="6" xr3:uid="{EBC3BFA3-1284-40C1-8AEE-A6417E21C313}" name="ゆうき取りに行く" dataDxfId="436" dataCellStyle="桁区切り 2"/>
    <tableColumn id="10" xr3:uid="{2D76E0B9-5146-4038-993B-EB69843E904E}" name="幹事無料" dataDxfId="435" dataCellStyle="桁区切り 2"/>
    <tableColumn id="9" xr3:uid="{E6A735FC-0EC7-42D1-8DB8-DB5C274B7094}" name="キャンセル人数" dataDxfId="434" dataCellStyle="標準 2"/>
    <tableColumn id="7" xr3:uid="{BD38B576-3201-4755-B91B-0D7DD3A5F18C}" name="イベンターへ" dataDxfId="433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32" tableBorderDxfId="431" totalsRowBorderDxfId="430">
  <autoFilter ref="L4:U35" xr:uid="{49D658C2-5306-6C4F-AD58-0D2E7A206660}"/>
  <tableColumns count="10">
    <tableColumn id="4" xr3:uid="{085F0B48-779D-482F-9217-80AE0A0C624F}" name="日付" dataDxfId="429"/>
    <tableColumn id="1" xr3:uid="{C9941052-E0BA-8D44-8A56-1CECB971FB94}" name="件数" dataDxfId="428"/>
    <tableColumn id="2" xr3:uid="{0341828A-D9EB-D048-9737-12C25C3675AD}" name="イベンター予約名" dataDxfId="427"/>
    <tableColumn id="3" xr3:uid="{1DABA200-ADDF-CF4A-AFFC-662AA024E90D}" name="人数" dataDxfId="426"/>
    <tableColumn id="8" xr3:uid="{60356225-3004-4EB8-B79B-F33F8D6A1456}" name="Aパターン" dataDxfId="425" dataCellStyle="標準 2"/>
    <tableColumn id="5" xr3:uid="{447E04DA-87E1-4FC3-881F-E38F0B1A00B6}" name="単価合計" dataDxfId="424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23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22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21" dataCellStyle="標準 2"/>
    <tableColumn id="7" xr3:uid="{4B38956C-2F40-44F3-95E3-656331CE30F7}" name="イベンターへ" dataDxfId="420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5" totalsRowShown="0" headerRowBorderDxfId="419" tableBorderDxfId="418" totalsRowBorderDxfId="417">
  <autoFilter ref="L4:U35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8名以上件数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5" totalsRowShown="0" headerRowBorderDxfId="406" tableBorderDxfId="405" totalsRowBorderDxfId="404">
  <autoFilter ref="A4:J35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>
      <calculatedColumnFormula>IF(心斎橋サファリ4000[[#This Row],[人数]]=0,"",1)</calculatedColumnFormula>
    </tableColumn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8名以上件数" dataDxfId="399" dataCellStyle="標準 2">
      <calculatedColumnFormula>ROUNDDOWN(心斎橋サファリ4000[[#This Row],[人数]]/8,0)</calculatedColumnFormula>
    </tableColumn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Row],[8名以上件数]]*$B$1=0,"",心斎橋サファリ4000[[#This Row],[8名以上件数]]*$B$1)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>
      <calculatedColumnFormula>IF(心斎橋ラプロメッサ4000円[[#This Row],[人数]]=0,"",1)</calculatedColumnFormula>
    </tableColumn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8件以上件数" dataDxfId="360" dataCellStyle="標準 2">
      <calculatedColumnFormula>ROUNDDOWN(心斎橋ラプロメッサ4000円[[#This Row],[人数]]/8,0)</calculatedColumnFormula>
    </tableColumn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Row],[8件以上件数]]=0,"",心斎橋ラプロメッサ4000円[[#This Row],[8件以上件数]]*$B$1)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311" tableBorderDxfId="310" totalsRowBorderDxfId="309">
  <autoFilter ref="A4:J35" xr:uid="{6588A27B-CA05-A14B-A396-EAA04ECC5827}"/>
  <tableColumns count="10">
    <tableColumn id="4" xr3:uid="{EA315A48-76E4-4619-9F8B-37C69A04C364}" name="日付" dataDxfId="308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307"/>
    <tableColumn id="2" xr3:uid="{8D5A8E3D-166F-DE49-AAC4-834D8261208A}" name="予約番号" dataDxfId="306"/>
    <tableColumn id="3" xr3:uid="{32E6198D-A73B-7B4D-A837-BE6943CFC341}" name="人数" dataDxfId="305"/>
    <tableColumn id="8" xr3:uid="{20E69FAF-AAFB-489D-A8FC-7D6E8776C940}" name="Aパターン" dataDxfId="304" dataCellStyle="標準 2"/>
    <tableColumn id="5" xr3:uid="{B62AA08E-2DD7-4787-88FE-ED1F9C07C15D}" name="単価合計" dataDxfId="303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302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301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300" dataCellStyle="標準 2"/>
    <tableColumn id="7" xr3:uid="{01AEE2AB-1B0C-4429-A47E-93CE4661BF93}" name="イベンターへ" dataDxfId="299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98" tableBorderDxfId="297" totalsRowBorderDxfId="296">
  <autoFilter ref="L4:U35" xr:uid="{7D9270EF-DAA2-B14B-A5BC-AD8C174DB3E7}"/>
  <tableColumns count="10">
    <tableColumn id="4" xr3:uid="{F2669540-EA10-4C6A-A65D-33EBE4EAE4BF}" name="日付" dataDxfId="295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94"/>
    <tableColumn id="2" xr3:uid="{B363E3F9-7FBD-DA45-97AF-4490BBC60489}" name="予約番号" dataDxfId="293"/>
    <tableColumn id="3" xr3:uid="{A140DBBB-4105-2047-948D-E9A3987CBADA}" name="人数" dataDxfId="292"/>
    <tableColumn id="8" xr3:uid="{28C97932-FC87-4BFC-8A30-956E6870349C}" name="Aパターン" dataDxfId="291" dataCellStyle="標準 2"/>
    <tableColumn id="5" xr3:uid="{15B78E5E-CBCE-498E-B339-73DF88F897CD}" name="単価合計" dataDxfId="290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89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88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87" dataCellStyle="標準 2"/>
    <tableColumn id="7" xr3:uid="{A61BCE82-147E-402C-8F03-9A5A5F4F3E95}" name="イベンターへ" dataDxfId="286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85" tableBorderDxfId="284" totalsRowBorderDxfId="283">
  <autoFilter ref="A4:J35" xr:uid="{251D9D80-8B28-724C-96CC-B1C3BC3D4ACA}"/>
  <tableColumns count="10">
    <tableColumn id="4" xr3:uid="{1C4FA6C3-8A06-4ECD-B401-5ECB761D959B}" name="日付" dataDxfId="282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81">
      <calculatedColumnFormula>IF(三ノ宮多味庵4000[[#This Row],[人数]]="","",1)</calculatedColumnFormula>
    </tableColumn>
    <tableColumn id="2" xr3:uid="{C6C40F5F-AD97-4743-B947-80F1D3F50862}" name="イベンター予約名" dataDxfId="280"/>
    <tableColumn id="3" xr3:uid="{65AC5257-68E1-E448-9C09-361D9D240A16}" name="人数" dataDxfId="279"/>
    <tableColumn id="8" xr3:uid="{3A892A0C-7B21-4095-A85A-1527029B5434}" name="8名以上件数" dataDxfId="278" dataCellStyle="標準 2">
      <calculatedColumnFormula>ROUNDDOWN(三ノ宮多味庵4000[[#This Row],[人数]]/8,0)</calculatedColumnFormula>
    </tableColumn>
    <tableColumn id="5" xr3:uid="{77369DB9-F81B-470C-B9C4-6FC3D4E21FD4}" name="単価合計" dataDxfId="277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76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75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74" dataCellStyle="標準 2"/>
    <tableColumn id="7" xr3:uid="{84296D52-F920-4B3F-A140-8062A8A077B8}" name="イベンターへ" dataDxfId="273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72" tableBorderDxfId="271" totalsRowBorderDxfId="270">
  <autoFilter ref="L4:U35" xr:uid="{203B95BC-E93C-704C-8A22-CA9D95E4C249}"/>
  <tableColumns count="10">
    <tableColumn id="4" xr3:uid="{F231BDF1-478A-4C35-924A-EAE4FA85AFB0}" name="日付" dataDxfId="269" dataCellStyle="標準 2">
      <calculatedColumnFormula>A5</calculatedColumnFormula>
    </tableColumn>
    <tableColumn id="1" xr3:uid="{C566E163-BA8C-5341-AEDE-701E032B3D06}" name="件数" dataDxfId="268"/>
    <tableColumn id="2" xr3:uid="{B5F37255-382C-C34A-8428-B8DF2D6E7ED7}" name="イベンター予約名" dataDxfId="267"/>
    <tableColumn id="3" xr3:uid="{7A66A832-A347-E741-8C28-3E8BA5099C58}" name="人数" dataDxfId="266" dataCellStyle="標準 2"/>
    <tableColumn id="8" xr3:uid="{D2082A2D-764F-47FF-A1F6-EE90C4B3EA98}" name="Aパターン" dataDxfId="265" dataCellStyle="標準 2"/>
    <tableColumn id="5" xr3:uid="{82B6181B-C39F-4099-ABEA-CFE0E73DB079}" name="単価合計" dataDxfId="264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63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62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61" dataCellStyle="標準 2"/>
    <tableColumn id="7" xr3:uid="{61E6CB2A-167B-419F-8255-1B42114BCC36}" name="イベンターへ" dataDxfId="260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59" tableBorderDxfId="258" totalsRowBorderDxfId="257">
  <autoFilter ref="A4:J35" xr:uid="{4ADB7538-9D5C-3947-820C-D9A2B140D134}"/>
  <tableColumns count="10">
    <tableColumn id="4" xr3:uid="{096D302A-700B-4DD3-A2EB-4162344E49F1}" name="日付" dataDxfId="256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55"/>
    <tableColumn id="2" xr3:uid="{57EE45D8-378D-2C40-A4C1-0B5120BFAFE3}" name="イベンター予約名" dataDxfId="254"/>
    <tableColumn id="3" xr3:uid="{041B367E-4FC0-DB4A-86F2-922645D5BEEF}" name="人数" dataDxfId="253"/>
    <tableColumn id="8" xr3:uid="{C0D1ABAA-8A3C-48F5-A82C-F9B9C4E65227}" name="Aパターン" dataDxfId="252" dataCellStyle="標準 2"/>
    <tableColumn id="5" xr3:uid="{BB627F4B-EFA7-4D57-91F6-86DBDCCC1D53}" name="単価合計" dataDxfId="251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50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49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48" dataCellStyle="標準 2"/>
    <tableColumn id="7" xr3:uid="{CAE25AE0-10A2-48F2-AF2A-04837EE19E77}" name="イベンターへ" dataDxfId="247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46" tableBorderDxfId="245" totalsRowBorderDxfId="244">
  <autoFilter ref="L4:U35" xr:uid="{7023D449-F14C-4B49-9885-40D6AC4E296C}"/>
  <tableColumns count="10">
    <tableColumn id="4" xr3:uid="{2607808A-491F-4B65-BDC1-850D089AF3A9}" name="日付" dataDxfId="243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42"/>
    <tableColumn id="2" xr3:uid="{F27BF325-F84F-2C48-97EF-62E252B533D5}" name="イベンター予約名" dataDxfId="241"/>
    <tableColumn id="3" xr3:uid="{459618AE-4D0E-BF44-83E5-12A317F8039E}" name="人数" dataDxfId="240" dataCellStyle="標準 2"/>
    <tableColumn id="8" xr3:uid="{D3AE96FB-B3B2-42D8-8A9D-09CE8EA2ED66}" name="Aパターン" dataDxfId="239" dataCellStyle="標準 2"/>
    <tableColumn id="5" xr3:uid="{7C439864-981F-4ABA-9C61-E2B3F45B845F}" name="単価合計" dataDxfId="238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37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36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35" dataCellStyle="標準 2"/>
    <tableColumn id="7" xr3:uid="{DD75809E-89FB-44CC-9526-A2EDEBAE2638}" name="イベンターへ" dataDxfId="234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33" tableBorderDxfId="232" totalsRowBorderDxfId="231">
  <autoFilter ref="A4:J35" xr:uid="{42414338-E444-BB4D-BA80-49E4335CE2E2}"/>
  <tableColumns count="10">
    <tableColumn id="4" xr3:uid="{B66D75D9-2266-456D-9262-100EBC5068D2}" name="日付" dataDxfId="230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29"/>
    <tableColumn id="2" xr3:uid="{CD500844-60BE-4FC4-AE02-47B39154AF02}" name="予約番号" dataDxfId="228"/>
    <tableColumn id="3" xr3:uid="{6F061D48-1053-4ED1-A606-3793A0C034E6}" name="人数" dataDxfId="227"/>
    <tableColumn id="8" xr3:uid="{35A24616-AA4B-4653-A8C1-5F4D824076E4}" name="Aパターン" dataDxfId="226" dataCellStyle="標準 2"/>
    <tableColumn id="5" xr3:uid="{1279A1D2-6BC6-4A37-A7C7-FA9AE0D4D8A2}" name="単価合計" dataDxfId="225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224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223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222" dataCellStyle="標準 2"/>
    <tableColumn id="7" xr3:uid="{30358B04-1F9B-4A86-88A3-1C715F26208B}" name="イベンターへ" dataDxfId="221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220" tableBorderDxfId="219" totalsRowBorderDxfId="218">
  <autoFilter ref="L4:U35" xr:uid="{F7A875AA-1543-644B-A9EF-2AB1CA39FE70}"/>
  <tableColumns count="10">
    <tableColumn id="4" xr3:uid="{019BD29A-5028-4BFD-8EDE-ECF9A58E438E}" name="日付" dataDxfId="217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216"/>
    <tableColumn id="2" xr3:uid="{46789D27-CC4E-4FB6-B514-6396674BE7B8}" name="予約番号" dataDxfId="215"/>
    <tableColumn id="3" xr3:uid="{E1B30E41-93AF-44F8-BCC2-DDDB102B8F4B}" name="人数" dataDxfId="214" dataCellStyle="標準 2"/>
    <tableColumn id="8" xr3:uid="{DD60E08F-6F44-45DE-9280-5467D80A645E}" name="Aパターン" dataDxfId="213" dataCellStyle="標準 2"/>
    <tableColumn id="5" xr3:uid="{5599FFC7-A22C-488B-A86F-6F285E15A381}" name="単価合計" dataDxfId="212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211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210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209" dataCellStyle="標準 2"/>
    <tableColumn id="7" xr3:uid="{4F9BC7FB-3780-4D93-8D4D-FE00D46A12EE}" name="イベンターへ" dataDxfId="208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207" tableBorderDxfId="206" totalsRowBorderDxfId="205">
  <autoFilter ref="A4:J35" xr:uid="{DB81E0F3-3215-6640-AE3A-3BE2A2C4A053}"/>
  <tableColumns count="10">
    <tableColumn id="4" xr3:uid="{1BDA1C08-1359-48F4-BFB1-F55DBF7A12D0}" name="日付" dataDxfId="204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203"/>
    <tableColumn id="2" xr3:uid="{7050A390-0AFD-6841-848E-F6312B46A8DA}" name="イベンター予約名" dataDxfId="202"/>
    <tableColumn id="3" xr3:uid="{D2D10484-B780-DD41-9CEF-11480BC32389}" name="人数" dataDxfId="201"/>
    <tableColumn id="8" xr3:uid="{7E880ABE-8EE5-4452-B991-D567AF1A8FCC}" name="Aパターン" dataDxfId="200" dataCellStyle="標準 2"/>
    <tableColumn id="5" xr3:uid="{D2FAE04C-3D3A-485B-ABAF-1FAF11C552B1}" name="単価合計" dataDxfId="199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98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97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96" dataCellStyle="標準 2"/>
    <tableColumn id="7" xr3:uid="{6EEA7640-4BEE-4B6D-A45A-EF056B916E3A}" name="イベンターへ" dataDxfId="195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94" tableBorderDxfId="193" totalsRowBorderDxfId="192">
  <autoFilter ref="L4:U35" xr:uid="{4DEF3322-3FC8-0F47-98D6-76B976E8116D}"/>
  <tableColumns count="10">
    <tableColumn id="4" xr3:uid="{53C4279B-6878-4085-9FEB-782D1FC42088}" name="日付" dataDxfId="191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90"/>
    <tableColumn id="2" xr3:uid="{E54F7067-FD56-9B44-BE9F-5225614EFCCE}" name="イベンター予約名" dataDxfId="189"/>
    <tableColumn id="3" xr3:uid="{F14C47DC-5701-354B-BCF8-759AC309911C}" name="人数" dataDxfId="188"/>
    <tableColumn id="8" xr3:uid="{518B3F0A-72EA-4EC9-91CD-483FA06EB9FA}" name="Aパターン" dataDxfId="187" dataCellStyle="標準 2"/>
    <tableColumn id="5" xr3:uid="{2948313F-78E0-425E-AA04-CC0EF73A7BE6}" name="単価合計" dataDxfId="186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85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84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83" dataCellStyle="標準 2"/>
    <tableColumn id="7" xr3:uid="{C05C128F-3A99-4B8F-9DBD-D580AFCD3E58}" name="イベンターへ" dataDxfId="182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81" tableBorderDxfId="180" totalsRowBorderDxfId="179">
  <autoFilter ref="A4:J35" xr:uid="{88B1BC22-2046-4143-B411-FA41892470E2}"/>
  <tableColumns count="10">
    <tableColumn id="4" xr3:uid="{677FCB7E-3BEA-42F6-B457-939AADF11289}" name="日付" dataDxfId="178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77"/>
    <tableColumn id="2" xr3:uid="{C2B9366D-2C2D-2542-92BF-7FC246B29F8A}" name="イベンター予約名" dataDxfId="176"/>
    <tableColumn id="3" xr3:uid="{DF41E083-40D8-964F-A3EC-35811A5F1EB1}" name="人数" dataDxfId="175"/>
    <tableColumn id="8" xr3:uid="{D443A504-15A3-4ED7-A934-88FDBDC7FDD0}" name="Aパターン" dataDxfId="174" dataCellStyle="標準 2"/>
    <tableColumn id="5" xr3:uid="{35D055DB-5FC1-4951-9344-6222C487B5A7}" name="単価合計" dataDxfId="173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72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71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70" dataCellStyle="標準 2"/>
    <tableColumn id="7" xr3:uid="{1F4622B6-BBE4-4D27-9A04-C68CEBC943C3}" name="イベンターへ" dataDxfId="169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68" tableBorderDxfId="167" totalsRowBorderDxfId="166">
  <autoFilter ref="L4:U35" xr:uid="{214C41E8-F530-DC4B-BCDA-B346FCB823B0}"/>
  <tableColumns count="10">
    <tableColumn id="4" xr3:uid="{53567D50-0565-4F62-AA89-5C4B3A90D18D}" name="日付" dataDxfId="165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64"/>
    <tableColumn id="2" xr3:uid="{E6C6C081-4E85-1343-8A12-9BC472F2B432}" name="イベンター予約名" dataDxfId="163"/>
    <tableColumn id="3" xr3:uid="{D008C964-14AC-EB42-84EF-DD39C6EFD8AE}" name="人数" dataDxfId="162"/>
    <tableColumn id="8" xr3:uid="{8A889B41-2ED0-4365-B54F-F49680BEC1D8}" name="Aパターン" dataDxfId="161" dataCellStyle="標準 2"/>
    <tableColumn id="5" xr3:uid="{02BECDB7-3B72-4E5D-9205-2178D56D0BB2}" name="単価合計" dataDxfId="160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59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58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57" dataCellStyle="標準 2"/>
    <tableColumn id="7" xr3:uid="{060C0333-E891-470C-9AFD-C716C5FCAAE6}" name="イベンターへ" dataDxfId="156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55" tableBorderDxfId="154" totalsRowBorderDxfId="153">
  <autoFilter ref="A4:J35" xr:uid="{4185201A-A118-8F40-A93C-289AD19C4653}"/>
  <tableColumns count="10">
    <tableColumn id="4" xr3:uid="{2FEE12BF-953C-45B2-8734-E2608887C242}" name="日付" dataDxfId="152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151"/>
    <tableColumn id="2" xr3:uid="{84981969-7AD4-4345-98CD-A237A7EC7065}" name="イベンター予約名" dataDxfId="150"/>
    <tableColumn id="3" xr3:uid="{D125B79D-FB07-824C-9F6B-8F9EB80FDB96}" name="人数" dataDxfId="149"/>
    <tableColumn id="8" xr3:uid="{964B3F0D-7EC8-44EA-9D48-B3320822812E}" name="Aパターン" dataDxfId="148" dataCellStyle="標準 2"/>
    <tableColumn id="5" xr3:uid="{0DC4758D-3F13-494A-9002-73182556C0F1}" name="単価合計" dataDxfId="147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146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145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144" dataCellStyle="標準 2"/>
    <tableColumn id="7" xr3:uid="{DEB02429-E828-4CAC-96F6-59AEFFE6D90F}" name="イベンターへ" dataDxfId="143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142" tableBorderDxfId="141" totalsRowBorderDxfId="140">
  <autoFilter ref="L4:U35" xr:uid="{5EA66BA7-8C44-B74F-97B6-C9945E55A068}"/>
  <tableColumns count="10">
    <tableColumn id="4" xr3:uid="{C9CF63A2-3B51-4D28-AA6D-BD29464C7228}" name="日付" dataDxfId="139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138"/>
    <tableColumn id="2" xr3:uid="{5BCA259A-AC89-104F-AA16-6258ADC1850A}" name="イベンター予約名" dataDxfId="137"/>
    <tableColumn id="3" xr3:uid="{FE10C2C8-CA73-C747-AD4B-0B98B4D3D712}" name="人数" dataDxfId="136"/>
    <tableColumn id="8" xr3:uid="{1E41350F-3ABA-42F5-99B1-F1F1DEE94ABD}" name="Aパターン" dataDxfId="135" dataCellStyle="標準 2"/>
    <tableColumn id="5" xr3:uid="{F9C4CA33-CF69-4E15-BCCF-349702AE179B}" name="単価合計" dataDxfId="134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133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132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131" dataCellStyle="標準 2"/>
    <tableColumn id="7" xr3:uid="{4E93AACE-BBE4-484C-8755-58F4DBD9F545}" name="イベンターへ" dataDxfId="130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103" tableBorderDxfId="102" totalsRowBorderDxfId="101">
  <autoFilter ref="A4:J35" xr:uid="{67C5F274-1286-48E6-A79D-618BA54810F8}"/>
  <tableColumns count="10">
    <tableColumn id="4" xr3:uid="{AAE4A0B7-5659-403C-84C2-1168F2FA5FE0}" name="日付" dataDxfId="100"/>
    <tableColumn id="1" xr3:uid="{37A62C18-0AA9-4EFC-B503-845D2E023219}" name="件数" dataDxfId="99">
      <calculatedColumnFormula>IF(梅田ここから4000[[#This Row],[人数]]=0,"",1)</calculatedColumnFormula>
    </tableColumn>
    <tableColumn id="2" xr3:uid="{6AD08CE3-3F66-4C1D-9DD1-C744B6DC1370}" name="イベンター予約名" dataDxfId="98"/>
    <tableColumn id="3" xr3:uid="{79524462-86BA-460B-9CC4-426699AA695A}" name="人数" dataDxfId="97"/>
    <tableColumn id="8" xr3:uid="{ED65D54E-1827-4381-A23C-FC21A0D3D727}" name="8件以上件数" dataDxfId="96" dataCellStyle="標準 2">
      <calculatedColumnFormula>ROUNDDOWN(梅田ここから4000[[#This Row],[人数]]/8,0)</calculatedColumnFormula>
    </tableColumn>
    <tableColumn id="5" xr3:uid="{0466DF4D-B696-49DF-B742-21632337A065}" name="単価合計" dataDxfId="95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94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93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92" dataCellStyle="標準 2"/>
    <tableColumn id="7" xr3:uid="{7F330C58-9D94-46AE-82D5-ABCD0DDE0B89}" name="イベンターへ" dataDxfId="91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90" tableBorderDxfId="89" totalsRowBorderDxfId="88">
  <autoFilter ref="L4:U35" xr:uid="{B3BD3786-6544-4B05-90DA-B0F071952B3A}"/>
  <tableColumns count="10">
    <tableColumn id="4" xr3:uid="{74C69931-573D-429D-B226-A1EE6F8ED31E}" name="日付" dataDxfId="87"/>
    <tableColumn id="1" xr3:uid="{17C2DED0-F4FA-4B9A-8276-95A7EFBBA316}" name="件数" dataDxfId="86"/>
    <tableColumn id="2" xr3:uid="{DA844336-8005-47C9-BC09-7C9FA42D09C8}" name="イベンター予約名" dataDxfId="85"/>
    <tableColumn id="3" xr3:uid="{2FE8D7A4-F91E-41D5-9807-414490FDB0CE}" name="人数" dataDxfId="84"/>
    <tableColumn id="8" xr3:uid="{F2544599-7C92-45B6-9295-B3544E7EFE9A}" name="8件以上件数" dataDxfId="83" dataCellStyle="標準 2"/>
    <tableColumn id="5" xr3:uid="{9B2CF0C8-3102-40AF-9FA7-791298EADD50}" name="単価合計" dataDxfId="82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81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80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79" dataCellStyle="標準 2"/>
    <tableColumn id="7" xr3:uid="{59B1C32B-739B-4086-B383-BED0272190E2}" name="イベンターへ" dataDxfId="78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>
      <calculatedColumnFormula>IF(三ノ宮Barさんかく4000[[#This Row],[人数]]=0,"",1)</calculatedColumnFormula>
    </tableColumn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8件以上件数" dataDxfId="70" dataCellStyle="標準 2">
      <calculatedColumnFormula>ROUNDDOWN(三ノ宮Barさんかく4000[[#This Row],[人数]]/8,0)</calculatedColumnFormula>
    </tableColumn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8件以上件数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7.xml"/><Relationship Id="rId5" Type="http://schemas.openxmlformats.org/officeDocument/2006/relationships/table" Target="../tables/table36.xml"/><Relationship Id="rId4" Type="http://schemas.openxmlformats.org/officeDocument/2006/relationships/ctrlProp" Target="../ctrlProps/ctrlProp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table" Target="../tables/table40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topLeftCell="B1" zoomScale="85" zoomScaleNormal="85" workbookViewId="0">
      <selection activeCell="N14" sqref="N14"/>
    </sheetView>
  </sheetViews>
  <sheetFormatPr defaultColWidth="14.3046875" defaultRowHeight="15" customHeight="1"/>
  <cols>
    <col min="1" max="1" width="12.53515625" bestFit="1" customWidth="1"/>
    <col min="2" max="2" width="10.84375" customWidth="1"/>
    <col min="3" max="3" width="14.07421875" customWidth="1"/>
    <col min="4" max="4" width="20.07421875" customWidth="1"/>
    <col min="5" max="5" width="15.84375" customWidth="1"/>
    <col min="6" max="6" width="18.765625" customWidth="1"/>
    <col min="7" max="7" width="12.69140625" customWidth="1"/>
    <col min="8" max="8" width="13.07421875" customWidth="1"/>
    <col min="9" max="9" width="14" customWidth="1"/>
    <col min="10" max="11" width="8.69140625" customWidth="1"/>
    <col min="12" max="14" width="11.53515625" customWidth="1"/>
  </cols>
  <sheetData>
    <row r="1" spans="1:16" ht="19.5" customHeight="1">
      <c r="A1" s="129" t="s">
        <v>397</v>
      </c>
      <c r="B1" s="137" t="s">
        <v>516</v>
      </c>
      <c r="C1" s="1" t="s">
        <v>0</v>
      </c>
      <c r="D1" s="86" t="s">
        <v>389</v>
      </c>
      <c r="E1" s="89" t="s">
        <v>390</v>
      </c>
      <c r="F1" s="83" t="s">
        <v>394</v>
      </c>
      <c r="G1" s="83" t="s">
        <v>393</v>
      </c>
      <c r="H1" s="83" t="s">
        <v>391</v>
      </c>
      <c r="I1" s="83" t="s">
        <v>392</v>
      </c>
      <c r="J1" s="83" t="s">
        <v>342</v>
      </c>
      <c r="K1" s="83"/>
      <c r="M1" s="146" t="s">
        <v>235</v>
      </c>
      <c r="N1" s="143">
        <v>2023</v>
      </c>
      <c r="O1" s="145">
        <v>2</v>
      </c>
    </row>
    <row r="2" spans="1:16" ht="19.5" customHeight="1">
      <c r="A2" s="2">
        <v>1</v>
      </c>
      <c r="B2" s="54" t="s">
        <v>1</v>
      </c>
      <c r="C2" s="55" t="s">
        <v>2</v>
      </c>
      <c r="D2" s="87" t="str">
        <f>VLOOKUP(名前リスト[[#This Row],[管理番号]],まとめ表_バック金額[[#All],[管理番号]:[バック金額合計]],4,FALSE)</f>
        <v/>
      </c>
      <c r="E2" s="80" t="str">
        <f>VLOOKUP(名前リスト[[#This Row],[管理番号]],まとめ表_各店舗件数[[#All],[管理番号]:[合計件数]],4,FALSE)</f>
        <v/>
      </c>
      <c r="F2" s="111" t="str">
        <f>VLOOKUP(名前リスト[[#This Row],[管理番号]],まとめ表_各Aパターン件数[[#All],[管理番号]:[Aパターン]],4,FALSE)</f>
        <v/>
      </c>
      <c r="G2" s="111">
        <v>10</v>
      </c>
      <c r="H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3</v>
      </c>
      <c r="K2" s="84"/>
      <c r="M2" s="146"/>
      <c r="N2" s="144"/>
      <c r="O2" s="144"/>
    </row>
    <row r="3" spans="1:16" ht="19.5" customHeight="1">
      <c r="A3" s="2">
        <v>2</v>
      </c>
      <c r="B3" s="54" t="s">
        <v>3</v>
      </c>
      <c r="C3" s="55" t="s">
        <v>4</v>
      </c>
      <c r="D3" s="87" t="str">
        <f>VLOOKUP(名前リスト[[#This Row],[管理番号]],まとめ表_バック金額[[#All],[管理番号]:[バック金額合計]],4,FALSE)</f>
        <v/>
      </c>
      <c r="E3" s="80" t="str">
        <f>VLOOKUP(名前リスト[[#This Row],[管理番号]],まとめ表_各店舗件数[[#All],[管理番号]:[合計件数]],4,FALSE)</f>
        <v/>
      </c>
      <c r="F3" s="111" t="str">
        <f>VLOOKUP(名前リスト[[#This Row],[管理番号]],まとめ表_各Aパターン件数[[#All],[管理番号]:[Aパターン]],4,FALSE)</f>
        <v/>
      </c>
      <c r="G3" s="111"/>
      <c r="H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84"/>
    </row>
    <row r="4" spans="1:16" ht="19.5" customHeight="1">
      <c r="A4" s="2">
        <v>3</v>
      </c>
      <c r="B4" s="47" t="s">
        <v>365</v>
      </c>
      <c r="C4" s="55" t="s">
        <v>5</v>
      </c>
      <c r="D4" s="87" t="str">
        <f>VLOOKUP(名前リスト[[#This Row],[管理番号]],まとめ表_バック金額[[#All],[管理番号]:[バック金額合計]],4,FALSE)</f>
        <v/>
      </c>
      <c r="E4" s="80" t="str">
        <f>VLOOKUP(名前リスト[[#This Row],[管理番号]],まとめ表_各店舗件数[[#All],[管理番号]:[合計件数]],4,FALSE)</f>
        <v/>
      </c>
      <c r="F4" s="111" t="str">
        <f>VLOOKUP(名前リスト[[#This Row],[管理番号]],まとめ表_各Aパターン件数[[#All],[管理番号]:[Aパターン]],4,FALSE)</f>
        <v/>
      </c>
      <c r="G4" s="111"/>
      <c r="H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84"/>
      <c r="M4" s="85"/>
    </row>
    <row r="5" spans="1:16" ht="19.5" customHeight="1">
      <c r="A5" s="2">
        <v>4</v>
      </c>
      <c r="B5" s="54" t="s">
        <v>6</v>
      </c>
      <c r="C5" s="92" t="s">
        <v>366</v>
      </c>
      <c r="D5" s="87" t="str">
        <f>VLOOKUP(名前リスト[[#This Row],[管理番号]],まとめ表_バック金額[[#All],[管理番号]:[バック金額合計]],4,FALSE)</f>
        <v/>
      </c>
      <c r="E5" s="80" t="str">
        <f>VLOOKUP(名前リスト[[#This Row],[管理番号]],まとめ表_各店舗件数[[#All],[管理番号]:[合計件数]],4,FALSE)</f>
        <v/>
      </c>
      <c r="F5" s="111" t="str">
        <f>VLOOKUP(名前リスト[[#This Row],[管理番号]],まとめ表_各Aパターン件数[[#All],[管理番号]:[Aパターン]],4,FALSE)</f>
        <v/>
      </c>
      <c r="G5" s="111"/>
      <c r="H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84"/>
      <c r="M5" s="85"/>
      <c r="N5" s="85"/>
      <c r="O5" s="85"/>
      <c r="P5" s="85"/>
    </row>
    <row r="6" spans="1:16" ht="19.5" customHeight="1">
      <c r="A6" s="2">
        <v>5</v>
      </c>
      <c r="B6" s="54" t="s">
        <v>7</v>
      </c>
      <c r="C6" s="55" t="s">
        <v>8</v>
      </c>
      <c r="D6" s="87" t="str">
        <f>VLOOKUP(名前リスト[[#This Row],[管理番号]],まとめ表_バック金額[[#All],[管理番号]:[バック金額合計]],4,FALSE)</f>
        <v/>
      </c>
      <c r="E6" s="80" t="str">
        <f>VLOOKUP(名前リスト[[#This Row],[管理番号]],まとめ表_各店舗件数[[#All],[管理番号]:[合計件数]],4,FALSE)</f>
        <v/>
      </c>
      <c r="F6" s="111" t="str">
        <f>VLOOKUP(名前リスト[[#This Row],[管理番号]],まとめ表_各Aパターン件数[[#All],[管理番号]:[Aパターン]],4,FALSE)</f>
        <v/>
      </c>
      <c r="G6" s="111"/>
      <c r="H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84"/>
    </row>
    <row r="7" spans="1:16" ht="19.5" customHeight="1">
      <c r="A7" s="2">
        <v>6</v>
      </c>
      <c r="B7" s="54" t="s">
        <v>9</v>
      </c>
      <c r="C7" s="55" t="s">
        <v>10</v>
      </c>
      <c r="D7" s="87" t="str">
        <f>VLOOKUP(名前リスト[[#This Row],[管理番号]],まとめ表_バック金額[[#All],[管理番号]:[バック金額合計]],4,FALSE)</f>
        <v/>
      </c>
      <c r="E7" s="80" t="str">
        <f>VLOOKUP(名前リスト[[#This Row],[管理番号]],まとめ表_各店舗件数[[#All],[管理番号]:[合計件数]],4,FALSE)</f>
        <v/>
      </c>
      <c r="F7" s="111" t="str">
        <f>VLOOKUP(名前リスト[[#This Row],[管理番号]],まとめ表_各Aパターン件数[[#All],[管理番号]:[Aパターン]],4,FALSE)</f>
        <v/>
      </c>
      <c r="G7" s="111"/>
      <c r="H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84"/>
    </row>
    <row r="8" spans="1:16" ht="19.5" customHeight="1">
      <c r="A8" s="2">
        <v>7</v>
      </c>
      <c r="B8" s="54" t="s">
        <v>11</v>
      </c>
      <c r="C8" s="55" t="s">
        <v>12</v>
      </c>
      <c r="D8" s="87" t="str">
        <f>VLOOKUP(名前リスト[[#This Row],[管理番号]],まとめ表_バック金額[[#All],[管理番号]:[バック金額合計]],4,FALSE)</f>
        <v/>
      </c>
      <c r="E8" s="80" t="str">
        <f>VLOOKUP(名前リスト[[#This Row],[管理番号]],まとめ表_各店舗件数[[#All],[管理番号]:[合計件数]],4,FALSE)</f>
        <v/>
      </c>
      <c r="F8" s="111" t="str">
        <f>VLOOKUP(名前リスト[[#This Row],[管理番号]],まとめ表_各Aパターン件数[[#All],[管理番号]:[Aパターン]],4,FALSE)</f>
        <v/>
      </c>
      <c r="G8" s="111"/>
      <c r="H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84"/>
    </row>
    <row r="9" spans="1:16" ht="19.5" customHeight="1">
      <c r="A9" s="2">
        <v>8</v>
      </c>
      <c r="B9" s="54" t="s">
        <v>13</v>
      </c>
      <c r="C9" s="55" t="s">
        <v>14</v>
      </c>
      <c r="D9" s="87" t="str">
        <f>VLOOKUP(名前リスト[[#This Row],[管理番号]],まとめ表_バック金額[[#All],[管理番号]:[バック金額合計]],4,FALSE)</f>
        <v/>
      </c>
      <c r="E9" s="80" t="str">
        <f>VLOOKUP(名前リスト[[#This Row],[管理番号]],まとめ表_各店舗件数[[#All],[管理番号]:[合計件数]],4,FALSE)</f>
        <v/>
      </c>
      <c r="F9" s="111" t="str">
        <f>VLOOKUP(名前リスト[[#This Row],[管理番号]],まとめ表_各Aパターン件数[[#All],[管理番号]:[Aパターン]],4,FALSE)</f>
        <v/>
      </c>
      <c r="G9" s="111"/>
      <c r="H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84"/>
    </row>
    <row r="10" spans="1:16" ht="19.5" customHeight="1">
      <c r="A10" s="2">
        <v>9</v>
      </c>
      <c r="B10" s="54" t="s">
        <v>15</v>
      </c>
      <c r="C10" s="55" t="s">
        <v>15</v>
      </c>
      <c r="D10" s="87" t="str">
        <f>VLOOKUP(名前リスト[[#This Row],[管理番号]],まとめ表_バック金額[[#All],[管理番号]:[バック金額合計]],4,FALSE)</f>
        <v/>
      </c>
      <c r="E10" s="80" t="str">
        <f>VLOOKUP(名前リスト[[#This Row],[管理番号]],まとめ表_各店舗件数[[#All],[管理番号]:[合計件数]],4,FALSE)</f>
        <v/>
      </c>
      <c r="F10" s="111" t="str">
        <f>VLOOKUP(名前リスト[[#This Row],[管理番号]],まとめ表_各Aパターン件数[[#All],[管理番号]:[Aパターン]],4,FALSE)</f>
        <v/>
      </c>
      <c r="G10" s="111"/>
      <c r="H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84"/>
    </row>
    <row r="11" spans="1:16" ht="19.5" customHeight="1">
      <c r="A11" s="2">
        <v>10</v>
      </c>
      <c r="B11" s="54" t="s">
        <v>16</v>
      </c>
      <c r="C11" s="55" t="s">
        <v>17</v>
      </c>
      <c r="D11" s="87" t="str">
        <f>VLOOKUP(名前リスト[[#This Row],[管理番号]],まとめ表_バック金額[[#All],[管理番号]:[バック金額合計]],4,FALSE)</f>
        <v/>
      </c>
      <c r="E11" s="80" t="str">
        <f>VLOOKUP(名前リスト[[#This Row],[管理番号]],まとめ表_各店舗件数[[#All],[管理番号]:[合計件数]],4,FALSE)</f>
        <v/>
      </c>
      <c r="F11" s="111" t="str">
        <f>VLOOKUP(名前リスト[[#This Row],[管理番号]],まとめ表_各Aパターン件数[[#All],[管理番号]:[Aパターン]],4,FALSE)</f>
        <v/>
      </c>
      <c r="G11" s="111"/>
      <c r="H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84"/>
    </row>
    <row r="12" spans="1:16" ht="19.5" customHeight="1">
      <c r="A12" s="2">
        <v>11</v>
      </c>
      <c r="B12" s="54" t="s">
        <v>18</v>
      </c>
      <c r="C12" s="92" t="s">
        <v>398</v>
      </c>
      <c r="D12" s="87" t="str">
        <f>VLOOKUP(名前リスト[[#This Row],[管理番号]],まとめ表_バック金額[[#All],[管理番号]:[バック金額合計]],4,FALSE)</f>
        <v/>
      </c>
      <c r="E12" s="80" t="str">
        <f>VLOOKUP(名前リスト[[#This Row],[管理番号]],まとめ表_各店舗件数[[#All],[管理番号]:[合計件数]],4,FALSE)</f>
        <v/>
      </c>
      <c r="F12" s="111" t="str">
        <f>VLOOKUP(名前リスト[[#This Row],[管理番号]],まとめ表_各Aパターン件数[[#All],[管理番号]:[Aパターン]],4,FALSE)</f>
        <v/>
      </c>
      <c r="G12" s="111"/>
      <c r="H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84"/>
    </row>
    <row r="13" spans="1:16" ht="19.5" customHeight="1">
      <c r="A13" s="2">
        <v>12</v>
      </c>
      <c r="B13" s="54" t="s">
        <v>19</v>
      </c>
      <c r="C13" s="55" t="s">
        <v>20</v>
      </c>
      <c r="D13" s="87" t="str">
        <f>VLOOKUP(名前リスト[[#This Row],[管理番号]],まとめ表_バック金額[[#All],[管理番号]:[バック金額合計]],4,FALSE)</f>
        <v/>
      </c>
      <c r="E13" s="80" t="str">
        <f>VLOOKUP(名前リスト[[#This Row],[管理番号]],まとめ表_各店舗件数[[#All],[管理番号]:[合計件数]],4,FALSE)</f>
        <v/>
      </c>
      <c r="F13" s="111" t="str">
        <f>VLOOKUP(名前リスト[[#This Row],[管理番号]],まとめ表_各Aパターン件数[[#All],[管理番号]:[Aパターン]],4,FALSE)</f>
        <v/>
      </c>
      <c r="G13" s="111"/>
      <c r="H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84"/>
    </row>
    <row r="14" spans="1:16" ht="19.5" customHeight="1">
      <c r="A14" s="2">
        <v>13</v>
      </c>
      <c r="B14" s="54" t="s">
        <v>21</v>
      </c>
      <c r="C14" s="55" t="s">
        <v>22</v>
      </c>
      <c r="D14" s="87" t="str">
        <f>VLOOKUP(名前リスト[[#This Row],[管理番号]],まとめ表_バック金額[[#All],[管理番号]:[バック金額合計]],4,FALSE)</f>
        <v/>
      </c>
      <c r="E14" s="80" t="str">
        <f>VLOOKUP(名前リスト[[#This Row],[管理番号]],まとめ表_各店舗件数[[#All],[管理番号]:[合計件数]],4,FALSE)</f>
        <v/>
      </c>
      <c r="F14" s="111" t="str">
        <f>VLOOKUP(名前リスト[[#This Row],[管理番号]],まとめ表_各Aパターン件数[[#All],[管理番号]:[Aパターン]],4,FALSE)</f>
        <v/>
      </c>
      <c r="G14" s="111"/>
      <c r="H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84"/>
    </row>
    <row r="15" spans="1:16" ht="19.5" customHeight="1">
      <c r="A15" s="2">
        <v>14</v>
      </c>
      <c r="B15" s="54" t="s">
        <v>23</v>
      </c>
      <c r="C15" s="55" t="s">
        <v>24</v>
      </c>
      <c r="D15" s="87" t="str">
        <f>VLOOKUP(名前リスト[[#This Row],[管理番号]],まとめ表_バック金額[[#All],[管理番号]:[バック金額合計]],4,FALSE)</f>
        <v/>
      </c>
      <c r="E15" s="80" t="str">
        <f>VLOOKUP(名前リスト[[#This Row],[管理番号]],まとめ表_各店舗件数[[#All],[管理番号]:[合計件数]],4,FALSE)</f>
        <v/>
      </c>
      <c r="F15" s="111" t="str">
        <f>VLOOKUP(名前リスト[[#This Row],[管理番号]],まとめ表_各Aパターン件数[[#All],[管理番号]:[Aパターン]],4,FALSE)</f>
        <v/>
      </c>
      <c r="G15" s="111"/>
      <c r="H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84"/>
    </row>
    <row r="16" spans="1:16" ht="19.5" customHeight="1">
      <c r="A16" s="2">
        <v>15</v>
      </c>
      <c r="B16" s="54" t="s">
        <v>25</v>
      </c>
      <c r="C16" s="55" t="s">
        <v>26</v>
      </c>
      <c r="D16" s="87" t="str">
        <f>VLOOKUP(名前リスト[[#This Row],[管理番号]],まとめ表_バック金額[[#All],[管理番号]:[バック金額合計]],4,FALSE)</f>
        <v/>
      </c>
      <c r="E16" s="80" t="str">
        <f>VLOOKUP(名前リスト[[#This Row],[管理番号]],まとめ表_各店舗件数[[#All],[管理番号]:[合計件数]],4,FALSE)</f>
        <v/>
      </c>
      <c r="F16" s="111" t="str">
        <f>VLOOKUP(名前リスト[[#This Row],[管理番号]],まとめ表_各Aパターン件数[[#All],[管理番号]:[Aパターン]],4,FALSE)</f>
        <v/>
      </c>
      <c r="G16" s="111"/>
      <c r="H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84"/>
    </row>
    <row r="17" spans="1:11" ht="19.5" customHeight="1">
      <c r="A17" s="2">
        <v>16</v>
      </c>
      <c r="B17" s="54" t="s">
        <v>27</v>
      </c>
      <c r="C17" s="55" t="s">
        <v>28</v>
      </c>
      <c r="D17" s="87" t="str">
        <f>VLOOKUP(名前リスト[[#This Row],[管理番号]],まとめ表_バック金額[[#All],[管理番号]:[バック金額合計]],4,FALSE)</f>
        <v/>
      </c>
      <c r="E17" s="80" t="str">
        <f>VLOOKUP(名前リスト[[#This Row],[管理番号]],まとめ表_各店舗件数[[#All],[管理番号]:[合計件数]],4,FALSE)</f>
        <v/>
      </c>
      <c r="F17" s="111" t="str">
        <f>VLOOKUP(名前リスト[[#This Row],[管理番号]],まとめ表_各Aパターン件数[[#All],[管理番号]:[Aパターン]],4,FALSE)</f>
        <v/>
      </c>
      <c r="G17" s="111"/>
      <c r="H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84"/>
    </row>
    <row r="18" spans="1:11" ht="19.5" customHeight="1">
      <c r="A18" s="2">
        <v>17</v>
      </c>
      <c r="B18" s="54" t="s">
        <v>29</v>
      </c>
      <c r="C18" s="55" t="s">
        <v>30</v>
      </c>
      <c r="D18" s="87" t="str">
        <f>VLOOKUP(名前リスト[[#This Row],[管理番号]],まとめ表_バック金額[[#All],[管理番号]:[バック金額合計]],4,FALSE)</f>
        <v/>
      </c>
      <c r="E18" s="80" t="str">
        <f>VLOOKUP(名前リスト[[#This Row],[管理番号]],まとめ表_各店舗件数[[#All],[管理番号]:[合計件数]],4,FALSE)</f>
        <v/>
      </c>
      <c r="F18" s="111" t="str">
        <f>VLOOKUP(名前リスト[[#This Row],[管理番号]],まとめ表_各Aパターン件数[[#All],[管理番号]:[Aパターン]],4,FALSE)</f>
        <v/>
      </c>
      <c r="G18" s="111"/>
      <c r="H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84"/>
    </row>
    <row r="19" spans="1:11" ht="19.5" customHeight="1">
      <c r="A19" s="2">
        <v>18</v>
      </c>
      <c r="B19" s="54" t="s">
        <v>31</v>
      </c>
      <c r="C19" s="55" t="s">
        <v>32</v>
      </c>
      <c r="D19" s="87" t="str">
        <f>VLOOKUP(名前リスト[[#This Row],[管理番号]],まとめ表_バック金額[[#All],[管理番号]:[バック金額合計]],4,FALSE)</f>
        <v/>
      </c>
      <c r="E19" s="80" t="str">
        <f>VLOOKUP(名前リスト[[#This Row],[管理番号]],まとめ表_各店舗件数[[#All],[管理番号]:[合計件数]],4,FALSE)</f>
        <v/>
      </c>
      <c r="F19" s="111" t="str">
        <f>VLOOKUP(名前リスト[[#This Row],[管理番号]],まとめ表_各Aパターン件数[[#All],[管理番号]:[Aパターン]],4,FALSE)</f>
        <v/>
      </c>
      <c r="G19" s="111"/>
      <c r="H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84"/>
    </row>
    <row r="20" spans="1:11" ht="19.5" customHeight="1">
      <c r="A20" s="2">
        <v>19</v>
      </c>
      <c r="B20" s="54" t="s">
        <v>33</v>
      </c>
      <c r="C20" s="55" t="s">
        <v>34</v>
      </c>
      <c r="D20" s="87" t="str">
        <f>VLOOKUP(名前リスト[[#This Row],[管理番号]],まとめ表_バック金額[[#All],[管理番号]:[バック金額合計]],4,FALSE)</f>
        <v/>
      </c>
      <c r="E20" s="80" t="str">
        <f>VLOOKUP(名前リスト[[#This Row],[管理番号]],まとめ表_各店舗件数[[#All],[管理番号]:[合計件数]],4,FALSE)</f>
        <v/>
      </c>
      <c r="F20" s="111" t="str">
        <f>VLOOKUP(名前リスト[[#This Row],[管理番号]],まとめ表_各Aパターン件数[[#All],[管理番号]:[Aパターン]],4,FALSE)</f>
        <v/>
      </c>
      <c r="G20" s="111"/>
      <c r="H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84"/>
    </row>
    <row r="21" spans="1:11" ht="19.5" customHeight="1">
      <c r="A21" s="2">
        <v>20</v>
      </c>
      <c r="B21" s="54" t="s">
        <v>1</v>
      </c>
      <c r="C21" s="55" t="s">
        <v>35</v>
      </c>
      <c r="D21" s="87" t="str">
        <f>VLOOKUP(名前リスト[[#This Row],[管理番号]],まとめ表_バック金額[[#All],[管理番号]:[バック金額合計]],4,FALSE)</f>
        <v/>
      </c>
      <c r="E21" s="80" t="str">
        <f>VLOOKUP(名前リスト[[#This Row],[管理番号]],まとめ表_各店舗件数[[#All],[管理番号]:[合計件数]],4,FALSE)</f>
        <v/>
      </c>
      <c r="F21" s="111" t="str">
        <f>VLOOKUP(名前リスト[[#This Row],[管理番号]],まとめ表_各Aパターン件数[[#All],[管理番号]:[Aパターン]],4,FALSE)</f>
        <v/>
      </c>
      <c r="G21" s="111"/>
      <c r="H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84"/>
    </row>
    <row r="22" spans="1:11" ht="19.5" customHeight="1">
      <c r="A22" s="2">
        <v>21</v>
      </c>
      <c r="B22" s="54" t="s">
        <v>36</v>
      </c>
      <c r="C22" s="55" t="s">
        <v>37</v>
      </c>
      <c r="D22" s="87" t="str">
        <f>VLOOKUP(名前リスト[[#This Row],[管理番号]],まとめ表_バック金額[[#All],[管理番号]:[バック金額合計]],4,FALSE)</f>
        <v/>
      </c>
      <c r="E22" s="80" t="str">
        <f>VLOOKUP(名前リスト[[#This Row],[管理番号]],まとめ表_各店舗件数[[#All],[管理番号]:[合計件数]],4,FALSE)</f>
        <v/>
      </c>
      <c r="F22" s="111" t="str">
        <f>VLOOKUP(名前リスト[[#This Row],[管理番号]],まとめ表_各Aパターン件数[[#All],[管理番号]:[Aパターン]],4,FALSE)</f>
        <v/>
      </c>
      <c r="G22" s="111"/>
      <c r="H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84"/>
    </row>
    <row r="23" spans="1:11" ht="19.5" customHeight="1">
      <c r="A23" s="2">
        <v>22</v>
      </c>
      <c r="B23" s="54" t="s">
        <v>38</v>
      </c>
      <c r="C23" s="55" t="s">
        <v>39</v>
      </c>
      <c r="D23" s="87">
        <f>VLOOKUP(名前リスト[[#This Row],[管理番号]],まとめ表_バック金額[[#All],[管理番号]:[バック金額合計]],4,FALSE)</f>
        <v>5000</v>
      </c>
      <c r="E23" s="80">
        <f>VLOOKUP(名前リスト[[#This Row],[管理番号]],まとめ表_各店舗件数[[#All],[管理番号]:[合計件数]],4,FALSE)</f>
        <v>1</v>
      </c>
      <c r="F23" s="111" t="str">
        <f>VLOOKUP(名前リスト[[#This Row],[管理番号]],まとめ表_各Aパターン件数[[#All],[管理番号]:[Aパターン]],4,FALSE)</f>
        <v/>
      </c>
      <c r="G23" s="111"/>
      <c r="H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5000</v>
      </c>
      <c r="J23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2</v>
      </c>
      <c r="K23" s="84"/>
    </row>
    <row r="24" spans="1:11" ht="19.5" customHeight="1">
      <c r="A24" s="2">
        <v>23</v>
      </c>
      <c r="B24" s="54" t="s">
        <v>40</v>
      </c>
      <c r="C24" s="55" t="s">
        <v>41</v>
      </c>
      <c r="D24" s="87" t="str">
        <f>VLOOKUP(名前リスト[[#This Row],[管理番号]],まとめ表_バック金額[[#All],[管理番号]:[バック金額合計]],4,FALSE)</f>
        <v/>
      </c>
      <c r="E24" s="80" t="str">
        <f>VLOOKUP(名前リスト[[#This Row],[管理番号]],まとめ表_各店舗件数[[#All],[管理番号]:[合計件数]],4,FALSE)</f>
        <v/>
      </c>
      <c r="F24" s="111" t="str">
        <f>VLOOKUP(名前リスト[[#This Row],[管理番号]],まとめ表_各Aパターン件数[[#All],[管理番号]:[Aパターン]],4,FALSE)</f>
        <v/>
      </c>
      <c r="G24" s="111"/>
      <c r="H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84"/>
    </row>
    <row r="25" spans="1:11" ht="19.5" customHeight="1">
      <c r="A25" s="2">
        <v>24</v>
      </c>
      <c r="B25" s="54" t="s">
        <v>42</v>
      </c>
      <c r="C25" s="55" t="s">
        <v>43</v>
      </c>
      <c r="D25" s="87" t="str">
        <f>VLOOKUP(名前リスト[[#This Row],[管理番号]],まとめ表_バック金額[[#All],[管理番号]:[バック金額合計]],4,FALSE)</f>
        <v/>
      </c>
      <c r="E25" s="80" t="str">
        <f>VLOOKUP(名前リスト[[#This Row],[管理番号]],まとめ表_各店舗件数[[#All],[管理番号]:[合計件数]],4,FALSE)</f>
        <v/>
      </c>
      <c r="F25" s="111" t="str">
        <f>VLOOKUP(名前リスト[[#This Row],[管理番号]],まとめ表_各Aパターン件数[[#All],[管理番号]:[Aパターン]],4,FALSE)</f>
        <v/>
      </c>
      <c r="G25" s="111"/>
      <c r="H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84"/>
    </row>
    <row r="26" spans="1:11" ht="19.5" customHeight="1">
      <c r="A26" s="2">
        <v>25</v>
      </c>
      <c r="B26" s="54" t="s">
        <v>44</v>
      </c>
      <c r="C26" s="55" t="s">
        <v>45</v>
      </c>
      <c r="D26" s="87" t="str">
        <f>VLOOKUP(名前リスト[[#This Row],[管理番号]],まとめ表_バック金額[[#All],[管理番号]:[バック金額合計]],4,FALSE)</f>
        <v/>
      </c>
      <c r="E26" s="80" t="str">
        <f>VLOOKUP(名前リスト[[#This Row],[管理番号]],まとめ表_各店舗件数[[#All],[管理番号]:[合計件数]],4,FALSE)</f>
        <v/>
      </c>
      <c r="F26" s="111" t="str">
        <f>VLOOKUP(名前リスト[[#This Row],[管理番号]],まとめ表_各Aパターン件数[[#All],[管理番号]:[Aパターン]],4,FALSE)</f>
        <v/>
      </c>
      <c r="G26" s="111"/>
      <c r="H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84"/>
    </row>
    <row r="27" spans="1:11" ht="19.5" customHeight="1">
      <c r="A27" s="2">
        <v>26</v>
      </c>
      <c r="B27" s="54" t="s">
        <v>46</v>
      </c>
      <c r="C27" s="55" t="s">
        <v>47</v>
      </c>
      <c r="D27" s="87" t="str">
        <f>VLOOKUP(名前リスト[[#This Row],[管理番号]],まとめ表_バック金額[[#All],[管理番号]:[バック金額合計]],4,FALSE)</f>
        <v/>
      </c>
      <c r="E27" s="80" t="str">
        <f>VLOOKUP(名前リスト[[#This Row],[管理番号]],まとめ表_各店舗件数[[#All],[管理番号]:[合計件数]],4,FALSE)</f>
        <v/>
      </c>
      <c r="F27" s="111" t="str">
        <f>VLOOKUP(名前リスト[[#This Row],[管理番号]],まとめ表_各Aパターン件数[[#All],[管理番号]:[Aパターン]],4,FALSE)</f>
        <v/>
      </c>
      <c r="G27" s="111"/>
      <c r="H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84"/>
    </row>
    <row r="28" spans="1:11" ht="19.5" customHeight="1">
      <c r="A28" s="2">
        <v>27</v>
      </c>
      <c r="B28" s="54" t="s">
        <v>48</v>
      </c>
      <c r="C28" s="55" t="s">
        <v>49</v>
      </c>
      <c r="D28" s="87" t="str">
        <f>VLOOKUP(名前リスト[[#This Row],[管理番号]],まとめ表_バック金額[[#All],[管理番号]:[バック金額合計]],4,FALSE)</f>
        <v/>
      </c>
      <c r="E28" s="80" t="str">
        <f>VLOOKUP(名前リスト[[#This Row],[管理番号]],まとめ表_各店舗件数[[#All],[管理番号]:[合計件数]],4,FALSE)</f>
        <v/>
      </c>
      <c r="F28" s="111" t="str">
        <f>VLOOKUP(名前リスト[[#This Row],[管理番号]],まとめ表_各Aパターン件数[[#All],[管理番号]:[Aパターン]],4,FALSE)</f>
        <v/>
      </c>
      <c r="G28" s="111"/>
      <c r="H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84"/>
    </row>
    <row r="29" spans="1:11" ht="19.5" customHeight="1">
      <c r="A29" s="2">
        <v>28</v>
      </c>
      <c r="B29" s="54" t="s">
        <v>50</v>
      </c>
      <c r="C29" s="55" t="s">
        <v>51</v>
      </c>
      <c r="D29" s="87" t="str">
        <f>VLOOKUP(名前リスト[[#This Row],[管理番号]],まとめ表_バック金額[[#All],[管理番号]:[バック金額合計]],4,FALSE)</f>
        <v/>
      </c>
      <c r="E29" s="80" t="str">
        <f>VLOOKUP(名前リスト[[#This Row],[管理番号]],まとめ表_各店舗件数[[#All],[管理番号]:[合計件数]],4,FALSE)</f>
        <v/>
      </c>
      <c r="F29" s="111" t="str">
        <f>VLOOKUP(名前リスト[[#This Row],[管理番号]],まとめ表_各Aパターン件数[[#All],[管理番号]:[Aパターン]],4,FALSE)</f>
        <v/>
      </c>
      <c r="G29" s="111"/>
      <c r="H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84"/>
    </row>
    <row r="30" spans="1:11" ht="19.5" customHeight="1">
      <c r="A30" s="2">
        <v>29</v>
      </c>
      <c r="B30" s="54" t="s">
        <v>52</v>
      </c>
      <c r="C30" s="55" t="s">
        <v>53</v>
      </c>
      <c r="D30" s="87" t="str">
        <f>VLOOKUP(名前リスト[[#This Row],[管理番号]],まとめ表_バック金額[[#All],[管理番号]:[バック金額合計]],4,FALSE)</f>
        <v/>
      </c>
      <c r="E30" s="80" t="str">
        <f>VLOOKUP(名前リスト[[#This Row],[管理番号]],まとめ表_各店舗件数[[#All],[管理番号]:[合計件数]],4,FALSE)</f>
        <v/>
      </c>
      <c r="F30" s="111" t="str">
        <f>VLOOKUP(名前リスト[[#This Row],[管理番号]],まとめ表_各Aパターン件数[[#All],[管理番号]:[Aパターン]],4,FALSE)</f>
        <v/>
      </c>
      <c r="G30" s="111"/>
      <c r="H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84"/>
    </row>
    <row r="31" spans="1:11" ht="19.5" customHeight="1">
      <c r="A31" s="2">
        <v>30</v>
      </c>
      <c r="B31" s="54" t="s">
        <v>54</v>
      </c>
      <c r="C31" s="55" t="s">
        <v>55</v>
      </c>
      <c r="D31" s="87" t="str">
        <f>VLOOKUP(名前リスト[[#This Row],[管理番号]],まとめ表_バック金額[[#All],[管理番号]:[バック金額合計]],4,FALSE)</f>
        <v/>
      </c>
      <c r="E31" s="80" t="str">
        <f>VLOOKUP(名前リスト[[#This Row],[管理番号]],まとめ表_各店舗件数[[#All],[管理番号]:[合計件数]],4,FALSE)</f>
        <v/>
      </c>
      <c r="F31" s="111" t="str">
        <f>VLOOKUP(名前リスト[[#This Row],[管理番号]],まとめ表_各Aパターン件数[[#All],[管理番号]:[Aパターン]],4,FALSE)</f>
        <v/>
      </c>
      <c r="G31" s="111"/>
      <c r="H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84"/>
    </row>
    <row r="32" spans="1:11" ht="19.5" customHeight="1">
      <c r="A32" s="2">
        <v>31</v>
      </c>
      <c r="B32" s="54" t="s">
        <v>56</v>
      </c>
      <c r="C32" s="55" t="s">
        <v>57</v>
      </c>
      <c r="D32" s="87" t="str">
        <f>VLOOKUP(名前リスト[[#This Row],[管理番号]],まとめ表_バック金額[[#All],[管理番号]:[バック金額合計]],4,FALSE)</f>
        <v/>
      </c>
      <c r="E32" s="80" t="str">
        <f>VLOOKUP(名前リスト[[#This Row],[管理番号]],まとめ表_各店舗件数[[#All],[管理番号]:[合計件数]],4,FALSE)</f>
        <v/>
      </c>
      <c r="F32" s="111" t="str">
        <f>VLOOKUP(名前リスト[[#This Row],[管理番号]],まとめ表_各Aパターン件数[[#All],[管理番号]:[Aパターン]],4,FALSE)</f>
        <v/>
      </c>
      <c r="G32" s="111"/>
      <c r="H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84"/>
    </row>
    <row r="33" spans="1:11" ht="19.5" customHeight="1">
      <c r="A33" s="2">
        <v>32</v>
      </c>
      <c r="B33" s="54" t="s">
        <v>58</v>
      </c>
      <c r="C33" s="55" t="s">
        <v>59</v>
      </c>
      <c r="D33" s="87" t="str">
        <f>VLOOKUP(名前リスト[[#This Row],[管理番号]],まとめ表_バック金額[[#All],[管理番号]:[バック金額合計]],4,FALSE)</f>
        <v/>
      </c>
      <c r="E33" s="80" t="str">
        <f>VLOOKUP(名前リスト[[#This Row],[管理番号]],まとめ表_各店舗件数[[#All],[管理番号]:[合計件数]],4,FALSE)</f>
        <v/>
      </c>
      <c r="F33" s="111" t="str">
        <f>VLOOKUP(名前リスト[[#This Row],[管理番号]],まとめ表_各Aパターン件数[[#All],[管理番号]:[Aパターン]],4,FALSE)</f>
        <v/>
      </c>
      <c r="G33" s="111"/>
      <c r="H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84"/>
    </row>
    <row r="34" spans="1:11" ht="19.5" customHeight="1">
      <c r="A34" s="2">
        <v>33</v>
      </c>
      <c r="B34" s="54" t="s">
        <v>60</v>
      </c>
      <c r="C34" s="55" t="s">
        <v>61</v>
      </c>
      <c r="D34" s="87" t="str">
        <f>VLOOKUP(名前リスト[[#This Row],[管理番号]],まとめ表_バック金額[[#All],[管理番号]:[バック金額合計]],4,FALSE)</f>
        <v/>
      </c>
      <c r="E34" s="80" t="str">
        <f>VLOOKUP(名前リスト[[#This Row],[管理番号]],まとめ表_各店舗件数[[#All],[管理番号]:[合計件数]],4,FALSE)</f>
        <v/>
      </c>
      <c r="F34" s="111" t="str">
        <f>VLOOKUP(名前リスト[[#This Row],[管理番号]],まとめ表_各Aパターン件数[[#All],[管理番号]:[Aパターン]],4,FALSE)</f>
        <v/>
      </c>
      <c r="G34" s="111"/>
      <c r="H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84"/>
    </row>
    <row r="35" spans="1:11" ht="19.5" customHeight="1">
      <c r="A35" s="2">
        <v>34</v>
      </c>
      <c r="B35" s="54" t="s">
        <v>62</v>
      </c>
      <c r="C35" s="55" t="s">
        <v>63</v>
      </c>
      <c r="D35" s="87" t="str">
        <f>VLOOKUP(名前リスト[[#This Row],[管理番号]],まとめ表_バック金額[[#All],[管理番号]:[バック金額合計]],4,FALSE)</f>
        <v/>
      </c>
      <c r="E35" s="80" t="str">
        <f>VLOOKUP(名前リスト[[#This Row],[管理番号]],まとめ表_各店舗件数[[#All],[管理番号]:[合計件数]],4,FALSE)</f>
        <v/>
      </c>
      <c r="F35" s="111" t="str">
        <f>VLOOKUP(名前リスト[[#This Row],[管理番号]],まとめ表_各Aパターン件数[[#All],[管理番号]:[Aパターン]],4,FALSE)</f>
        <v/>
      </c>
      <c r="G35" s="111"/>
      <c r="H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84"/>
    </row>
    <row r="36" spans="1:11" ht="19.5" customHeight="1">
      <c r="A36" s="2">
        <v>35</v>
      </c>
      <c r="B36" s="54" t="s">
        <v>64</v>
      </c>
      <c r="C36" s="55" t="s">
        <v>65</v>
      </c>
      <c r="D36" s="87" t="str">
        <f>VLOOKUP(名前リスト[[#This Row],[管理番号]],まとめ表_バック金額[[#All],[管理番号]:[バック金額合計]],4,FALSE)</f>
        <v/>
      </c>
      <c r="E36" s="80" t="e">
        <f>VLOOKUP(名前リスト[[#This Row],[管理番号]],まとめ表_各店舗件数[[#All],[管理番号]:[合計件数]],4,FALSE)</f>
        <v>#REF!</v>
      </c>
      <c r="F36" s="111" t="str">
        <f>VLOOKUP(名前リスト[[#This Row],[管理番号]],まとめ表_各Aパターン件数[[#All],[管理番号]:[Aパターン]],4,FALSE)</f>
        <v/>
      </c>
      <c r="G36" s="111"/>
      <c r="H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84"/>
    </row>
    <row r="37" spans="1:11" ht="19.5" customHeight="1">
      <c r="A37" s="2">
        <v>36</v>
      </c>
      <c r="B37" s="54" t="s">
        <v>66</v>
      </c>
      <c r="C37" s="55" t="s">
        <v>67</v>
      </c>
      <c r="D37" s="87" t="str">
        <f>VLOOKUP(名前リスト[[#This Row],[管理番号]],まとめ表_バック金額[[#All],[管理番号]:[バック金額合計]],4,FALSE)</f>
        <v/>
      </c>
      <c r="E37" s="80" t="str">
        <f>VLOOKUP(名前リスト[[#This Row],[管理番号]],まとめ表_各店舗件数[[#All],[管理番号]:[合計件数]],4,FALSE)</f>
        <v/>
      </c>
      <c r="F37" s="111" t="str">
        <f>VLOOKUP(名前リスト[[#This Row],[管理番号]],まとめ表_各Aパターン件数[[#All],[管理番号]:[Aパターン]],4,FALSE)</f>
        <v/>
      </c>
      <c r="G37" s="111"/>
      <c r="H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84"/>
    </row>
    <row r="38" spans="1:11" ht="19.5" customHeight="1">
      <c r="A38" s="2">
        <v>37</v>
      </c>
      <c r="B38" s="54" t="s">
        <v>68</v>
      </c>
      <c r="C38" s="55" t="s">
        <v>69</v>
      </c>
      <c r="D38" s="87" t="str">
        <f>VLOOKUP(名前リスト[[#This Row],[管理番号]],まとめ表_バック金額[[#All],[管理番号]:[バック金額合計]],4,FALSE)</f>
        <v/>
      </c>
      <c r="E38" s="80" t="str">
        <f>VLOOKUP(名前リスト[[#This Row],[管理番号]],まとめ表_各店舗件数[[#All],[管理番号]:[合計件数]],4,FALSE)</f>
        <v/>
      </c>
      <c r="F38" s="111" t="str">
        <f>VLOOKUP(名前リスト[[#This Row],[管理番号]],まとめ表_各Aパターン件数[[#All],[管理番号]:[Aパターン]],4,FALSE)</f>
        <v/>
      </c>
      <c r="G38" s="111"/>
      <c r="H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84"/>
    </row>
    <row r="39" spans="1:11" ht="19.5" customHeight="1">
      <c r="A39" s="2">
        <v>38</v>
      </c>
      <c r="B39" s="54" t="s">
        <v>70</v>
      </c>
      <c r="C39" s="55" t="s">
        <v>71</v>
      </c>
      <c r="D39" s="87" t="str">
        <f>VLOOKUP(名前リスト[[#This Row],[管理番号]],まとめ表_バック金額[[#All],[管理番号]:[バック金額合計]],4,FALSE)</f>
        <v/>
      </c>
      <c r="E39" s="80" t="str">
        <f>VLOOKUP(名前リスト[[#This Row],[管理番号]],まとめ表_各店舗件数[[#All],[管理番号]:[合計件数]],4,FALSE)</f>
        <v/>
      </c>
      <c r="F39" s="111" t="str">
        <f>VLOOKUP(名前リスト[[#This Row],[管理番号]],まとめ表_各Aパターン件数[[#All],[管理番号]:[Aパターン]],4,FALSE)</f>
        <v/>
      </c>
      <c r="G39" s="111"/>
      <c r="H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84"/>
    </row>
    <row r="40" spans="1:11" ht="19.5" customHeight="1">
      <c r="A40" s="2">
        <v>39</v>
      </c>
      <c r="B40" s="54" t="s">
        <v>72</v>
      </c>
      <c r="C40" s="55" t="s">
        <v>73</v>
      </c>
      <c r="D40" s="87" t="str">
        <f>VLOOKUP(名前リスト[[#This Row],[管理番号]],まとめ表_バック金額[[#All],[管理番号]:[バック金額合計]],4,FALSE)</f>
        <v/>
      </c>
      <c r="E40" s="80" t="str">
        <f>VLOOKUP(名前リスト[[#This Row],[管理番号]],まとめ表_各店舗件数[[#All],[管理番号]:[合計件数]],4,FALSE)</f>
        <v/>
      </c>
      <c r="F40" s="111" t="str">
        <f>VLOOKUP(名前リスト[[#This Row],[管理番号]],まとめ表_各Aパターン件数[[#All],[管理番号]:[Aパターン]],4,FALSE)</f>
        <v/>
      </c>
      <c r="G40" s="111"/>
      <c r="H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84"/>
    </row>
    <row r="41" spans="1:11" ht="19.5" customHeight="1">
      <c r="A41" s="2">
        <v>40</v>
      </c>
      <c r="B41" s="54" t="s">
        <v>74</v>
      </c>
      <c r="C41" s="55" t="s">
        <v>74</v>
      </c>
      <c r="D41" s="87">
        <f>VLOOKUP(名前リスト[[#This Row],[管理番号]],まとめ表_バック金額[[#All],[管理番号]:[バック金額合計]],4,FALSE)</f>
        <v>9000</v>
      </c>
      <c r="E41" s="80">
        <f>VLOOKUP(名前リスト[[#This Row],[管理番号]],まとめ表_各店舗件数[[#All],[管理番号]:[合計件数]],4,FALSE)</f>
        <v>1</v>
      </c>
      <c r="F41" s="111" t="str">
        <f>VLOOKUP(名前リスト[[#This Row],[管理番号]],まとめ表_各Aパターン件数[[#All],[管理番号]:[Aパターン]],4,FALSE)</f>
        <v/>
      </c>
      <c r="G41" s="111"/>
      <c r="H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9000</v>
      </c>
      <c r="J41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41" s="84"/>
    </row>
    <row r="42" spans="1:11" ht="19.5" customHeight="1">
      <c r="A42" s="2">
        <v>41</v>
      </c>
      <c r="B42" s="54" t="s">
        <v>75</v>
      </c>
      <c r="C42" s="55" t="s">
        <v>75</v>
      </c>
      <c r="D42" s="87" t="str">
        <f>VLOOKUP(名前リスト[[#This Row],[管理番号]],まとめ表_バック金額[[#All],[管理番号]:[バック金額合計]],4,FALSE)</f>
        <v/>
      </c>
      <c r="E42" s="80" t="str">
        <f>VLOOKUP(名前リスト[[#This Row],[管理番号]],まとめ表_各店舗件数[[#All],[管理番号]:[合計件数]],4,FALSE)</f>
        <v/>
      </c>
      <c r="F42" s="111" t="str">
        <f>VLOOKUP(名前リスト[[#This Row],[管理番号]],まとめ表_各Aパターン件数[[#All],[管理番号]:[Aパターン]],4,FALSE)</f>
        <v/>
      </c>
      <c r="G42" s="111"/>
      <c r="H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84"/>
    </row>
    <row r="43" spans="1:11" ht="19.5" customHeight="1">
      <c r="A43" s="2">
        <v>42</v>
      </c>
      <c r="B43" s="54" t="s">
        <v>76</v>
      </c>
      <c r="C43" s="55" t="s">
        <v>77</v>
      </c>
      <c r="D43" s="87" t="str">
        <f>VLOOKUP(名前リスト[[#This Row],[管理番号]],まとめ表_バック金額[[#All],[管理番号]:[バック金額合計]],4,FALSE)</f>
        <v/>
      </c>
      <c r="E43" s="80" t="str">
        <f>VLOOKUP(名前リスト[[#This Row],[管理番号]],まとめ表_各店舗件数[[#All],[管理番号]:[合計件数]],4,FALSE)</f>
        <v/>
      </c>
      <c r="F43" s="111" t="str">
        <f>VLOOKUP(名前リスト[[#This Row],[管理番号]],まとめ表_各Aパターン件数[[#All],[管理番号]:[Aパターン]],4,FALSE)</f>
        <v/>
      </c>
      <c r="G43" s="111"/>
      <c r="H43" s="111"/>
      <c r="I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84"/>
    </row>
    <row r="44" spans="1:11" ht="19.5" customHeight="1">
      <c r="A44" s="2">
        <v>43</v>
      </c>
      <c r="B44" s="54" t="s">
        <v>78</v>
      </c>
      <c r="C44" s="55" t="s">
        <v>79</v>
      </c>
      <c r="D44" s="87" t="str">
        <f>VLOOKUP(名前リスト[[#This Row],[管理番号]],まとめ表_バック金額[[#All],[管理番号]:[バック金額合計]],4,FALSE)</f>
        <v/>
      </c>
      <c r="E44" s="80" t="str">
        <f>VLOOKUP(名前リスト[[#This Row],[管理番号]],まとめ表_各店舗件数[[#All],[管理番号]:[合計件数]],4,FALSE)</f>
        <v/>
      </c>
      <c r="F44" s="111" t="str">
        <f>VLOOKUP(名前リスト[[#This Row],[管理番号]],まとめ表_各Aパターン件数[[#All],[管理番号]:[Aパターン]],4,FALSE)</f>
        <v/>
      </c>
      <c r="G44" s="111"/>
      <c r="H44" s="111"/>
      <c r="I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84"/>
    </row>
    <row r="45" spans="1:11" ht="19.5" customHeight="1">
      <c r="A45" s="2">
        <v>44</v>
      </c>
      <c r="B45" s="54" t="s">
        <v>80</v>
      </c>
      <c r="C45" s="55" t="s">
        <v>80</v>
      </c>
      <c r="D45" s="87" t="str">
        <f>VLOOKUP(名前リスト[[#This Row],[管理番号]],まとめ表_バック金額[[#All],[管理番号]:[バック金額合計]],4,FALSE)</f>
        <v/>
      </c>
      <c r="E45" s="80" t="str">
        <f>VLOOKUP(名前リスト[[#This Row],[管理番号]],まとめ表_各店舗件数[[#All],[管理番号]:[合計件数]],4,FALSE)</f>
        <v/>
      </c>
      <c r="F45" s="111" t="str">
        <f>VLOOKUP(名前リスト[[#This Row],[管理番号]],まとめ表_各Aパターン件数[[#All],[管理番号]:[Aパターン]],4,FALSE)</f>
        <v/>
      </c>
      <c r="G45" s="111"/>
      <c r="H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84"/>
    </row>
    <row r="46" spans="1:11" ht="19.5" customHeight="1">
      <c r="A46" s="2">
        <v>45</v>
      </c>
      <c r="B46" s="54" t="s">
        <v>81</v>
      </c>
      <c r="C46" s="55" t="s">
        <v>82</v>
      </c>
      <c r="D46" s="87" t="str">
        <f>VLOOKUP(名前リスト[[#This Row],[管理番号]],まとめ表_バック金額[[#All],[管理番号]:[バック金額合計]],4,FALSE)</f>
        <v/>
      </c>
      <c r="E46" s="80" t="str">
        <f>VLOOKUP(名前リスト[[#This Row],[管理番号]],まとめ表_各店舗件数[[#All],[管理番号]:[合計件数]],4,FALSE)</f>
        <v/>
      </c>
      <c r="F46" s="111" t="str">
        <f>VLOOKUP(名前リスト[[#This Row],[管理番号]],まとめ表_各Aパターン件数[[#All],[管理番号]:[Aパターン]],4,FALSE)</f>
        <v/>
      </c>
      <c r="G46" s="111"/>
      <c r="H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84"/>
    </row>
    <row r="47" spans="1:11" ht="19.5" customHeight="1">
      <c r="A47" s="2">
        <v>46</v>
      </c>
      <c r="B47" s="54" t="s">
        <v>83</v>
      </c>
      <c r="C47" s="55" t="s">
        <v>84</v>
      </c>
      <c r="D47" s="87" t="str">
        <f>VLOOKUP(名前リスト[[#This Row],[管理番号]],まとめ表_バック金額[[#All],[管理番号]:[バック金額合計]],4,FALSE)</f>
        <v/>
      </c>
      <c r="E47" s="80" t="str">
        <f>VLOOKUP(名前リスト[[#This Row],[管理番号]],まとめ表_各店舗件数[[#All],[管理番号]:[合計件数]],4,FALSE)</f>
        <v/>
      </c>
      <c r="F47" s="111" t="str">
        <f>VLOOKUP(名前リスト[[#This Row],[管理番号]],まとめ表_各Aパターン件数[[#All],[管理番号]:[Aパターン]],4,FALSE)</f>
        <v/>
      </c>
      <c r="G47" s="111"/>
      <c r="H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84"/>
    </row>
    <row r="48" spans="1:11" ht="19.5" customHeight="1">
      <c r="A48" s="2">
        <v>47</v>
      </c>
      <c r="B48" s="54" t="s">
        <v>85</v>
      </c>
      <c r="C48" s="55" t="s">
        <v>86</v>
      </c>
      <c r="D48" s="87" t="str">
        <f>VLOOKUP(名前リスト[[#This Row],[管理番号]],まとめ表_バック金額[[#All],[管理番号]:[バック金額合計]],4,FALSE)</f>
        <v/>
      </c>
      <c r="E48" s="80" t="str">
        <f>VLOOKUP(名前リスト[[#This Row],[管理番号]],まとめ表_各店舗件数[[#All],[管理番号]:[合計件数]],4,FALSE)</f>
        <v/>
      </c>
      <c r="F48" s="111" t="str">
        <f>VLOOKUP(名前リスト[[#This Row],[管理番号]],まとめ表_各Aパターン件数[[#All],[管理番号]:[Aパターン]],4,FALSE)</f>
        <v/>
      </c>
      <c r="G48" s="111"/>
      <c r="H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84"/>
    </row>
    <row r="49" spans="1:11" ht="19.5" customHeight="1">
      <c r="A49" s="2">
        <v>48</v>
      </c>
      <c r="B49" s="54" t="s">
        <v>87</v>
      </c>
      <c r="C49" s="55" t="s">
        <v>88</v>
      </c>
      <c r="D49" s="87" t="str">
        <f>VLOOKUP(名前リスト[[#This Row],[管理番号]],まとめ表_バック金額[[#All],[管理番号]:[バック金額合計]],4,FALSE)</f>
        <v/>
      </c>
      <c r="E49" s="80" t="str">
        <f>VLOOKUP(名前リスト[[#This Row],[管理番号]],まとめ表_各店舗件数[[#All],[管理番号]:[合計件数]],4,FALSE)</f>
        <v/>
      </c>
      <c r="F49" s="111" t="str">
        <f>VLOOKUP(名前リスト[[#This Row],[管理番号]],まとめ表_各Aパターン件数[[#All],[管理番号]:[Aパターン]],4,FALSE)</f>
        <v/>
      </c>
      <c r="G49" s="111"/>
      <c r="H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84"/>
    </row>
    <row r="50" spans="1:11" ht="19.5" customHeight="1">
      <c r="A50" s="2">
        <v>49</v>
      </c>
      <c r="B50" s="54" t="s">
        <v>89</v>
      </c>
      <c r="C50" s="55" t="s">
        <v>90</v>
      </c>
      <c r="D50" s="87" t="str">
        <f>VLOOKUP(名前リスト[[#This Row],[管理番号]],まとめ表_バック金額[[#All],[管理番号]:[バック金額合計]],4,FALSE)</f>
        <v/>
      </c>
      <c r="E50" s="80" t="str">
        <f>VLOOKUP(名前リスト[[#This Row],[管理番号]],まとめ表_各店舗件数[[#All],[管理番号]:[合計件数]],4,FALSE)</f>
        <v/>
      </c>
      <c r="F50" s="111" t="str">
        <f>VLOOKUP(名前リスト[[#This Row],[管理番号]],まとめ表_各Aパターン件数[[#All],[管理番号]:[Aパターン]],4,FALSE)</f>
        <v/>
      </c>
      <c r="G50" s="111"/>
      <c r="H5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84"/>
    </row>
    <row r="51" spans="1:11" ht="19.5" customHeight="1">
      <c r="A51" s="2">
        <v>50</v>
      </c>
      <c r="B51" s="54" t="s">
        <v>91</v>
      </c>
      <c r="C51" s="55" t="s">
        <v>92</v>
      </c>
      <c r="D51" s="87" t="str">
        <f>VLOOKUP(名前リスト[[#This Row],[管理番号]],まとめ表_バック金額[[#All],[管理番号]:[バック金額合計]],4,FALSE)</f>
        <v/>
      </c>
      <c r="E51" s="80" t="str">
        <f>VLOOKUP(名前リスト[[#This Row],[管理番号]],まとめ表_各店舗件数[[#All],[管理番号]:[合計件数]],4,FALSE)</f>
        <v/>
      </c>
      <c r="F51" s="111" t="str">
        <f>VLOOKUP(名前リスト[[#This Row],[管理番号]],まとめ表_各Aパターン件数[[#All],[管理番号]:[Aパターン]],4,FALSE)</f>
        <v/>
      </c>
      <c r="G51" s="111"/>
      <c r="H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84"/>
    </row>
    <row r="52" spans="1:11" ht="19.5" customHeight="1">
      <c r="A52" s="2">
        <v>51</v>
      </c>
      <c r="B52" s="54" t="s">
        <v>93</v>
      </c>
      <c r="C52" s="55" t="s">
        <v>94</v>
      </c>
      <c r="D52" s="87" t="str">
        <f>VLOOKUP(名前リスト[[#This Row],[管理番号]],まとめ表_バック金額[[#All],[管理番号]:[バック金額合計]],4,FALSE)</f>
        <v/>
      </c>
      <c r="E52" s="80" t="str">
        <f>VLOOKUP(名前リスト[[#This Row],[管理番号]],まとめ表_各店舗件数[[#All],[管理番号]:[合計件数]],4,FALSE)</f>
        <v/>
      </c>
      <c r="F52" s="111" t="str">
        <f>VLOOKUP(名前リスト[[#This Row],[管理番号]],まとめ表_各Aパターン件数[[#All],[管理番号]:[Aパターン]],4,FALSE)</f>
        <v/>
      </c>
      <c r="G52" s="111"/>
      <c r="H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84"/>
    </row>
    <row r="53" spans="1:11" ht="19.5" customHeight="1">
      <c r="A53" s="2">
        <v>52</v>
      </c>
      <c r="B53" s="54" t="s">
        <v>95</v>
      </c>
      <c r="C53" s="55" t="s">
        <v>96</v>
      </c>
      <c r="D53" s="87" t="str">
        <f>VLOOKUP(名前リスト[[#This Row],[管理番号]],まとめ表_バック金額[[#All],[管理番号]:[バック金額合計]],4,FALSE)</f>
        <v/>
      </c>
      <c r="E53" s="80" t="str">
        <f>VLOOKUP(名前リスト[[#This Row],[管理番号]],まとめ表_各店舗件数[[#All],[管理番号]:[合計件数]],4,FALSE)</f>
        <v/>
      </c>
      <c r="F53" s="111" t="str">
        <f>VLOOKUP(名前リスト[[#This Row],[管理番号]],まとめ表_各Aパターン件数[[#All],[管理番号]:[Aパターン]],4,FALSE)</f>
        <v/>
      </c>
      <c r="G53" s="111"/>
      <c r="H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84"/>
    </row>
    <row r="54" spans="1:11" ht="19.5" customHeight="1">
      <c r="A54" s="2">
        <v>53</v>
      </c>
      <c r="B54" s="54" t="s">
        <v>97</v>
      </c>
      <c r="C54" s="55" t="s">
        <v>98</v>
      </c>
      <c r="D54" s="87" t="str">
        <f>VLOOKUP(名前リスト[[#This Row],[管理番号]],まとめ表_バック金額[[#All],[管理番号]:[バック金額合計]],4,FALSE)</f>
        <v/>
      </c>
      <c r="E54" s="80" t="str">
        <f>VLOOKUP(名前リスト[[#This Row],[管理番号]],まとめ表_各店舗件数[[#All],[管理番号]:[合計件数]],4,FALSE)</f>
        <v/>
      </c>
      <c r="F54" s="111" t="str">
        <f>VLOOKUP(名前リスト[[#This Row],[管理番号]],まとめ表_各Aパターン件数[[#All],[管理番号]:[Aパターン]],4,FALSE)</f>
        <v/>
      </c>
      <c r="G54" s="111"/>
      <c r="H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84"/>
    </row>
    <row r="55" spans="1:11" ht="19.5" customHeight="1">
      <c r="A55" s="2">
        <v>54</v>
      </c>
      <c r="B55" s="54" t="s">
        <v>99</v>
      </c>
      <c r="C55" s="55" t="s">
        <v>100</v>
      </c>
      <c r="D55" s="87" t="str">
        <f>VLOOKUP(名前リスト[[#This Row],[管理番号]],まとめ表_バック金額[[#All],[管理番号]:[バック金額合計]],4,FALSE)</f>
        <v/>
      </c>
      <c r="E55" s="80" t="str">
        <f>VLOOKUP(名前リスト[[#This Row],[管理番号]],まとめ表_各店舗件数[[#All],[管理番号]:[合計件数]],4,FALSE)</f>
        <v/>
      </c>
      <c r="F55" s="111" t="str">
        <f>VLOOKUP(名前リスト[[#This Row],[管理番号]],まとめ表_各Aパターン件数[[#All],[管理番号]:[Aパターン]],4,FALSE)</f>
        <v/>
      </c>
      <c r="G55" s="111"/>
      <c r="H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84"/>
    </row>
    <row r="56" spans="1:11" ht="19.5" customHeight="1">
      <c r="A56" s="2">
        <v>55</v>
      </c>
      <c r="B56" s="54" t="s">
        <v>101</v>
      </c>
      <c r="C56" s="55" t="s">
        <v>102</v>
      </c>
      <c r="D56" s="87" t="str">
        <f>VLOOKUP(名前リスト[[#This Row],[管理番号]],まとめ表_バック金額[[#All],[管理番号]:[バック金額合計]],4,FALSE)</f>
        <v/>
      </c>
      <c r="E56" s="80" t="str">
        <f>VLOOKUP(名前リスト[[#This Row],[管理番号]],まとめ表_各店舗件数[[#All],[管理番号]:[合計件数]],4,FALSE)</f>
        <v/>
      </c>
      <c r="F56" s="111" t="str">
        <f>VLOOKUP(名前リスト[[#This Row],[管理番号]],まとめ表_各Aパターン件数[[#All],[管理番号]:[Aパターン]],4,FALSE)</f>
        <v/>
      </c>
      <c r="G56" s="111"/>
      <c r="H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84"/>
    </row>
    <row r="57" spans="1:11" ht="19.5" customHeight="1">
      <c r="A57" s="2">
        <v>56</v>
      </c>
      <c r="B57" s="54" t="s">
        <v>103</v>
      </c>
      <c r="C57" s="55" t="s">
        <v>104</v>
      </c>
      <c r="D57" s="87" t="str">
        <f>VLOOKUP(名前リスト[[#This Row],[管理番号]],まとめ表_バック金額[[#All],[管理番号]:[バック金額合計]],4,FALSE)</f>
        <v/>
      </c>
      <c r="E57" s="80" t="str">
        <f>VLOOKUP(名前リスト[[#This Row],[管理番号]],まとめ表_各店舗件数[[#All],[管理番号]:[合計件数]],4,FALSE)</f>
        <v/>
      </c>
      <c r="F57" s="111" t="str">
        <f>VLOOKUP(名前リスト[[#This Row],[管理番号]],まとめ表_各Aパターン件数[[#All],[管理番号]:[Aパターン]],4,FALSE)</f>
        <v/>
      </c>
      <c r="G57" s="111"/>
      <c r="H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84"/>
    </row>
    <row r="58" spans="1:11" ht="19.5" customHeight="1">
      <c r="A58" s="2">
        <v>57</v>
      </c>
      <c r="B58" s="54" t="s">
        <v>105</v>
      </c>
      <c r="C58" s="55" t="s">
        <v>106</v>
      </c>
      <c r="D58" s="87" t="str">
        <f>VLOOKUP(名前リスト[[#This Row],[管理番号]],まとめ表_バック金額[[#All],[管理番号]:[バック金額合計]],4,FALSE)</f>
        <v/>
      </c>
      <c r="E58" s="80" t="str">
        <f>VLOOKUP(名前リスト[[#This Row],[管理番号]],まとめ表_各店舗件数[[#All],[管理番号]:[合計件数]],4,FALSE)</f>
        <v/>
      </c>
      <c r="F58" s="111" t="str">
        <f>VLOOKUP(名前リスト[[#This Row],[管理番号]],まとめ表_各Aパターン件数[[#All],[管理番号]:[Aパターン]],4,FALSE)</f>
        <v/>
      </c>
      <c r="G58" s="111"/>
      <c r="H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84"/>
    </row>
    <row r="59" spans="1:11" ht="19.5" customHeight="1">
      <c r="A59" s="2">
        <v>58</v>
      </c>
      <c r="B59" s="54" t="s">
        <v>107</v>
      </c>
      <c r="C59" s="55" t="s">
        <v>108</v>
      </c>
      <c r="D59" s="87" t="str">
        <f>VLOOKUP(名前リスト[[#This Row],[管理番号]],まとめ表_バック金額[[#All],[管理番号]:[バック金額合計]],4,FALSE)</f>
        <v/>
      </c>
      <c r="E59" s="80" t="str">
        <f>VLOOKUP(名前リスト[[#This Row],[管理番号]],まとめ表_各店舗件数[[#All],[管理番号]:[合計件数]],4,FALSE)</f>
        <v/>
      </c>
      <c r="F59" s="111" t="str">
        <f>VLOOKUP(名前リスト[[#This Row],[管理番号]],まとめ表_各Aパターン件数[[#All],[管理番号]:[Aパターン]],4,FALSE)</f>
        <v/>
      </c>
      <c r="G59" s="111"/>
      <c r="H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84"/>
    </row>
    <row r="60" spans="1:11" ht="19.5" customHeight="1">
      <c r="A60" s="2">
        <v>59</v>
      </c>
      <c r="B60" s="54" t="s">
        <v>109</v>
      </c>
      <c r="C60" s="55" t="s">
        <v>110</v>
      </c>
      <c r="D60" s="87" t="str">
        <f>VLOOKUP(名前リスト[[#This Row],[管理番号]],まとめ表_バック金額[[#All],[管理番号]:[バック金額合計]],4,FALSE)</f>
        <v/>
      </c>
      <c r="E60" s="80" t="str">
        <f>VLOOKUP(名前リスト[[#This Row],[管理番号]],まとめ表_各店舗件数[[#All],[管理番号]:[合計件数]],4,FALSE)</f>
        <v/>
      </c>
      <c r="F60" s="111" t="str">
        <f>VLOOKUP(名前リスト[[#This Row],[管理番号]],まとめ表_各Aパターン件数[[#All],[管理番号]:[Aパターン]],4,FALSE)</f>
        <v/>
      </c>
      <c r="G60" s="111"/>
      <c r="H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84"/>
    </row>
    <row r="61" spans="1:11" ht="19.5" customHeight="1">
      <c r="A61" s="2">
        <v>60</v>
      </c>
      <c r="B61" s="54" t="s">
        <v>111</v>
      </c>
      <c r="C61" s="55" t="s">
        <v>112</v>
      </c>
      <c r="D61" s="87" t="str">
        <f>VLOOKUP(名前リスト[[#This Row],[管理番号]],まとめ表_バック金額[[#All],[管理番号]:[バック金額合計]],4,FALSE)</f>
        <v/>
      </c>
      <c r="E61" s="80" t="str">
        <f>VLOOKUP(名前リスト[[#This Row],[管理番号]],まとめ表_各店舗件数[[#All],[管理番号]:[合計件数]],4,FALSE)</f>
        <v/>
      </c>
      <c r="F61" s="111" t="str">
        <f>VLOOKUP(名前リスト[[#This Row],[管理番号]],まとめ表_各Aパターン件数[[#All],[管理番号]:[Aパターン]],4,FALSE)</f>
        <v/>
      </c>
      <c r="G61" s="111"/>
      <c r="H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84"/>
    </row>
    <row r="62" spans="1:11" ht="19.5" customHeight="1">
      <c r="A62" s="2">
        <v>61</v>
      </c>
      <c r="B62" s="54" t="s">
        <v>113</v>
      </c>
      <c r="C62" s="55" t="s">
        <v>114</v>
      </c>
      <c r="D62" s="87" t="str">
        <f>VLOOKUP(名前リスト[[#This Row],[管理番号]],まとめ表_バック金額[[#All],[管理番号]:[バック金額合計]],4,FALSE)</f>
        <v/>
      </c>
      <c r="E62" s="80" t="str">
        <f>VLOOKUP(名前リスト[[#This Row],[管理番号]],まとめ表_各店舗件数[[#All],[管理番号]:[合計件数]],4,FALSE)</f>
        <v/>
      </c>
      <c r="F62" s="111" t="str">
        <f>VLOOKUP(名前リスト[[#This Row],[管理番号]],まとめ表_各Aパターン件数[[#All],[管理番号]:[Aパターン]],4,FALSE)</f>
        <v/>
      </c>
      <c r="G62" s="111"/>
      <c r="H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84"/>
    </row>
    <row r="63" spans="1:11" ht="19.5" customHeight="1">
      <c r="A63" s="2">
        <v>62</v>
      </c>
      <c r="B63" s="54" t="s">
        <v>115</v>
      </c>
      <c r="C63" s="55" t="s">
        <v>116</v>
      </c>
      <c r="D63" s="87" t="str">
        <f>VLOOKUP(名前リスト[[#This Row],[管理番号]],まとめ表_バック金額[[#All],[管理番号]:[バック金額合計]],4,FALSE)</f>
        <v/>
      </c>
      <c r="E63" s="80" t="str">
        <f>VLOOKUP(名前リスト[[#This Row],[管理番号]],まとめ表_各店舗件数[[#All],[管理番号]:[合計件数]],4,FALSE)</f>
        <v/>
      </c>
      <c r="F63" s="111" t="str">
        <f>VLOOKUP(名前リスト[[#This Row],[管理番号]],まとめ表_各Aパターン件数[[#All],[管理番号]:[Aパターン]],4,FALSE)</f>
        <v/>
      </c>
      <c r="G63" s="111"/>
      <c r="H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84"/>
    </row>
    <row r="64" spans="1:11" ht="19.5" customHeight="1">
      <c r="A64" s="2">
        <v>63</v>
      </c>
      <c r="B64" s="54" t="s">
        <v>117</v>
      </c>
      <c r="C64" s="55" t="s">
        <v>118</v>
      </c>
      <c r="D64" s="87" t="str">
        <f>VLOOKUP(名前リスト[[#This Row],[管理番号]],まとめ表_バック金額[[#All],[管理番号]:[バック金額合計]],4,FALSE)</f>
        <v/>
      </c>
      <c r="E64" s="80" t="str">
        <f>VLOOKUP(名前リスト[[#This Row],[管理番号]],まとめ表_各店舗件数[[#All],[管理番号]:[合計件数]],4,FALSE)</f>
        <v/>
      </c>
      <c r="F64" s="111" t="str">
        <f>VLOOKUP(名前リスト[[#This Row],[管理番号]],まとめ表_各Aパターン件数[[#All],[管理番号]:[Aパターン]],4,FALSE)</f>
        <v/>
      </c>
      <c r="G64" s="111"/>
      <c r="H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84"/>
    </row>
    <row r="65" spans="1:11" ht="19.5" customHeight="1">
      <c r="A65" s="2">
        <v>64</v>
      </c>
      <c r="B65" s="54" t="s">
        <v>119</v>
      </c>
      <c r="C65" s="55" t="s">
        <v>120</v>
      </c>
      <c r="D65" s="87" t="str">
        <f>VLOOKUP(名前リスト[[#This Row],[管理番号]],まとめ表_バック金額[[#All],[管理番号]:[バック金額合計]],4,FALSE)</f>
        <v/>
      </c>
      <c r="E65" s="80" t="str">
        <f>VLOOKUP(名前リスト[[#This Row],[管理番号]],まとめ表_各店舗件数[[#All],[管理番号]:[合計件数]],4,FALSE)</f>
        <v/>
      </c>
      <c r="F65" s="111" t="str">
        <f>VLOOKUP(名前リスト[[#This Row],[管理番号]],まとめ表_各Aパターン件数[[#All],[管理番号]:[Aパターン]],4,FALSE)</f>
        <v/>
      </c>
      <c r="G65" s="111"/>
      <c r="H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5" s="84"/>
    </row>
    <row r="66" spans="1:11" ht="19.5" customHeight="1">
      <c r="A66" s="2">
        <v>65</v>
      </c>
      <c r="B66" s="54" t="s">
        <v>121</v>
      </c>
      <c r="C66" s="55" t="s">
        <v>122</v>
      </c>
      <c r="D66" s="87" t="str">
        <f>VLOOKUP(名前リスト[[#This Row],[管理番号]],まとめ表_バック金額[[#All],[管理番号]:[バック金額合計]],4,FALSE)</f>
        <v/>
      </c>
      <c r="E66" s="80" t="str">
        <f>VLOOKUP(名前リスト[[#This Row],[管理番号]],まとめ表_各店舗件数[[#All],[管理番号]:[合計件数]],4,FALSE)</f>
        <v/>
      </c>
      <c r="F66" s="111" t="str">
        <f>VLOOKUP(名前リスト[[#This Row],[管理番号]],まとめ表_各Aパターン件数[[#All],[管理番号]:[Aパターン]],4,FALSE)</f>
        <v/>
      </c>
      <c r="G66" s="111"/>
      <c r="H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84"/>
    </row>
    <row r="67" spans="1:11" ht="19.5" customHeight="1">
      <c r="A67" s="2">
        <v>66</v>
      </c>
      <c r="B67" s="54" t="s">
        <v>123</v>
      </c>
      <c r="C67" s="55" t="s">
        <v>124</v>
      </c>
      <c r="D67" s="87" t="str">
        <f>VLOOKUP(名前リスト[[#This Row],[管理番号]],まとめ表_バック金額[[#All],[管理番号]:[バック金額合計]],4,FALSE)</f>
        <v/>
      </c>
      <c r="E67" s="80" t="str">
        <f>VLOOKUP(名前リスト[[#This Row],[管理番号]],まとめ表_各店舗件数[[#All],[管理番号]:[合計件数]],4,FALSE)</f>
        <v/>
      </c>
      <c r="F67" s="111" t="str">
        <f>VLOOKUP(名前リスト[[#This Row],[管理番号]],まとめ表_各Aパターン件数[[#All],[管理番号]:[Aパターン]],4,FALSE)</f>
        <v/>
      </c>
      <c r="G67" s="111"/>
      <c r="H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84"/>
    </row>
    <row r="68" spans="1:11" ht="19.5" customHeight="1">
      <c r="A68" s="2">
        <v>67</v>
      </c>
      <c r="B68" s="54" t="s">
        <v>125</v>
      </c>
      <c r="C68" s="55" t="s">
        <v>126</v>
      </c>
      <c r="D68" s="87" t="str">
        <f>VLOOKUP(名前リスト[[#This Row],[管理番号]],まとめ表_バック金額[[#All],[管理番号]:[バック金額合計]],4,FALSE)</f>
        <v/>
      </c>
      <c r="E68" s="80" t="str">
        <f>VLOOKUP(名前リスト[[#This Row],[管理番号]],まとめ表_各店舗件数[[#All],[管理番号]:[合計件数]],4,FALSE)</f>
        <v/>
      </c>
      <c r="F68" s="111" t="str">
        <f>VLOOKUP(名前リスト[[#This Row],[管理番号]],まとめ表_各Aパターン件数[[#All],[管理番号]:[Aパターン]],4,FALSE)</f>
        <v/>
      </c>
      <c r="G68" s="111"/>
      <c r="H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84"/>
    </row>
    <row r="69" spans="1:11" ht="19.5" customHeight="1">
      <c r="A69" s="2">
        <v>68</v>
      </c>
      <c r="B69" s="54" t="s">
        <v>127</v>
      </c>
      <c r="C69" s="55" t="s">
        <v>127</v>
      </c>
      <c r="D69" s="87" t="str">
        <f>VLOOKUP(名前リスト[[#This Row],[管理番号]],まとめ表_バック金額[[#All],[管理番号]:[バック金額合計]],4,FALSE)</f>
        <v/>
      </c>
      <c r="E69" s="80" t="str">
        <f>VLOOKUP(名前リスト[[#This Row],[管理番号]],まとめ表_各店舗件数[[#All],[管理番号]:[合計件数]],4,FALSE)</f>
        <v/>
      </c>
      <c r="F69" s="111" t="str">
        <f>VLOOKUP(名前リスト[[#This Row],[管理番号]],まとめ表_各Aパターン件数[[#All],[管理番号]:[Aパターン]],4,FALSE)</f>
        <v/>
      </c>
      <c r="G69" s="111"/>
      <c r="H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84"/>
    </row>
    <row r="70" spans="1:11" ht="19.5" customHeight="1">
      <c r="A70" s="2">
        <v>69</v>
      </c>
      <c r="B70" s="54" t="s">
        <v>128</v>
      </c>
      <c r="C70" s="55" t="s">
        <v>129</v>
      </c>
      <c r="D70" s="87" t="str">
        <f>VLOOKUP(名前リスト[[#This Row],[管理番号]],まとめ表_バック金額[[#All],[管理番号]:[バック金額合計]],4,FALSE)</f>
        <v/>
      </c>
      <c r="E70" s="80" t="str">
        <f>VLOOKUP(名前リスト[[#This Row],[管理番号]],まとめ表_各店舗件数[[#All],[管理番号]:[合計件数]],4,FALSE)</f>
        <v/>
      </c>
      <c r="F70" s="111" t="str">
        <f>VLOOKUP(名前リスト[[#This Row],[管理番号]],まとめ表_各Aパターン件数[[#All],[管理番号]:[Aパターン]],4,FALSE)</f>
        <v/>
      </c>
      <c r="G70" s="111"/>
      <c r="H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84"/>
    </row>
    <row r="71" spans="1:11" ht="19.5" customHeight="1">
      <c r="A71" s="2">
        <v>70</v>
      </c>
      <c r="B71" s="54" t="s">
        <v>130</v>
      </c>
      <c r="C71" s="55" t="s">
        <v>131</v>
      </c>
      <c r="D71" s="87" t="str">
        <f>VLOOKUP(名前リスト[[#This Row],[管理番号]],まとめ表_バック金額[[#All],[管理番号]:[バック金額合計]],4,FALSE)</f>
        <v/>
      </c>
      <c r="E71" s="80" t="str">
        <f>VLOOKUP(名前リスト[[#This Row],[管理番号]],まとめ表_各店舗件数[[#All],[管理番号]:[合計件数]],4,FALSE)</f>
        <v/>
      </c>
      <c r="F71" s="111" t="str">
        <f>VLOOKUP(名前リスト[[#This Row],[管理番号]],まとめ表_各Aパターン件数[[#All],[管理番号]:[Aパターン]],4,FALSE)</f>
        <v/>
      </c>
      <c r="G71" s="111"/>
      <c r="H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84"/>
    </row>
    <row r="72" spans="1:11" ht="19.5" customHeight="1">
      <c r="A72" s="2">
        <v>71</v>
      </c>
      <c r="B72" s="54" t="s">
        <v>132</v>
      </c>
      <c r="C72" s="55" t="s">
        <v>133</v>
      </c>
      <c r="D72" s="87" t="str">
        <f>VLOOKUP(名前リスト[[#This Row],[管理番号]],まとめ表_バック金額[[#All],[管理番号]:[バック金額合計]],4,FALSE)</f>
        <v/>
      </c>
      <c r="E72" s="80" t="str">
        <f>VLOOKUP(名前リスト[[#This Row],[管理番号]],まとめ表_各店舗件数[[#All],[管理番号]:[合計件数]],4,FALSE)</f>
        <v/>
      </c>
      <c r="F72" s="111" t="str">
        <f>VLOOKUP(名前リスト[[#This Row],[管理番号]],まとめ表_各Aパターン件数[[#All],[管理番号]:[Aパターン]],4,FALSE)</f>
        <v/>
      </c>
      <c r="G72" s="111"/>
      <c r="H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84"/>
    </row>
    <row r="73" spans="1:11" ht="19.5" customHeight="1">
      <c r="A73" s="2">
        <v>72</v>
      </c>
      <c r="B73" s="54" t="s">
        <v>134</v>
      </c>
      <c r="C73" s="55" t="s">
        <v>135</v>
      </c>
      <c r="D73" s="87" t="str">
        <f>VLOOKUP(名前リスト[[#This Row],[管理番号]],まとめ表_バック金額[[#All],[管理番号]:[バック金額合計]],4,FALSE)</f>
        <v/>
      </c>
      <c r="E73" s="80" t="str">
        <f>VLOOKUP(名前リスト[[#This Row],[管理番号]],まとめ表_各店舗件数[[#All],[管理番号]:[合計件数]],4,FALSE)</f>
        <v/>
      </c>
      <c r="F73" s="111" t="str">
        <f>VLOOKUP(名前リスト[[#This Row],[管理番号]],まとめ表_各Aパターン件数[[#All],[管理番号]:[Aパターン]],4,FALSE)</f>
        <v/>
      </c>
      <c r="G73" s="111"/>
      <c r="H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84"/>
    </row>
    <row r="74" spans="1:11" ht="19.5" customHeight="1">
      <c r="A74" s="2">
        <v>73</v>
      </c>
      <c r="B74" s="54" t="s">
        <v>136</v>
      </c>
      <c r="C74" s="55" t="s">
        <v>137</v>
      </c>
      <c r="D74" s="87" t="str">
        <f>VLOOKUP(名前リスト[[#This Row],[管理番号]],まとめ表_バック金額[[#All],[管理番号]:[バック金額合計]],4,FALSE)</f>
        <v/>
      </c>
      <c r="E74" s="80" t="str">
        <f>VLOOKUP(名前リスト[[#This Row],[管理番号]],まとめ表_各店舗件数[[#All],[管理番号]:[合計件数]],4,FALSE)</f>
        <v/>
      </c>
      <c r="F74" s="111" t="str">
        <f>VLOOKUP(名前リスト[[#This Row],[管理番号]],まとめ表_各Aパターン件数[[#All],[管理番号]:[Aパターン]],4,FALSE)</f>
        <v/>
      </c>
      <c r="G74" s="111"/>
      <c r="H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84"/>
    </row>
    <row r="75" spans="1:11" ht="19.5" customHeight="1">
      <c r="A75" s="2">
        <v>74</v>
      </c>
      <c r="B75" s="54" t="s">
        <v>138</v>
      </c>
      <c r="C75" s="55" t="s">
        <v>139</v>
      </c>
      <c r="D75" s="87" t="str">
        <f>VLOOKUP(名前リスト[[#This Row],[管理番号]],まとめ表_バック金額[[#All],[管理番号]:[バック金額合計]],4,FALSE)</f>
        <v/>
      </c>
      <c r="E75" s="80" t="str">
        <f>VLOOKUP(名前リスト[[#This Row],[管理番号]],まとめ表_各店舗件数[[#All],[管理番号]:[合計件数]],4,FALSE)</f>
        <v/>
      </c>
      <c r="F75" s="111" t="str">
        <f>VLOOKUP(名前リスト[[#This Row],[管理番号]],まとめ表_各Aパターン件数[[#All],[管理番号]:[Aパターン]],4,FALSE)</f>
        <v/>
      </c>
      <c r="G75" s="111"/>
      <c r="H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84"/>
    </row>
    <row r="76" spans="1:11" ht="19.5" customHeight="1">
      <c r="A76" s="2">
        <v>75</v>
      </c>
      <c r="B76" s="54" t="s">
        <v>140</v>
      </c>
      <c r="C76" s="55" t="s">
        <v>141</v>
      </c>
      <c r="D76" s="87" t="str">
        <f>VLOOKUP(名前リスト[[#This Row],[管理番号]],まとめ表_バック金額[[#All],[管理番号]:[バック金額合計]],4,FALSE)</f>
        <v/>
      </c>
      <c r="E76" s="80" t="str">
        <f>VLOOKUP(名前リスト[[#This Row],[管理番号]],まとめ表_各店舗件数[[#All],[管理番号]:[合計件数]],4,FALSE)</f>
        <v/>
      </c>
      <c r="F76" s="111" t="str">
        <f>VLOOKUP(名前リスト[[#This Row],[管理番号]],まとめ表_各Aパターン件数[[#All],[管理番号]:[Aパターン]],4,FALSE)</f>
        <v/>
      </c>
      <c r="G76" s="111"/>
      <c r="H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84"/>
    </row>
    <row r="77" spans="1:11" ht="19.5" customHeight="1">
      <c r="A77" s="2">
        <v>76</v>
      </c>
      <c r="B77" s="54" t="s">
        <v>142</v>
      </c>
      <c r="C77" s="55" t="s">
        <v>143</v>
      </c>
      <c r="D77" s="87" t="str">
        <f>VLOOKUP(名前リスト[[#This Row],[管理番号]],まとめ表_バック金額[[#All],[管理番号]:[バック金額合計]],4,FALSE)</f>
        <v/>
      </c>
      <c r="E77" s="80" t="str">
        <f>VLOOKUP(名前リスト[[#This Row],[管理番号]],まとめ表_各店舗件数[[#All],[管理番号]:[合計件数]],4,FALSE)</f>
        <v/>
      </c>
      <c r="F77" s="111" t="str">
        <f>VLOOKUP(名前リスト[[#This Row],[管理番号]],まとめ表_各Aパターン件数[[#All],[管理番号]:[Aパターン]],4,FALSE)</f>
        <v/>
      </c>
      <c r="G77" s="111"/>
      <c r="H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84"/>
    </row>
    <row r="78" spans="1:11" ht="19.5" customHeight="1">
      <c r="A78" s="2">
        <v>77</v>
      </c>
      <c r="B78" s="54" t="s">
        <v>144</v>
      </c>
      <c r="C78" s="55" t="s">
        <v>145</v>
      </c>
      <c r="D78" s="87" t="str">
        <f>VLOOKUP(名前リスト[[#This Row],[管理番号]],まとめ表_バック金額[[#All],[管理番号]:[バック金額合計]],4,FALSE)</f>
        <v/>
      </c>
      <c r="E78" s="80" t="str">
        <f>VLOOKUP(名前リスト[[#This Row],[管理番号]],まとめ表_各店舗件数[[#All],[管理番号]:[合計件数]],4,FALSE)</f>
        <v/>
      </c>
      <c r="F78" s="111" t="str">
        <f>VLOOKUP(名前リスト[[#This Row],[管理番号]],まとめ表_各Aパターン件数[[#All],[管理番号]:[Aパターン]],4,FALSE)</f>
        <v/>
      </c>
      <c r="G78" s="111"/>
      <c r="H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84"/>
    </row>
    <row r="79" spans="1:11" ht="19.5" customHeight="1">
      <c r="A79" s="2">
        <v>78</v>
      </c>
      <c r="B79" s="54" t="s">
        <v>146</v>
      </c>
      <c r="C79" s="55" t="s">
        <v>147</v>
      </c>
      <c r="D79" s="87" t="str">
        <f>VLOOKUP(名前リスト[[#This Row],[管理番号]],まとめ表_バック金額[[#All],[管理番号]:[バック金額合計]],4,FALSE)</f>
        <v/>
      </c>
      <c r="E79" s="80" t="str">
        <f>VLOOKUP(名前リスト[[#This Row],[管理番号]],まとめ表_各店舗件数[[#All],[管理番号]:[合計件数]],4,FALSE)</f>
        <v/>
      </c>
      <c r="F79" s="111" t="str">
        <f>VLOOKUP(名前リスト[[#This Row],[管理番号]],まとめ表_各Aパターン件数[[#All],[管理番号]:[Aパターン]],4,FALSE)</f>
        <v/>
      </c>
      <c r="G79" s="111"/>
      <c r="H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84"/>
    </row>
    <row r="80" spans="1:11" ht="19.5" customHeight="1">
      <c r="A80" s="2">
        <v>79</v>
      </c>
      <c r="B80" s="56"/>
      <c r="C80" s="57"/>
      <c r="D80" s="87" t="str">
        <f>VLOOKUP(名前リスト[[#This Row],[管理番号]],まとめ表_バック金額[[#All],[管理番号]:[バック金額合計]],4,FALSE)</f>
        <v/>
      </c>
      <c r="E80" s="80" t="str">
        <f>VLOOKUP(名前リスト[[#This Row],[管理番号]],まとめ表_各店舗件数[[#All],[管理番号]:[合計件数]],4,FALSE)</f>
        <v/>
      </c>
      <c r="F80" s="111" t="str">
        <f>VLOOKUP(名前リスト[[#This Row],[管理番号]],まとめ表_各Aパターン件数[[#All],[管理番号]:[Aパターン]],4,FALSE)</f>
        <v/>
      </c>
      <c r="G80" s="111"/>
      <c r="H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84"/>
    </row>
    <row r="81" spans="1:11" ht="19.5" customHeight="1">
      <c r="A81" s="2">
        <v>80</v>
      </c>
      <c r="B81" s="54" t="s">
        <v>148</v>
      </c>
      <c r="C81" s="54" t="s">
        <v>148</v>
      </c>
      <c r="D81" s="87" t="str">
        <f>VLOOKUP(名前リスト[[#This Row],[管理番号]],まとめ表_バック金額[[#All],[管理番号]:[バック金額合計]],4,FALSE)</f>
        <v/>
      </c>
      <c r="E81" s="80" t="str">
        <f>VLOOKUP(名前リスト[[#This Row],[管理番号]],まとめ表_各店舗件数[[#All],[管理番号]:[合計件数]],4,FALSE)</f>
        <v/>
      </c>
      <c r="F81" s="111" t="str">
        <f>VLOOKUP(名前リスト[[#This Row],[管理番号]],まとめ表_各Aパターン件数[[#All],[管理番号]:[Aパターン]],4,FALSE)</f>
        <v/>
      </c>
      <c r="G81" s="111"/>
      <c r="H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84"/>
    </row>
    <row r="82" spans="1:11" ht="19.5" customHeight="1">
      <c r="A82" s="2">
        <v>81</v>
      </c>
      <c r="B82" s="54" t="s">
        <v>149</v>
      </c>
      <c r="C82" s="54" t="s">
        <v>149</v>
      </c>
      <c r="D82" s="87" t="str">
        <f>VLOOKUP(名前リスト[[#This Row],[管理番号]],まとめ表_バック金額[[#All],[管理番号]:[バック金額合計]],4,FALSE)</f>
        <v/>
      </c>
      <c r="E82" s="80" t="str">
        <f>VLOOKUP(名前リスト[[#This Row],[管理番号]],まとめ表_各店舗件数[[#All],[管理番号]:[合計件数]],4,FALSE)</f>
        <v/>
      </c>
      <c r="F82" s="111" t="str">
        <f>VLOOKUP(名前リスト[[#This Row],[管理番号]],まとめ表_各Aパターン件数[[#All],[管理番号]:[Aパターン]],4,FALSE)</f>
        <v/>
      </c>
      <c r="G82" s="111"/>
      <c r="H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84"/>
    </row>
    <row r="83" spans="1:11" ht="19.5" customHeight="1">
      <c r="A83" s="2">
        <v>82</v>
      </c>
      <c r="B83" s="47" t="s">
        <v>341</v>
      </c>
      <c r="C83" s="47" t="s">
        <v>341</v>
      </c>
      <c r="D83" s="87" t="str">
        <f>VLOOKUP(名前リスト[[#This Row],[管理番号]],まとめ表_バック金額[[#All],[管理番号]:[バック金額合計]],4,FALSE)</f>
        <v/>
      </c>
      <c r="E83" s="80" t="str">
        <f>VLOOKUP(名前リスト[[#This Row],[管理番号]],まとめ表_各店舗件数[[#All],[管理番号]:[合計件数]],4,FALSE)</f>
        <v/>
      </c>
      <c r="F83" s="111" t="str">
        <f>VLOOKUP(名前リスト[[#This Row],[管理番号]],まとめ表_各Aパターン件数[[#All],[管理番号]:[Aパターン]],4,FALSE)</f>
        <v/>
      </c>
      <c r="G83" s="111"/>
      <c r="H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84"/>
    </row>
    <row r="84" spans="1:11" ht="19.5" customHeight="1">
      <c r="A84" s="2">
        <v>83</v>
      </c>
      <c r="B84" s="54" t="s">
        <v>150</v>
      </c>
      <c r="C84" s="55" t="s">
        <v>150</v>
      </c>
      <c r="D84" s="87" t="str">
        <f>VLOOKUP(名前リスト[[#This Row],[管理番号]],まとめ表_バック金額[[#All],[管理番号]:[バック金額合計]],4,FALSE)</f>
        <v/>
      </c>
      <c r="E84" s="80" t="str">
        <f>VLOOKUP(名前リスト[[#This Row],[管理番号]],まとめ表_各店舗件数[[#All],[管理番号]:[合計件数]],4,FALSE)</f>
        <v/>
      </c>
      <c r="F84" s="111" t="str">
        <f>VLOOKUP(名前リスト[[#This Row],[管理番号]],まとめ表_各Aパターン件数[[#All],[管理番号]:[Aパターン]],4,FALSE)</f>
        <v/>
      </c>
      <c r="G84" s="111"/>
      <c r="H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84"/>
    </row>
    <row r="85" spans="1:11" ht="19.5" customHeight="1">
      <c r="A85" s="2">
        <v>84</v>
      </c>
      <c r="B85" s="54" t="s">
        <v>151</v>
      </c>
      <c r="C85" s="55" t="s">
        <v>151</v>
      </c>
      <c r="D85" s="87" t="str">
        <f>VLOOKUP(名前リスト[[#This Row],[管理番号]],まとめ表_バック金額[[#All],[管理番号]:[バック金額合計]],4,FALSE)</f>
        <v/>
      </c>
      <c r="E85" s="80" t="str">
        <f>VLOOKUP(名前リスト[[#This Row],[管理番号]],まとめ表_各店舗件数[[#All],[管理番号]:[合計件数]],4,FALSE)</f>
        <v/>
      </c>
      <c r="F85" s="111" t="str">
        <f>VLOOKUP(名前リスト[[#This Row],[管理番号]],まとめ表_各Aパターン件数[[#All],[管理番号]:[Aパターン]],4,FALSE)</f>
        <v/>
      </c>
      <c r="G85" s="111"/>
      <c r="H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84"/>
    </row>
    <row r="86" spans="1:11" ht="19.5" customHeight="1">
      <c r="A86" s="2">
        <v>85</v>
      </c>
      <c r="B86" s="54" t="s">
        <v>152</v>
      </c>
      <c r="C86" s="55" t="s">
        <v>153</v>
      </c>
      <c r="D86" s="87" t="str">
        <f>VLOOKUP(名前リスト[[#This Row],[管理番号]],まとめ表_バック金額[[#All],[管理番号]:[バック金額合計]],4,FALSE)</f>
        <v/>
      </c>
      <c r="E86" s="80" t="str">
        <f>VLOOKUP(名前リスト[[#This Row],[管理番号]],まとめ表_各店舗件数[[#All],[管理番号]:[合計件数]],4,FALSE)</f>
        <v/>
      </c>
      <c r="F86" s="111" t="str">
        <f>VLOOKUP(名前リスト[[#This Row],[管理番号]],まとめ表_各Aパターン件数[[#All],[管理番号]:[Aパターン]],4,FALSE)</f>
        <v/>
      </c>
      <c r="G86" s="111"/>
      <c r="H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84"/>
    </row>
    <row r="87" spans="1:11" ht="19.5" customHeight="1">
      <c r="A87" s="2">
        <v>86</v>
      </c>
      <c r="B87" s="54" t="s">
        <v>154</v>
      </c>
      <c r="C87" s="55" t="s">
        <v>155</v>
      </c>
      <c r="D87" s="87" t="str">
        <f>VLOOKUP(名前リスト[[#This Row],[管理番号]],まとめ表_バック金額[[#All],[管理番号]:[バック金額合計]],4,FALSE)</f>
        <v/>
      </c>
      <c r="E87" s="80" t="str">
        <f>VLOOKUP(名前リスト[[#This Row],[管理番号]],まとめ表_各店舗件数[[#All],[管理番号]:[合計件数]],4,FALSE)</f>
        <v/>
      </c>
      <c r="F87" s="111" t="str">
        <f>VLOOKUP(名前リスト[[#This Row],[管理番号]],まとめ表_各Aパターン件数[[#All],[管理番号]:[Aパターン]],4,FALSE)</f>
        <v/>
      </c>
      <c r="G87" s="111"/>
      <c r="H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84"/>
    </row>
    <row r="88" spans="1:11" ht="19.5" customHeight="1">
      <c r="A88" s="2">
        <v>87</v>
      </c>
      <c r="B88" s="54" t="s">
        <v>156</v>
      </c>
      <c r="C88" s="55" t="s">
        <v>157</v>
      </c>
      <c r="D88" s="87" t="str">
        <f>VLOOKUP(名前リスト[[#This Row],[管理番号]],まとめ表_バック金額[[#All],[管理番号]:[バック金額合計]],4,FALSE)</f>
        <v/>
      </c>
      <c r="E88" s="80" t="str">
        <f>VLOOKUP(名前リスト[[#This Row],[管理番号]],まとめ表_各店舗件数[[#All],[管理番号]:[合計件数]],4,FALSE)</f>
        <v/>
      </c>
      <c r="F88" s="111" t="str">
        <f>VLOOKUP(名前リスト[[#This Row],[管理番号]],まとめ表_各Aパターン件数[[#All],[管理番号]:[Aパターン]],4,FALSE)</f>
        <v/>
      </c>
      <c r="G88" s="111"/>
      <c r="H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84"/>
    </row>
    <row r="89" spans="1:11" ht="19.5" customHeight="1">
      <c r="A89" s="2">
        <v>88</v>
      </c>
      <c r="B89" s="54" t="s">
        <v>158</v>
      </c>
      <c r="C89" s="55" t="s">
        <v>159</v>
      </c>
      <c r="D89" s="87" t="str">
        <f>VLOOKUP(名前リスト[[#This Row],[管理番号]],まとめ表_バック金額[[#All],[管理番号]:[バック金額合計]],4,FALSE)</f>
        <v/>
      </c>
      <c r="E89" s="80" t="str">
        <f>VLOOKUP(名前リスト[[#This Row],[管理番号]],まとめ表_各店舗件数[[#All],[管理番号]:[合計件数]],4,FALSE)</f>
        <v/>
      </c>
      <c r="F89" s="111" t="str">
        <f>VLOOKUP(名前リスト[[#This Row],[管理番号]],まとめ表_各Aパターン件数[[#All],[管理番号]:[Aパターン]],4,FALSE)</f>
        <v/>
      </c>
      <c r="G89" s="111"/>
      <c r="H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84"/>
    </row>
    <row r="90" spans="1:11" ht="19.5" customHeight="1">
      <c r="A90" s="2">
        <v>89</v>
      </c>
      <c r="B90" s="54" t="s">
        <v>160</v>
      </c>
      <c r="C90" s="55" t="s">
        <v>161</v>
      </c>
      <c r="D90" s="87" t="str">
        <f>VLOOKUP(名前リスト[[#This Row],[管理番号]],まとめ表_バック金額[[#All],[管理番号]:[バック金額合計]],4,FALSE)</f>
        <v/>
      </c>
      <c r="E90" s="80" t="str">
        <f>VLOOKUP(名前リスト[[#This Row],[管理番号]],まとめ表_各店舗件数[[#All],[管理番号]:[合計件数]],4,FALSE)</f>
        <v/>
      </c>
      <c r="F90" s="111" t="str">
        <f>VLOOKUP(名前リスト[[#This Row],[管理番号]],まとめ表_各Aパターン件数[[#All],[管理番号]:[Aパターン]],4,FALSE)</f>
        <v/>
      </c>
      <c r="G90" s="111"/>
      <c r="H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84"/>
    </row>
    <row r="91" spans="1:11" ht="19.5" customHeight="1">
      <c r="A91" s="2">
        <v>90</v>
      </c>
      <c r="B91" s="54" t="s">
        <v>162</v>
      </c>
      <c r="C91" s="55" t="s">
        <v>162</v>
      </c>
      <c r="D91" s="87" t="str">
        <f>VLOOKUP(名前リスト[[#This Row],[管理番号]],まとめ表_バック金額[[#All],[管理番号]:[バック金額合計]],4,FALSE)</f>
        <v/>
      </c>
      <c r="E91" s="80" t="str">
        <f>VLOOKUP(名前リスト[[#This Row],[管理番号]],まとめ表_各店舗件数[[#All],[管理番号]:[合計件数]],4,FALSE)</f>
        <v/>
      </c>
      <c r="F91" s="111" t="str">
        <f>VLOOKUP(名前リスト[[#This Row],[管理番号]],まとめ表_各Aパターン件数[[#All],[管理番号]:[Aパターン]],4,FALSE)</f>
        <v/>
      </c>
      <c r="G91" s="111"/>
      <c r="H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84"/>
    </row>
    <row r="92" spans="1:11" ht="19.5" customHeight="1">
      <c r="A92" s="2">
        <v>91</v>
      </c>
      <c r="B92" s="54" t="s">
        <v>163</v>
      </c>
      <c r="C92" s="55" t="s">
        <v>164</v>
      </c>
      <c r="D92" s="87" t="str">
        <f>VLOOKUP(名前リスト[[#This Row],[管理番号]],まとめ表_バック金額[[#All],[管理番号]:[バック金額合計]],4,FALSE)</f>
        <v/>
      </c>
      <c r="E92" s="80" t="str">
        <f>VLOOKUP(名前リスト[[#This Row],[管理番号]],まとめ表_各店舗件数[[#All],[管理番号]:[合計件数]],4,FALSE)</f>
        <v/>
      </c>
      <c r="F92" s="111" t="str">
        <f>VLOOKUP(名前リスト[[#This Row],[管理番号]],まとめ表_各Aパターン件数[[#All],[管理番号]:[Aパターン]],4,FALSE)</f>
        <v/>
      </c>
      <c r="G92" s="111"/>
      <c r="H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84"/>
    </row>
    <row r="93" spans="1:11" ht="19.5" customHeight="1">
      <c r="A93" s="2">
        <v>92</v>
      </c>
      <c r="B93" s="54" t="s">
        <v>165</v>
      </c>
      <c r="C93" s="55" t="s">
        <v>166</v>
      </c>
      <c r="D93" s="87" t="str">
        <f>VLOOKUP(名前リスト[[#This Row],[管理番号]],まとめ表_バック金額[[#All],[管理番号]:[バック金額合計]],4,FALSE)</f>
        <v/>
      </c>
      <c r="E93" s="80" t="str">
        <f>VLOOKUP(名前リスト[[#This Row],[管理番号]],まとめ表_各店舗件数[[#All],[管理番号]:[合計件数]],4,FALSE)</f>
        <v/>
      </c>
      <c r="F93" s="111" t="str">
        <f>VLOOKUP(名前リスト[[#This Row],[管理番号]],まとめ表_各Aパターン件数[[#All],[管理番号]:[Aパターン]],4,FALSE)</f>
        <v/>
      </c>
      <c r="G93" s="111"/>
      <c r="H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84"/>
    </row>
    <row r="94" spans="1:11" ht="19.5" customHeight="1">
      <c r="A94" s="2">
        <v>93</v>
      </c>
      <c r="B94" s="54" t="s">
        <v>167</v>
      </c>
      <c r="C94" s="55" t="s">
        <v>167</v>
      </c>
      <c r="D94" s="87" t="str">
        <f>VLOOKUP(名前リスト[[#This Row],[管理番号]],まとめ表_バック金額[[#All],[管理番号]:[バック金額合計]],4,FALSE)</f>
        <v/>
      </c>
      <c r="E94" s="80" t="str">
        <f>VLOOKUP(名前リスト[[#This Row],[管理番号]],まとめ表_各店舗件数[[#All],[管理番号]:[合計件数]],4,FALSE)</f>
        <v/>
      </c>
      <c r="F94" s="111" t="str">
        <f>VLOOKUP(名前リスト[[#This Row],[管理番号]],まとめ表_各Aパターン件数[[#All],[管理番号]:[Aパターン]],4,FALSE)</f>
        <v/>
      </c>
      <c r="G94" s="111"/>
      <c r="H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84"/>
    </row>
    <row r="95" spans="1:11" ht="19.5" customHeight="1">
      <c r="A95" s="2">
        <v>94</v>
      </c>
      <c r="B95" s="54" t="s">
        <v>168</v>
      </c>
      <c r="C95" s="55" t="s">
        <v>169</v>
      </c>
      <c r="D95" s="87" t="str">
        <f>VLOOKUP(名前リスト[[#This Row],[管理番号]],まとめ表_バック金額[[#All],[管理番号]:[バック金額合計]],4,FALSE)</f>
        <v/>
      </c>
      <c r="E95" s="80" t="str">
        <f>VLOOKUP(名前リスト[[#This Row],[管理番号]],まとめ表_各店舗件数[[#All],[管理番号]:[合計件数]],4,FALSE)</f>
        <v/>
      </c>
      <c r="F95" s="111" t="str">
        <f>VLOOKUP(名前リスト[[#This Row],[管理番号]],まとめ表_各Aパターン件数[[#All],[管理番号]:[Aパターン]],4,FALSE)</f>
        <v/>
      </c>
      <c r="G95" s="111"/>
      <c r="H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84"/>
    </row>
    <row r="96" spans="1:11" ht="19.5" customHeight="1">
      <c r="A96" s="2">
        <v>95</v>
      </c>
      <c r="B96" s="54" t="s">
        <v>170</v>
      </c>
      <c r="C96" s="55" t="s">
        <v>170</v>
      </c>
      <c r="D96" s="87" t="str">
        <f>VLOOKUP(名前リスト[[#This Row],[管理番号]],まとめ表_バック金額[[#All],[管理番号]:[バック金額合計]],4,FALSE)</f>
        <v/>
      </c>
      <c r="E96" s="80" t="str">
        <f>VLOOKUP(名前リスト[[#This Row],[管理番号]],まとめ表_各店舗件数[[#All],[管理番号]:[合計件数]],4,FALSE)</f>
        <v/>
      </c>
      <c r="F96" s="111" t="str">
        <f>VLOOKUP(名前リスト[[#This Row],[管理番号]],まとめ表_各Aパターン件数[[#All],[管理番号]:[Aパターン]],4,FALSE)</f>
        <v/>
      </c>
      <c r="G96" s="111"/>
      <c r="H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84"/>
    </row>
    <row r="97" spans="1:11" ht="19.5" customHeight="1">
      <c r="A97" s="2">
        <v>96</v>
      </c>
      <c r="B97" s="54" t="s">
        <v>171</v>
      </c>
      <c r="C97" s="55" t="s">
        <v>171</v>
      </c>
      <c r="D97" s="87" t="str">
        <f>VLOOKUP(名前リスト[[#This Row],[管理番号]],まとめ表_バック金額[[#All],[管理番号]:[バック金額合計]],4,FALSE)</f>
        <v/>
      </c>
      <c r="E97" s="80" t="str">
        <f>VLOOKUP(名前リスト[[#This Row],[管理番号]],まとめ表_各店舗件数[[#All],[管理番号]:[合計件数]],4,FALSE)</f>
        <v/>
      </c>
      <c r="F97" s="111" t="str">
        <f>VLOOKUP(名前リスト[[#This Row],[管理番号]],まとめ表_各Aパターン件数[[#All],[管理番号]:[Aパターン]],4,FALSE)</f>
        <v/>
      </c>
      <c r="G97" s="111"/>
      <c r="H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84"/>
    </row>
    <row r="98" spans="1:11" ht="19.5" customHeight="1">
      <c r="A98" s="2">
        <v>97</v>
      </c>
      <c r="B98" s="54" t="s">
        <v>172</v>
      </c>
      <c r="C98" s="55" t="s">
        <v>172</v>
      </c>
      <c r="D98" s="87" t="str">
        <f>VLOOKUP(名前リスト[[#This Row],[管理番号]],まとめ表_バック金額[[#All],[管理番号]:[バック金額合計]],4,FALSE)</f>
        <v/>
      </c>
      <c r="E98" s="80" t="str">
        <f>VLOOKUP(名前リスト[[#This Row],[管理番号]],まとめ表_各店舗件数[[#All],[管理番号]:[合計件数]],4,FALSE)</f>
        <v/>
      </c>
      <c r="F98" s="111" t="str">
        <f>VLOOKUP(名前リスト[[#This Row],[管理番号]],まとめ表_各Aパターン件数[[#All],[管理番号]:[Aパターン]],4,FALSE)</f>
        <v/>
      </c>
      <c r="G98" s="111"/>
      <c r="H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84"/>
    </row>
    <row r="99" spans="1:11" ht="19.5" customHeight="1">
      <c r="A99" s="2">
        <v>98</v>
      </c>
      <c r="B99" s="54" t="s">
        <v>173</v>
      </c>
      <c r="C99" s="55" t="s">
        <v>173</v>
      </c>
      <c r="D99" s="87" t="str">
        <f>VLOOKUP(名前リスト[[#This Row],[管理番号]],まとめ表_バック金額[[#All],[管理番号]:[バック金額合計]],4,FALSE)</f>
        <v/>
      </c>
      <c r="E99" s="80" t="str">
        <f>VLOOKUP(名前リスト[[#This Row],[管理番号]],まとめ表_各店舗件数[[#All],[管理番号]:[合計件数]],4,FALSE)</f>
        <v/>
      </c>
      <c r="F99" s="111" t="str">
        <f>VLOOKUP(名前リスト[[#This Row],[管理番号]],まとめ表_各Aパターン件数[[#All],[管理番号]:[Aパターン]],4,FALSE)</f>
        <v/>
      </c>
      <c r="G99" s="111"/>
      <c r="H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84"/>
    </row>
    <row r="100" spans="1:11" ht="19.5" customHeight="1">
      <c r="A100" s="2">
        <v>99</v>
      </c>
      <c r="B100" s="54" t="s">
        <v>174</v>
      </c>
      <c r="C100" s="55" t="s">
        <v>174</v>
      </c>
      <c r="D100" s="87" t="str">
        <f>VLOOKUP(名前リスト[[#This Row],[管理番号]],まとめ表_バック金額[[#All],[管理番号]:[バック金額合計]],4,FALSE)</f>
        <v/>
      </c>
      <c r="E100" s="80" t="str">
        <f>VLOOKUP(名前リスト[[#This Row],[管理番号]],まとめ表_各店舗件数[[#All],[管理番号]:[合計件数]],4,FALSE)</f>
        <v/>
      </c>
      <c r="F100" s="111" t="str">
        <f>VLOOKUP(名前リスト[[#This Row],[管理番号]],まとめ表_各Aパターン件数[[#All],[管理番号]:[Aパターン]],4,FALSE)</f>
        <v/>
      </c>
      <c r="G100" s="111"/>
      <c r="H1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84"/>
    </row>
    <row r="101" spans="1:11" ht="19.5" customHeight="1">
      <c r="A101" s="2">
        <v>100</v>
      </c>
      <c r="B101" s="54" t="s">
        <v>175</v>
      </c>
      <c r="C101" s="55" t="s">
        <v>175</v>
      </c>
      <c r="D101" s="87" t="str">
        <f>VLOOKUP(名前リスト[[#This Row],[管理番号]],まとめ表_バック金額[[#All],[管理番号]:[バック金額合計]],4,FALSE)</f>
        <v/>
      </c>
      <c r="E101" s="80" t="str">
        <f>VLOOKUP(名前リスト[[#This Row],[管理番号]],まとめ表_各店舗件数[[#All],[管理番号]:[合計件数]],4,FALSE)</f>
        <v/>
      </c>
      <c r="F101" s="111" t="str">
        <f>VLOOKUP(名前リスト[[#This Row],[管理番号]],まとめ表_各Aパターン件数[[#All],[管理番号]:[Aパターン]],4,FALSE)</f>
        <v/>
      </c>
      <c r="G101" s="111"/>
      <c r="H1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84"/>
    </row>
    <row r="102" spans="1:11" ht="19.5" customHeight="1">
      <c r="A102" s="2">
        <v>101</v>
      </c>
      <c r="B102" s="47" t="s">
        <v>285</v>
      </c>
      <c r="C102" s="55" t="s">
        <v>176</v>
      </c>
      <c r="D102" s="87" t="str">
        <f>VLOOKUP(名前リスト[[#This Row],[管理番号]],まとめ表_バック金額[[#All],[管理番号]:[バック金額合計]],4,FALSE)</f>
        <v/>
      </c>
      <c r="E102" s="80" t="str">
        <f>VLOOKUP(名前リスト[[#This Row],[管理番号]],まとめ表_各店舗件数[[#All],[管理番号]:[合計件数]],4,FALSE)</f>
        <v/>
      </c>
      <c r="F102" s="111" t="str">
        <f>VLOOKUP(名前リスト[[#This Row],[管理番号]],まとめ表_各Aパターン件数[[#All],[管理番号]:[Aパターン]],4,FALSE)</f>
        <v/>
      </c>
      <c r="G102" s="111"/>
      <c r="H1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84"/>
    </row>
    <row r="103" spans="1:11" ht="19.5" customHeight="1">
      <c r="A103" s="2">
        <v>102</v>
      </c>
      <c r="B103" s="54" t="s">
        <v>177</v>
      </c>
      <c r="C103" s="55" t="s">
        <v>177</v>
      </c>
      <c r="D103" s="87" t="str">
        <f>VLOOKUP(名前リスト[[#This Row],[管理番号]],まとめ表_バック金額[[#All],[管理番号]:[バック金額合計]],4,FALSE)</f>
        <v/>
      </c>
      <c r="E103" s="80" t="str">
        <f>VLOOKUP(名前リスト[[#This Row],[管理番号]],まとめ表_各店舗件数[[#All],[管理番号]:[合計件数]],4,FALSE)</f>
        <v/>
      </c>
      <c r="F103" s="111" t="str">
        <f>VLOOKUP(名前リスト[[#This Row],[管理番号]],まとめ表_各Aパターン件数[[#All],[管理番号]:[Aパターン]],4,FALSE)</f>
        <v/>
      </c>
      <c r="G103" s="111"/>
      <c r="H1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84"/>
    </row>
    <row r="104" spans="1:11" ht="19.5" customHeight="1">
      <c r="A104" s="2">
        <v>103</v>
      </c>
      <c r="B104" s="54" t="s">
        <v>178</v>
      </c>
      <c r="C104" s="55" t="s">
        <v>178</v>
      </c>
      <c r="D104" s="87" t="str">
        <f>VLOOKUP(名前リスト[[#This Row],[管理番号]],まとめ表_バック金額[[#All],[管理番号]:[バック金額合計]],4,FALSE)</f>
        <v/>
      </c>
      <c r="E104" s="80" t="str">
        <f>VLOOKUP(名前リスト[[#This Row],[管理番号]],まとめ表_各店舗件数[[#All],[管理番号]:[合計件数]],4,FALSE)</f>
        <v/>
      </c>
      <c r="F104" s="111" t="str">
        <f>VLOOKUP(名前リスト[[#This Row],[管理番号]],まとめ表_各Aパターン件数[[#All],[管理番号]:[Aパターン]],4,FALSE)</f>
        <v/>
      </c>
      <c r="G104" s="111"/>
      <c r="H1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84"/>
    </row>
    <row r="105" spans="1:11" ht="19.5" customHeight="1">
      <c r="A105" s="2">
        <v>104</v>
      </c>
      <c r="B105" s="54" t="s">
        <v>179</v>
      </c>
      <c r="C105" s="55" t="s">
        <v>179</v>
      </c>
      <c r="D105" s="87" t="str">
        <f>VLOOKUP(名前リスト[[#This Row],[管理番号]],まとめ表_バック金額[[#All],[管理番号]:[バック金額合計]],4,FALSE)</f>
        <v/>
      </c>
      <c r="E105" s="80" t="str">
        <f>VLOOKUP(名前リスト[[#This Row],[管理番号]],まとめ表_各店舗件数[[#All],[管理番号]:[合計件数]],4,FALSE)</f>
        <v/>
      </c>
      <c r="F105" s="111" t="str">
        <f>VLOOKUP(名前リスト[[#This Row],[管理番号]],まとめ表_各Aパターン件数[[#All],[管理番号]:[Aパターン]],4,FALSE)</f>
        <v/>
      </c>
      <c r="G105" s="111"/>
      <c r="H1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84"/>
    </row>
    <row r="106" spans="1:11" ht="19.5" customHeight="1">
      <c r="A106" s="2">
        <v>105</v>
      </c>
      <c r="B106" s="54" t="s">
        <v>180</v>
      </c>
      <c r="C106" s="55" t="s">
        <v>180</v>
      </c>
      <c r="D106" s="87" t="str">
        <f>VLOOKUP(名前リスト[[#This Row],[管理番号]],まとめ表_バック金額[[#All],[管理番号]:[バック金額合計]],4,FALSE)</f>
        <v/>
      </c>
      <c r="E106" s="80" t="str">
        <f>VLOOKUP(名前リスト[[#This Row],[管理番号]],まとめ表_各店舗件数[[#All],[管理番号]:[合計件数]],4,FALSE)</f>
        <v/>
      </c>
      <c r="F106" s="111" t="str">
        <f>VLOOKUP(名前リスト[[#This Row],[管理番号]],まとめ表_各Aパターン件数[[#All],[管理番号]:[Aパターン]],4,FALSE)</f>
        <v/>
      </c>
      <c r="G106" s="111"/>
      <c r="H1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84"/>
    </row>
    <row r="107" spans="1:11" ht="19.5" customHeight="1">
      <c r="A107" s="2">
        <v>106</v>
      </c>
      <c r="B107" s="54" t="s">
        <v>181</v>
      </c>
      <c r="C107" s="55" t="s">
        <v>181</v>
      </c>
      <c r="D107" s="87" t="str">
        <f>VLOOKUP(名前リスト[[#This Row],[管理番号]],まとめ表_バック金額[[#All],[管理番号]:[バック金額合計]],4,FALSE)</f>
        <v/>
      </c>
      <c r="E107" s="80" t="str">
        <f>VLOOKUP(名前リスト[[#This Row],[管理番号]],まとめ表_各店舗件数[[#All],[管理番号]:[合計件数]],4,FALSE)</f>
        <v/>
      </c>
      <c r="F107" s="111" t="str">
        <f>VLOOKUP(名前リスト[[#This Row],[管理番号]],まとめ表_各Aパターン件数[[#All],[管理番号]:[Aパターン]],4,FALSE)</f>
        <v/>
      </c>
      <c r="G107" s="111"/>
      <c r="H1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84"/>
    </row>
    <row r="108" spans="1:11" ht="19.5" customHeight="1">
      <c r="A108" s="2">
        <v>107</v>
      </c>
      <c r="B108" s="54" t="s">
        <v>182</v>
      </c>
      <c r="C108" s="54" t="s">
        <v>182</v>
      </c>
      <c r="D108" s="87" t="str">
        <f>VLOOKUP(名前リスト[[#This Row],[管理番号]],まとめ表_バック金額[[#All],[管理番号]:[バック金額合計]],4,FALSE)</f>
        <v/>
      </c>
      <c r="E108" s="80" t="str">
        <f>VLOOKUP(名前リスト[[#This Row],[管理番号]],まとめ表_各店舗件数[[#All],[管理番号]:[合計件数]],4,FALSE)</f>
        <v/>
      </c>
      <c r="F108" s="111" t="str">
        <f>VLOOKUP(名前リスト[[#This Row],[管理番号]],まとめ表_各Aパターン件数[[#All],[管理番号]:[Aパターン]],4,FALSE)</f>
        <v/>
      </c>
      <c r="G108" s="111"/>
      <c r="H1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84"/>
    </row>
    <row r="109" spans="1:11" ht="19.5" customHeight="1">
      <c r="A109" s="2">
        <v>108</v>
      </c>
      <c r="B109" s="54" t="s">
        <v>183</v>
      </c>
      <c r="C109" s="54" t="s">
        <v>183</v>
      </c>
      <c r="D109" s="87" t="str">
        <f>VLOOKUP(名前リスト[[#This Row],[管理番号]],まとめ表_バック金額[[#All],[管理番号]:[バック金額合計]],4,FALSE)</f>
        <v/>
      </c>
      <c r="E109" s="80" t="str">
        <f>VLOOKUP(名前リスト[[#This Row],[管理番号]],まとめ表_各店舗件数[[#All],[管理番号]:[合計件数]],4,FALSE)</f>
        <v/>
      </c>
      <c r="F109" s="111" t="str">
        <f>VLOOKUP(名前リスト[[#This Row],[管理番号]],まとめ表_各Aパターン件数[[#All],[管理番号]:[Aパターン]],4,FALSE)</f>
        <v/>
      </c>
      <c r="G109" s="111"/>
      <c r="H1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84"/>
    </row>
    <row r="110" spans="1:11" ht="19.5" customHeight="1">
      <c r="A110" s="2">
        <v>109</v>
      </c>
      <c r="B110" s="54" t="s">
        <v>184</v>
      </c>
      <c r="C110" s="54" t="s">
        <v>184</v>
      </c>
      <c r="D110" s="87" t="str">
        <f>VLOOKUP(名前リスト[[#This Row],[管理番号]],まとめ表_バック金額[[#All],[管理番号]:[バック金額合計]],4,FALSE)</f>
        <v/>
      </c>
      <c r="E110" s="80" t="str">
        <f>VLOOKUP(名前リスト[[#This Row],[管理番号]],まとめ表_各店舗件数[[#All],[管理番号]:[合計件数]],4,FALSE)</f>
        <v/>
      </c>
      <c r="F110" s="111" t="str">
        <f>VLOOKUP(名前リスト[[#This Row],[管理番号]],まとめ表_各Aパターン件数[[#All],[管理番号]:[Aパターン]],4,FALSE)</f>
        <v/>
      </c>
      <c r="G110" s="111"/>
      <c r="H1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84"/>
    </row>
    <row r="111" spans="1:11" ht="19.5" customHeight="1">
      <c r="A111" s="2">
        <v>110</v>
      </c>
      <c r="B111" s="54" t="s">
        <v>185</v>
      </c>
      <c r="C111" s="54" t="s">
        <v>185</v>
      </c>
      <c r="D111" s="87" t="str">
        <f>VLOOKUP(名前リスト[[#This Row],[管理番号]],まとめ表_バック金額[[#All],[管理番号]:[バック金額合計]],4,FALSE)</f>
        <v/>
      </c>
      <c r="E111" s="80" t="str">
        <f>VLOOKUP(名前リスト[[#This Row],[管理番号]],まとめ表_各店舗件数[[#All],[管理番号]:[合計件数]],4,FALSE)</f>
        <v/>
      </c>
      <c r="F111" s="111" t="str">
        <f>VLOOKUP(名前リスト[[#This Row],[管理番号]],まとめ表_各Aパターン件数[[#All],[管理番号]:[Aパターン]],4,FALSE)</f>
        <v/>
      </c>
      <c r="G111" s="111"/>
      <c r="H1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84"/>
    </row>
    <row r="112" spans="1:11" ht="19.5" customHeight="1">
      <c r="A112" s="2">
        <v>111</v>
      </c>
      <c r="B112" s="54" t="s">
        <v>186</v>
      </c>
      <c r="C112" s="54" t="s">
        <v>186</v>
      </c>
      <c r="D112" s="87" t="str">
        <f>VLOOKUP(名前リスト[[#This Row],[管理番号]],まとめ表_バック金額[[#All],[管理番号]:[バック金額合計]],4,FALSE)</f>
        <v/>
      </c>
      <c r="E112" s="80" t="str">
        <f>VLOOKUP(名前リスト[[#This Row],[管理番号]],まとめ表_各店舗件数[[#All],[管理番号]:[合計件数]],4,FALSE)</f>
        <v/>
      </c>
      <c r="F112" s="111" t="str">
        <f>VLOOKUP(名前リスト[[#This Row],[管理番号]],まとめ表_各Aパターン件数[[#All],[管理番号]:[Aパターン]],4,FALSE)</f>
        <v/>
      </c>
      <c r="G112" s="111"/>
      <c r="H1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84"/>
    </row>
    <row r="113" spans="1:11" ht="19.5" customHeight="1">
      <c r="A113" s="2">
        <v>112</v>
      </c>
      <c r="B113" s="54" t="s">
        <v>187</v>
      </c>
      <c r="C113" s="54" t="s">
        <v>187</v>
      </c>
      <c r="D113" s="87" t="str">
        <f>VLOOKUP(名前リスト[[#This Row],[管理番号]],まとめ表_バック金額[[#All],[管理番号]:[バック金額合計]],4,FALSE)</f>
        <v/>
      </c>
      <c r="E113" s="80" t="str">
        <f>VLOOKUP(名前リスト[[#This Row],[管理番号]],まとめ表_各店舗件数[[#All],[管理番号]:[合計件数]],4,FALSE)</f>
        <v/>
      </c>
      <c r="F113" s="111" t="str">
        <f>VLOOKUP(名前リスト[[#This Row],[管理番号]],まとめ表_各Aパターン件数[[#All],[管理番号]:[Aパターン]],4,FALSE)</f>
        <v/>
      </c>
      <c r="G113" s="111"/>
      <c r="H1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84"/>
    </row>
    <row r="114" spans="1:11" ht="19.5" customHeight="1">
      <c r="A114" s="2">
        <v>113</v>
      </c>
      <c r="B114" s="54" t="s">
        <v>188</v>
      </c>
      <c r="C114" s="54" t="s">
        <v>188</v>
      </c>
      <c r="D114" s="87" t="str">
        <f>VLOOKUP(名前リスト[[#This Row],[管理番号]],まとめ表_バック金額[[#All],[管理番号]:[バック金額合計]],4,FALSE)</f>
        <v/>
      </c>
      <c r="E114" s="80" t="str">
        <f>VLOOKUP(名前リスト[[#This Row],[管理番号]],まとめ表_各店舗件数[[#All],[管理番号]:[合計件数]],4,FALSE)</f>
        <v/>
      </c>
      <c r="F114" s="111" t="str">
        <f>VLOOKUP(名前リスト[[#This Row],[管理番号]],まとめ表_各Aパターン件数[[#All],[管理番号]:[Aパターン]],4,FALSE)</f>
        <v/>
      </c>
      <c r="G114" s="111"/>
      <c r="H1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84"/>
    </row>
    <row r="115" spans="1:11" ht="19.5" customHeight="1">
      <c r="A115" s="2">
        <v>114</v>
      </c>
      <c r="B115" s="54" t="s">
        <v>189</v>
      </c>
      <c r="C115" s="54" t="s">
        <v>189</v>
      </c>
      <c r="D115" s="87" t="str">
        <f>VLOOKUP(名前リスト[[#This Row],[管理番号]],まとめ表_バック金額[[#All],[管理番号]:[バック金額合計]],4,FALSE)</f>
        <v/>
      </c>
      <c r="E115" s="80" t="str">
        <f>VLOOKUP(名前リスト[[#This Row],[管理番号]],まとめ表_各店舗件数[[#All],[管理番号]:[合計件数]],4,FALSE)</f>
        <v/>
      </c>
      <c r="F115" s="111" t="str">
        <f>VLOOKUP(名前リスト[[#This Row],[管理番号]],まとめ表_各Aパターン件数[[#All],[管理番号]:[Aパターン]],4,FALSE)</f>
        <v/>
      </c>
      <c r="G115" s="111"/>
      <c r="H1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84"/>
    </row>
    <row r="116" spans="1:11" ht="19.5" customHeight="1">
      <c r="A116" s="2">
        <v>115</v>
      </c>
      <c r="B116" s="54" t="s">
        <v>190</v>
      </c>
      <c r="C116" s="54" t="s">
        <v>190</v>
      </c>
      <c r="D116" s="87" t="str">
        <f>VLOOKUP(名前リスト[[#This Row],[管理番号]],まとめ表_バック金額[[#All],[管理番号]:[バック金額合計]],4,FALSE)</f>
        <v/>
      </c>
      <c r="E116" s="80" t="str">
        <f>VLOOKUP(名前リスト[[#This Row],[管理番号]],まとめ表_各店舗件数[[#All],[管理番号]:[合計件数]],4,FALSE)</f>
        <v/>
      </c>
      <c r="F116" s="111" t="str">
        <f>VLOOKUP(名前リスト[[#This Row],[管理番号]],まとめ表_各Aパターン件数[[#All],[管理番号]:[Aパターン]],4,FALSE)</f>
        <v/>
      </c>
      <c r="G116" s="111"/>
      <c r="H1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84"/>
    </row>
    <row r="117" spans="1:11" ht="19.5" customHeight="1">
      <c r="A117" s="2">
        <v>116</v>
      </c>
      <c r="B117" s="54" t="s">
        <v>191</v>
      </c>
      <c r="C117" s="54" t="s">
        <v>191</v>
      </c>
      <c r="D117" s="87" t="str">
        <f>VLOOKUP(名前リスト[[#This Row],[管理番号]],まとめ表_バック金額[[#All],[管理番号]:[バック金額合計]],4,FALSE)</f>
        <v/>
      </c>
      <c r="E117" s="80" t="str">
        <f>VLOOKUP(名前リスト[[#This Row],[管理番号]],まとめ表_各店舗件数[[#All],[管理番号]:[合計件数]],4,FALSE)</f>
        <v/>
      </c>
      <c r="F117" s="111" t="str">
        <f>VLOOKUP(名前リスト[[#This Row],[管理番号]],まとめ表_各Aパターン件数[[#All],[管理番号]:[Aパターン]],4,FALSE)</f>
        <v/>
      </c>
      <c r="G117" s="111"/>
      <c r="H1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84"/>
    </row>
    <row r="118" spans="1:11" ht="19.5" customHeight="1">
      <c r="A118" s="2">
        <v>117</v>
      </c>
      <c r="B118" s="54" t="s">
        <v>192</v>
      </c>
      <c r="C118" s="54" t="s">
        <v>192</v>
      </c>
      <c r="D118" s="87" t="str">
        <f>VLOOKUP(名前リスト[[#This Row],[管理番号]],まとめ表_バック金額[[#All],[管理番号]:[バック金額合計]],4,FALSE)</f>
        <v/>
      </c>
      <c r="E118" s="80" t="str">
        <f>VLOOKUP(名前リスト[[#This Row],[管理番号]],まとめ表_各店舗件数[[#All],[管理番号]:[合計件数]],4,FALSE)</f>
        <v/>
      </c>
      <c r="F118" s="111" t="str">
        <f>VLOOKUP(名前リスト[[#This Row],[管理番号]],まとめ表_各Aパターン件数[[#All],[管理番号]:[Aパターン]],4,FALSE)</f>
        <v/>
      </c>
      <c r="G118" s="111"/>
      <c r="H1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84"/>
    </row>
    <row r="119" spans="1:11" ht="19.5" customHeight="1">
      <c r="A119" s="2">
        <v>118</v>
      </c>
      <c r="B119" s="54" t="s">
        <v>193</v>
      </c>
      <c r="C119" s="54" t="s">
        <v>193</v>
      </c>
      <c r="D119" s="87" t="str">
        <f>VLOOKUP(名前リスト[[#This Row],[管理番号]],まとめ表_バック金額[[#All],[管理番号]:[バック金額合計]],4,FALSE)</f>
        <v/>
      </c>
      <c r="E119" s="80" t="str">
        <f>VLOOKUP(名前リスト[[#This Row],[管理番号]],まとめ表_各店舗件数[[#All],[管理番号]:[合計件数]],4,FALSE)</f>
        <v/>
      </c>
      <c r="F119" s="111" t="str">
        <f>VLOOKUP(名前リスト[[#This Row],[管理番号]],まとめ表_各Aパターン件数[[#All],[管理番号]:[Aパターン]],4,FALSE)</f>
        <v/>
      </c>
      <c r="G119" s="111"/>
      <c r="H1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84"/>
    </row>
    <row r="120" spans="1:11" ht="19.5" customHeight="1">
      <c r="A120" s="2">
        <v>119</v>
      </c>
      <c r="B120" s="54" t="s">
        <v>194</v>
      </c>
      <c r="C120" s="54" t="s">
        <v>194</v>
      </c>
      <c r="D120" s="87" t="str">
        <f>VLOOKUP(名前リスト[[#This Row],[管理番号]],まとめ表_バック金額[[#All],[管理番号]:[バック金額合計]],4,FALSE)</f>
        <v/>
      </c>
      <c r="E120" s="80" t="str">
        <f>VLOOKUP(名前リスト[[#This Row],[管理番号]],まとめ表_各店舗件数[[#All],[管理番号]:[合計件数]],4,FALSE)</f>
        <v/>
      </c>
      <c r="F120" s="111" t="str">
        <f>VLOOKUP(名前リスト[[#This Row],[管理番号]],まとめ表_各Aパターン件数[[#All],[管理番号]:[Aパターン]],4,FALSE)</f>
        <v/>
      </c>
      <c r="G120" s="111"/>
      <c r="H1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84"/>
    </row>
    <row r="121" spans="1:11" ht="19.5" customHeight="1">
      <c r="A121" s="2">
        <v>120</v>
      </c>
      <c r="B121" s="54" t="s">
        <v>195</v>
      </c>
      <c r="C121" s="54" t="s">
        <v>195</v>
      </c>
      <c r="D121" s="87" t="str">
        <f>VLOOKUP(名前リスト[[#This Row],[管理番号]],まとめ表_バック金額[[#All],[管理番号]:[バック金額合計]],4,FALSE)</f>
        <v/>
      </c>
      <c r="E121" s="80" t="str">
        <f>VLOOKUP(名前リスト[[#This Row],[管理番号]],まとめ表_各店舗件数[[#All],[管理番号]:[合計件数]],4,FALSE)</f>
        <v/>
      </c>
      <c r="F121" s="111" t="str">
        <f>VLOOKUP(名前リスト[[#This Row],[管理番号]],まとめ表_各Aパターン件数[[#All],[管理番号]:[Aパターン]],4,FALSE)</f>
        <v/>
      </c>
      <c r="G121" s="111"/>
      <c r="H1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84"/>
    </row>
    <row r="122" spans="1:11" ht="19.5" customHeight="1">
      <c r="A122" s="2">
        <v>121</v>
      </c>
      <c r="B122" s="54" t="s">
        <v>196</v>
      </c>
      <c r="C122" s="55" t="s">
        <v>196</v>
      </c>
      <c r="D122" s="87" t="str">
        <f>VLOOKUP(名前リスト[[#This Row],[管理番号]],まとめ表_バック金額[[#All],[管理番号]:[バック金額合計]],4,FALSE)</f>
        <v/>
      </c>
      <c r="E122" s="80" t="str">
        <f>VLOOKUP(名前リスト[[#This Row],[管理番号]],まとめ表_各店舗件数[[#All],[管理番号]:[合計件数]],4,FALSE)</f>
        <v/>
      </c>
      <c r="F122" s="111" t="str">
        <f>VLOOKUP(名前リスト[[#This Row],[管理番号]],まとめ表_各Aパターン件数[[#All],[管理番号]:[Aパターン]],4,FALSE)</f>
        <v/>
      </c>
      <c r="G122" s="111"/>
      <c r="H1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84"/>
    </row>
    <row r="123" spans="1:11" ht="19.5" customHeight="1">
      <c r="A123" s="2">
        <v>122</v>
      </c>
      <c r="B123" s="47" t="s">
        <v>260</v>
      </c>
      <c r="C123" s="47" t="s">
        <v>260</v>
      </c>
      <c r="D123" s="87" t="str">
        <f>VLOOKUP(名前リスト[[#This Row],[管理番号]],まとめ表_バック金額[[#All],[管理番号]:[バック金額合計]],4,FALSE)</f>
        <v/>
      </c>
      <c r="E123" s="80" t="str">
        <f>VLOOKUP(名前リスト[[#This Row],[管理番号]],まとめ表_各店舗件数[[#All],[管理番号]:[合計件数]],4,FALSE)</f>
        <v/>
      </c>
      <c r="F123" s="111" t="str">
        <f>VLOOKUP(名前リスト[[#This Row],[管理番号]],まとめ表_各Aパターン件数[[#All],[管理番号]:[Aパターン]],4,FALSE)</f>
        <v/>
      </c>
      <c r="G123" s="111"/>
      <c r="H1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84"/>
    </row>
    <row r="124" spans="1:11" ht="19.5" customHeight="1">
      <c r="A124" s="2">
        <v>123</v>
      </c>
      <c r="B124" s="47" t="s">
        <v>261</v>
      </c>
      <c r="C124" s="47" t="s">
        <v>261</v>
      </c>
      <c r="D124" s="87" t="str">
        <f>VLOOKUP(名前リスト[[#This Row],[管理番号]],まとめ表_バック金額[[#All],[管理番号]:[バック金額合計]],4,FALSE)</f>
        <v/>
      </c>
      <c r="E124" s="80" t="str">
        <f>VLOOKUP(名前リスト[[#This Row],[管理番号]],まとめ表_各店舗件数[[#All],[管理番号]:[合計件数]],4,FALSE)</f>
        <v/>
      </c>
      <c r="F124" s="111" t="str">
        <f>VLOOKUP(名前リスト[[#This Row],[管理番号]],まとめ表_各Aパターン件数[[#All],[管理番号]:[Aパターン]],4,FALSE)</f>
        <v/>
      </c>
      <c r="G124" s="111"/>
      <c r="H1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84"/>
    </row>
    <row r="125" spans="1:11" ht="19.5" customHeight="1">
      <c r="A125" s="2">
        <v>124</v>
      </c>
      <c r="B125" s="47" t="s">
        <v>262</v>
      </c>
      <c r="C125" s="47" t="s">
        <v>262</v>
      </c>
      <c r="D125" s="87" t="str">
        <f>VLOOKUP(名前リスト[[#This Row],[管理番号]],まとめ表_バック金額[[#All],[管理番号]:[バック金額合計]],4,FALSE)</f>
        <v/>
      </c>
      <c r="E125" s="80" t="str">
        <f>VLOOKUP(名前リスト[[#This Row],[管理番号]],まとめ表_各店舗件数[[#All],[管理番号]:[合計件数]],4,FALSE)</f>
        <v/>
      </c>
      <c r="F125" s="111" t="str">
        <f>VLOOKUP(名前リスト[[#This Row],[管理番号]],まとめ表_各Aパターン件数[[#All],[管理番号]:[Aパターン]],4,FALSE)</f>
        <v/>
      </c>
      <c r="G125" s="111"/>
      <c r="H1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84"/>
    </row>
    <row r="126" spans="1:11" ht="19.5" customHeight="1">
      <c r="A126" s="2">
        <v>125</v>
      </c>
      <c r="B126" s="47" t="s">
        <v>263</v>
      </c>
      <c r="C126" s="47" t="s">
        <v>263</v>
      </c>
      <c r="D126" s="87" t="str">
        <f>VLOOKUP(名前リスト[[#This Row],[管理番号]],まとめ表_バック金額[[#All],[管理番号]:[バック金額合計]],4,FALSE)</f>
        <v/>
      </c>
      <c r="E126" s="80" t="str">
        <f>VLOOKUP(名前リスト[[#This Row],[管理番号]],まとめ表_各店舗件数[[#All],[管理番号]:[合計件数]],4,FALSE)</f>
        <v/>
      </c>
      <c r="F126" s="111" t="str">
        <f>VLOOKUP(名前リスト[[#This Row],[管理番号]],まとめ表_各Aパターン件数[[#All],[管理番号]:[Aパターン]],4,FALSE)</f>
        <v/>
      </c>
      <c r="G126" s="111"/>
      <c r="H1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84"/>
    </row>
    <row r="127" spans="1:11" ht="19.5" customHeight="1">
      <c r="A127" s="2">
        <v>126</v>
      </c>
      <c r="B127" s="47" t="s">
        <v>264</v>
      </c>
      <c r="C127" s="47" t="s">
        <v>264</v>
      </c>
      <c r="D127" s="87" t="str">
        <f>VLOOKUP(名前リスト[[#This Row],[管理番号]],まとめ表_バック金額[[#All],[管理番号]:[バック金額合計]],4,FALSE)</f>
        <v/>
      </c>
      <c r="E127" s="80" t="str">
        <f>VLOOKUP(名前リスト[[#This Row],[管理番号]],まとめ表_各店舗件数[[#All],[管理番号]:[合計件数]],4,FALSE)</f>
        <v/>
      </c>
      <c r="F127" s="111" t="str">
        <f>VLOOKUP(名前リスト[[#This Row],[管理番号]],まとめ表_各Aパターン件数[[#All],[管理番号]:[Aパターン]],4,FALSE)</f>
        <v/>
      </c>
      <c r="G127" s="111"/>
      <c r="H1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7" s="84"/>
    </row>
    <row r="128" spans="1:11" ht="19.5" customHeight="1">
      <c r="A128" s="2">
        <v>127</v>
      </c>
      <c r="B128" s="47" t="s">
        <v>265</v>
      </c>
      <c r="C128" s="47" t="s">
        <v>265</v>
      </c>
      <c r="D128" s="87" t="str">
        <f>VLOOKUP(名前リスト[[#This Row],[管理番号]],まとめ表_バック金額[[#All],[管理番号]:[バック金額合計]],4,FALSE)</f>
        <v/>
      </c>
      <c r="E128" s="80" t="str">
        <f>VLOOKUP(名前リスト[[#This Row],[管理番号]],まとめ表_各店舗件数[[#All],[管理番号]:[合計件数]],4,FALSE)</f>
        <v/>
      </c>
      <c r="F128" s="111" t="str">
        <f>VLOOKUP(名前リスト[[#This Row],[管理番号]],まとめ表_各Aパターン件数[[#All],[管理番号]:[Aパターン]],4,FALSE)</f>
        <v/>
      </c>
      <c r="G128" s="111"/>
      <c r="H1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84"/>
    </row>
    <row r="129" spans="1:11" ht="19.5" customHeight="1">
      <c r="A129" s="2">
        <v>128</v>
      </c>
      <c r="B129" s="47" t="s">
        <v>266</v>
      </c>
      <c r="C129" s="47" t="s">
        <v>266</v>
      </c>
      <c r="D129" s="87" t="str">
        <f>VLOOKUP(名前リスト[[#This Row],[管理番号]],まとめ表_バック金額[[#All],[管理番号]:[バック金額合計]],4,FALSE)</f>
        <v/>
      </c>
      <c r="E129" s="80" t="str">
        <f>VLOOKUP(名前リスト[[#This Row],[管理番号]],まとめ表_各店舗件数[[#All],[管理番号]:[合計件数]],4,FALSE)</f>
        <v/>
      </c>
      <c r="F129" s="111" t="str">
        <f>VLOOKUP(名前リスト[[#This Row],[管理番号]],まとめ表_各Aパターン件数[[#All],[管理番号]:[Aパターン]],4,FALSE)</f>
        <v/>
      </c>
      <c r="G129" s="111"/>
      <c r="H1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84"/>
    </row>
    <row r="130" spans="1:11" ht="19.5" customHeight="1">
      <c r="A130" s="2">
        <v>129</v>
      </c>
      <c r="B130" s="47" t="s">
        <v>267</v>
      </c>
      <c r="C130" s="47" t="s">
        <v>267</v>
      </c>
      <c r="D130" s="87" t="str">
        <f>VLOOKUP(名前リスト[[#This Row],[管理番号]],まとめ表_バック金額[[#All],[管理番号]:[バック金額合計]],4,FALSE)</f>
        <v/>
      </c>
      <c r="E130" s="80" t="str">
        <f>VLOOKUP(名前リスト[[#This Row],[管理番号]],まとめ表_各店舗件数[[#All],[管理番号]:[合計件数]],4,FALSE)</f>
        <v/>
      </c>
      <c r="F130" s="111" t="str">
        <f>VLOOKUP(名前リスト[[#This Row],[管理番号]],まとめ表_各Aパターン件数[[#All],[管理番号]:[Aパターン]],4,FALSE)</f>
        <v/>
      </c>
      <c r="G130" s="111"/>
      <c r="H1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84"/>
    </row>
    <row r="131" spans="1:11" ht="19.5" customHeight="1">
      <c r="A131" s="2">
        <v>130</v>
      </c>
      <c r="B131" s="47" t="s">
        <v>268</v>
      </c>
      <c r="C131" s="47" t="s">
        <v>268</v>
      </c>
      <c r="D131" s="87" t="str">
        <f>VLOOKUP(名前リスト[[#This Row],[管理番号]],まとめ表_バック金額[[#All],[管理番号]:[バック金額合計]],4,FALSE)</f>
        <v/>
      </c>
      <c r="E131" s="80" t="str">
        <f>VLOOKUP(名前リスト[[#This Row],[管理番号]],まとめ表_各店舗件数[[#All],[管理番号]:[合計件数]],4,FALSE)</f>
        <v/>
      </c>
      <c r="F131" s="111" t="str">
        <f>VLOOKUP(名前リスト[[#This Row],[管理番号]],まとめ表_各Aパターン件数[[#All],[管理番号]:[Aパターン]],4,FALSE)</f>
        <v/>
      </c>
      <c r="G131" s="111"/>
      <c r="H1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84"/>
    </row>
    <row r="132" spans="1:11" ht="19.5" customHeight="1">
      <c r="A132" s="2">
        <v>131</v>
      </c>
      <c r="B132" s="47" t="s">
        <v>269</v>
      </c>
      <c r="C132" s="47" t="s">
        <v>269</v>
      </c>
      <c r="D132" s="87" t="str">
        <f>VLOOKUP(名前リスト[[#This Row],[管理番号]],まとめ表_バック金額[[#All],[管理番号]:[バック金額合計]],4,FALSE)</f>
        <v/>
      </c>
      <c r="E132" s="80" t="str">
        <f>VLOOKUP(名前リスト[[#This Row],[管理番号]],まとめ表_各店舗件数[[#All],[管理番号]:[合計件数]],4,FALSE)</f>
        <v/>
      </c>
      <c r="F132" s="111" t="str">
        <f>VLOOKUP(名前リスト[[#This Row],[管理番号]],まとめ表_各Aパターン件数[[#All],[管理番号]:[Aパターン]],4,FALSE)</f>
        <v/>
      </c>
      <c r="G132" s="111"/>
      <c r="H1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84"/>
    </row>
    <row r="133" spans="1:11" ht="19.5" customHeight="1">
      <c r="A133" s="2">
        <v>132</v>
      </c>
      <c r="B133" s="47" t="s">
        <v>270</v>
      </c>
      <c r="C133" s="47" t="s">
        <v>270</v>
      </c>
      <c r="D133" s="87" t="str">
        <f>VLOOKUP(名前リスト[[#This Row],[管理番号]],まとめ表_バック金額[[#All],[管理番号]:[バック金額合計]],4,FALSE)</f>
        <v/>
      </c>
      <c r="E133" s="80" t="str">
        <f>VLOOKUP(名前リスト[[#This Row],[管理番号]],まとめ表_各店舗件数[[#All],[管理番号]:[合計件数]],4,FALSE)</f>
        <v/>
      </c>
      <c r="F133" s="111" t="str">
        <f>VLOOKUP(名前リスト[[#This Row],[管理番号]],まとめ表_各Aパターン件数[[#All],[管理番号]:[Aパターン]],4,FALSE)</f>
        <v/>
      </c>
      <c r="G133" s="111"/>
      <c r="H1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84"/>
    </row>
    <row r="134" spans="1:11" ht="19.5" customHeight="1">
      <c r="A134" s="2">
        <v>133</v>
      </c>
      <c r="B134" s="47" t="s">
        <v>271</v>
      </c>
      <c r="C134" s="47" t="s">
        <v>271</v>
      </c>
      <c r="D134" s="87" t="str">
        <f>VLOOKUP(名前リスト[[#This Row],[管理番号]],まとめ表_バック金額[[#All],[管理番号]:[バック金額合計]],4,FALSE)</f>
        <v/>
      </c>
      <c r="E134" s="80" t="str">
        <f>VLOOKUP(名前リスト[[#This Row],[管理番号]],まとめ表_各店舗件数[[#All],[管理番号]:[合計件数]],4,FALSE)</f>
        <v/>
      </c>
      <c r="F134" s="111" t="str">
        <f>VLOOKUP(名前リスト[[#This Row],[管理番号]],まとめ表_各Aパターン件数[[#All],[管理番号]:[Aパターン]],4,FALSE)</f>
        <v/>
      </c>
      <c r="G134" s="111"/>
      <c r="H1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84"/>
    </row>
    <row r="135" spans="1:11" ht="19.5" customHeight="1">
      <c r="A135" s="2">
        <v>134</v>
      </c>
      <c r="B135" s="47" t="s">
        <v>272</v>
      </c>
      <c r="C135" s="47" t="s">
        <v>272</v>
      </c>
      <c r="D135" s="87" t="str">
        <f>VLOOKUP(名前リスト[[#This Row],[管理番号]],まとめ表_バック金額[[#All],[管理番号]:[バック金額合計]],4,FALSE)</f>
        <v/>
      </c>
      <c r="E135" s="80" t="str">
        <f>VLOOKUP(名前リスト[[#This Row],[管理番号]],まとめ表_各店舗件数[[#All],[管理番号]:[合計件数]],4,FALSE)</f>
        <v/>
      </c>
      <c r="F135" s="111" t="str">
        <f>VLOOKUP(名前リスト[[#This Row],[管理番号]],まとめ表_各Aパターン件数[[#All],[管理番号]:[Aパターン]],4,FALSE)</f>
        <v/>
      </c>
      <c r="G135" s="111"/>
      <c r="H1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84"/>
    </row>
    <row r="136" spans="1:11" ht="19.5" customHeight="1">
      <c r="A136" s="2">
        <v>135</v>
      </c>
      <c r="B136" s="47" t="s">
        <v>273</v>
      </c>
      <c r="C136" s="47" t="s">
        <v>273</v>
      </c>
      <c r="D136" s="87" t="str">
        <f>VLOOKUP(名前リスト[[#This Row],[管理番号]],まとめ表_バック金額[[#All],[管理番号]:[バック金額合計]],4,FALSE)</f>
        <v/>
      </c>
      <c r="E136" s="80" t="str">
        <f>VLOOKUP(名前リスト[[#This Row],[管理番号]],まとめ表_各店舗件数[[#All],[管理番号]:[合計件数]],4,FALSE)</f>
        <v/>
      </c>
      <c r="F136" s="111" t="str">
        <f>VLOOKUP(名前リスト[[#This Row],[管理番号]],まとめ表_各Aパターン件数[[#All],[管理番号]:[Aパターン]],4,FALSE)</f>
        <v/>
      </c>
      <c r="G136" s="111"/>
      <c r="H1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84"/>
    </row>
    <row r="137" spans="1:11" ht="19.5" customHeight="1">
      <c r="A137" s="2">
        <v>136</v>
      </c>
      <c r="B137" s="47" t="s">
        <v>274</v>
      </c>
      <c r="C137" s="47" t="s">
        <v>274</v>
      </c>
      <c r="D137" s="87" t="str">
        <f>VLOOKUP(名前リスト[[#This Row],[管理番号]],まとめ表_バック金額[[#All],[管理番号]:[バック金額合計]],4,FALSE)</f>
        <v/>
      </c>
      <c r="E137" s="80" t="str">
        <f>VLOOKUP(名前リスト[[#This Row],[管理番号]],まとめ表_各店舗件数[[#All],[管理番号]:[合計件数]],4,FALSE)</f>
        <v/>
      </c>
      <c r="F137" s="111" t="str">
        <f>VLOOKUP(名前リスト[[#This Row],[管理番号]],まとめ表_各Aパターン件数[[#All],[管理番号]:[Aパターン]],4,FALSE)</f>
        <v/>
      </c>
      <c r="G137" s="111"/>
      <c r="H1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84"/>
    </row>
    <row r="138" spans="1:11" ht="19.5" customHeight="1">
      <c r="A138" s="2">
        <v>137</v>
      </c>
      <c r="B138" s="47" t="s">
        <v>275</v>
      </c>
      <c r="C138" s="47" t="s">
        <v>275</v>
      </c>
      <c r="D138" s="87" t="str">
        <f>VLOOKUP(名前リスト[[#This Row],[管理番号]],まとめ表_バック金額[[#All],[管理番号]:[バック金額合計]],4,FALSE)</f>
        <v/>
      </c>
      <c r="E138" s="80" t="str">
        <f>VLOOKUP(名前リスト[[#This Row],[管理番号]],まとめ表_各店舗件数[[#All],[管理番号]:[合計件数]],4,FALSE)</f>
        <v/>
      </c>
      <c r="F138" s="111" t="str">
        <f>VLOOKUP(名前リスト[[#This Row],[管理番号]],まとめ表_各Aパターン件数[[#All],[管理番号]:[Aパターン]],4,FALSE)</f>
        <v/>
      </c>
      <c r="G138" s="111"/>
      <c r="H1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84"/>
    </row>
    <row r="139" spans="1:11" ht="19.5" customHeight="1">
      <c r="A139" s="2">
        <v>138</v>
      </c>
      <c r="B139" s="47" t="s">
        <v>276</v>
      </c>
      <c r="C139" s="47" t="s">
        <v>276</v>
      </c>
      <c r="D139" s="87" t="str">
        <f>VLOOKUP(名前リスト[[#This Row],[管理番号]],まとめ表_バック金額[[#All],[管理番号]:[バック金額合計]],4,FALSE)</f>
        <v/>
      </c>
      <c r="E139" s="80" t="str">
        <f>VLOOKUP(名前リスト[[#This Row],[管理番号]],まとめ表_各店舗件数[[#All],[管理番号]:[合計件数]],4,FALSE)</f>
        <v/>
      </c>
      <c r="F139" s="111" t="str">
        <f>VLOOKUP(名前リスト[[#This Row],[管理番号]],まとめ表_各Aパターン件数[[#All],[管理番号]:[Aパターン]],4,FALSE)</f>
        <v/>
      </c>
      <c r="G139" s="111"/>
      <c r="H1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84"/>
    </row>
    <row r="140" spans="1:11" ht="19.5" customHeight="1">
      <c r="A140" s="2">
        <v>139</v>
      </c>
      <c r="B140" s="47" t="s">
        <v>277</v>
      </c>
      <c r="C140" s="47" t="s">
        <v>277</v>
      </c>
      <c r="D140" s="87" t="str">
        <f>VLOOKUP(名前リスト[[#This Row],[管理番号]],まとめ表_バック金額[[#All],[管理番号]:[バック金額合計]],4,FALSE)</f>
        <v/>
      </c>
      <c r="E140" s="80" t="str">
        <f>VLOOKUP(名前リスト[[#This Row],[管理番号]],まとめ表_各店舗件数[[#All],[管理番号]:[合計件数]],4,FALSE)</f>
        <v/>
      </c>
      <c r="F140" s="111" t="str">
        <f>VLOOKUP(名前リスト[[#This Row],[管理番号]],まとめ表_各Aパターン件数[[#All],[管理番号]:[Aパターン]],4,FALSE)</f>
        <v/>
      </c>
      <c r="G140" s="111"/>
      <c r="H1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84"/>
    </row>
    <row r="141" spans="1:11" ht="19.5" customHeight="1">
      <c r="A141" s="2">
        <v>140</v>
      </c>
      <c r="B141" s="47" t="s">
        <v>278</v>
      </c>
      <c r="C141" s="47" t="s">
        <v>278</v>
      </c>
      <c r="D141" s="87" t="str">
        <f>VLOOKUP(名前リスト[[#This Row],[管理番号]],まとめ表_バック金額[[#All],[管理番号]:[バック金額合計]],4,FALSE)</f>
        <v/>
      </c>
      <c r="E141" s="80" t="str">
        <f>VLOOKUP(名前リスト[[#This Row],[管理番号]],まとめ表_各店舗件数[[#All],[管理番号]:[合計件数]],4,FALSE)</f>
        <v/>
      </c>
      <c r="F141" s="111" t="str">
        <f>VLOOKUP(名前リスト[[#This Row],[管理番号]],まとめ表_各Aパターン件数[[#All],[管理番号]:[Aパターン]],4,FALSE)</f>
        <v/>
      </c>
      <c r="G141" s="111"/>
      <c r="H1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84"/>
    </row>
    <row r="142" spans="1:11" ht="19.5" customHeight="1">
      <c r="A142" s="2">
        <v>141</v>
      </c>
      <c r="B142" s="47" t="s">
        <v>279</v>
      </c>
      <c r="C142" s="47" t="s">
        <v>279</v>
      </c>
      <c r="D142" s="87" t="str">
        <f>VLOOKUP(名前リスト[[#This Row],[管理番号]],まとめ表_バック金額[[#All],[管理番号]:[バック金額合計]],4,FALSE)</f>
        <v/>
      </c>
      <c r="E142" s="80" t="str">
        <f>VLOOKUP(名前リスト[[#This Row],[管理番号]],まとめ表_各店舗件数[[#All],[管理番号]:[合計件数]],4,FALSE)</f>
        <v/>
      </c>
      <c r="F142" s="111" t="str">
        <f>VLOOKUP(名前リスト[[#This Row],[管理番号]],まとめ表_各Aパターン件数[[#All],[管理番号]:[Aパターン]],4,FALSE)</f>
        <v/>
      </c>
      <c r="G142" s="111"/>
      <c r="H1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84"/>
    </row>
    <row r="143" spans="1:11" ht="19.5" customHeight="1">
      <c r="A143" s="2">
        <v>142</v>
      </c>
      <c r="B143" s="47" t="s">
        <v>280</v>
      </c>
      <c r="C143" s="47" t="s">
        <v>280</v>
      </c>
      <c r="D143" s="87" t="str">
        <f>VLOOKUP(名前リスト[[#This Row],[管理番号]],まとめ表_バック金額[[#All],[管理番号]:[バック金額合計]],4,FALSE)</f>
        <v/>
      </c>
      <c r="E143" s="80" t="str">
        <f>VLOOKUP(名前リスト[[#This Row],[管理番号]],まとめ表_各店舗件数[[#All],[管理番号]:[合計件数]],4,FALSE)</f>
        <v/>
      </c>
      <c r="F143" s="111" t="str">
        <f>VLOOKUP(名前リスト[[#This Row],[管理番号]],まとめ表_各Aパターン件数[[#All],[管理番号]:[Aパターン]],4,FALSE)</f>
        <v/>
      </c>
      <c r="G143" s="111"/>
      <c r="H14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84"/>
    </row>
    <row r="144" spans="1:11" ht="19.5" customHeight="1">
      <c r="A144" s="2">
        <v>143</v>
      </c>
      <c r="B144" s="47" t="s">
        <v>281</v>
      </c>
      <c r="C144" s="47" t="s">
        <v>281</v>
      </c>
      <c r="D144" s="87" t="str">
        <f>VLOOKUP(名前リスト[[#This Row],[管理番号]],まとめ表_バック金額[[#All],[管理番号]:[バック金額合計]],4,FALSE)</f>
        <v/>
      </c>
      <c r="E144" s="80" t="str">
        <f>VLOOKUP(名前リスト[[#This Row],[管理番号]],まとめ表_各店舗件数[[#All],[管理番号]:[合計件数]],4,FALSE)</f>
        <v/>
      </c>
      <c r="F144" s="111" t="str">
        <f>VLOOKUP(名前リスト[[#This Row],[管理番号]],まとめ表_各Aパターン件数[[#All],[管理番号]:[Aパターン]],4,FALSE)</f>
        <v/>
      </c>
      <c r="G144" s="111"/>
      <c r="H14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84"/>
    </row>
    <row r="145" spans="1:11" ht="19.5" customHeight="1">
      <c r="A145" s="2">
        <v>144</v>
      </c>
      <c r="B145" s="47" t="s">
        <v>282</v>
      </c>
      <c r="C145" s="47" t="s">
        <v>282</v>
      </c>
      <c r="D145" s="87" t="str">
        <f>VLOOKUP(名前リスト[[#This Row],[管理番号]],まとめ表_バック金額[[#All],[管理番号]:[バック金額合計]],4,FALSE)</f>
        <v/>
      </c>
      <c r="E145" s="80" t="str">
        <f>VLOOKUP(名前リスト[[#This Row],[管理番号]],まとめ表_各店舗件数[[#All],[管理番号]:[合計件数]],4,FALSE)</f>
        <v/>
      </c>
      <c r="F145" s="111" t="str">
        <f>VLOOKUP(名前リスト[[#This Row],[管理番号]],まとめ表_各Aパターン件数[[#All],[管理番号]:[Aパターン]],4,FALSE)</f>
        <v/>
      </c>
      <c r="G145" s="111"/>
      <c r="H1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84"/>
    </row>
    <row r="146" spans="1:11" ht="19.5" customHeight="1">
      <c r="A146" s="2">
        <v>145</v>
      </c>
      <c r="B146" s="47" t="s">
        <v>283</v>
      </c>
      <c r="C146" s="47" t="s">
        <v>283</v>
      </c>
      <c r="D146" s="87" t="str">
        <f>VLOOKUP(名前リスト[[#This Row],[管理番号]],まとめ表_バック金額[[#All],[管理番号]:[バック金額合計]],4,FALSE)</f>
        <v/>
      </c>
      <c r="E146" s="80" t="str">
        <f>VLOOKUP(名前リスト[[#This Row],[管理番号]],まとめ表_各店舗件数[[#All],[管理番号]:[合計件数]],4,FALSE)</f>
        <v/>
      </c>
      <c r="F146" s="111" t="str">
        <f>VLOOKUP(名前リスト[[#This Row],[管理番号]],まとめ表_各Aパターン件数[[#All],[管理番号]:[Aパターン]],4,FALSE)</f>
        <v/>
      </c>
      <c r="G146" s="111"/>
      <c r="H1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84"/>
    </row>
    <row r="147" spans="1:11" ht="19.5" customHeight="1">
      <c r="A147" s="2">
        <v>146</v>
      </c>
      <c r="B147" s="47" t="s">
        <v>284</v>
      </c>
      <c r="C147" s="47" t="s">
        <v>284</v>
      </c>
      <c r="D147" s="87" t="str">
        <f>VLOOKUP(名前リスト[[#This Row],[管理番号]],まとめ表_バック金額[[#All],[管理番号]:[バック金額合計]],4,FALSE)</f>
        <v/>
      </c>
      <c r="E147" s="80" t="str">
        <f>VLOOKUP(名前リスト[[#This Row],[管理番号]],まとめ表_各店舗件数[[#All],[管理番号]:[合計件数]],4,FALSE)</f>
        <v/>
      </c>
      <c r="F147" s="111" t="str">
        <f>VLOOKUP(名前リスト[[#This Row],[管理番号]],まとめ表_各Aパターン件数[[#All],[管理番号]:[Aパターン]],4,FALSE)</f>
        <v/>
      </c>
      <c r="G147" s="111"/>
      <c r="H1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84"/>
    </row>
    <row r="148" spans="1:11" ht="19.5" customHeight="1">
      <c r="A148" s="2">
        <v>147</v>
      </c>
      <c r="B148" s="47" t="s">
        <v>286</v>
      </c>
      <c r="C148" s="47" t="s">
        <v>286</v>
      </c>
      <c r="D148" s="87" t="str">
        <f>VLOOKUP(名前リスト[[#This Row],[管理番号]],まとめ表_バック金額[[#All],[管理番号]:[バック金額合計]],4,FALSE)</f>
        <v/>
      </c>
      <c r="E148" s="80" t="str">
        <f>VLOOKUP(名前リスト[[#This Row],[管理番号]],まとめ表_各店舗件数[[#All],[管理番号]:[合計件数]],4,FALSE)</f>
        <v/>
      </c>
      <c r="F148" s="111" t="str">
        <f>VLOOKUP(名前リスト[[#This Row],[管理番号]],まとめ表_各Aパターン件数[[#All],[管理番号]:[Aパターン]],4,FALSE)</f>
        <v/>
      </c>
      <c r="G148" s="111"/>
      <c r="H1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84"/>
    </row>
    <row r="149" spans="1:11" ht="19.5" customHeight="1">
      <c r="A149" s="2">
        <v>148</v>
      </c>
      <c r="B149" s="54" t="s">
        <v>287</v>
      </c>
      <c r="C149" s="54" t="s">
        <v>287</v>
      </c>
      <c r="D149" s="87" t="str">
        <f>VLOOKUP(名前リスト[[#This Row],[管理番号]],まとめ表_バック金額[[#All],[管理番号]:[バック金額合計]],4,FALSE)</f>
        <v/>
      </c>
      <c r="E149" s="80" t="str">
        <f>VLOOKUP(名前リスト[[#This Row],[管理番号]],まとめ表_各店舗件数[[#All],[管理番号]:[合計件数]],4,FALSE)</f>
        <v/>
      </c>
      <c r="F149" s="111" t="str">
        <f>VLOOKUP(名前リスト[[#This Row],[管理番号]],まとめ表_各Aパターン件数[[#All],[管理番号]:[Aパターン]],4,FALSE)</f>
        <v/>
      </c>
      <c r="G149" s="111"/>
      <c r="H1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84"/>
    </row>
    <row r="150" spans="1:11" ht="19.5" customHeight="1">
      <c r="A150" s="2">
        <v>149</v>
      </c>
      <c r="B150" s="54" t="s">
        <v>288</v>
      </c>
      <c r="C150" s="54" t="s">
        <v>288</v>
      </c>
      <c r="D150" s="87" t="str">
        <f>VLOOKUP(名前リスト[[#This Row],[管理番号]],まとめ表_バック金額[[#All],[管理番号]:[バック金額合計]],4,FALSE)</f>
        <v/>
      </c>
      <c r="E150" s="80" t="str">
        <f>VLOOKUP(名前リスト[[#This Row],[管理番号]],まとめ表_各店舗件数[[#All],[管理番号]:[合計件数]],4,FALSE)</f>
        <v/>
      </c>
      <c r="F150" s="111" t="str">
        <f>VLOOKUP(名前リスト[[#This Row],[管理番号]],まとめ表_各Aパターン件数[[#All],[管理番号]:[Aパターン]],4,FALSE)</f>
        <v/>
      </c>
      <c r="G150" s="111"/>
      <c r="H150" s="111"/>
      <c r="I1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84"/>
    </row>
    <row r="151" spans="1:11" ht="19.5" customHeight="1">
      <c r="A151" s="2">
        <v>150</v>
      </c>
      <c r="B151" s="54" t="s">
        <v>289</v>
      </c>
      <c r="C151" s="54" t="s">
        <v>289</v>
      </c>
      <c r="D151" s="87" t="str">
        <f>VLOOKUP(名前リスト[[#This Row],[管理番号]],まとめ表_バック金額[[#All],[管理番号]:[バック金額合計]],4,FALSE)</f>
        <v/>
      </c>
      <c r="E151" s="80" t="str">
        <f>VLOOKUP(名前リスト[[#This Row],[管理番号]],まとめ表_各店舗件数[[#All],[管理番号]:[合計件数]],4,FALSE)</f>
        <v/>
      </c>
      <c r="F151" s="111" t="str">
        <f>VLOOKUP(名前リスト[[#This Row],[管理番号]],まとめ表_各Aパターン件数[[#All],[管理番号]:[Aパターン]],4,FALSE)</f>
        <v/>
      </c>
      <c r="G151" s="111"/>
      <c r="H1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84"/>
    </row>
    <row r="152" spans="1:11" ht="19.5" customHeight="1">
      <c r="A152" s="3">
        <v>151</v>
      </c>
      <c r="B152" s="4" t="s">
        <v>290</v>
      </c>
      <c r="C152" s="4" t="s">
        <v>290</v>
      </c>
      <c r="D152" s="87" t="str">
        <f>VLOOKUP(名前リスト[[#This Row],[管理番号]],まとめ表_バック金額[[#All],[管理番号]:[バック金額合計]],4,FALSE)</f>
        <v/>
      </c>
      <c r="E152" s="80" t="str">
        <f>VLOOKUP(名前リスト[[#This Row],[管理番号]],まとめ表_各店舗件数[[#All],[管理番号]:[合計件数]],4,FALSE)</f>
        <v/>
      </c>
      <c r="F152" s="111" t="str">
        <f>VLOOKUP(名前リスト[[#This Row],[管理番号]],まとめ表_各Aパターン件数[[#All],[管理番号]:[Aパターン]],4,FALSE)</f>
        <v/>
      </c>
      <c r="G152" s="111"/>
      <c r="H1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84"/>
    </row>
    <row r="153" spans="1:11" ht="19.5" customHeight="1">
      <c r="A153" s="3">
        <v>152</v>
      </c>
      <c r="B153" s="4" t="s">
        <v>291</v>
      </c>
      <c r="C153" s="4" t="s">
        <v>291</v>
      </c>
      <c r="D153" s="87" t="str">
        <f>VLOOKUP(名前リスト[[#This Row],[管理番号]],まとめ表_バック金額[[#All],[管理番号]:[バック金額合計]],4,FALSE)</f>
        <v/>
      </c>
      <c r="E153" s="80" t="str">
        <f>VLOOKUP(名前リスト[[#This Row],[管理番号]],まとめ表_各店舗件数[[#All],[管理番号]:[合計件数]],4,FALSE)</f>
        <v/>
      </c>
      <c r="F153" s="111" t="str">
        <f>VLOOKUP(名前リスト[[#This Row],[管理番号]],まとめ表_各Aパターン件数[[#All],[管理番号]:[Aパターン]],4,FALSE)</f>
        <v/>
      </c>
      <c r="G153" s="111"/>
      <c r="H1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84"/>
    </row>
    <row r="154" spans="1:11" ht="19.5" customHeight="1">
      <c r="A154" s="3">
        <v>153</v>
      </c>
      <c r="B154" s="58" t="s">
        <v>292</v>
      </c>
      <c r="C154" s="5" t="s">
        <v>293</v>
      </c>
      <c r="D154" s="87" t="str">
        <f>VLOOKUP(名前リスト[[#This Row],[管理番号]],まとめ表_バック金額[[#All],[管理番号]:[バック金額合計]],4,FALSE)</f>
        <v/>
      </c>
      <c r="E154" s="80" t="str">
        <f>VLOOKUP(名前リスト[[#This Row],[管理番号]],まとめ表_各店舗件数[[#All],[管理番号]:[合計件数]],4,FALSE)</f>
        <v/>
      </c>
      <c r="F154" s="111" t="str">
        <f>VLOOKUP(名前リスト[[#This Row],[管理番号]],まとめ表_各Aパターン件数[[#All],[管理番号]:[Aパターン]],4,FALSE)</f>
        <v/>
      </c>
      <c r="G154" s="111"/>
      <c r="H1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84"/>
    </row>
    <row r="155" spans="1:11" ht="15" customHeight="1">
      <c r="A155" s="3">
        <v>154</v>
      </c>
      <c r="B155" s="58" t="s">
        <v>294</v>
      </c>
      <c r="C155" s="5" t="s">
        <v>295</v>
      </c>
      <c r="D155" s="87" t="str">
        <f>VLOOKUP(名前リスト[[#This Row],[管理番号]],まとめ表_バック金額[[#All],[管理番号]:[バック金額合計]],4,FALSE)</f>
        <v/>
      </c>
      <c r="E155" s="80" t="str">
        <f>VLOOKUP(名前リスト[[#This Row],[管理番号]],まとめ表_各店舗件数[[#All],[管理番号]:[合計件数]],4,FALSE)</f>
        <v/>
      </c>
      <c r="F155" s="111" t="str">
        <f>VLOOKUP(名前リスト[[#This Row],[管理番号]],まとめ表_各Aパターン件数[[#All],[管理番号]:[Aパターン]],4,FALSE)</f>
        <v/>
      </c>
      <c r="G155" s="111"/>
      <c r="H1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84"/>
    </row>
    <row r="156" spans="1:11" ht="15" customHeight="1">
      <c r="A156" s="3">
        <v>155</v>
      </c>
      <c r="B156" s="58" t="s">
        <v>296</v>
      </c>
      <c r="C156" s="5" t="s">
        <v>297</v>
      </c>
      <c r="D156" s="87" t="str">
        <f>VLOOKUP(名前リスト[[#This Row],[管理番号]],まとめ表_バック金額[[#All],[管理番号]:[バック金額合計]],4,FALSE)</f>
        <v/>
      </c>
      <c r="E156" s="80" t="str">
        <f>VLOOKUP(名前リスト[[#This Row],[管理番号]],まとめ表_各店舗件数[[#All],[管理番号]:[合計件数]],4,FALSE)</f>
        <v/>
      </c>
      <c r="F156" s="111" t="str">
        <f>VLOOKUP(名前リスト[[#This Row],[管理番号]],まとめ表_各Aパターン件数[[#All],[管理番号]:[Aパターン]],4,FALSE)</f>
        <v/>
      </c>
      <c r="G156" s="111"/>
      <c r="H1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84"/>
    </row>
    <row r="157" spans="1:11" ht="15" customHeight="1">
      <c r="A157" s="3">
        <v>156</v>
      </c>
      <c r="B157" s="58" t="s">
        <v>298</v>
      </c>
      <c r="C157" s="5" t="s">
        <v>299</v>
      </c>
      <c r="D157" s="87" t="str">
        <f>VLOOKUP(名前リスト[[#This Row],[管理番号]],まとめ表_バック金額[[#All],[管理番号]:[バック金額合計]],4,FALSE)</f>
        <v/>
      </c>
      <c r="E157" s="80" t="str">
        <f>VLOOKUP(名前リスト[[#This Row],[管理番号]],まとめ表_各店舗件数[[#All],[管理番号]:[合計件数]],4,FALSE)</f>
        <v/>
      </c>
      <c r="F157" s="111" t="str">
        <f>VLOOKUP(名前リスト[[#This Row],[管理番号]],まとめ表_各Aパターン件数[[#All],[管理番号]:[Aパターン]],4,FALSE)</f>
        <v/>
      </c>
      <c r="G157" s="111"/>
      <c r="H1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84"/>
    </row>
    <row r="158" spans="1:11" ht="15" customHeight="1">
      <c r="A158" s="3">
        <v>157</v>
      </c>
      <c r="B158" s="58" t="s">
        <v>300</v>
      </c>
      <c r="C158" s="5" t="s">
        <v>301</v>
      </c>
      <c r="D158" s="87" t="str">
        <f>VLOOKUP(名前リスト[[#This Row],[管理番号]],まとめ表_バック金額[[#All],[管理番号]:[バック金額合計]],4,FALSE)</f>
        <v/>
      </c>
      <c r="E158" s="80" t="str">
        <f>VLOOKUP(名前リスト[[#This Row],[管理番号]],まとめ表_各店舗件数[[#All],[管理番号]:[合計件数]],4,FALSE)</f>
        <v/>
      </c>
      <c r="F158" s="111" t="str">
        <f>VLOOKUP(名前リスト[[#This Row],[管理番号]],まとめ表_各Aパターン件数[[#All],[管理番号]:[Aパターン]],4,FALSE)</f>
        <v/>
      </c>
      <c r="G158" s="111"/>
      <c r="H1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84"/>
    </row>
    <row r="159" spans="1:11" ht="15" customHeight="1">
      <c r="A159" s="3">
        <v>158</v>
      </c>
      <c r="B159" s="58" t="s">
        <v>302</v>
      </c>
      <c r="C159" s="5" t="s">
        <v>303</v>
      </c>
      <c r="D159" s="87" t="str">
        <f>VLOOKUP(名前リスト[[#This Row],[管理番号]],まとめ表_バック金額[[#All],[管理番号]:[バック金額合計]],4,FALSE)</f>
        <v/>
      </c>
      <c r="E159" s="80" t="str">
        <f>VLOOKUP(名前リスト[[#This Row],[管理番号]],まとめ表_各店舗件数[[#All],[管理番号]:[合計件数]],4,FALSE)</f>
        <v/>
      </c>
      <c r="F159" s="111" t="str">
        <f>VLOOKUP(名前リスト[[#This Row],[管理番号]],まとめ表_各Aパターン件数[[#All],[管理番号]:[Aパターン]],4,FALSE)</f>
        <v/>
      </c>
      <c r="G159" s="111"/>
      <c r="H1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84"/>
    </row>
    <row r="160" spans="1:11" ht="15" customHeight="1">
      <c r="A160" s="3">
        <v>159</v>
      </c>
      <c r="B160" s="58" t="s">
        <v>304</v>
      </c>
      <c r="C160" s="5" t="s">
        <v>305</v>
      </c>
      <c r="D160" s="87" t="str">
        <f>VLOOKUP(名前リスト[[#This Row],[管理番号]],まとめ表_バック金額[[#All],[管理番号]:[バック金額合計]],4,FALSE)</f>
        <v/>
      </c>
      <c r="E160" s="80" t="str">
        <f>VLOOKUP(名前リスト[[#This Row],[管理番号]],まとめ表_各店舗件数[[#All],[管理番号]:[合計件数]],4,FALSE)</f>
        <v/>
      </c>
      <c r="F160" s="111" t="str">
        <f>VLOOKUP(名前リスト[[#This Row],[管理番号]],まとめ表_各Aパターン件数[[#All],[管理番号]:[Aパターン]],4,FALSE)</f>
        <v/>
      </c>
      <c r="G160" s="111"/>
      <c r="H1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84"/>
    </row>
    <row r="161" spans="1:11" ht="15" customHeight="1">
      <c r="A161" s="3">
        <v>160</v>
      </c>
      <c r="B161" s="58" t="s">
        <v>306</v>
      </c>
      <c r="C161" s="5" t="s">
        <v>307</v>
      </c>
      <c r="D161" s="87" t="str">
        <f>VLOOKUP(名前リスト[[#This Row],[管理番号]],まとめ表_バック金額[[#All],[管理番号]:[バック金額合計]],4,FALSE)</f>
        <v/>
      </c>
      <c r="E161" s="80" t="str">
        <f>VLOOKUP(名前リスト[[#This Row],[管理番号]],まとめ表_各店舗件数[[#All],[管理番号]:[合計件数]],4,FALSE)</f>
        <v/>
      </c>
      <c r="F161" s="111" t="str">
        <f>VLOOKUP(名前リスト[[#This Row],[管理番号]],まとめ表_各Aパターン件数[[#All],[管理番号]:[Aパターン]],4,FALSE)</f>
        <v/>
      </c>
      <c r="G161" s="111"/>
      <c r="H1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84"/>
    </row>
    <row r="162" spans="1:11" ht="15" customHeight="1">
      <c r="A162" s="3">
        <v>161</v>
      </c>
      <c r="B162" s="58" t="s">
        <v>308</v>
      </c>
      <c r="C162" s="5" t="s">
        <v>309</v>
      </c>
      <c r="D162" s="87" t="str">
        <f>VLOOKUP(名前リスト[[#This Row],[管理番号]],まとめ表_バック金額[[#All],[管理番号]:[バック金額合計]],4,FALSE)</f>
        <v/>
      </c>
      <c r="E162" s="80" t="str">
        <f>VLOOKUP(名前リスト[[#This Row],[管理番号]],まとめ表_各店舗件数[[#All],[管理番号]:[合計件数]],4,FALSE)</f>
        <v/>
      </c>
      <c r="F162" s="111" t="str">
        <f>VLOOKUP(名前リスト[[#This Row],[管理番号]],まとめ表_各Aパターン件数[[#All],[管理番号]:[Aパターン]],4,FALSE)</f>
        <v/>
      </c>
      <c r="G162" s="111"/>
      <c r="H1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84"/>
    </row>
    <row r="163" spans="1:11" ht="15" customHeight="1">
      <c r="A163" s="3">
        <v>162</v>
      </c>
      <c r="B163" s="58" t="s">
        <v>310</v>
      </c>
      <c r="C163" s="5" t="s">
        <v>311</v>
      </c>
      <c r="D163" s="87" t="str">
        <f>VLOOKUP(名前リスト[[#This Row],[管理番号]],まとめ表_バック金額[[#All],[管理番号]:[バック金額合計]],4,FALSE)</f>
        <v/>
      </c>
      <c r="E163" s="80" t="str">
        <f>VLOOKUP(名前リスト[[#This Row],[管理番号]],まとめ表_各店舗件数[[#All],[管理番号]:[合計件数]],4,FALSE)</f>
        <v/>
      </c>
      <c r="F163" s="111" t="str">
        <f>VLOOKUP(名前リスト[[#This Row],[管理番号]],まとめ表_各Aパターン件数[[#All],[管理番号]:[Aパターン]],4,FALSE)</f>
        <v/>
      </c>
      <c r="G163" s="111"/>
      <c r="H1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84"/>
    </row>
    <row r="164" spans="1:11" ht="15" customHeight="1">
      <c r="A164" s="3">
        <v>163</v>
      </c>
      <c r="B164" s="58" t="s">
        <v>312</v>
      </c>
      <c r="C164" s="5" t="s">
        <v>313</v>
      </c>
      <c r="D164" s="87" t="str">
        <f>VLOOKUP(名前リスト[[#This Row],[管理番号]],まとめ表_バック金額[[#All],[管理番号]:[バック金額合計]],4,FALSE)</f>
        <v/>
      </c>
      <c r="E164" s="80" t="str">
        <f>VLOOKUP(名前リスト[[#This Row],[管理番号]],まとめ表_各店舗件数[[#All],[管理番号]:[合計件数]],4,FALSE)</f>
        <v/>
      </c>
      <c r="F164" s="111" t="str">
        <f>VLOOKUP(名前リスト[[#This Row],[管理番号]],まとめ表_各Aパターン件数[[#All],[管理番号]:[Aパターン]],4,FALSE)</f>
        <v/>
      </c>
      <c r="G164" s="111"/>
      <c r="H1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84"/>
    </row>
    <row r="165" spans="1:11" ht="15" customHeight="1">
      <c r="A165" s="3">
        <v>164</v>
      </c>
      <c r="B165" s="58" t="s">
        <v>314</v>
      </c>
      <c r="C165" s="5" t="s">
        <v>315</v>
      </c>
      <c r="D165" s="87" t="str">
        <f>VLOOKUP(名前リスト[[#This Row],[管理番号]],まとめ表_バック金額[[#All],[管理番号]:[バック金額合計]],4,FALSE)</f>
        <v/>
      </c>
      <c r="E165" s="80" t="str">
        <f>VLOOKUP(名前リスト[[#This Row],[管理番号]],まとめ表_各店舗件数[[#All],[管理番号]:[合計件数]],4,FALSE)</f>
        <v/>
      </c>
      <c r="F165" s="111" t="str">
        <f>VLOOKUP(名前リスト[[#This Row],[管理番号]],まとめ表_各Aパターン件数[[#All],[管理番号]:[Aパターン]],4,FALSE)</f>
        <v/>
      </c>
      <c r="G165" s="111"/>
      <c r="H1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84"/>
    </row>
    <row r="166" spans="1:11" ht="15" customHeight="1">
      <c r="A166" s="3">
        <v>165</v>
      </c>
      <c r="B166" s="58" t="s">
        <v>329</v>
      </c>
      <c r="C166" s="58" t="s">
        <v>329</v>
      </c>
      <c r="D166" s="87" t="str">
        <f>VLOOKUP(名前リスト[[#This Row],[管理番号]],まとめ表_バック金額[[#All],[管理番号]:[バック金額合計]],4,FALSE)</f>
        <v/>
      </c>
      <c r="E166" s="80" t="str">
        <f>VLOOKUP(名前リスト[[#This Row],[管理番号]],まとめ表_各店舗件数[[#All],[管理番号]:[合計件数]],4,FALSE)</f>
        <v/>
      </c>
      <c r="F166" s="111" t="str">
        <f>VLOOKUP(名前リスト[[#This Row],[管理番号]],まとめ表_各Aパターン件数[[#All],[管理番号]:[Aパターン]],4,FALSE)</f>
        <v/>
      </c>
      <c r="G166" s="111"/>
      <c r="H1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84"/>
    </row>
    <row r="167" spans="1:11" ht="15" customHeight="1">
      <c r="A167" s="3">
        <v>166</v>
      </c>
      <c r="B167" s="58" t="s">
        <v>330</v>
      </c>
      <c r="C167" s="58" t="s">
        <v>330</v>
      </c>
      <c r="D167" s="87" t="str">
        <f>VLOOKUP(名前リスト[[#This Row],[管理番号]],まとめ表_バック金額[[#All],[管理番号]:[バック金額合計]],4,FALSE)</f>
        <v/>
      </c>
      <c r="E167" s="80" t="str">
        <f>VLOOKUP(名前リスト[[#This Row],[管理番号]],まとめ表_各店舗件数[[#All],[管理番号]:[合計件数]],4,FALSE)</f>
        <v/>
      </c>
      <c r="F167" s="111" t="str">
        <f>VLOOKUP(名前リスト[[#This Row],[管理番号]],まとめ表_各Aパターン件数[[#All],[管理番号]:[Aパターン]],4,FALSE)</f>
        <v/>
      </c>
      <c r="G167" s="111"/>
      <c r="H1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84"/>
    </row>
    <row r="168" spans="1:11" ht="15" customHeight="1">
      <c r="A168" s="3">
        <v>167</v>
      </c>
      <c r="B168" s="58" t="s">
        <v>331</v>
      </c>
      <c r="C168" s="58" t="s">
        <v>331</v>
      </c>
      <c r="D168" s="87" t="str">
        <f>VLOOKUP(名前リスト[[#This Row],[管理番号]],まとめ表_バック金額[[#All],[管理番号]:[バック金額合計]],4,FALSE)</f>
        <v/>
      </c>
      <c r="E168" s="80" t="str">
        <f>VLOOKUP(名前リスト[[#This Row],[管理番号]],まとめ表_各店舗件数[[#All],[管理番号]:[合計件数]],4,FALSE)</f>
        <v/>
      </c>
      <c r="F168" s="111" t="str">
        <f>VLOOKUP(名前リスト[[#This Row],[管理番号]],まとめ表_各Aパターン件数[[#All],[管理番号]:[Aパターン]],4,FALSE)</f>
        <v/>
      </c>
      <c r="G168" s="111"/>
      <c r="H1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84"/>
    </row>
    <row r="169" spans="1:11" ht="15" customHeight="1">
      <c r="A169" s="3">
        <v>168</v>
      </c>
      <c r="B169" s="58" t="s">
        <v>332</v>
      </c>
      <c r="C169" s="58" t="s">
        <v>332</v>
      </c>
      <c r="D169" s="87" t="str">
        <f>VLOOKUP(名前リスト[[#This Row],[管理番号]],まとめ表_バック金額[[#All],[管理番号]:[バック金額合計]],4,FALSE)</f>
        <v/>
      </c>
      <c r="E169" s="80" t="str">
        <f>VLOOKUP(名前リスト[[#This Row],[管理番号]],まとめ表_各店舗件数[[#All],[管理番号]:[合計件数]],4,FALSE)</f>
        <v/>
      </c>
      <c r="F169" s="111" t="str">
        <f>VLOOKUP(名前リスト[[#This Row],[管理番号]],まとめ表_各Aパターン件数[[#All],[管理番号]:[Aパターン]],4,FALSE)</f>
        <v/>
      </c>
      <c r="G169" s="111"/>
      <c r="H1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84"/>
    </row>
    <row r="170" spans="1:11" ht="15" customHeight="1">
      <c r="A170" s="3">
        <v>169</v>
      </c>
      <c r="B170" s="58" t="s">
        <v>333</v>
      </c>
      <c r="C170" s="58" t="s">
        <v>333</v>
      </c>
      <c r="D170" s="87" t="str">
        <f>VLOOKUP(名前リスト[[#This Row],[管理番号]],まとめ表_バック金額[[#All],[管理番号]:[バック金額合計]],4,FALSE)</f>
        <v/>
      </c>
      <c r="E170" s="80" t="str">
        <f>VLOOKUP(名前リスト[[#This Row],[管理番号]],まとめ表_各店舗件数[[#All],[管理番号]:[合計件数]],4,FALSE)</f>
        <v/>
      </c>
      <c r="F170" s="111" t="str">
        <f>VLOOKUP(名前リスト[[#This Row],[管理番号]],まとめ表_各Aパターン件数[[#All],[管理番号]:[Aパターン]],4,FALSE)</f>
        <v/>
      </c>
      <c r="G170" s="111"/>
      <c r="H1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84"/>
    </row>
    <row r="171" spans="1:11" ht="15" customHeight="1">
      <c r="A171" s="3">
        <v>170</v>
      </c>
      <c r="B171" s="58" t="s">
        <v>334</v>
      </c>
      <c r="C171" s="58" t="s">
        <v>334</v>
      </c>
      <c r="D171" s="87" t="str">
        <f>VLOOKUP(名前リスト[[#This Row],[管理番号]],まとめ表_バック金額[[#All],[管理番号]:[バック金額合計]],4,FALSE)</f>
        <v/>
      </c>
      <c r="E171" s="80" t="str">
        <f>VLOOKUP(名前リスト[[#This Row],[管理番号]],まとめ表_各店舗件数[[#All],[管理番号]:[合計件数]],4,FALSE)</f>
        <v/>
      </c>
      <c r="F171" s="111" t="str">
        <f>VLOOKUP(名前リスト[[#This Row],[管理番号]],まとめ表_各Aパターン件数[[#All],[管理番号]:[Aパターン]],4,FALSE)</f>
        <v/>
      </c>
      <c r="G171" s="111"/>
      <c r="H1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84"/>
    </row>
    <row r="172" spans="1:11" ht="15" customHeight="1">
      <c r="A172" s="3">
        <v>171</v>
      </c>
      <c r="B172" s="58" t="s">
        <v>335</v>
      </c>
      <c r="C172" s="58" t="s">
        <v>335</v>
      </c>
      <c r="D172" s="87" t="str">
        <f>VLOOKUP(名前リスト[[#This Row],[管理番号]],まとめ表_バック金額[[#All],[管理番号]:[バック金額合計]],4,FALSE)</f>
        <v/>
      </c>
      <c r="E172" s="80" t="str">
        <f>VLOOKUP(名前リスト[[#This Row],[管理番号]],まとめ表_各店舗件数[[#All],[管理番号]:[合計件数]],4,FALSE)</f>
        <v/>
      </c>
      <c r="F172" s="111" t="str">
        <f>VLOOKUP(名前リスト[[#This Row],[管理番号]],まとめ表_各Aパターン件数[[#All],[管理番号]:[Aパターン]],4,FALSE)</f>
        <v/>
      </c>
      <c r="G172" s="111"/>
      <c r="H1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84"/>
    </row>
    <row r="173" spans="1:11" ht="15" customHeight="1">
      <c r="A173" s="3">
        <v>172</v>
      </c>
      <c r="B173" s="58" t="s">
        <v>336</v>
      </c>
      <c r="C173" s="58" t="s">
        <v>336</v>
      </c>
      <c r="D173" s="87" t="str">
        <f>VLOOKUP(名前リスト[[#This Row],[管理番号]],まとめ表_バック金額[[#All],[管理番号]:[バック金額合計]],4,FALSE)</f>
        <v/>
      </c>
      <c r="E173" s="80" t="str">
        <f>VLOOKUP(名前リスト[[#This Row],[管理番号]],まとめ表_各店舗件数[[#All],[管理番号]:[合計件数]],4,FALSE)</f>
        <v/>
      </c>
      <c r="F173" s="111" t="str">
        <f>VLOOKUP(名前リスト[[#This Row],[管理番号]],まとめ表_各Aパターン件数[[#All],[管理番号]:[Aパターン]],4,FALSE)</f>
        <v/>
      </c>
      <c r="G173" s="111"/>
      <c r="H1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84"/>
    </row>
    <row r="174" spans="1:11" ht="15" customHeight="1">
      <c r="A174" s="3">
        <v>173</v>
      </c>
      <c r="B174" s="58" t="s">
        <v>337</v>
      </c>
      <c r="C174" s="58" t="s">
        <v>337</v>
      </c>
      <c r="D174" s="87" t="str">
        <f>VLOOKUP(名前リスト[[#This Row],[管理番号]],まとめ表_バック金額[[#All],[管理番号]:[バック金額合計]],4,FALSE)</f>
        <v/>
      </c>
      <c r="E174" s="80" t="str">
        <f>VLOOKUP(名前リスト[[#This Row],[管理番号]],まとめ表_各店舗件数[[#All],[管理番号]:[合計件数]],4,FALSE)</f>
        <v/>
      </c>
      <c r="F174" s="111" t="str">
        <f>VLOOKUP(名前リスト[[#This Row],[管理番号]],まとめ表_各Aパターン件数[[#All],[管理番号]:[Aパターン]],4,FALSE)</f>
        <v/>
      </c>
      <c r="G174" s="111"/>
      <c r="H1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84"/>
    </row>
    <row r="175" spans="1:11" ht="15" customHeight="1">
      <c r="A175" s="3">
        <v>174</v>
      </c>
      <c r="B175" s="58" t="s">
        <v>338</v>
      </c>
      <c r="C175" s="58" t="s">
        <v>338</v>
      </c>
      <c r="D175" s="87" t="str">
        <f>VLOOKUP(名前リスト[[#This Row],[管理番号]],まとめ表_バック金額[[#All],[管理番号]:[バック金額合計]],4,FALSE)</f>
        <v/>
      </c>
      <c r="E175" s="80" t="str">
        <f>VLOOKUP(名前リスト[[#This Row],[管理番号]],まとめ表_各店舗件数[[#All],[管理番号]:[合計件数]],4,FALSE)</f>
        <v/>
      </c>
      <c r="F175" s="111" t="str">
        <f>VLOOKUP(名前リスト[[#This Row],[管理番号]],まとめ表_各Aパターン件数[[#All],[管理番号]:[Aパターン]],4,FALSE)</f>
        <v/>
      </c>
      <c r="G175" s="111"/>
      <c r="H1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84"/>
    </row>
    <row r="176" spans="1:11" ht="15" customHeight="1">
      <c r="A176" s="3">
        <v>175</v>
      </c>
      <c r="B176" s="58" t="s">
        <v>339</v>
      </c>
      <c r="C176" s="58" t="s">
        <v>339</v>
      </c>
      <c r="D176" s="87" t="str">
        <f>VLOOKUP(名前リスト[[#This Row],[管理番号]],まとめ表_バック金額[[#All],[管理番号]:[バック金額合計]],4,FALSE)</f>
        <v/>
      </c>
      <c r="E176" s="80" t="str">
        <f>VLOOKUP(名前リスト[[#This Row],[管理番号]],まとめ表_各店舗件数[[#All],[管理番号]:[合計件数]],4,FALSE)</f>
        <v/>
      </c>
      <c r="F176" s="111" t="str">
        <f>VLOOKUP(名前リスト[[#This Row],[管理番号]],まとめ表_各Aパターン件数[[#All],[管理番号]:[Aパターン]],4,FALSE)</f>
        <v/>
      </c>
      <c r="G176" s="111"/>
      <c r="H1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84"/>
    </row>
    <row r="177" spans="1:11" ht="15" customHeight="1">
      <c r="A177" s="3">
        <v>176</v>
      </c>
      <c r="B177" s="58" t="s">
        <v>340</v>
      </c>
      <c r="C177" s="58" t="s">
        <v>340</v>
      </c>
      <c r="D177" s="87" t="str">
        <f>VLOOKUP(名前リスト[[#This Row],[管理番号]],まとめ表_バック金額[[#All],[管理番号]:[バック金額合計]],4,FALSE)</f>
        <v/>
      </c>
      <c r="E177" s="80" t="str">
        <f>VLOOKUP(名前リスト[[#This Row],[管理番号]],まとめ表_各店舗件数[[#All],[管理番号]:[合計件数]],4,FALSE)</f>
        <v/>
      </c>
      <c r="F177" s="111" t="str">
        <f>VLOOKUP(名前リスト[[#This Row],[管理番号]],まとめ表_各Aパターン件数[[#All],[管理番号]:[Aパターン]],4,FALSE)</f>
        <v/>
      </c>
      <c r="G177" s="111"/>
      <c r="H1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84"/>
    </row>
    <row r="178" spans="1:11" ht="15" customHeight="1">
      <c r="A178" s="3">
        <v>177</v>
      </c>
      <c r="B178" s="4" t="s">
        <v>344</v>
      </c>
      <c r="C178" s="5" t="s">
        <v>344</v>
      </c>
      <c r="D178" s="87" t="str">
        <f>VLOOKUP(名前リスト[[#This Row],[管理番号]],まとめ表_バック金額[[#All],[管理番号]:[バック金額合計]],4,FALSE)</f>
        <v/>
      </c>
      <c r="E178" s="80" t="str">
        <f>VLOOKUP(名前リスト[[#This Row],[管理番号]],まとめ表_各店舗件数[[#All],[管理番号]:[合計件数]],4,FALSE)</f>
        <v/>
      </c>
      <c r="F178" s="111" t="str">
        <f>VLOOKUP(名前リスト[[#This Row],[管理番号]],まとめ表_各Aパターン件数[[#All],[管理番号]:[Aパターン]],4,FALSE)</f>
        <v/>
      </c>
      <c r="G178" s="111"/>
      <c r="H1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84"/>
    </row>
    <row r="179" spans="1:11" ht="15" customHeight="1">
      <c r="A179" s="3">
        <v>178</v>
      </c>
      <c r="B179" s="4" t="s">
        <v>345</v>
      </c>
      <c r="C179" s="5" t="s">
        <v>345</v>
      </c>
      <c r="D179" s="87" t="str">
        <f>VLOOKUP(名前リスト[[#This Row],[管理番号]],まとめ表_バック金額[[#All],[管理番号]:[バック金額合計]],4,FALSE)</f>
        <v/>
      </c>
      <c r="E179" s="80" t="str">
        <f>VLOOKUP(名前リスト[[#This Row],[管理番号]],まとめ表_各店舗件数[[#All],[管理番号]:[合計件数]],4,FALSE)</f>
        <v/>
      </c>
      <c r="F179" s="111" t="str">
        <f>VLOOKUP(名前リスト[[#This Row],[管理番号]],まとめ表_各Aパターン件数[[#All],[管理番号]:[Aパターン]],4,FALSE)</f>
        <v/>
      </c>
      <c r="G179" s="111"/>
      <c r="H1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84"/>
    </row>
    <row r="180" spans="1:11" ht="15" customHeight="1">
      <c r="A180" s="3">
        <v>179</v>
      </c>
      <c r="B180" s="4" t="s">
        <v>346</v>
      </c>
      <c r="C180" s="5" t="s">
        <v>346</v>
      </c>
      <c r="D180" s="87" t="str">
        <f>VLOOKUP(名前リスト[[#This Row],[管理番号]],まとめ表_バック金額[[#All],[管理番号]:[バック金額合計]],4,FALSE)</f>
        <v/>
      </c>
      <c r="E180" s="80" t="str">
        <f>VLOOKUP(名前リスト[[#This Row],[管理番号]],まとめ表_各店舗件数[[#All],[管理番号]:[合計件数]],4,FALSE)</f>
        <v/>
      </c>
      <c r="F180" s="111" t="str">
        <f>VLOOKUP(名前リスト[[#This Row],[管理番号]],まとめ表_各Aパターン件数[[#All],[管理番号]:[Aパターン]],4,FALSE)</f>
        <v/>
      </c>
      <c r="G180" s="111"/>
      <c r="H1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84"/>
    </row>
    <row r="181" spans="1:11" ht="15" customHeight="1">
      <c r="A181" s="3">
        <v>180</v>
      </c>
      <c r="B181" s="4" t="s">
        <v>347</v>
      </c>
      <c r="C181" s="5" t="s">
        <v>347</v>
      </c>
      <c r="D181" s="87" t="str">
        <f>VLOOKUP(名前リスト[[#This Row],[管理番号]],まとめ表_バック金額[[#All],[管理番号]:[バック金額合計]],4,FALSE)</f>
        <v/>
      </c>
      <c r="E181" s="80" t="str">
        <f>VLOOKUP(名前リスト[[#This Row],[管理番号]],まとめ表_各店舗件数[[#All],[管理番号]:[合計件数]],4,FALSE)</f>
        <v/>
      </c>
      <c r="F181" s="111" t="str">
        <f>VLOOKUP(名前リスト[[#This Row],[管理番号]],まとめ表_各Aパターン件数[[#All],[管理番号]:[Aパターン]],4,FALSE)</f>
        <v/>
      </c>
      <c r="G181" s="111"/>
      <c r="H1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84"/>
    </row>
    <row r="182" spans="1:11" ht="15" customHeight="1">
      <c r="A182" s="3">
        <v>181</v>
      </c>
      <c r="B182" s="4" t="s">
        <v>348</v>
      </c>
      <c r="C182" s="5" t="s">
        <v>348</v>
      </c>
      <c r="D182" s="87" t="str">
        <f>VLOOKUP(名前リスト[[#This Row],[管理番号]],まとめ表_バック金額[[#All],[管理番号]:[バック金額合計]],4,FALSE)</f>
        <v/>
      </c>
      <c r="E182" s="80" t="str">
        <f>VLOOKUP(名前リスト[[#This Row],[管理番号]],まとめ表_各店舗件数[[#All],[管理番号]:[合計件数]],4,FALSE)</f>
        <v/>
      </c>
      <c r="F182" s="111" t="str">
        <f>VLOOKUP(名前リスト[[#This Row],[管理番号]],まとめ表_各Aパターン件数[[#All],[管理番号]:[Aパターン]],4,FALSE)</f>
        <v/>
      </c>
      <c r="G182" s="111"/>
      <c r="H1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84"/>
    </row>
    <row r="183" spans="1:11" ht="15" customHeight="1">
      <c r="A183" s="3">
        <v>182</v>
      </c>
      <c r="B183" s="4" t="s">
        <v>349</v>
      </c>
      <c r="C183" s="5" t="s">
        <v>349</v>
      </c>
      <c r="D183" s="87" t="str">
        <f>VLOOKUP(名前リスト[[#This Row],[管理番号]],まとめ表_バック金額[[#All],[管理番号]:[バック金額合計]],4,FALSE)</f>
        <v/>
      </c>
      <c r="E183" s="80" t="str">
        <f>VLOOKUP(名前リスト[[#This Row],[管理番号]],まとめ表_各店舗件数[[#All],[管理番号]:[合計件数]],4,FALSE)</f>
        <v/>
      </c>
      <c r="F183" s="111" t="str">
        <f>VLOOKUP(名前リスト[[#This Row],[管理番号]],まとめ表_各Aパターン件数[[#All],[管理番号]:[Aパターン]],4,FALSE)</f>
        <v/>
      </c>
      <c r="G183" s="111"/>
      <c r="H1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84"/>
    </row>
    <row r="184" spans="1:11" ht="15" customHeight="1">
      <c r="A184" s="3">
        <v>183</v>
      </c>
      <c r="B184" s="4" t="s">
        <v>350</v>
      </c>
      <c r="C184" s="5" t="s">
        <v>350</v>
      </c>
      <c r="D184" s="87" t="str">
        <f>VLOOKUP(名前リスト[[#This Row],[管理番号]],まとめ表_バック金額[[#All],[管理番号]:[バック金額合計]],4,FALSE)</f>
        <v/>
      </c>
      <c r="E184" s="80" t="str">
        <f>VLOOKUP(名前リスト[[#This Row],[管理番号]],まとめ表_各店舗件数[[#All],[管理番号]:[合計件数]],4,FALSE)</f>
        <v/>
      </c>
      <c r="F184" s="111" t="str">
        <f>VLOOKUP(名前リスト[[#This Row],[管理番号]],まとめ表_各Aパターン件数[[#All],[管理番号]:[Aパターン]],4,FALSE)</f>
        <v/>
      </c>
      <c r="G184" s="111"/>
      <c r="H1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84"/>
    </row>
    <row r="185" spans="1:11" ht="15" customHeight="1">
      <c r="A185" s="3">
        <v>184</v>
      </c>
      <c r="B185" s="58" t="s">
        <v>351</v>
      </c>
      <c r="C185" s="91" t="s">
        <v>351</v>
      </c>
      <c r="D185" s="87" t="str">
        <f>VLOOKUP(名前リスト[[#This Row],[管理番号]],まとめ表_バック金額[[#All],[管理番号]:[バック金額合計]],4,FALSE)</f>
        <v/>
      </c>
      <c r="E185" s="80" t="str">
        <f>VLOOKUP(名前リスト[[#This Row],[管理番号]],まとめ表_各店舗件数[[#All],[管理番号]:[合計件数]],4,FALSE)</f>
        <v/>
      </c>
      <c r="F185" s="111" t="str">
        <f>VLOOKUP(名前リスト[[#This Row],[管理番号]],まとめ表_各Aパターン件数[[#All],[管理番号]:[Aパターン]],4,FALSE)</f>
        <v/>
      </c>
      <c r="G185" s="111"/>
      <c r="H1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84"/>
    </row>
    <row r="186" spans="1:11" ht="15" customHeight="1">
      <c r="A186" s="3">
        <v>185</v>
      </c>
      <c r="B186" s="58" t="s">
        <v>352</v>
      </c>
      <c r="C186" s="91" t="s">
        <v>352</v>
      </c>
      <c r="D186" s="87" t="str">
        <f>VLOOKUP(名前リスト[[#This Row],[管理番号]],まとめ表_バック金額[[#All],[管理番号]:[バック金額合計]],4,FALSE)</f>
        <v/>
      </c>
      <c r="E186" s="80" t="str">
        <f>VLOOKUP(名前リスト[[#This Row],[管理番号]],まとめ表_各店舗件数[[#All],[管理番号]:[合計件数]],4,FALSE)</f>
        <v/>
      </c>
      <c r="F186" s="111" t="str">
        <f>VLOOKUP(名前リスト[[#This Row],[管理番号]],まとめ表_各Aパターン件数[[#All],[管理番号]:[Aパターン]],4,FALSE)</f>
        <v/>
      </c>
      <c r="G186" s="111"/>
      <c r="H1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84"/>
    </row>
    <row r="187" spans="1:11" ht="15" customHeight="1">
      <c r="A187" s="3">
        <v>186</v>
      </c>
      <c r="B187" s="58" t="s">
        <v>353</v>
      </c>
      <c r="C187" s="91" t="s">
        <v>353</v>
      </c>
      <c r="D187" s="87" t="str">
        <f>VLOOKUP(名前リスト[[#This Row],[管理番号]],まとめ表_バック金額[[#All],[管理番号]:[バック金額合計]],4,FALSE)</f>
        <v/>
      </c>
      <c r="E187" s="80" t="str">
        <f>VLOOKUP(名前リスト[[#This Row],[管理番号]],まとめ表_各店舗件数[[#All],[管理番号]:[合計件数]],4,FALSE)</f>
        <v/>
      </c>
      <c r="F187" s="111" t="str">
        <f>VLOOKUP(名前リスト[[#This Row],[管理番号]],まとめ表_各Aパターン件数[[#All],[管理番号]:[Aパターン]],4,FALSE)</f>
        <v/>
      </c>
      <c r="G187" s="111"/>
      <c r="H1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84"/>
    </row>
    <row r="188" spans="1:11" ht="15" customHeight="1">
      <c r="A188" s="3">
        <v>187</v>
      </c>
      <c r="B188" s="58" t="s">
        <v>354</v>
      </c>
      <c r="C188" s="91" t="s">
        <v>354</v>
      </c>
      <c r="D188" s="87" t="str">
        <f>VLOOKUP(名前リスト[[#This Row],[管理番号]],まとめ表_バック金額[[#All],[管理番号]:[バック金額合計]],4,FALSE)</f>
        <v/>
      </c>
      <c r="E188" s="80" t="str">
        <f>VLOOKUP(名前リスト[[#This Row],[管理番号]],まとめ表_各店舗件数[[#All],[管理番号]:[合計件数]],4,FALSE)</f>
        <v/>
      </c>
      <c r="F188" s="111" t="str">
        <f>VLOOKUP(名前リスト[[#This Row],[管理番号]],まとめ表_各Aパターン件数[[#All],[管理番号]:[Aパターン]],4,FALSE)</f>
        <v/>
      </c>
      <c r="G188" s="111"/>
      <c r="H1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84"/>
    </row>
    <row r="189" spans="1:11" ht="15" customHeight="1">
      <c r="A189" s="3">
        <v>188</v>
      </c>
      <c r="B189" s="58" t="s">
        <v>355</v>
      </c>
      <c r="C189" s="91" t="s">
        <v>355</v>
      </c>
      <c r="D189" s="87" t="str">
        <f>VLOOKUP(名前リスト[[#This Row],[管理番号]],まとめ表_バック金額[[#All],[管理番号]:[バック金額合計]],4,FALSE)</f>
        <v/>
      </c>
      <c r="E189" s="80" t="str">
        <f>VLOOKUP(名前リスト[[#This Row],[管理番号]],まとめ表_各店舗件数[[#All],[管理番号]:[合計件数]],4,FALSE)</f>
        <v/>
      </c>
      <c r="F189" s="111" t="str">
        <f>VLOOKUP(名前リスト[[#This Row],[管理番号]],まとめ表_各Aパターン件数[[#All],[管理番号]:[Aパターン]],4,FALSE)</f>
        <v/>
      </c>
      <c r="G189" s="111"/>
      <c r="H1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84"/>
    </row>
    <row r="190" spans="1:11" ht="15" customHeight="1">
      <c r="A190" s="3">
        <v>189</v>
      </c>
      <c r="B190" s="58" t="s">
        <v>357</v>
      </c>
      <c r="C190" s="91" t="s">
        <v>357</v>
      </c>
      <c r="D190" s="87" t="str">
        <f>VLOOKUP(名前リスト[[#This Row],[管理番号]],まとめ表_バック金額[[#All],[管理番号]:[バック金額合計]],4,FALSE)</f>
        <v/>
      </c>
      <c r="E190" s="80" t="str">
        <f>VLOOKUP(名前リスト[[#This Row],[管理番号]],まとめ表_各店舗件数[[#All],[管理番号]:[合計件数]],4,FALSE)</f>
        <v/>
      </c>
      <c r="F190" s="111" t="str">
        <f>VLOOKUP(名前リスト[[#This Row],[管理番号]],まとめ表_各Aパターン件数[[#All],[管理番号]:[Aパターン]],4,FALSE)</f>
        <v/>
      </c>
      <c r="G190" s="111"/>
      <c r="H1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84"/>
    </row>
    <row r="191" spans="1:11" ht="15" customHeight="1">
      <c r="A191" s="3">
        <v>190</v>
      </c>
      <c r="B191" s="58" t="s">
        <v>358</v>
      </c>
      <c r="C191" s="58" t="s">
        <v>358</v>
      </c>
      <c r="D191" s="87" t="str">
        <f>VLOOKUP(名前リスト[[#This Row],[管理番号]],まとめ表_バック金額[[#All],[管理番号]:[バック金額合計]],4,FALSE)</f>
        <v/>
      </c>
      <c r="E191" s="80" t="str">
        <f>VLOOKUP(名前リスト[[#This Row],[管理番号]],まとめ表_各店舗件数[[#All],[管理番号]:[合計件数]],4,FALSE)</f>
        <v/>
      </c>
      <c r="F191" s="111" t="str">
        <f>VLOOKUP(名前リスト[[#This Row],[管理番号]],まとめ表_各Aパターン件数[[#All],[管理番号]:[Aパターン]],4,FALSE)</f>
        <v/>
      </c>
      <c r="G191" s="111"/>
      <c r="H1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84"/>
    </row>
    <row r="192" spans="1:11" ht="15" customHeight="1">
      <c r="A192" s="3">
        <v>191</v>
      </c>
      <c r="B192" s="4" t="s">
        <v>356</v>
      </c>
      <c r="C192" s="4" t="s">
        <v>356</v>
      </c>
      <c r="D192" s="87" t="str">
        <f>VLOOKUP(名前リスト[[#This Row],[管理番号]],まとめ表_バック金額[[#All],[管理番号]:[バック金額合計]],4,FALSE)</f>
        <v/>
      </c>
      <c r="E192" s="80" t="str">
        <f>VLOOKUP(名前リスト[[#This Row],[管理番号]],まとめ表_各店舗件数[[#All],[管理番号]:[合計件数]],4,FALSE)</f>
        <v/>
      </c>
      <c r="F192" s="111" t="str">
        <f>VLOOKUP(名前リスト[[#This Row],[管理番号]],まとめ表_各Aパターン件数[[#All],[管理番号]:[Aパターン]],4,FALSE)</f>
        <v/>
      </c>
      <c r="G192" s="111"/>
      <c r="H1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84"/>
    </row>
    <row r="193" spans="1:11" ht="15" customHeight="1">
      <c r="A193" s="3">
        <v>192</v>
      </c>
      <c r="B193" s="58" t="s">
        <v>359</v>
      </c>
      <c r="C193" s="58" t="s">
        <v>359</v>
      </c>
      <c r="D193" s="87" t="str">
        <f>VLOOKUP(名前リスト[[#This Row],[管理番号]],まとめ表_バック金額[[#All],[管理番号]:[バック金額合計]],4,FALSE)</f>
        <v/>
      </c>
      <c r="E193" s="80" t="str">
        <f>VLOOKUP(名前リスト[[#This Row],[管理番号]],まとめ表_各店舗件数[[#All],[管理番号]:[合計件数]],4,FALSE)</f>
        <v/>
      </c>
      <c r="F193" s="111" t="str">
        <f>VLOOKUP(名前リスト[[#This Row],[管理番号]],まとめ表_各Aパターン件数[[#All],[管理番号]:[Aパターン]],4,FALSE)</f>
        <v/>
      </c>
      <c r="G193" s="111"/>
      <c r="H1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84"/>
    </row>
    <row r="194" spans="1:11" ht="15" customHeight="1">
      <c r="A194" s="3">
        <v>193</v>
      </c>
      <c r="B194" s="4" t="s">
        <v>360</v>
      </c>
      <c r="C194" s="4" t="s">
        <v>360</v>
      </c>
      <c r="D194" s="87" t="str">
        <f>VLOOKUP(名前リスト[[#This Row],[管理番号]],まとめ表_バック金額[[#All],[管理番号]:[バック金額合計]],4,FALSE)</f>
        <v/>
      </c>
      <c r="E194" s="80" t="str">
        <f>VLOOKUP(名前リスト[[#This Row],[管理番号]],まとめ表_各店舗件数[[#All],[管理番号]:[合計件数]],4,FALSE)</f>
        <v/>
      </c>
      <c r="F194" s="111" t="str">
        <f>VLOOKUP(名前リスト[[#This Row],[管理番号]],まとめ表_各Aパターン件数[[#All],[管理番号]:[Aパターン]],4,FALSE)</f>
        <v/>
      </c>
      <c r="G194" s="111"/>
      <c r="H1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84"/>
    </row>
    <row r="195" spans="1:11" ht="15" customHeight="1">
      <c r="A195" s="3">
        <v>194</v>
      </c>
      <c r="B195" s="4" t="s">
        <v>361</v>
      </c>
      <c r="C195" s="4" t="s">
        <v>361</v>
      </c>
      <c r="D195" s="87" t="str">
        <f>VLOOKUP(名前リスト[[#This Row],[管理番号]],まとめ表_バック金額[[#All],[管理番号]:[バック金額合計]],4,FALSE)</f>
        <v/>
      </c>
      <c r="E195" s="80" t="str">
        <f>VLOOKUP(名前リスト[[#This Row],[管理番号]],まとめ表_各店舗件数[[#All],[管理番号]:[合計件数]],4,FALSE)</f>
        <v/>
      </c>
      <c r="F195" s="111" t="str">
        <f>VLOOKUP(名前リスト[[#This Row],[管理番号]],まとめ表_各Aパターン件数[[#All],[管理番号]:[Aパターン]],4,FALSE)</f>
        <v/>
      </c>
      <c r="G195" s="111"/>
      <c r="H1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84"/>
    </row>
    <row r="196" spans="1:11" ht="15" customHeight="1">
      <c r="A196" s="3">
        <v>195</v>
      </c>
      <c r="B196" s="4" t="s">
        <v>362</v>
      </c>
      <c r="C196" s="4" t="s">
        <v>362</v>
      </c>
      <c r="D196" s="87" t="str">
        <f>VLOOKUP(名前リスト[[#This Row],[管理番号]],まとめ表_バック金額[[#All],[管理番号]:[バック金額合計]],4,FALSE)</f>
        <v/>
      </c>
      <c r="E196" s="80" t="str">
        <f>VLOOKUP(名前リスト[[#This Row],[管理番号]],まとめ表_各店舗件数[[#All],[管理番号]:[合計件数]],4,FALSE)</f>
        <v/>
      </c>
      <c r="F196" s="111" t="str">
        <f>VLOOKUP(名前リスト[[#This Row],[管理番号]],まとめ表_各Aパターン件数[[#All],[管理番号]:[Aパターン]],4,FALSE)</f>
        <v/>
      </c>
      <c r="G196" s="111"/>
      <c r="H1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84"/>
    </row>
    <row r="197" spans="1:11" ht="15" customHeight="1">
      <c r="A197" s="3">
        <v>196</v>
      </c>
      <c r="B197" s="4" t="s">
        <v>363</v>
      </c>
      <c r="C197" s="4" t="s">
        <v>363</v>
      </c>
      <c r="D197" s="87" t="str">
        <f>VLOOKUP(名前リスト[[#This Row],[管理番号]],まとめ表_バック金額[[#All],[管理番号]:[バック金額合計]],4,FALSE)</f>
        <v/>
      </c>
      <c r="E197" s="80" t="str">
        <f>VLOOKUP(名前リスト[[#This Row],[管理番号]],まとめ表_各店舗件数[[#All],[管理番号]:[合計件数]],4,FALSE)</f>
        <v/>
      </c>
      <c r="F197" s="111" t="str">
        <f>VLOOKUP(名前リスト[[#This Row],[管理番号]],まとめ表_各Aパターン件数[[#All],[管理番号]:[Aパターン]],4,FALSE)</f>
        <v/>
      </c>
      <c r="G197" s="111"/>
      <c r="H1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84"/>
    </row>
    <row r="198" spans="1:11" ht="15" customHeight="1">
      <c r="A198" s="3">
        <v>197</v>
      </c>
      <c r="B198" s="4" t="s">
        <v>364</v>
      </c>
      <c r="C198" s="4" t="s">
        <v>364</v>
      </c>
      <c r="D198" s="87" t="str">
        <f>VLOOKUP(名前リスト[[#This Row],[管理番号]],まとめ表_バック金額[[#All],[管理番号]:[バック金額合計]],4,FALSE)</f>
        <v/>
      </c>
      <c r="E198" s="80" t="str">
        <f>VLOOKUP(名前リスト[[#This Row],[管理番号]],まとめ表_各店舗件数[[#All],[管理番号]:[合計件数]],4,FALSE)</f>
        <v/>
      </c>
      <c r="F198" s="111" t="str">
        <f>VLOOKUP(名前リスト[[#This Row],[管理番号]],まとめ表_各Aパターン件数[[#All],[管理番号]:[Aパターン]],4,FALSE)</f>
        <v/>
      </c>
      <c r="G198" s="111"/>
      <c r="H1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84"/>
    </row>
    <row r="199" spans="1:11" ht="15" customHeight="1">
      <c r="A199" s="3">
        <v>198</v>
      </c>
      <c r="B199" s="4" t="s">
        <v>381</v>
      </c>
      <c r="C199" s="4" t="s">
        <v>381</v>
      </c>
      <c r="D199" s="87" t="str">
        <f>VLOOKUP(名前リスト[[#This Row],[管理番号]],まとめ表_バック金額[[#All],[管理番号]:[バック金額合計]],4,FALSE)</f>
        <v/>
      </c>
      <c r="E199" s="80" t="str">
        <f>VLOOKUP(名前リスト[[#This Row],[管理番号]],まとめ表_各店舗件数[[#All],[管理番号]:[合計件数]],4,FALSE)</f>
        <v/>
      </c>
      <c r="F199" s="111" t="str">
        <f>VLOOKUP(名前リスト[[#This Row],[管理番号]],まとめ表_各Aパターン件数[[#All],[管理番号]:[Aパターン]],4,FALSE)</f>
        <v/>
      </c>
      <c r="G199" s="111"/>
      <c r="H1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84"/>
    </row>
    <row r="200" spans="1:11" ht="15" customHeight="1">
      <c r="A200" s="3">
        <v>199</v>
      </c>
      <c r="B200" s="4" t="s">
        <v>382</v>
      </c>
      <c r="C200" s="4" t="s">
        <v>382</v>
      </c>
      <c r="D200" s="87" t="str">
        <f>VLOOKUP(名前リスト[[#This Row],[管理番号]],まとめ表_バック金額[[#All],[管理番号]:[バック金額合計]],4,FALSE)</f>
        <v/>
      </c>
      <c r="E200" s="80" t="str">
        <f>VLOOKUP(名前リスト[[#This Row],[管理番号]],まとめ表_各店舗件数[[#All],[管理番号]:[合計件数]],4,FALSE)</f>
        <v/>
      </c>
      <c r="F200" s="111" t="str">
        <f>VLOOKUP(名前リスト[[#This Row],[管理番号]],まとめ表_各Aパターン件数[[#All],[管理番号]:[Aパターン]],4,FALSE)</f>
        <v/>
      </c>
      <c r="G200" s="111"/>
      <c r="H2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84"/>
    </row>
    <row r="201" spans="1:11" ht="15" customHeight="1">
      <c r="A201" s="3">
        <v>200</v>
      </c>
      <c r="B201" s="4" t="s">
        <v>383</v>
      </c>
      <c r="C201" s="4" t="s">
        <v>383</v>
      </c>
      <c r="D201" s="87" t="str">
        <f>VLOOKUP(名前リスト[[#This Row],[管理番号]],まとめ表_バック金額[[#All],[管理番号]:[バック金額合計]],4,FALSE)</f>
        <v/>
      </c>
      <c r="E201" s="80" t="str">
        <f>VLOOKUP(名前リスト[[#This Row],[管理番号]],まとめ表_各店舗件数[[#All],[管理番号]:[合計件数]],4,FALSE)</f>
        <v/>
      </c>
      <c r="F201" s="111" t="str">
        <f>VLOOKUP(名前リスト[[#This Row],[管理番号]],まとめ表_各Aパターン件数[[#All],[管理番号]:[Aパターン]],4,FALSE)</f>
        <v/>
      </c>
      <c r="G201" s="111"/>
      <c r="H2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84"/>
    </row>
    <row r="202" spans="1:11" ht="15" customHeight="1">
      <c r="A202" s="3">
        <v>201</v>
      </c>
      <c r="B202" s="4" t="s">
        <v>384</v>
      </c>
      <c r="C202" s="4" t="s">
        <v>384</v>
      </c>
      <c r="D202" s="87" t="str">
        <f>VLOOKUP(名前リスト[[#This Row],[管理番号]],まとめ表_バック金額[[#All],[管理番号]:[バック金額合計]],4,FALSE)</f>
        <v/>
      </c>
      <c r="E202" s="80" t="str">
        <f>VLOOKUP(名前リスト[[#This Row],[管理番号]],まとめ表_各店舗件数[[#All],[管理番号]:[合計件数]],4,FALSE)</f>
        <v/>
      </c>
      <c r="F202" s="111" t="str">
        <f>VLOOKUP(名前リスト[[#This Row],[管理番号]],まとめ表_各Aパターン件数[[#All],[管理番号]:[Aパターン]],4,FALSE)</f>
        <v/>
      </c>
      <c r="G202" s="111"/>
      <c r="H2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84"/>
    </row>
    <row r="203" spans="1:11" ht="15" customHeight="1">
      <c r="A203" s="80">
        <v>202</v>
      </c>
      <c r="B203" s="81" t="s">
        <v>385</v>
      </c>
      <c r="C203" s="81" t="s">
        <v>385</v>
      </c>
      <c r="D203" s="87" t="str">
        <f>VLOOKUP(名前リスト[[#This Row],[管理番号]],まとめ表_バック金額[[#All],[管理番号]:[バック金額合計]],4,FALSE)</f>
        <v/>
      </c>
      <c r="E203" s="80" t="str">
        <f>VLOOKUP(名前リスト[[#This Row],[管理番号]],まとめ表_各店舗件数[[#All],[管理番号]:[合計件数]],4,FALSE)</f>
        <v/>
      </c>
      <c r="F203" s="111" t="str">
        <f>VLOOKUP(名前リスト[[#This Row],[管理番号]],まとめ表_各Aパターン件数[[#All],[管理番号]:[Aパターン]],4,FALSE)</f>
        <v/>
      </c>
      <c r="G203" s="111"/>
      <c r="H2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84"/>
    </row>
    <row r="204" spans="1:11" ht="15" customHeight="1">
      <c r="A204" s="80">
        <v>203</v>
      </c>
      <c r="B204" s="90" t="s">
        <v>386</v>
      </c>
      <c r="C204" s="90" t="s">
        <v>386</v>
      </c>
      <c r="D204" s="87" t="str">
        <f>VLOOKUP(名前リスト[[#This Row],[管理番号]],まとめ表_バック金額[[#All],[管理番号]:[バック金額合計]],4,FALSE)</f>
        <v/>
      </c>
      <c r="E204" s="80" t="str">
        <f>VLOOKUP(名前リスト[[#This Row],[管理番号]],まとめ表_各店舗件数[[#All],[管理番号]:[合計件数]],4,FALSE)</f>
        <v/>
      </c>
      <c r="F204" s="111" t="str">
        <f>VLOOKUP(名前リスト[[#This Row],[管理番号]],まとめ表_各Aパターン件数[[#All],[管理番号]:[Aパターン]],4,FALSE)</f>
        <v/>
      </c>
      <c r="G204" s="111"/>
      <c r="H2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84"/>
    </row>
    <row r="205" spans="1:11" ht="15" customHeight="1">
      <c r="A205" s="80">
        <v>204</v>
      </c>
      <c r="B205" s="80" t="s">
        <v>387</v>
      </c>
      <c r="C205" s="80" t="s">
        <v>387</v>
      </c>
      <c r="D205" s="87" t="str">
        <f>VLOOKUP(名前リスト[[#This Row],[管理番号]],まとめ表_バック金額[[#All],[管理番号]:[バック金額合計]],4,FALSE)</f>
        <v/>
      </c>
      <c r="E205" s="80" t="str">
        <f>VLOOKUP(名前リスト[[#This Row],[管理番号]],まとめ表_各店舗件数[[#All],[管理番号]:[合計件数]],4,FALSE)</f>
        <v/>
      </c>
      <c r="F205" s="111" t="str">
        <f>VLOOKUP(名前リスト[[#This Row],[管理番号]],まとめ表_各Aパターン件数[[#All],[管理番号]:[Aパターン]],4,FALSE)</f>
        <v/>
      </c>
      <c r="G205" s="111"/>
      <c r="H2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80">
        <v>205</v>
      </c>
      <c r="B206" s="80" t="s">
        <v>388</v>
      </c>
      <c r="C206" s="80" t="s">
        <v>388</v>
      </c>
      <c r="D206" s="87" t="str">
        <f>VLOOKUP(名前リスト[[#This Row],[管理番号]],まとめ表_バック金額[[#All],[管理番号]:[バック金額合計]],4,FALSE)</f>
        <v/>
      </c>
      <c r="E206" s="80" t="str">
        <f>VLOOKUP(名前リスト[[#This Row],[管理番号]],まとめ表_各店舗件数[[#All],[管理番号]:[合計件数]],4,FALSE)</f>
        <v/>
      </c>
      <c r="F206" s="111" t="str">
        <f>VLOOKUP(名前リスト[[#This Row],[管理番号]],まとめ表_各Aパターン件数[[#All],[管理番号]:[Aパターン]],4,FALSE)</f>
        <v/>
      </c>
      <c r="G206" s="111"/>
      <c r="H2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80">
        <v>206</v>
      </c>
      <c r="B207" s="130" t="s">
        <v>400</v>
      </c>
      <c r="C207" s="80" t="s">
        <v>399</v>
      </c>
      <c r="D207" s="87" t="str">
        <f>VLOOKUP(名前リスト[[#This Row],[管理番号]],まとめ表_バック金額[[#All],[管理番号]:[バック金額合計]],4,FALSE)</f>
        <v/>
      </c>
      <c r="E207" s="80" t="str">
        <f>VLOOKUP(名前リスト[[#This Row],[管理番号]],まとめ表_各店舗件数[[#All],[管理番号]:[合計件数]],4,FALSE)</f>
        <v/>
      </c>
      <c r="F207" s="111" t="str">
        <f>VLOOKUP(名前リスト[[#This Row],[管理番号]],まとめ表_各Aパターン件数[[#All],[管理番号]:[Aパターン]],4,FALSE)</f>
        <v/>
      </c>
      <c r="G207" s="111"/>
      <c r="H2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80">
        <v>207</v>
      </c>
      <c r="B208" s="130" t="s">
        <v>402</v>
      </c>
      <c r="C208" s="80" t="s">
        <v>401</v>
      </c>
      <c r="D208" s="87" t="str">
        <f>VLOOKUP(名前リスト[[#This Row],[管理番号]],まとめ表_バック金額[[#All],[管理番号]:[バック金額合計]],4,FALSE)</f>
        <v/>
      </c>
      <c r="E208" s="80" t="str">
        <f>VLOOKUP(名前リスト[[#This Row],[管理番号]],まとめ表_各店舗件数[[#All],[管理番号]:[合計件数]],4,FALSE)</f>
        <v/>
      </c>
      <c r="F208" s="111" t="str">
        <f>VLOOKUP(名前リスト[[#This Row],[管理番号]],まとめ表_各Aパターン件数[[#All],[管理番号]:[Aパターン]],4,FALSE)</f>
        <v/>
      </c>
      <c r="G208" s="111"/>
      <c r="H2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80">
        <v>208</v>
      </c>
      <c r="B209" s="130" t="s">
        <v>404</v>
      </c>
      <c r="C209" s="80" t="s">
        <v>403</v>
      </c>
      <c r="D209" s="87" t="str">
        <f>VLOOKUP(名前リスト[[#This Row],[管理番号]],まとめ表_バック金額[[#All],[管理番号]:[バック金額合計]],4,FALSE)</f>
        <v/>
      </c>
      <c r="E209" s="80" t="str">
        <f>VLOOKUP(名前リスト[[#This Row],[管理番号]],まとめ表_各店舗件数[[#All],[管理番号]:[合計件数]],4,FALSE)</f>
        <v/>
      </c>
      <c r="F209" s="111" t="str">
        <f>VLOOKUP(名前リスト[[#This Row],[管理番号]],まとめ表_各Aパターン件数[[#All],[管理番号]:[Aパターン]],4,FALSE)</f>
        <v/>
      </c>
      <c r="G209" s="111"/>
      <c r="H2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80">
        <v>209</v>
      </c>
      <c r="B210" s="130" t="s">
        <v>499</v>
      </c>
      <c r="C210" s="80" t="s">
        <v>499</v>
      </c>
      <c r="D210" s="87" t="str">
        <f>VLOOKUP(名前リスト[[#This Row],[管理番号]],まとめ表_バック金額[[#All],[管理番号]:[バック金額合計]],4,FALSE)</f>
        <v/>
      </c>
      <c r="E210" s="80" t="str">
        <f>VLOOKUP(名前リスト[[#This Row],[管理番号]],まとめ表_各店舗件数[[#All],[管理番号]:[合計件数]],4,FALSE)</f>
        <v/>
      </c>
      <c r="F210" s="111" t="str">
        <f>VLOOKUP(名前リスト[[#This Row],[管理番号]],まとめ表_各Aパターン件数[[#All],[管理番号]:[Aパターン]],4,FALSE)</f>
        <v/>
      </c>
      <c r="G210" s="131"/>
      <c r="H2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80">
        <v>210</v>
      </c>
      <c r="B211" s="130" t="s">
        <v>500</v>
      </c>
      <c r="C211" s="80" t="s">
        <v>500</v>
      </c>
      <c r="D211" s="87" t="str">
        <f>VLOOKUP(名前リスト[[#This Row],[管理番号]],まとめ表_バック金額[[#All],[管理番号]:[バック金額合計]],4,FALSE)</f>
        <v/>
      </c>
      <c r="E211" s="80" t="str">
        <f>VLOOKUP(名前リスト[[#This Row],[管理番号]],まとめ表_各店舗件数[[#All],[管理番号]:[合計件数]],4,FALSE)</f>
        <v/>
      </c>
      <c r="F211" s="111" t="str">
        <f>VLOOKUP(名前リスト[[#This Row],[管理番号]],まとめ表_各Aパターン件数[[#All],[管理番号]:[Aパターン]],4,FALSE)</f>
        <v/>
      </c>
      <c r="G211" s="131"/>
      <c r="H2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80">
        <v>211</v>
      </c>
      <c r="B212" s="130" t="s">
        <v>501</v>
      </c>
      <c r="C212" s="80" t="s">
        <v>501</v>
      </c>
      <c r="D212" s="87" t="str">
        <f>VLOOKUP(名前リスト[[#This Row],[管理番号]],まとめ表_バック金額[[#All],[管理番号]:[バック金額合計]],4,FALSE)</f>
        <v/>
      </c>
      <c r="E212" s="80" t="str">
        <f>VLOOKUP(名前リスト[[#This Row],[管理番号]],まとめ表_各店舗件数[[#All],[管理番号]:[合計件数]],4,FALSE)</f>
        <v/>
      </c>
      <c r="F212" s="111" t="str">
        <f>VLOOKUP(名前リスト[[#This Row],[管理番号]],まとめ表_各Aパターン件数[[#All],[管理番号]:[Aパターン]],4,FALSE)</f>
        <v/>
      </c>
      <c r="G212" s="131"/>
      <c r="H2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80">
        <v>212</v>
      </c>
      <c r="B213" s="130" t="s">
        <v>502</v>
      </c>
      <c r="C213" s="80" t="s">
        <v>502</v>
      </c>
      <c r="D213" s="87" t="str">
        <f>VLOOKUP(名前リスト[[#This Row],[管理番号]],まとめ表_バック金額[[#All],[管理番号]:[バック金額合計]],4,FALSE)</f>
        <v/>
      </c>
      <c r="E213" s="80" t="str">
        <f>VLOOKUP(名前リスト[[#This Row],[管理番号]],まとめ表_各店舗件数[[#All],[管理番号]:[合計件数]],4,FALSE)</f>
        <v/>
      </c>
      <c r="F213" s="111" t="str">
        <f>VLOOKUP(名前リスト[[#This Row],[管理番号]],まとめ表_各Aパターン件数[[#All],[管理番号]:[Aパターン]],4,FALSE)</f>
        <v/>
      </c>
      <c r="G213" s="131"/>
      <c r="H2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80">
        <v>213</v>
      </c>
      <c r="B214" s="130" t="s">
        <v>503</v>
      </c>
      <c r="C214" s="80" t="s">
        <v>503</v>
      </c>
      <c r="D214" s="87" t="str">
        <f>VLOOKUP(名前リスト[[#This Row],[管理番号]],まとめ表_バック金額[[#All],[管理番号]:[バック金額合計]],4,FALSE)</f>
        <v/>
      </c>
      <c r="E214" s="80" t="str">
        <f>VLOOKUP(名前リスト[[#This Row],[管理番号]],まとめ表_各店舗件数[[#All],[管理番号]:[合計件数]],4,FALSE)</f>
        <v/>
      </c>
      <c r="F214" s="111" t="str">
        <f>VLOOKUP(名前リスト[[#This Row],[管理番号]],まとめ表_各Aパターン件数[[#All],[管理番号]:[Aパターン]],4,FALSE)</f>
        <v/>
      </c>
      <c r="G214" s="131"/>
      <c r="H2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80">
        <v>214</v>
      </c>
      <c r="B215" s="130" t="s">
        <v>507</v>
      </c>
      <c r="C215" s="130" t="s">
        <v>507</v>
      </c>
      <c r="D215" s="87" t="str">
        <f>VLOOKUP(名前リスト[[#This Row],[管理番号]],まとめ表_バック金額[[#All],[管理番号]:[バック金額合計]],4,FALSE)</f>
        <v/>
      </c>
      <c r="E215" s="80" t="str">
        <f>VLOOKUP(名前リスト[[#This Row],[管理番号]],まとめ表_各店舗件数[[#All],[管理番号]:[合計件数]],4,FALSE)</f>
        <v/>
      </c>
      <c r="F215" s="111" t="str">
        <f>VLOOKUP(名前リスト[[#This Row],[管理番号]],まとめ表_各Aパターン件数[[#All],[管理番号]:[Aパターン]],4,FALSE)</f>
        <v/>
      </c>
      <c r="G215" s="131"/>
      <c r="H2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80">
        <v>215</v>
      </c>
      <c r="B216" s="130" t="s">
        <v>504</v>
      </c>
      <c r="C216" s="80" t="s">
        <v>504</v>
      </c>
      <c r="D216" s="87" t="str">
        <f>VLOOKUP(名前リスト[[#This Row],[管理番号]],まとめ表_バック金額[[#All],[管理番号]:[バック金額合計]],4,FALSE)</f>
        <v/>
      </c>
      <c r="E216" s="80" t="str">
        <f>VLOOKUP(名前リスト[[#This Row],[管理番号]],まとめ表_各店舗件数[[#All],[管理番号]:[合計件数]],4,FALSE)</f>
        <v/>
      </c>
      <c r="F216" s="111" t="str">
        <f>VLOOKUP(名前リスト[[#This Row],[管理番号]],まとめ表_各Aパターン件数[[#All],[管理番号]:[Aパターン]],4,FALSE)</f>
        <v/>
      </c>
      <c r="G216" s="131"/>
      <c r="H2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80">
        <v>216</v>
      </c>
      <c r="B217" s="130" t="s">
        <v>505</v>
      </c>
      <c r="C217" s="80" t="s">
        <v>505</v>
      </c>
      <c r="D217" s="87" t="str">
        <f>VLOOKUP(名前リスト[[#This Row],[管理番号]],まとめ表_バック金額[[#All],[管理番号]:[バック金額合計]],4,FALSE)</f>
        <v/>
      </c>
      <c r="E217" s="80" t="str">
        <f>VLOOKUP(名前リスト[[#This Row],[管理番号]],まとめ表_各店舗件数[[#All],[管理番号]:[合計件数]],4,FALSE)</f>
        <v/>
      </c>
      <c r="F217" s="111" t="str">
        <f>VLOOKUP(名前リスト[[#This Row],[管理番号]],まとめ表_各Aパターン件数[[#All],[管理番号]:[Aパターン]],4,FALSE)</f>
        <v/>
      </c>
      <c r="G217" s="131"/>
      <c r="H2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80">
        <v>217</v>
      </c>
      <c r="B218" s="130" t="s">
        <v>506</v>
      </c>
      <c r="C218" s="80" t="s">
        <v>506</v>
      </c>
      <c r="D218" s="87" t="str">
        <f>VLOOKUP(名前リスト[[#This Row],[管理番号]],まとめ表_バック金額[[#All],[管理番号]:[バック金額合計]],4,FALSE)</f>
        <v/>
      </c>
      <c r="E218" s="80" t="str">
        <f>VLOOKUP(名前リスト[[#This Row],[管理番号]],まとめ表_各店舗件数[[#All],[管理番号]:[合計件数]],4,FALSE)</f>
        <v/>
      </c>
      <c r="F218" s="111" t="str">
        <f>VLOOKUP(名前リスト[[#This Row],[管理番号]],まとめ表_各Aパターン件数[[#All],[管理番号]:[Aパターン]],4,FALSE)</f>
        <v/>
      </c>
      <c r="G218" s="131"/>
      <c r="H2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80">
        <v>218</v>
      </c>
      <c r="B219" s="130" t="s">
        <v>508</v>
      </c>
      <c r="C219" s="80" t="s">
        <v>508</v>
      </c>
      <c r="D219" s="87" t="str">
        <f>VLOOKUP(名前リスト[[#This Row],[管理番号]],まとめ表_バック金額[[#All],[管理番号]:[バック金額合計]],4,FALSE)</f>
        <v/>
      </c>
      <c r="E219" s="80" t="str">
        <f>VLOOKUP(名前リスト[[#This Row],[管理番号]],まとめ表_各店舗件数[[#All],[管理番号]:[合計件数]],4,FALSE)</f>
        <v/>
      </c>
      <c r="F219" s="111" t="str">
        <f>VLOOKUP(名前リスト[[#This Row],[管理番号]],まとめ表_各Aパターン件数[[#All],[管理番号]:[Aパターン]],4,FALSE)</f>
        <v/>
      </c>
      <c r="G219" s="131"/>
      <c r="H2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80">
        <v>219</v>
      </c>
      <c r="B220" s="130"/>
      <c r="C220" s="80" t="s">
        <v>511</v>
      </c>
      <c r="D220" s="87" t="str">
        <f>VLOOKUP(名前リスト[[#This Row],[管理番号]],まとめ表_バック金額[[#All],[管理番号]:[バック金額合計]],4,FALSE)</f>
        <v/>
      </c>
      <c r="E220" s="80" t="str">
        <f>VLOOKUP(名前リスト[[#This Row],[管理番号]],まとめ表_各店舗件数[[#All],[管理番号]:[合計件数]],4,FALSE)</f>
        <v/>
      </c>
      <c r="F220" s="111" t="str">
        <f>VLOOKUP(名前リスト[[#This Row],[管理番号]],まとめ表_各Aパターン件数[[#All],[管理番号]:[Aパターン]],4,FALSE)</f>
        <v/>
      </c>
      <c r="G220" s="131"/>
      <c r="H2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80">
        <v>220</v>
      </c>
      <c r="B221" s="130"/>
      <c r="C221" s="80" t="s">
        <v>512</v>
      </c>
      <c r="D221" s="87" t="str">
        <f>VLOOKUP(名前リスト[[#This Row],[管理番号]],まとめ表_バック金額[[#All],[管理番号]:[バック金額合計]],4,FALSE)</f>
        <v/>
      </c>
      <c r="E221" s="80" t="str">
        <f>VLOOKUP(名前リスト[[#This Row],[管理番号]],まとめ表_各店舗件数[[#All],[管理番号]:[合計件数]],4,FALSE)</f>
        <v/>
      </c>
      <c r="F221" s="111" t="str">
        <f>VLOOKUP(名前リスト[[#This Row],[管理番号]],まとめ表_各Aパターン件数[[#All],[管理番号]:[Aパターン]],4,FALSE)</f>
        <v/>
      </c>
      <c r="G221" s="131"/>
      <c r="H2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80">
        <v>221</v>
      </c>
      <c r="B222" s="130"/>
      <c r="C222" s="80" t="s">
        <v>513</v>
      </c>
      <c r="D222" s="87" t="str">
        <f>VLOOKUP(名前リスト[[#This Row],[管理番号]],まとめ表_バック金額[[#All],[管理番号]:[バック金額合計]],4,FALSE)</f>
        <v/>
      </c>
      <c r="E222" s="80" t="str">
        <f>VLOOKUP(名前リスト[[#This Row],[管理番号]],まとめ表_各店舗件数[[#All],[管理番号]:[合計件数]],4,FALSE)</f>
        <v/>
      </c>
      <c r="F222" s="111" t="str">
        <f>VLOOKUP(名前リスト[[#This Row],[管理番号]],まとめ表_各Aパターン件数[[#All],[管理番号]:[Aパターン]],4,FALSE)</f>
        <v/>
      </c>
      <c r="G222" s="131"/>
      <c r="H2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38">
        <v>222</v>
      </c>
      <c r="B223" s="138"/>
      <c r="C223" s="138" t="s">
        <v>522</v>
      </c>
      <c r="D223" s="87" t="str">
        <f>VLOOKUP(名前リスト[[#This Row],[管理番号]],まとめ表_バック金額[[#All],[管理番号]:[バック金額合計]],4,FALSE)</f>
        <v/>
      </c>
      <c r="E223" s="130" t="str">
        <f>VLOOKUP(名前リスト[[#This Row],[管理番号]],まとめ表_各店舗件数[[#All],[管理番号]:[合計件数]],4,FALSE)</f>
        <v/>
      </c>
      <c r="F223" s="131" t="str">
        <f>VLOOKUP(名前リスト[[#This Row],[管理番号]],まとめ表_各Aパターン件数[[#All],[管理番号]:[Aパターン]],4,FALSE)</f>
        <v/>
      </c>
      <c r="G223" s="131"/>
      <c r="H2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38">
        <v>223</v>
      </c>
      <c r="B224" s="138"/>
      <c r="C224" s="138" t="s">
        <v>523</v>
      </c>
      <c r="D224" s="87" t="str">
        <f>VLOOKUP(名前リスト[[#This Row],[管理番号]],まとめ表_バック金額[[#All],[管理番号]:[バック金額合計]],4,FALSE)</f>
        <v/>
      </c>
      <c r="E224" s="130" t="str">
        <f>VLOOKUP(名前リスト[[#This Row],[管理番号]],まとめ表_各店舗件数[[#All],[管理番号]:[合計件数]],4,FALSE)</f>
        <v/>
      </c>
      <c r="F224" s="131" t="str">
        <f>VLOOKUP(名前リスト[[#This Row],[管理番号]],まとめ表_各Aパターン件数[[#All],[管理番号]:[Aパターン]],4,FALSE)</f>
        <v/>
      </c>
      <c r="G224" s="131"/>
      <c r="H2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38">
        <v>224</v>
      </c>
      <c r="B225" s="138"/>
      <c r="C225" s="138" t="s">
        <v>524</v>
      </c>
      <c r="D225" s="87" t="str">
        <f>VLOOKUP(名前リスト[[#This Row],[管理番号]],まとめ表_バック金額[[#All],[管理番号]:[バック金額合計]],4,FALSE)</f>
        <v/>
      </c>
      <c r="E225" s="130" t="str">
        <f>VLOOKUP(名前リスト[[#This Row],[管理番号]],まとめ表_各店舗件数[[#All],[管理番号]:[合計件数]],4,FALSE)</f>
        <v/>
      </c>
      <c r="F225" s="131" t="str">
        <f>VLOOKUP(名前リスト[[#This Row],[管理番号]],まとめ表_各Aパターン件数[[#All],[管理番号]:[Aパターン]],4,FALSE)</f>
        <v/>
      </c>
      <c r="G225" s="131"/>
      <c r="H2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38">
        <v>225</v>
      </c>
      <c r="B226" s="138"/>
      <c r="C226" s="138" t="s">
        <v>525</v>
      </c>
      <c r="D226" s="87" t="str">
        <f>VLOOKUP(名前リスト[[#This Row],[管理番号]],まとめ表_バック金額[[#All],[管理番号]:[バック金額合計]],4,FALSE)</f>
        <v/>
      </c>
      <c r="E226" s="130" t="str">
        <f>VLOOKUP(名前リスト[[#This Row],[管理番号]],まとめ表_各店舗件数[[#All],[管理番号]:[合計件数]],4,FALSE)</f>
        <v/>
      </c>
      <c r="F226" s="131" t="str">
        <f>VLOOKUP(名前リスト[[#This Row],[管理番号]],まとめ表_各Aパターン件数[[#All],[管理番号]:[Aパターン]],4,FALSE)</f>
        <v/>
      </c>
      <c r="G226" s="131"/>
      <c r="H2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38">
        <v>226</v>
      </c>
      <c r="B227" s="138"/>
      <c r="C227" s="138" t="s">
        <v>526</v>
      </c>
      <c r="D227" s="87" t="str">
        <f>VLOOKUP(名前リスト[[#This Row],[管理番号]],まとめ表_バック金額[[#All],[管理番号]:[バック金額合計]],4,FALSE)</f>
        <v/>
      </c>
      <c r="E227" s="130" t="str">
        <f>VLOOKUP(名前リスト[[#This Row],[管理番号]],まとめ表_各店舗件数[[#All],[管理番号]:[合計件数]],4,FALSE)</f>
        <v/>
      </c>
      <c r="F227" s="131" t="str">
        <f>VLOOKUP(名前リスト[[#This Row],[管理番号]],まとめ表_各Aパターン件数[[#All],[管理番号]:[Aパターン]],4,FALSE)</f>
        <v/>
      </c>
      <c r="G227" s="131"/>
      <c r="H2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38">
        <v>227</v>
      </c>
      <c r="B228" s="138"/>
      <c r="C228" s="138" t="s">
        <v>527</v>
      </c>
      <c r="D228" s="87" t="str">
        <f>VLOOKUP(名前リスト[[#This Row],[管理番号]],まとめ表_バック金額[[#All],[管理番号]:[バック金額合計]],4,FALSE)</f>
        <v/>
      </c>
      <c r="E228" s="130" t="str">
        <f>VLOOKUP(名前リスト[[#This Row],[管理番号]],まとめ表_各店舗件数[[#All],[管理番号]:[合計件数]],4,FALSE)</f>
        <v/>
      </c>
      <c r="F228" s="131" t="str">
        <f>VLOOKUP(名前リスト[[#This Row],[管理番号]],まとめ表_各Aパターン件数[[#All],[管理番号]:[Aパターン]],4,FALSE)</f>
        <v/>
      </c>
      <c r="G228" s="131"/>
      <c r="H2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38">
        <v>228</v>
      </c>
      <c r="B229" s="138"/>
      <c r="C229" s="138" t="s">
        <v>528</v>
      </c>
      <c r="D229" s="87" t="str">
        <f>VLOOKUP(名前リスト[[#This Row],[管理番号]],まとめ表_バック金額[[#All],[管理番号]:[バック金額合計]],4,FALSE)</f>
        <v/>
      </c>
      <c r="E229" s="130">
        <f>VLOOKUP(名前リスト[[#This Row],[管理番号]],まとめ表_各店舗件数[[#All],[管理番号]:[合計件数]],4,FALSE)</f>
        <v>1</v>
      </c>
      <c r="F229" s="131">
        <f>VLOOKUP(名前リスト[[#This Row],[管理番号]],まとめ表_各Aパターン件数[[#All],[管理番号]:[Aパターン]],4,FALSE)</f>
        <v>1</v>
      </c>
      <c r="G229" s="131"/>
      <c r="H2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0" spans="1:10" ht="15" customHeight="1">
      <c r="A230" s="138">
        <v>229</v>
      </c>
      <c r="B230" s="138"/>
      <c r="C230" s="138" t="s">
        <v>529</v>
      </c>
      <c r="D230" s="87" t="str">
        <f>VLOOKUP(名前リスト[[#This Row],[管理番号]],まとめ表_バック金額[[#All],[管理番号]:[バック金額合計]],4,FALSE)</f>
        <v/>
      </c>
      <c r="E230" s="130" t="str">
        <f>VLOOKUP(名前リスト[[#This Row],[管理番号]],まとめ表_各店舗件数[[#All],[管理番号]:[合計件数]],4,FALSE)</f>
        <v/>
      </c>
      <c r="F230" s="131" t="str">
        <f>VLOOKUP(名前リスト[[#This Row],[管理番号]],まとめ表_各Aパターン件数[[#All],[管理番号]:[Aパターン]],4,FALSE)</f>
        <v/>
      </c>
      <c r="G230" s="131"/>
      <c r="H2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38">
        <v>230</v>
      </c>
      <c r="B231" s="138"/>
      <c r="C231" s="138" t="s">
        <v>530</v>
      </c>
      <c r="D231" s="87" t="str">
        <f>VLOOKUP(名前リスト[[#This Row],[管理番号]],まとめ表_バック金額[[#All],[管理番号]:[バック金額合計]],4,FALSE)</f>
        <v/>
      </c>
      <c r="E231" s="130" t="str">
        <f>VLOOKUP(名前リスト[[#This Row],[管理番号]],まとめ表_各店舗件数[[#All],[管理番号]:[合計件数]],4,FALSE)</f>
        <v/>
      </c>
      <c r="F231" s="131" t="str">
        <f>VLOOKUP(名前リスト[[#This Row],[管理番号]],まとめ表_各Aパターン件数[[#All],[管理番号]:[Aパターン]],4,FALSE)</f>
        <v/>
      </c>
      <c r="G231" s="131"/>
      <c r="H2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38">
        <v>231</v>
      </c>
      <c r="B232" s="138"/>
      <c r="C232" s="138" t="s">
        <v>531</v>
      </c>
      <c r="D232" s="87" t="str">
        <f>VLOOKUP(名前リスト[[#This Row],[管理番号]],まとめ表_バック金額[[#All],[管理番号]:[バック金額合計]],4,FALSE)</f>
        <v/>
      </c>
      <c r="E232" s="130" t="str">
        <f>VLOOKUP(名前リスト[[#This Row],[管理番号]],まとめ表_各店舗件数[[#All],[管理番号]:[合計件数]],4,FALSE)</f>
        <v/>
      </c>
      <c r="F232" s="131" t="str">
        <f>VLOOKUP(名前リスト[[#This Row],[管理番号]],まとめ表_各Aパターン件数[[#All],[管理番号]:[Aパターン]],4,FALSE)</f>
        <v/>
      </c>
      <c r="G232" s="131"/>
      <c r="H2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38">
        <v>232</v>
      </c>
      <c r="B233" s="138"/>
      <c r="C233" s="138" t="s">
        <v>532</v>
      </c>
      <c r="D233" s="87" t="str">
        <f>VLOOKUP(名前リスト[[#This Row],[管理番号]],まとめ表_バック金額[[#All],[管理番号]:[バック金額合計]],4,FALSE)</f>
        <v/>
      </c>
      <c r="E233" s="130" t="str">
        <f>VLOOKUP(名前リスト[[#This Row],[管理番号]],まとめ表_各店舗件数[[#All],[管理番号]:[合計件数]],4,FALSE)</f>
        <v/>
      </c>
      <c r="F233" s="131" t="str">
        <f>VLOOKUP(名前リスト[[#This Row],[管理番号]],まとめ表_各Aパターン件数[[#All],[管理番号]:[Aパターン]],4,FALSE)</f>
        <v/>
      </c>
      <c r="G233" s="131"/>
      <c r="H2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38">
        <v>233</v>
      </c>
      <c r="B234" s="138"/>
      <c r="C234" s="138" t="s">
        <v>533</v>
      </c>
      <c r="D234" s="87" t="str">
        <f>VLOOKUP(名前リスト[[#This Row],[管理番号]],まとめ表_バック金額[[#All],[管理番号]:[バック金額合計]],4,FALSE)</f>
        <v/>
      </c>
      <c r="E234" s="130" t="str">
        <f>VLOOKUP(名前リスト[[#This Row],[管理番号]],まとめ表_各店舗件数[[#All],[管理番号]:[合計件数]],4,FALSE)</f>
        <v/>
      </c>
      <c r="F234" s="131" t="str">
        <f>VLOOKUP(名前リスト[[#This Row],[管理番号]],まとめ表_各Aパターン件数[[#All],[管理番号]:[Aパターン]],4,FALSE)</f>
        <v/>
      </c>
      <c r="G234" s="131"/>
      <c r="H2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38">
        <v>234</v>
      </c>
      <c r="B235" s="138"/>
      <c r="C235" s="138" t="s">
        <v>534</v>
      </c>
      <c r="D235" s="87" t="str">
        <f>VLOOKUP(名前リスト[[#This Row],[管理番号]],まとめ表_バック金額[[#All],[管理番号]:[バック金額合計]],4,FALSE)</f>
        <v/>
      </c>
      <c r="E235" s="130" t="str">
        <f>VLOOKUP(名前リスト[[#This Row],[管理番号]],まとめ表_各店舗件数[[#All],[管理番号]:[合計件数]],4,FALSE)</f>
        <v/>
      </c>
      <c r="F235" s="131" t="str">
        <f>VLOOKUP(名前リスト[[#This Row],[管理番号]],まとめ表_各Aパターン件数[[#All],[管理番号]:[Aパターン]],4,FALSE)</f>
        <v/>
      </c>
      <c r="G235" s="131"/>
      <c r="H2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38">
        <v>235</v>
      </c>
      <c r="B236" s="138"/>
      <c r="C236" s="138"/>
      <c r="D236" s="87" t="str">
        <f>VLOOKUP(名前リスト[[#This Row],[管理番号]],まとめ表_バック金額[[#All],[管理番号]:[バック金額合計]],4,FALSE)</f>
        <v/>
      </c>
      <c r="E236" s="130" t="str">
        <f>VLOOKUP(名前リスト[[#This Row],[管理番号]],まとめ表_各店舗件数[[#All],[管理番号]:[合計件数]],4,FALSE)</f>
        <v/>
      </c>
      <c r="F236" s="131" t="str">
        <f>VLOOKUP(名前リスト[[#This Row],[管理番号]],まとめ表_各Aパターン件数[[#All],[管理番号]:[Aパターン]],4,FALSE)</f>
        <v/>
      </c>
      <c r="G236" s="131"/>
      <c r="H2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38">
        <v>236</v>
      </c>
      <c r="B237" s="138"/>
      <c r="C237" s="138" t="s">
        <v>535</v>
      </c>
      <c r="D237" s="87" t="str">
        <f>VLOOKUP(名前リスト[[#This Row],[管理番号]],まとめ表_バック金額[[#All],[管理番号]:[バック金額合計]],4,FALSE)</f>
        <v/>
      </c>
      <c r="E237" s="130" t="str">
        <f>VLOOKUP(名前リスト[[#This Row],[管理番号]],まとめ表_各店舗件数[[#All],[管理番号]:[合計件数]],4,FALSE)</f>
        <v/>
      </c>
      <c r="F237" s="131" t="str">
        <f>VLOOKUP(名前リスト[[#This Row],[管理番号]],まとめ表_各Aパターン件数[[#All],[管理番号]:[Aパターン]],4,FALSE)</f>
        <v/>
      </c>
      <c r="G237" s="131"/>
      <c r="H2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38">
        <v>237</v>
      </c>
      <c r="B238" s="138"/>
      <c r="C238" s="138" t="s">
        <v>536</v>
      </c>
      <c r="D238" s="87" t="str">
        <f>VLOOKUP(名前リスト[[#This Row],[管理番号]],まとめ表_バック金額[[#All],[管理番号]:[バック金額合計]],4,FALSE)</f>
        <v/>
      </c>
      <c r="E238" s="130" t="str">
        <f>VLOOKUP(名前リスト[[#This Row],[管理番号]],まとめ表_各店舗件数[[#All],[管理番号]:[合計件数]],4,FALSE)</f>
        <v/>
      </c>
      <c r="F238" s="131" t="str">
        <f>VLOOKUP(名前リスト[[#This Row],[管理番号]],まとめ表_各Aパターン件数[[#All],[管理番号]:[Aパターン]],4,FALSE)</f>
        <v/>
      </c>
      <c r="G238" s="131"/>
      <c r="H2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38">
        <v>238</v>
      </c>
      <c r="B239" s="138"/>
      <c r="C239" s="138" t="s">
        <v>537</v>
      </c>
      <c r="D239" s="87" t="str">
        <f>VLOOKUP(名前リスト[[#This Row],[管理番号]],まとめ表_バック金額[[#All],[管理番号]:[バック金額合計]],4,FALSE)</f>
        <v/>
      </c>
      <c r="E239" s="130" t="str">
        <f>VLOOKUP(名前リスト[[#This Row],[管理番号]],まとめ表_各店舗件数[[#All],[管理番号]:[合計件数]],4,FALSE)</f>
        <v/>
      </c>
      <c r="F239" s="131" t="str">
        <f>VLOOKUP(名前リスト[[#This Row],[管理番号]],まとめ表_各Aパターン件数[[#All],[管理番号]:[Aパターン]],4,FALSE)</f>
        <v/>
      </c>
      <c r="G239" s="131"/>
      <c r="H2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38">
        <v>239</v>
      </c>
      <c r="B240" s="138"/>
      <c r="C240" s="138" t="s">
        <v>538</v>
      </c>
      <c r="D240" s="87" t="str">
        <f>VLOOKUP(名前リスト[[#This Row],[管理番号]],まとめ表_バック金額[[#All],[管理番号]:[バック金額合計]],4,FALSE)</f>
        <v/>
      </c>
      <c r="E240" s="130" t="str">
        <f>VLOOKUP(名前リスト[[#This Row],[管理番号]],まとめ表_各店舗件数[[#All],[管理番号]:[合計件数]],4,FALSE)</f>
        <v/>
      </c>
      <c r="F240" s="131" t="str">
        <f>VLOOKUP(名前リスト[[#This Row],[管理番号]],まとめ表_各Aパターン件数[[#All],[管理番号]:[Aパターン]],4,FALSE)</f>
        <v/>
      </c>
      <c r="G240" s="131"/>
      <c r="H2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38">
        <v>240</v>
      </c>
      <c r="B241" s="138"/>
      <c r="C241" s="138" t="s">
        <v>539</v>
      </c>
      <c r="D241" s="87" t="str">
        <f>VLOOKUP(名前リスト[[#This Row],[管理番号]],まとめ表_バック金額[[#All],[管理番号]:[バック金額合計]],4,FALSE)</f>
        <v/>
      </c>
      <c r="E241" s="130" t="str">
        <f>VLOOKUP(名前リスト[[#This Row],[管理番号]],まとめ表_各店舗件数[[#All],[管理番号]:[合計件数]],4,FALSE)</f>
        <v/>
      </c>
      <c r="F241" s="131" t="str">
        <f>VLOOKUP(名前リスト[[#This Row],[管理番号]],まとめ表_各Aパターン件数[[#All],[管理番号]:[Aパターン]],4,FALSE)</f>
        <v/>
      </c>
      <c r="G241" s="131"/>
      <c r="H2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38">
        <v>241</v>
      </c>
      <c r="B242" s="138"/>
      <c r="C242" s="138" t="s">
        <v>540</v>
      </c>
      <c r="D242" s="87" t="str">
        <f>VLOOKUP(名前リスト[[#This Row],[管理番号]],まとめ表_バック金額[[#All],[管理番号]:[バック金額合計]],4,FALSE)</f>
        <v/>
      </c>
      <c r="E242" s="130" t="str">
        <f>VLOOKUP(名前リスト[[#This Row],[管理番号]],まとめ表_各店舗件数[[#All],[管理番号]:[合計件数]],4,FALSE)</f>
        <v/>
      </c>
      <c r="F242" s="131" t="str">
        <f>VLOOKUP(名前リスト[[#This Row],[管理番号]],まとめ表_各Aパターン件数[[#All],[管理番号]:[Aパターン]],4,FALSE)</f>
        <v/>
      </c>
      <c r="G242" s="131"/>
      <c r="H2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38">
        <v>242</v>
      </c>
      <c r="B243" s="138"/>
      <c r="C243" s="138" t="s">
        <v>543</v>
      </c>
      <c r="D243" s="87" t="str">
        <f>VLOOKUP(名前リスト[[#This Row],[管理番号]],まとめ表_バック金額[[#All],[管理番号]:[バック金額合計]],4,FALSE)</f>
        <v/>
      </c>
      <c r="E243" s="130" t="str">
        <f>VLOOKUP(名前リスト[[#This Row],[管理番号]],まとめ表_各店舗件数[[#All],[管理番号]:[合計件数]],4,FALSE)</f>
        <v/>
      </c>
      <c r="F243" s="131" t="str">
        <f>VLOOKUP(名前リスト[[#This Row],[管理番号]],まとめ表_各Aパターン件数[[#All],[管理番号]:[Aパターン]],4,FALSE)</f>
        <v/>
      </c>
      <c r="G243" s="131"/>
      <c r="H2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38">
        <v>243</v>
      </c>
      <c r="B244" s="138"/>
      <c r="C244" s="138" t="s">
        <v>544</v>
      </c>
      <c r="D244" s="87" t="str">
        <f>VLOOKUP(名前リスト[[#This Row],[管理番号]],まとめ表_バック金額[[#All],[管理番号]:[バック金額合計]],4,FALSE)</f>
        <v/>
      </c>
      <c r="E244" s="130" t="str">
        <f>VLOOKUP(名前リスト[[#This Row],[管理番号]],まとめ表_各店舗件数[[#All],[管理番号]:[合計件数]],4,FALSE)</f>
        <v/>
      </c>
      <c r="F244" s="131" t="str">
        <f>VLOOKUP(名前リスト[[#This Row],[管理番号]],まとめ表_各Aパターン件数[[#All],[管理番号]:[Aパターン]],4,FALSE)</f>
        <v/>
      </c>
      <c r="G244" s="131"/>
      <c r="H2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38">
        <v>244</v>
      </c>
      <c r="B245" s="138"/>
      <c r="C245" s="138" t="s">
        <v>545</v>
      </c>
      <c r="D245" s="87" t="str">
        <f>VLOOKUP(名前リスト[[#This Row],[管理番号]],まとめ表_バック金額[[#All],[管理番号]:[バック金額合計]],4,FALSE)</f>
        <v/>
      </c>
      <c r="E245" s="130" t="str">
        <f>VLOOKUP(名前リスト[[#This Row],[管理番号]],まとめ表_各店舗件数[[#All],[管理番号]:[合計件数]],4,FALSE)</f>
        <v/>
      </c>
      <c r="F245" s="131" t="str">
        <f>VLOOKUP(名前リスト[[#This Row],[管理番号]],まとめ表_各Aパターン件数[[#All],[管理番号]:[Aパターン]],4,FALSE)</f>
        <v/>
      </c>
      <c r="G245" s="131"/>
      <c r="H2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38">
        <v>255</v>
      </c>
      <c r="B246" s="138"/>
      <c r="C246" s="138" t="s">
        <v>546</v>
      </c>
      <c r="D246" s="87" t="str">
        <f>VLOOKUP(名前リスト[[#This Row],[管理番号]],まとめ表_バック金額[[#All],[管理番号]:[バック金額合計]],4,FALSE)</f>
        <v/>
      </c>
      <c r="E246" s="130" t="str">
        <f>VLOOKUP(名前リスト[[#This Row],[管理番号]],まとめ表_各店舗件数[[#All],[管理番号]:[合計件数]],4,FALSE)</f>
        <v/>
      </c>
      <c r="F246" s="131" t="str">
        <f>VLOOKUP(名前リスト[[#This Row],[管理番号]],まとめ表_各Aパターン件数[[#All],[管理番号]:[Aパターン]],4,FALSE)</f>
        <v/>
      </c>
      <c r="G246" s="131"/>
      <c r="H2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38">
        <v>256</v>
      </c>
      <c r="B247" s="138"/>
      <c r="C247" s="138" t="s">
        <v>547</v>
      </c>
      <c r="D247" s="87" t="str">
        <f>VLOOKUP(名前リスト[[#This Row],[管理番号]],まとめ表_バック金額[[#All],[管理番号]:[バック金額合計]],4,FALSE)</f>
        <v/>
      </c>
      <c r="E247" s="130" t="str">
        <f>VLOOKUP(名前リスト[[#This Row],[管理番号]],まとめ表_各店舗件数[[#All],[管理番号]:[合計件数]],4,FALSE)</f>
        <v/>
      </c>
      <c r="F247" s="131" t="str">
        <f>VLOOKUP(名前リスト[[#This Row],[管理番号]],まとめ表_各Aパターン件数[[#All],[管理番号]:[Aパターン]],4,FALSE)</f>
        <v/>
      </c>
      <c r="G247" s="131"/>
      <c r="H2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38">
        <v>257</v>
      </c>
      <c r="B248" s="138"/>
      <c r="C248" s="138" t="s">
        <v>548</v>
      </c>
      <c r="D248" s="87" t="str">
        <f>VLOOKUP(名前リスト[[#This Row],[管理番号]],まとめ表_バック金額[[#All],[管理番号]:[バック金額合計]],4,FALSE)</f>
        <v/>
      </c>
      <c r="E248" s="130" t="str">
        <f>VLOOKUP(名前リスト[[#This Row],[管理番号]],まとめ表_各店舗件数[[#All],[管理番号]:[合計件数]],4,FALSE)</f>
        <v/>
      </c>
      <c r="F248" s="131" t="str">
        <f>VLOOKUP(名前リスト[[#This Row],[管理番号]],まとめ表_各Aパターン件数[[#All],[管理番号]:[Aパターン]],4,FALSE)</f>
        <v/>
      </c>
      <c r="G248" s="131"/>
      <c r="H2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38">
        <v>258</v>
      </c>
      <c r="B249" s="138"/>
      <c r="C249" s="138" t="s">
        <v>549</v>
      </c>
      <c r="D249" s="87" t="str">
        <f>VLOOKUP(名前リスト[[#This Row],[管理番号]],まとめ表_バック金額[[#All],[管理番号]:[バック金額合計]],4,FALSE)</f>
        <v/>
      </c>
      <c r="E249" s="130" t="str">
        <f>VLOOKUP(名前リスト[[#This Row],[管理番号]],まとめ表_各店舗件数[[#All],[管理番号]:[合計件数]],4,FALSE)</f>
        <v/>
      </c>
      <c r="F249" s="131" t="str">
        <f>VLOOKUP(名前リスト[[#This Row],[管理番号]],まとめ表_各Aパターン件数[[#All],[管理番号]:[Aパターン]],4,FALSE)</f>
        <v/>
      </c>
      <c r="G249" s="131"/>
      <c r="H2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38">
        <v>259</v>
      </c>
      <c r="B250" s="138"/>
      <c r="C250" s="138" t="s">
        <v>550</v>
      </c>
      <c r="D250" s="87" t="str">
        <f>VLOOKUP(名前リスト[[#This Row],[管理番号]],まとめ表_バック金額[[#All],[管理番号]:[バック金額合計]],4,FALSE)</f>
        <v/>
      </c>
      <c r="E250" s="130" t="str">
        <f>VLOOKUP(名前リスト[[#This Row],[管理番号]],まとめ表_各店舗件数[[#All],[管理番号]:[合計件数]],4,FALSE)</f>
        <v/>
      </c>
      <c r="F250" s="131" t="str">
        <f>VLOOKUP(名前リスト[[#This Row],[管理番号]],まとめ表_各Aパターン件数[[#All],[管理番号]:[Aパターン]],4,FALSE)</f>
        <v/>
      </c>
      <c r="G250" s="131"/>
      <c r="H2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38">
        <v>260</v>
      </c>
      <c r="B251" s="138"/>
      <c r="C251" s="138" t="s">
        <v>551</v>
      </c>
      <c r="D251" s="87" t="str">
        <f>VLOOKUP(名前リスト[[#This Row],[管理番号]],まとめ表_バック金額[[#All],[管理番号]:[バック金額合計]],4,FALSE)</f>
        <v/>
      </c>
      <c r="E251" s="130" t="str">
        <f>VLOOKUP(名前リスト[[#This Row],[管理番号]],まとめ表_各店舗件数[[#All],[管理番号]:[合計件数]],4,FALSE)</f>
        <v/>
      </c>
      <c r="F251" s="131" t="str">
        <f>VLOOKUP(名前リスト[[#This Row],[管理番号]],まとめ表_各Aパターン件数[[#All],[管理番号]:[Aパターン]],4,FALSE)</f>
        <v/>
      </c>
      <c r="G251" s="131"/>
      <c r="H2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38">
        <v>261</v>
      </c>
      <c r="B252" s="138"/>
      <c r="C252" s="138" t="s">
        <v>552</v>
      </c>
      <c r="D252" s="87" t="str">
        <f>VLOOKUP(名前リスト[[#This Row],[管理番号]],まとめ表_バック金額[[#All],[管理番号]:[バック金額合計]],4,FALSE)</f>
        <v/>
      </c>
      <c r="E252" s="130" t="str">
        <f>VLOOKUP(名前リスト[[#This Row],[管理番号]],まとめ表_各店舗件数[[#All],[管理番号]:[合計件数]],4,FALSE)</f>
        <v/>
      </c>
      <c r="F252" s="131" t="str">
        <f>VLOOKUP(名前リスト[[#This Row],[管理番号]],まとめ表_各Aパターン件数[[#All],[管理番号]:[Aパターン]],4,FALSE)</f>
        <v/>
      </c>
      <c r="G252" s="131"/>
      <c r="H25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38">
        <v>262</v>
      </c>
      <c r="B253" s="138"/>
      <c r="C253" s="138" t="s">
        <v>553</v>
      </c>
      <c r="D253" s="87" t="str">
        <f>VLOOKUP(名前リスト[[#This Row],[管理番号]],まとめ表_バック金額[[#All],[管理番号]:[バック金額合計]],4,FALSE)</f>
        <v/>
      </c>
      <c r="E253" s="130" t="str">
        <f>VLOOKUP(名前リスト[[#This Row],[管理番号]],まとめ表_各店舗件数[[#All],[管理番号]:[合計件数]],4,FALSE)</f>
        <v/>
      </c>
      <c r="F253" s="131" t="str">
        <f>VLOOKUP(名前リスト[[#This Row],[管理番号]],まとめ表_各Aパターン件数[[#All],[管理番号]:[Aパターン]],4,FALSE)</f>
        <v/>
      </c>
      <c r="G253" s="131"/>
      <c r="H25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38">
        <v>263</v>
      </c>
      <c r="B254" s="138"/>
      <c r="C254" s="138" t="s">
        <v>554</v>
      </c>
      <c r="D254" s="87" t="str">
        <f>VLOOKUP(名前リスト[[#This Row],[管理番号]],まとめ表_バック金額[[#All],[管理番号]:[バック金額合計]],4,FALSE)</f>
        <v/>
      </c>
      <c r="E254" s="130" t="str">
        <f>VLOOKUP(名前リスト[[#This Row],[管理番号]],まとめ表_各店舗件数[[#All],[管理番号]:[合計件数]],4,FALSE)</f>
        <v/>
      </c>
      <c r="F254" s="131" t="str">
        <f>VLOOKUP(名前リスト[[#This Row],[管理番号]],まとめ表_各Aパターン件数[[#All],[管理番号]:[Aパターン]],4,FALSE)</f>
        <v/>
      </c>
      <c r="G254" s="131"/>
      <c r="H25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38">
        <v>264</v>
      </c>
      <c r="B255" s="138"/>
      <c r="C255" s="138" t="s">
        <v>555</v>
      </c>
      <c r="D255" s="87" t="str">
        <f>VLOOKUP(名前リスト[[#This Row],[管理番号]],まとめ表_バック金額[[#All],[管理番号]:[バック金額合計]],4,FALSE)</f>
        <v/>
      </c>
      <c r="E255" s="130" t="str">
        <f>VLOOKUP(名前リスト[[#This Row],[管理番号]],まとめ表_各店舗件数[[#All],[管理番号]:[合計件数]],4,FALSE)</f>
        <v/>
      </c>
      <c r="F255" s="131" t="str">
        <f>VLOOKUP(名前リスト[[#This Row],[管理番号]],まとめ表_各Aパターン件数[[#All],[管理番号]:[Aパターン]],4,FALSE)</f>
        <v/>
      </c>
      <c r="G255" s="131"/>
      <c r="H25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38">
        <v>265</v>
      </c>
      <c r="B256" s="138"/>
      <c r="C256" s="138" t="s">
        <v>556</v>
      </c>
      <c r="D256" s="87" t="str">
        <f>VLOOKUP(名前リスト[[#This Row],[管理番号]],まとめ表_バック金額[[#All],[管理番号]:[バック金額合計]],4,FALSE)</f>
        <v/>
      </c>
      <c r="E256" s="130" t="str">
        <f>VLOOKUP(名前リスト[[#This Row],[管理番号]],まとめ表_各店舗件数[[#All],[管理番号]:[合計件数]],4,FALSE)</f>
        <v/>
      </c>
      <c r="F256" s="131" t="str">
        <f>VLOOKUP(名前リスト[[#This Row],[管理番号]],まとめ表_各Aパターン件数[[#All],[管理番号]:[Aパターン]],4,FALSE)</f>
        <v/>
      </c>
      <c r="G256" s="131"/>
      <c r="H25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80">
        <v>1000</v>
      </c>
      <c r="B257" s="80"/>
      <c r="C257" s="130" t="s">
        <v>405</v>
      </c>
      <c r="D257" s="87" t="str">
        <f>VLOOKUP(名前リスト[[#This Row],[管理番号]],まとめ表_バック金額[[#All],[管理番号]:[バック金額合計]],4,FALSE)</f>
        <v/>
      </c>
      <c r="E257" s="80" t="str">
        <f>VLOOKUP(名前リスト[[#This Row],[管理番号]],まとめ表_各店舗件数[[#All],[管理番号]:[合計件数]],4,FALSE)</f>
        <v/>
      </c>
      <c r="F257" s="111" t="str">
        <f>VLOOKUP(名前リスト[[#This Row],[管理番号]],まとめ表_各Aパターン件数[[#All],[管理番号]:[Aパターン]],4,FALSE)</f>
        <v/>
      </c>
      <c r="G257" s="111"/>
      <c r="H2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80">
        <v>1001</v>
      </c>
      <c r="B258" s="80"/>
      <c r="C258" s="80" t="s">
        <v>406</v>
      </c>
      <c r="D258" s="87" t="str">
        <f>VLOOKUP(名前リスト[[#This Row],[管理番号]],まとめ表_バック金額[[#All],[管理番号]:[バック金額合計]],4,FALSE)</f>
        <v/>
      </c>
      <c r="E258" s="80" t="str">
        <f>VLOOKUP(名前リスト[[#This Row],[管理番号]],まとめ表_各店舗件数[[#All],[管理番号]:[合計件数]],4,FALSE)</f>
        <v/>
      </c>
      <c r="F258" s="111" t="str">
        <f>VLOOKUP(名前リスト[[#This Row],[管理番号]],まとめ表_各Aパターン件数[[#All],[管理番号]:[Aパターン]],4,FALSE)</f>
        <v/>
      </c>
      <c r="G258" s="132"/>
      <c r="H258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80">
        <v>1002</v>
      </c>
      <c r="B259" s="80"/>
      <c r="C259" s="80" t="s">
        <v>407</v>
      </c>
      <c r="D259" s="87" t="str">
        <f>VLOOKUP(名前リスト[[#This Row],[管理番号]],まとめ表_バック金額[[#All],[管理番号]:[バック金額合計]],4,FALSE)</f>
        <v/>
      </c>
      <c r="E259" s="80" t="str">
        <f>VLOOKUP(名前リスト[[#This Row],[管理番号]],まとめ表_各店舗件数[[#All],[管理番号]:[合計件数]],4,FALSE)</f>
        <v/>
      </c>
      <c r="F259" s="111" t="str">
        <f>VLOOKUP(名前リスト[[#This Row],[管理番号]],まとめ表_各Aパターン件数[[#All],[管理番号]:[Aパターン]],4,FALSE)</f>
        <v/>
      </c>
      <c r="G259" s="132"/>
      <c r="H259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80">
        <v>1003</v>
      </c>
      <c r="B260" s="80"/>
      <c r="C260" s="80" t="s">
        <v>408</v>
      </c>
      <c r="D260" s="87" t="str">
        <f>VLOOKUP(名前リスト[[#This Row],[管理番号]],まとめ表_バック金額[[#All],[管理番号]:[バック金額合計]],4,FALSE)</f>
        <v/>
      </c>
      <c r="E260" s="80" t="str">
        <f>VLOOKUP(名前リスト[[#This Row],[管理番号]],まとめ表_各店舗件数[[#All],[管理番号]:[合計件数]],4,FALSE)</f>
        <v/>
      </c>
      <c r="F260" s="111" t="str">
        <f>VLOOKUP(名前リスト[[#This Row],[管理番号]],まとめ表_各Aパターン件数[[#All],[管理番号]:[Aパターン]],4,FALSE)</f>
        <v/>
      </c>
      <c r="G260" s="131"/>
      <c r="H26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80">
        <v>1004</v>
      </c>
      <c r="B261" s="80"/>
      <c r="C261" s="80" t="s">
        <v>409</v>
      </c>
      <c r="D261" s="87" t="str">
        <f>VLOOKUP(名前リスト[[#This Row],[管理番号]],まとめ表_バック金額[[#All],[管理番号]:[バック金額合計]],4,FALSE)</f>
        <v/>
      </c>
      <c r="E261" s="80" t="str">
        <f>VLOOKUP(名前リスト[[#This Row],[管理番号]],まとめ表_各店舗件数[[#All],[管理番号]:[合計件数]],4,FALSE)</f>
        <v/>
      </c>
      <c r="F261" s="111" t="str">
        <f>VLOOKUP(名前リスト[[#This Row],[管理番号]],まとめ表_各Aパターン件数[[#All],[管理番号]:[Aパターン]],4,FALSE)</f>
        <v/>
      </c>
      <c r="G261" s="131"/>
      <c r="H26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80">
        <v>1005</v>
      </c>
      <c r="B262" s="80"/>
      <c r="C262" s="80" t="s">
        <v>410</v>
      </c>
      <c r="D262" s="87" t="str">
        <f>VLOOKUP(名前リスト[[#This Row],[管理番号]],まとめ表_バック金額[[#All],[管理番号]:[バック金額合計]],4,FALSE)</f>
        <v/>
      </c>
      <c r="E262" s="80" t="str">
        <f>VLOOKUP(名前リスト[[#This Row],[管理番号]],まとめ表_各店舗件数[[#All],[管理番号]:[合計件数]],4,FALSE)</f>
        <v/>
      </c>
      <c r="F262" s="111" t="str">
        <f>VLOOKUP(名前リスト[[#This Row],[管理番号]],まとめ表_各Aパターン件数[[#All],[管理番号]:[Aパターン]],4,FALSE)</f>
        <v/>
      </c>
      <c r="G262" s="131"/>
      <c r="H26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80">
        <v>1006</v>
      </c>
      <c r="B263" s="80"/>
      <c r="C263" s="80" t="s">
        <v>411</v>
      </c>
      <c r="D263" s="87" t="str">
        <f>VLOOKUP(名前リスト[[#This Row],[管理番号]],まとめ表_バック金額[[#All],[管理番号]:[バック金額合計]],4,FALSE)</f>
        <v/>
      </c>
      <c r="E263" s="80" t="str">
        <f>VLOOKUP(名前リスト[[#This Row],[管理番号]],まとめ表_各店舗件数[[#All],[管理番号]:[合計件数]],4,FALSE)</f>
        <v/>
      </c>
      <c r="F263" s="111" t="str">
        <f>VLOOKUP(名前リスト[[#This Row],[管理番号]],まとめ表_各Aパターン件数[[#All],[管理番号]:[Aパターン]],4,FALSE)</f>
        <v/>
      </c>
      <c r="G263" s="131"/>
      <c r="H26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80">
        <v>1007</v>
      </c>
      <c r="B264" s="80"/>
      <c r="C264" s="80" t="s">
        <v>412</v>
      </c>
      <c r="D264" s="87" t="str">
        <f>VLOOKUP(名前リスト[[#This Row],[管理番号]],まとめ表_バック金額[[#All],[管理番号]:[バック金額合計]],4,FALSE)</f>
        <v/>
      </c>
      <c r="E264" s="80" t="str">
        <f>VLOOKUP(名前リスト[[#This Row],[管理番号]],まとめ表_各店舗件数[[#All],[管理番号]:[合計件数]],4,FALSE)</f>
        <v/>
      </c>
      <c r="F264" s="111" t="str">
        <f>VLOOKUP(名前リスト[[#This Row],[管理番号]],まとめ表_各Aパターン件数[[#All],[管理番号]:[Aパターン]],4,FALSE)</f>
        <v/>
      </c>
      <c r="G264" s="131"/>
      <c r="H26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80">
        <v>1008</v>
      </c>
      <c r="B265" s="80"/>
      <c r="C265" s="80" t="s">
        <v>413</v>
      </c>
      <c r="D265" s="87" t="str">
        <f>VLOOKUP(名前リスト[[#This Row],[管理番号]],まとめ表_バック金額[[#All],[管理番号]:[バック金額合計]],4,FALSE)</f>
        <v/>
      </c>
      <c r="E265" s="80" t="str">
        <f>VLOOKUP(名前リスト[[#This Row],[管理番号]],まとめ表_各店舗件数[[#All],[管理番号]:[合計件数]],4,FALSE)</f>
        <v/>
      </c>
      <c r="F265" s="111" t="str">
        <f>VLOOKUP(名前リスト[[#This Row],[管理番号]],まとめ表_各Aパターン件数[[#All],[管理番号]:[Aパターン]],4,FALSE)</f>
        <v/>
      </c>
      <c r="G265" s="131"/>
      <c r="H26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80">
        <v>1009</v>
      </c>
      <c r="B266" s="80"/>
      <c r="C266" s="80" t="s">
        <v>414</v>
      </c>
      <c r="D266" s="87" t="str">
        <f>VLOOKUP(名前リスト[[#This Row],[管理番号]],まとめ表_バック金額[[#All],[管理番号]:[バック金額合計]],4,FALSE)</f>
        <v/>
      </c>
      <c r="E266" s="80" t="str">
        <f>VLOOKUP(名前リスト[[#This Row],[管理番号]],まとめ表_各店舗件数[[#All],[管理番号]:[合計件数]],4,FALSE)</f>
        <v/>
      </c>
      <c r="F266" s="111" t="str">
        <f>VLOOKUP(名前リスト[[#This Row],[管理番号]],まとめ表_各Aパターン件数[[#All],[管理番号]:[Aパターン]],4,FALSE)</f>
        <v/>
      </c>
      <c r="G266" s="131"/>
      <c r="H26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80">
        <v>1010</v>
      </c>
      <c r="B267" s="80"/>
      <c r="C267" s="80" t="s">
        <v>415</v>
      </c>
      <c r="D267" s="87" t="str">
        <f>VLOOKUP(名前リスト[[#This Row],[管理番号]],まとめ表_バック金額[[#All],[管理番号]:[バック金額合計]],4,FALSE)</f>
        <v/>
      </c>
      <c r="E267" s="80" t="str">
        <f>VLOOKUP(名前リスト[[#This Row],[管理番号]],まとめ表_各店舗件数[[#All],[管理番号]:[合計件数]],4,FALSE)</f>
        <v/>
      </c>
      <c r="F267" s="111" t="str">
        <f>VLOOKUP(名前リスト[[#This Row],[管理番号]],まとめ表_各Aパターン件数[[#All],[管理番号]:[Aパターン]],4,FALSE)</f>
        <v/>
      </c>
      <c r="G267" s="131"/>
      <c r="H26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80">
        <v>1011</v>
      </c>
      <c r="B268" s="80"/>
      <c r="C268" s="80" t="s">
        <v>416</v>
      </c>
      <c r="D268" s="87" t="str">
        <f>VLOOKUP(名前リスト[[#This Row],[管理番号]],まとめ表_バック金額[[#All],[管理番号]:[バック金額合計]],4,FALSE)</f>
        <v/>
      </c>
      <c r="E268" s="80" t="str">
        <f>VLOOKUP(名前リスト[[#This Row],[管理番号]],まとめ表_各店舗件数[[#All],[管理番号]:[合計件数]],4,FALSE)</f>
        <v/>
      </c>
      <c r="F268" s="111" t="str">
        <f>VLOOKUP(名前リスト[[#This Row],[管理番号]],まとめ表_各Aパターン件数[[#All],[管理番号]:[Aパターン]],4,FALSE)</f>
        <v/>
      </c>
      <c r="G268" s="131"/>
      <c r="H26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80">
        <v>1012</v>
      </c>
      <c r="B269" s="80"/>
      <c r="C269" s="80" t="s">
        <v>417</v>
      </c>
      <c r="D269" s="87" t="str">
        <f>VLOOKUP(名前リスト[[#This Row],[管理番号]],まとめ表_バック金額[[#All],[管理番号]:[バック金額合計]],4,FALSE)</f>
        <v/>
      </c>
      <c r="E269" s="80" t="str">
        <f>VLOOKUP(名前リスト[[#This Row],[管理番号]],まとめ表_各店舗件数[[#All],[管理番号]:[合計件数]],4,FALSE)</f>
        <v/>
      </c>
      <c r="F269" s="111" t="str">
        <f>VLOOKUP(名前リスト[[#This Row],[管理番号]],まとめ表_各Aパターン件数[[#All],[管理番号]:[Aパターン]],4,FALSE)</f>
        <v/>
      </c>
      <c r="G269" s="131"/>
      <c r="H26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80">
        <v>1013</v>
      </c>
      <c r="B270" s="80"/>
      <c r="C270" s="80" t="s">
        <v>418</v>
      </c>
      <c r="D270" s="87" t="str">
        <f>VLOOKUP(名前リスト[[#This Row],[管理番号]],まとめ表_バック金額[[#All],[管理番号]:[バック金額合計]],4,FALSE)</f>
        <v/>
      </c>
      <c r="E270" s="80" t="str">
        <f>VLOOKUP(名前リスト[[#This Row],[管理番号]],まとめ表_各店舗件数[[#All],[管理番号]:[合計件数]],4,FALSE)</f>
        <v/>
      </c>
      <c r="F270" s="111" t="str">
        <f>VLOOKUP(名前リスト[[#This Row],[管理番号]],まとめ表_各Aパターン件数[[#All],[管理番号]:[Aパターン]],4,FALSE)</f>
        <v/>
      </c>
      <c r="G270" s="131"/>
      <c r="H27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80">
        <v>1014</v>
      </c>
      <c r="B271" s="80"/>
      <c r="C271" s="80" t="s">
        <v>419</v>
      </c>
      <c r="D271" s="87" t="str">
        <f>VLOOKUP(名前リスト[[#This Row],[管理番号]],まとめ表_バック金額[[#All],[管理番号]:[バック金額合計]],4,FALSE)</f>
        <v/>
      </c>
      <c r="E271" s="80" t="str">
        <f>VLOOKUP(名前リスト[[#This Row],[管理番号]],まとめ表_各店舗件数[[#All],[管理番号]:[合計件数]],4,FALSE)</f>
        <v/>
      </c>
      <c r="F271" s="111" t="str">
        <f>VLOOKUP(名前リスト[[#This Row],[管理番号]],まとめ表_各Aパターン件数[[#All],[管理番号]:[Aパターン]],4,FALSE)</f>
        <v/>
      </c>
      <c r="G271" s="131"/>
      <c r="H27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80">
        <v>1015</v>
      </c>
      <c r="B272" s="80"/>
      <c r="C272" s="80" t="s">
        <v>420</v>
      </c>
      <c r="D272" s="87" t="str">
        <f>VLOOKUP(名前リスト[[#This Row],[管理番号]],まとめ表_バック金額[[#All],[管理番号]:[バック金額合計]],4,FALSE)</f>
        <v/>
      </c>
      <c r="E272" s="80" t="str">
        <f>VLOOKUP(名前リスト[[#This Row],[管理番号]],まとめ表_各店舗件数[[#All],[管理番号]:[合計件数]],4,FALSE)</f>
        <v/>
      </c>
      <c r="F272" s="111" t="str">
        <f>VLOOKUP(名前リスト[[#This Row],[管理番号]],まとめ表_各Aパターン件数[[#All],[管理番号]:[Aパターン]],4,FALSE)</f>
        <v/>
      </c>
      <c r="G272" s="131"/>
      <c r="H27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80">
        <v>1016</v>
      </c>
      <c r="B273" s="80"/>
      <c r="C273" s="80" t="s">
        <v>421</v>
      </c>
      <c r="D273" s="87" t="str">
        <f>VLOOKUP(名前リスト[[#This Row],[管理番号]],まとめ表_バック金額[[#All],[管理番号]:[バック金額合計]],4,FALSE)</f>
        <v/>
      </c>
      <c r="E273" s="80" t="str">
        <f>VLOOKUP(名前リスト[[#This Row],[管理番号]],まとめ表_各店舗件数[[#All],[管理番号]:[合計件数]],4,FALSE)</f>
        <v/>
      </c>
      <c r="F273" s="111" t="str">
        <f>VLOOKUP(名前リスト[[#This Row],[管理番号]],まとめ表_各Aパターン件数[[#All],[管理番号]:[Aパターン]],4,FALSE)</f>
        <v/>
      </c>
      <c r="G273" s="131"/>
      <c r="H27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80">
        <v>1017</v>
      </c>
      <c r="B274" s="80"/>
      <c r="C274" s="80" t="s">
        <v>422</v>
      </c>
      <c r="D274" s="87" t="str">
        <f>VLOOKUP(名前リスト[[#This Row],[管理番号]],まとめ表_バック金額[[#All],[管理番号]:[バック金額合計]],4,FALSE)</f>
        <v/>
      </c>
      <c r="E274" s="80" t="str">
        <f>VLOOKUP(名前リスト[[#This Row],[管理番号]],まとめ表_各店舗件数[[#All],[管理番号]:[合計件数]],4,FALSE)</f>
        <v/>
      </c>
      <c r="F274" s="111" t="str">
        <f>VLOOKUP(名前リスト[[#This Row],[管理番号]],まとめ表_各Aパターン件数[[#All],[管理番号]:[Aパターン]],4,FALSE)</f>
        <v/>
      </c>
      <c r="G274" s="131"/>
      <c r="H27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80">
        <v>1018</v>
      </c>
      <c r="B275" s="80"/>
      <c r="C275" s="80" t="s">
        <v>423</v>
      </c>
      <c r="D275" s="87" t="str">
        <f>VLOOKUP(名前リスト[[#This Row],[管理番号]],まとめ表_バック金額[[#All],[管理番号]:[バック金額合計]],4,FALSE)</f>
        <v/>
      </c>
      <c r="E275" s="80" t="str">
        <f>VLOOKUP(名前リスト[[#This Row],[管理番号]],まとめ表_各店舗件数[[#All],[管理番号]:[合計件数]],4,FALSE)</f>
        <v/>
      </c>
      <c r="F275" s="111" t="str">
        <f>VLOOKUP(名前リスト[[#This Row],[管理番号]],まとめ表_各Aパターン件数[[#All],[管理番号]:[Aパターン]],4,FALSE)</f>
        <v/>
      </c>
      <c r="G275" s="131"/>
      <c r="H27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80">
        <v>1019</v>
      </c>
      <c r="B276" s="80"/>
      <c r="C276" s="80" t="s">
        <v>424</v>
      </c>
      <c r="D276" s="87" t="str">
        <f>VLOOKUP(名前リスト[[#This Row],[管理番号]],まとめ表_バック金額[[#All],[管理番号]:[バック金額合計]],4,FALSE)</f>
        <v/>
      </c>
      <c r="E276" s="80" t="str">
        <f>VLOOKUP(名前リスト[[#This Row],[管理番号]],まとめ表_各店舗件数[[#All],[管理番号]:[合計件数]],4,FALSE)</f>
        <v/>
      </c>
      <c r="F276" s="111" t="str">
        <f>VLOOKUP(名前リスト[[#This Row],[管理番号]],まとめ表_各Aパターン件数[[#All],[管理番号]:[Aパターン]],4,FALSE)</f>
        <v/>
      </c>
      <c r="G276" s="131"/>
      <c r="H27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80">
        <v>1020</v>
      </c>
      <c r="B277" s="80"/>
      <c r="C277" s="80" t="s">
        <v>425</v>
      </c>
      <c r="D277" s="87" t="str">
        <f>VLOOKUP(名前リスト[[#This Row],[管理番号]],まとめ表_バック金額[[#All],[管理番号]:[バック金額合計]],4,FALSE)</f>
        <v/>
      </c>
      <c r="E277" s="80" t="str">
        <f>VLOOKUP(名前リスト[[#This Row],[管理番号]],まとめ表_各店舗件数[[#All],[管理番号]:[合計件数]],4,FALSE)</f>
        <v/>
      </c>
      <c r="F277" s="111" t="str">
        <f>VLOOKUP(名前リスト[[#This Row],[管理番号]],まとめ表_各Aパターン件数[[#All],[管理番号]:[Aパターン]],4,FALSE)</f>
        <v/>
      </c>
      <c r="G277" s="131"/>
      <c r="H27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80">
        <v>1021</v>
      </c>
      <c r="B278" s="80"/>
      <c r="C278" s="80" t="s">
        <v>426</v>
      </c>
      <c r="D278" s="87" t="str">
        <f>VLOOKUP(名前リスト[[#This Row],[管理番号]],まとめ表_バック金額[[#All],[管理番号]:[バック金額合計]],4,FALSE)</f>
        <v/>
      </c>
      <c r="E278" s="80" t="str">
        <f>VLOOKUP(名前リスト[[#This Row],[管理番号]],まとめ表_各店舗件数[[#All],[管理番号]:[合計件数]],4,FALSE)</f>
        <v/>
      </c>
      <c r="F278" s="111" t="str">
        <f>VLOOKUP(名前リスト[[#This Row],[管理番号]],まとめ表_各Aパターン件数[[#All],[管理番号]:[Aパターン]],4,FALSE)</f>
        <v/>
      </c>
      <c r="G278" s="131"/>
      <c r="H27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80">
        <v>1022</v>
      </c>
      <c r="B279" s="80"/>
      <c r="C279" s="80" t="s">
        <v>427</v>
      </c>
      <c r="D279" s="87" t="str">
        <f>VLOOKUP(名前リスト[[#This Row],[管理番号]],まとめ表_バック金額[[#All],[管理番号]:[バック金額合計]],4,FALSE)</f>
        <v/>
      </c>
      <c r="E279" s="80" t="str">
        <f>VLOOKUP(名前リスト[[#This Row],[管理番号]],まとめ表_各店舗件数[[#All],[管理番号]:[合計件数]],4,FALSE)</f>
        <v/>
      </c>
      <c r="F279" s="111" t="str">
        <f>VLOOKUP(名前リスト[[#This Row],[管理番号]],まとめ表_各Aパターン件数[[#All],[管理番号]:[Aパターン]],4,FALSE)</f>
        <v/>
      </c>
      <c r="G279" s="131"/>
      <c r="H27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80">
        <v>1023</v>
      </c>
      <c r="B280" s="80"/>
      <c r="C280" s="80" t="s">
        <v>428</v>
      </c>
      <c r="D280" s="87" t="str">
        <f>VLOOKUP(名前リスト[[#This Row],[管理番号]],まとめ表_バック金額[[#All],[管理番号]:[バック金額合計]],4,FALSE)</f>
        <v/>
      </c>
      <c r="E280" s="80" t="str">
        <f>VLOOKUP(名前リスト[[#This Row],[管理番号]],まとめ表_各店舗件数[[#All],[管理番号]:[合計件数]],4,FALSE)</f>
        <v/>
      </c>
      <c r="F280" s="111" t="str">
        <f>VLOOKUP(名前リスト[[#This Row],[管理番号]],まとめ表_各Aパターン件数[[#All],[管理番号]:[Aパターン]],4,FALSE)</f>
        <v/>
      </c>
      <c r="G280" s="131"/>
      <c r="H28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80">
        <v>1024</v>
      </c>
      <c r="B281" s="80"/>
      <c r="C281" s="80" t="s">
        <v>429</v>
      </c>
      <c r="D281" s="87" t="str">
        <f>VLOOKUP(名前リスト[[#This Row],[管理番号]],まとめ表_バック金額[[#All],[管理番号]:[バック金額合計]],4,FALSE)</f>
        <v/>
      </c>
      <c r="E281" s="80" t="str">
        <f>VLOOKUP(名前リスト[[#This Row],[管理番号]],まとめ表_各店舗件数[[#All],[管理番号]:[合計件数]],4,FALSE)</f>
        <v/>
      </c>
      <c r="F281" s="111" t="str">
        <f>VLOOKUP(名前リスト[[#This Row],[管理番号]],まとめ表_各Aパターン件数[[#All],[管理番号]:[Aパターン]],4,FALSE)</f>
        <v/>
      </c>
      <c r="G281" s="131"/>
      <c r="H28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80">
        <v>1025</v>
      </c>
      <c r="B282" s="80"/>
      <c r="C282" s="80" t="s">
        <v>430</v>
      </c>
      <c r="D282" s="87" t="str">
        <f>VLOOKUP(名前リスト[[#This Row],[管理番号]],まとめ表_バック金額[[#All],[管理番号]:[バック金額合計]],4,FALSE)</f>
        <v/>
      </c>
      <c r="E282" s="80" t="str">
        <f>VLOOKUP(名前リスト[[#This Row],[管理番号]],まとめ表_各店舗件数[[#All],[管理番号]:[合計件数]],4,FALSE)</f>
        <v/>
      </c>
      <c r="F282" s="111" t="str">
        <f>VLOOKUP(名前リスト[[#This Row],[管理番号]],まとめ表_各Aパターン件数[[#All],[管理番号]:[Aパターン]],4,FALSE)</f>
        <v/>
      </c>
      <c r="G282" s="131"/>
      <c r="H28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80">
        <v>1026</v>
      </c>
      <c r="B283" s="80"/>
      <c r="C283" s="80" t="s">
        <v>431</v>
      </c>
      <c r="D283" s="87" t="str">
        <f>VLOOKUP(名前リスト[[#This Row],[管理番号]],まとめ表_バック金額[[#All],[管理番号]:[バック金額合計]],4,FALSE)</f>
        <v/>
      </c>
      <c r="E283" s="80" t="str">
        <f>VLOOKUP(名前リスト[[#This Row],[管理番号]],まとめ表_各店舗件数[[#All],[管理番号]:[合計件数]],4,FALSE)</f>
        <v/>
      </c>
      <c r="F283" s="111" t="str">
        <f>VLOOKUP(名前リスト[[#This Row],[管理番号]],まとめ表_各Aパターン件数[[#All],[管理番号]:[Aパターン]],4,FALSE)</f>
        <v/>
      </c>
      <c r="G283" s="131"/>
      <c r="H28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80">
        <v>1027</v>
      </c>
      <c r="B284" s="80"/>
      <c r="C284" s="80" t="s">
        <v>432</v>
      </c>
      <c r="D284" s="87" t="str">
        <f>VLOOKUP(名前リスト[[#This Row],[管理番号]],まとめ表_バック金額[[#All],[管理番号]:[バック金額合計]],4,FALSE)</f>
        <v/>
      </c>
      <c r="E284" s="80" t="str">
        <f>VLOOKUP(名前リスト[[#This Row],[管理番号]],まとめ表_各店舗件数[[#All],[管理番号]:[合計件数]],4,FALSE)</f>
        <v/>
      </c>
      <c r="F284" s="111" t="str">
        <f>VLOOKUP(名前リスト[[#This Row],[管理番号]],まとめ表_各Aパターン件数[[#All],[管理番号]:[Aパターン]],4,FALSE)</f>
        <v/>
      </c>
      <c r="G284" s="131"/>
      <c r="H28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80">
        <v>1028</v>
      </c>
      <c r="B285" s="80"/>
      <c r="C285" s="80" t="s">
        <v>433</v>
      </c>
      <c r="D285" s="87" t="str">
        <f>VLOOKUP(名前リスト[[#This Row],[管理番号]],まとめ表_バック金額[[#All],[管理番号]:[バック金額合計]],4,FALSE)</f>
        <v/>
      </c>
      <c r="E285" s="80" t="str">
        <f>VLOOKUP(名前リスト[[#This Row],[管理番号]],まとめ表_各店舗件数[[#All],[管理番号]:[合計件数]],4,FALSE)</f>
        <v/>
      </c>
      <c r="F285" s="111" t="str">
        <f>VLOOKUP(名前リスト[[#This Row],[管理番号]],まとめ表_各Aパターン件数[[#All],[管理番号]:[Aパターン]],4,FALSE)</f>
        <v/>
      </c>
      <c r="G285" s="131"/>
      <c r="H28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80">
        <v>1029</v>
      </c>
      <c r="B286" s="80"/>
      <c r="C286" s="80" t="s">
        <v>434</v>
      </c>
      <c r="D286" s="87" t="str">
        <f>VLOOKUP(名前リスト[[#This Row],[管理番号]],まとめ表_バック金額[[#All],[管理番号]:[バック金額合計]],4,FALSE)</f>
        <v/>
      </c>
      <c r="E286" s="80" t="str">
        <f>VLOOKUP(名前リスト[[#This Row],[管理番号]],まとめ表_各店舗件数[[#All],[管理番号]:[合計件数]],4,FALSE)</f>
        <v/>
      </c>
      <c r="F286" s="111" t="str">
        <f>VLOOKUP(名前リスト[[#This Row],[管理番号]],まとめ表_各Aパターン件数[[#All],[管理番号]:[Aパターン]],4,FALSE)</f>
        <v/>
      </c>
      <c r="G286" s="131"/>
      <c r="H28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80">
        <v>1030</v>
      </c>
      <c r="B287" s="80"/>
      <c r="C287" s="80" t="s">
        <v>435</v>
      </c>
      <c r="D287" s="87" t="str">
        <f>VLOOKUP(名前リスト[[#This Row],[管理番号]],まとめ表_バック金額[[#All],[管理番号]:[バック金額合計]],4,FALSE)</f>
        <v/>
      </c>
      <c r="E287" s="80" t="str">
        <f>VLOOKUP(名前リスト[[#This Row],[管理番号]],まとめ表_各店舗件数[[#All],[管理番号]:[合計件数]],4,FALSE)</f>
        <v/>
      </c>
      <c r="F287" s="111" t="str">
        <f>VLOOKUP(名前リスト[[#This Row],[管理番号]],まとめ表_各Aパターン件数[[#All],[管理番号]:[Aパターン]],4,FALSE)</f>
        <v/>
      </c>
      <c r="G287" s="131"/>
      <c r="H28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80">
        <v>1031</v>
      </c>
      <c r="B288" s="80"/>
      <c r="C288" s="80" t="s">
        <v>436</v>
      </c>
      <c r="D288" s="87" t="str">
        <f>VLOOKUP(名前リスト[[#This Row],[管理番号]],まとめ表_バック金額[[#All],[管理番号]:[バック金額合計]],4,FALSE)</f>
        <v/>
      </c>
      <c r="E288" s="80" t="str">
        <f>VLOOKUP(名前リスト[[#This Row],[管理番号]],まとめ表_各店舗件数[[#All],[管理番号]:[合計件数]],4,FALSE)</f>
        <v/>
      </c>
      <c r="F288" s="111" t="str">
        <f>VLOOKUP(名前リスト[[#This Row],[管理番号]],まとめ表_各Aパターン件数[[#All],[管理番号]:[Aパターン]],4,FALSE)</f>
        <v/>
      </c>
      <c r="G288" s="131"/>
      <c r="H28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80">
        <v>1032</v>
      </c>
      <c r="B289" s="80"/>
      <c r="C289" s="80" t="s">
        <v>437</v>
      </c>
      <c r="D289" s="87" t="str">
        <f>VLOOKUP(名前リスト[[#This Row],[管理番号]],まとめ表_バック金額[[#All],[管理番号]:[バック金額合計]],4,FALSE)</f>
        <v/>
      </c>
      <c r="E289" s="80" t="str">
        <f>VLOOKUP(名前リスト[[#This Row],[管理番号]],まとめ表_各店舗件数[[#All],[管理番号]:[合計件数]],4,FALSE)</f>
        <v/>
      </c>
      <c r="F289" s="111" t="str">
        <f>VLOOKUP(名前リスト[[#This Row],[管理番号]],まとめ表_各Aパターン件数[[#All],[管理番号]:[Aパターン]],4,FALSE)</f>
        <v/>
      </c>
      <c r="G289" s="131"/>
      <c r="H28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80">
        <v>1033</v>
      </c>
      <c r="B290" s="80"/>
      <c r="C290" s="80" t="s">
        <v>438</v>
      </c>
      <c r="D290" s="87" t="str">
        <f>VLOOKUP(名前リスト[[#This Row],[管理番号]],まとめ表_バック金額[[#All],[管理番号]:[バック金額合計]],4,FALSE)</f>
        <v/>
      </c>
      <c r="E290" s="80" t="str">
        <f>VLOOKUP(名前リスト[[#This Row],[管理番号]],まとめ表_各店舗件数[[#All],[管理番号]:[合計件数]],4,FALSE)</f>
        <v/>
      </c>
      <c r="F290" s="111" t="str">
        <f>VLOOKUP(名前リスト[[#This Row],[管理番号]],まとめ表_各Aパターン件数[[#All],[管理番号]:[Aパターン]],4,FALSE)</f>
        <v/>
      </c>
      <c r="G290" s="131"/>
      <c r="H29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80">
        <v>1034</v>
      </c>
      <c r="B291" s="80"/>
      <c r="C291" s="80" t="s">
        <v>439</v>
      </c>
      <c r="D291" s="87" t="str">
        <f>VLOOKUP(名前リスト[[#This Row],[管理番号]],まとめ表_バック金額[[#All],[管理番号]:[バック金額合計]],4,FALSE)</f>
        <v/>
      </c>
      <c r="E291" s="80" t="str">
        <f>VLOOKUP(名前リスト[[#This Row],[管理番号]],まとめ表_各店舗件数[[#All],[管理番号]:[合計件数]],4,FALSE)</f>
        <v/>
      </c>
      <c r="F291" s="111" t="str">
        <f>VLOOKUP(名前リスト[[#This Row],[管理番号]],まとめ表_各Aパターン件数[[#All],[管理番号]:[Aパターン]],4,FALSE)</f>
        <v/>
      </c>
      <c r="G291" s="131"/>
      <c r="H29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80">
        <v>1035</v>
      </c>
      <c r="B292" s="80"/>
      <c r="C292" s="80" t="s">
        <v>440</v>
      </c>
      <c r="D292" s="87" t="str">
        <f>VLOOKUP(名前リスト[[#This Row],[管理番号]],まとめ表_バック金額[[#All],[管理番号]:[バック金額合計]],4,FALSE)</f>
        <v/>
      </c>
      <c r="E292" s="80" t="str">
        <f>VLOOKUP(名前リスト[[#This Row],[管理番号]],まとめ表_各店舗件数[[#All],[管理番号]:[合計件数]],4,FALSE)</f>
        <v/>
      </c>
      <c r="F292" s="111" t="str">
        <f>VLOOKUP(名前リスト[[#This Row],[管理番号]],まとめ表_各Aパターン件数[[#All],[管理番号]:[Aパターン]],4,FALSE)</f>
        <v/>
      </c>
      <c r="G292" s="131"/>
      <c r="H29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80">
        <v>1036</v>
      </c>
      <c r="B293" s="80"/>
      <c r="C293" s="130" t="s">
        <v>498</v>
      </c>
      <c r="D293" s="87" t="str">
        <f>VLOOKUP(名前リスト[[#This Row],[管理番号]],まとめ表_バック金額[[#All],[管理番号]:[バック金額合計]],4,FALSE)</f>
        <v/>
      </c>
      <c r="E293" s="80" t="str">
        <f>VLOOKUP(名前リスト[[#This Row],[管理番号]],まとめ表_各店舗件数[[#All],[管理番号]:[合計件数]],4,FALSE)</f>
        <v/>
      </c>
      <c r="F293" s="111" t="str">
        <f>VLOOKUP(名前リスト[[#This Row],[管理番号]],まとめ表_各Aパターン件数[[#All],[管理番号]:[Aパターン]],4,FALSE)</f>
        <v/>
      </c>
      <c r="G293" s="131"/>
      <c r="H29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80">
        <v>1037</v>
      </c>
      <c r="B294" s="80"/>
      <c r="C294" s="80" t="s">
        <v>441</v>
      </c>
      <c r="D294" s="87" t="str">
        <f>VLOOKUP(名前リスト[[#This Row],[管理番号]],まとめ表_バック金額[[#All],[管理番号]:[バック金額合計]],4,FALSE)</f>
        <v/>
      </c>
      <c r="E294" s="80" t="str">
        <f>VLOOKUP(名前リスト[[#This Row],[管理番号]],まとめ表_各店舗件数[[#All],[管理番号]:[合計件数]],4,FALSE)</f>
        <v/>
      </c>
      <c r="F294" s="111" t="str">
        <f>VLOOKUP(名前リスト[[#This Row],[管理番号]],まとめ表_各Aパターン件数[[#All],[管理番号]:[Aパターン]],4,FALSE)</f>
        <v/>
      </c>
      <c r="G294" s="131"/>
      <c r="H29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80">
        <v>1038</v>
      </c>
      <c r="B295" s="80"/>
      <c r="C295" s="80" t="s">
        <v>442</v>
      </c>
      <c r="D295" s="87" t="str">
        <f>VLOOKUP(名前リスト[[#This Row],[管理番号]],まとめ表_バック金額[[#All],[管理番号]:[バック金額合計]],4,FALSE)</f>
        <v/>
      </c>
      <c r="E295" s="80" t="str">
        <f>VLOOKUP(名前リスト[[#This Row],[管理番号]],まとめ表_各店舗件数[[#All],[管理番号]:[合計件数]],4,FALSE)</f>
        <v/>
      </c>
      <c r="F295" s="111" t="str">
        <f>VLOOKUP(名前リスト[[#This Row],[管理番号]],まとめ表_各Aパターン件数[[#All],[管理番号]:[Aパターン]],4,FALSE)</f>
        <v/>
      </c>
      <c r="G295" s="131"/>
      <c r="H29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80">
        <v>1039</v>
      </c>
      <c r="B296" s="80"/>
      <c r="C296" s="80" t="s">
        <v>443</v>
      </c>
      <c r="D296" s="87" t="str">
        <f>VLOOKUP(名前リスト[[#This Row],[管理番号]],まとめ表_バック金額[[#All],[管理番号]:[バック金額合計]],4,FALSE)</f>
        <v/>
      </c>
      <c r="E296" s="80" t="str">
        <f>VLOOKUP(名前リスト[[#This Row],[管理番号]],まとめ表_各店舗件数[[#All],[管理番号]:[合計件数]],4,FALSE)</f>
        <v/>
      </c>
      <c r="F296" s="111" t="str">
        <f>VLOOKUP(名前リスト[[#This Row],[管理番号]],まとめ表_各Aパターン件数[[#All],[管理番号]:[Aパターン]],4,FALSE)</f>
        <v/>
      </c>
      <c r="G296" s="131"/>
      <c r="H29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80">
        <v>1040</v>
      </c>
      <c r="B297" s="80"/>
      <c r="C297" s="80" t="s">
        <v>444</v>
      </c>
      <c r="D297" s="87" t="str">
        <f>VLOOKUP(名前リスト[[#This Row],[管理番号]],まとめ表_バック金額[[#All],[管理番号]:[バック金額合計]],4,FALSE)</f>
        <v/>
      </c>
      <c r="E297" s="80" t="str">
        <f>VLOOKUP(名前リスト[[#This Row],[管理番号]],まとめ表_各店舗件数[[#All],[管理番号]:[合計件数]],4,FALSE)</f>
        <v/>
      </c>
      <c r="F297" s="111" t="str">
        <f>VLOOKUP(名前リスト[[#This Row],[管理番号]],まとめ表_各Aパターン件数[[#All],[管理番号]:[Aパターン]],4,FALSE)</f>
        <v/>
      </c>
      <c r="G297" s="131"/>
      <c r="H29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80">
        <v>1041</v>
      </c>
      <c r="B298" s="80"/>
      <c r="C298" s="80" t="s">
        <v>445</v>
      </c>
      <c r="D298" s="87" t="str">
        <f>VLOOKUP(名前リスト[[#This Row],[管理番号]],まとめ表_バック金額[[#All],[管理番号]:[バック金額合計]],4,FALSE)</f>
        <v/>
      </c>
      <c r="E298" s="80" t="str">
        <f>VLOOKUP(名前リスト[[#This Row],[管理番号]],まとめ表_各店舗件数[[#All],[管理番号]:[合計件数]],4,FALSE)</f>
        <v/>
      </c>
      <c r="F298" s="111" t="str">
        <f>VLOOKUP(名前リスト[[#This Row],[管理番号]],まとめ表_各Aパターン件数[[#All],[管理番号]:[Aパターン]],4,FALSE)</f>
        <v/>
      </c>
      <c r="G298" s="131"/>
      <c r="H29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80">
        <v>1042</v>
      </c>
      <c r="B299" s="80"/>
      <c r="C299" s="80" t="s">
        <v>446</v>
      </c>
      <c r="D299" s="87" t="str">
        <f>VLOOKUP(名前リスト[[#This Row],[管理番号]],まとめ表_バック金額[[#All],[管理番号]:[バック金額合計]],4,FALSE)</f>
        <v/>
      </c>
      <c r="E299" s="80" t="str">
        <f>VLOOKUP(名前リスト[[#This Row],[管理番号]],まとめ表_各店舗件数[[#All],[管理番号]:[合計件数]],4,FALSE)</f>
        <v/>
      </c>
      <c r="F299" s="111" t="str">
        <f>VLOOKUP(名前リスト[[#This Row],[管理番号]],まとめ表_各Aパターン件数[[#All],[管理番号]:[Aパターン]],4,FALSE)</f>
        <v/>
      </c>
      <c r="G299" s="131"/>
      <c r="H29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80">
        <v>1043</v>
      </c>
      <c r="B300" s="80"/>
      <c r="C300" s="80" t="s">
        <v>447</v>
      </c>
      <c r="D300" s="87" t="str">
        <f>VLOOKUP(名前リスト[[#This Row],[管理番号]],まとめ表_バック金額[[#All],[管理番号]:[バック金額合計]],4,FALSE)</f>
        <v/>
      </c>
      <c r="E300" s="80" t="str">
        <f>VLOOKUP(名前リスト[[#This Row],[管理番号]],まとめ表_各店舗件数[[#All],[管理番号]:[合計件数]],4,FALSE)</f>
        <v/>
      </c>
      <c r="F300" s="111" t="str">
        <f>VLOOKUP(名前リスト[[#This Row],[管理番号]],まとめ表_各Aパターン件数[[#All],[管理番号]:[Aパターン]],4,FALSE)</f>
        <v/>
      </c>
      <c r="G300" s="131"/>
      <c r="H30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80">
        <v>1044</v>
      </c>
      <c r="B301" s="80"/>
      <c r="C301" s="80" t="s">
        <v>448</v>
      </c>
      <c r="D301" s="87" t="str">
        <f>VLOOKUP(名前リスト[[#This Row],[管理番号]],まとめ表_バック金額[[#All],[管理番号]:[バック金額合計]],4,FALSE)</f>
        <v/>
      </c>
      <c r="E301" s="80" t="str">
        <f>VLOOKUP(名前リスト[[#This Row],[管理番号]],まとめ表_各店舗件数[[#All],[管理番号]:[合計件数]],4,FALSE)</f>
        <v/>
      </c>
      <c r="F301" s="111" t="str">
        <f>VLOOKUP(名前リスト[[#This Row],[管理番号]],まとめ表_各Aパターン件数[[#All],[管理番号]:[Aパターン]],4,FALSE)</f>
        <v/>
      </c>
      <c r="G301" s="131"/>
      <c r="H30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80">
        <v>1045</v>
      </c>
      <c r="B302" s="80"/>
      <c r="C302" s="80" t="s">
        <v>449</v>
      </c>
      <c r="D302" s="87" t="str">
        <f>VLOOKUP(名前リスト[[#This Row],[管理番号]],まとめ表_バック金額[[#All],[管理番号]:[バック金額合計]],4,FALSE)</f>
        <v/>
      </c>
      <c r="E302" s="80" t="str">
        <f>VLOOKUP(名前リスト[[#This Row],[管理番号]],まとめ表_各店舗件数[[#All],[管理番号]:[合計件数]],4,FALSE)</f>
        <v/>
      </c>
      <c r="F302" s="111" t="str">
        <f>VLOOKUP(名前リスト[[#This Row],[管理番号]],まとめ表_各Aパターン件数[[#All],[管理番号]:[Aパターン]],4,FALSE)</f>
        <v/>
      </c>
      <c r="G302" s="131"/>
      <c r="H30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80">
        <v>1046</v>
      </c>
      <c r="B303" s="80"/>
      <c r="C303" s="80" t="s">
        <v>450</v>
      </c>
      <c r="D303" s="87" t="str">
        <f>VLOOKUP(名前リスト[[#This Row],[管理番号]],まとめ表_バック金額[[#All],[管理番号]:[バック金額合計]],4,FALSE)</f>
        <v/>
      </c>
      <c r="E303" s="80" t="str">
        <f>VLOOKUP(名前リスト[[#This Row],[管理番号]],まとめ表_各店舗件数[[#All],[管理番号]:[合計件数]],4,FALSE)</f>
        <v/>
      </c>
      <c r="F303" s="111" t="str">
        <f>VLOOKUP(名前リスト[[#This Row],[管理番号]],まとめ表_各Aパターン件数[[#All],[管理番号]:[Aパターン]],4,FALSE)</f>
        <v/>
      </c>
      <c r="G303" s="131"/>
      <c r="H30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80">
        <v>1047</v>
      </c>
      <c r="B304" s="80"/>
      <c r="C304" s="80" t="s">
        <v>451</v>
      </c>
      <c r="D304" s="87" t="str">
        <f>VLOOKUP(名前リスト[[#This Row],[管理番号]],まとめ表_バック金額[[#All],[管理番号]:[バック金額合計]],4,FALSE)</f>
        <v/>
      </c>
      <c r="E304" s="80" t="str">
        <f>VLOOKUP(名前リスト[[#This Row],[管理番号]],まとめ表_各店舗件数[[#All],[管理番号]:[合計件数]],4,FALSE)</f>
        <v/>
      </c>
      <c r="F304" s="111" t="str">
        <f>VLOOKUP(名前リスト[[#This Row],[管理番号]],まとめ表_各Aパターン件数[[#All],[管理番号]:[Aパターン]],4,FALSE)</f>
        <v/>
      </c>
      <c r="G304" s="131"/>
      <c r="H30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80">
        <v>1048</v>
      </c>
      <c r="B305" s="80"/>
      <c r="C305" s="80" t="s">
        <v>452</v>
      </c>
      <c r="D305" s="87" t="str">
        <f>VLOOKUP(名前リスト[[#This Row],[管理番号]],まとめ表_バック金額[[#All],[管理番号]:[バック金額合計]],4,FALSE)</f>
        <v/>
      </c>
      <c r="E305" s="80" t="str">
        <f>VLOOKUP(名前リスト[[#This Row],[管理番号]],まとめ表_各店舗件数[[#All],[管理番号]:[合計件数]],4,FALSE)</f>
        <v/>
      </c>
      <c r="F305" s="111" t="str">
        <f>VLOOKUP(名前リスト[[#This Row],[管理番号]],まとめ表_各Aパターン件数[[#All],[管理番号]:[Aパターン]],4,FALSE)</f>
        <v/>
      </c>
      <c r="G305" s="131"/>
      <c r="H30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80">
        <v>1049</v>
      </c>
      <c r="B306" s="80"/>
      <c r="C306" s="80" t="s">
        <v>453</v>
      </c>
      <c r="D306" s="87" t="str">
        <f>VLOOKUP(名前リスト[[#This Row],[管理番号]],まとめ表_バック金額[[#All],[管理番号]:[バック金額合計]],4,FALSE)</f>
        <v/>
      </c>
      <c r="E306" s="80" t="str">
        <f>VLOOKUP(名前リスト[[#This Row],[管理番号]],まとめ表_各店舗件数[[#All],[管理番号]:[合計件数]],4,FALSE)</f>
        <v/>
      </c>
      <c r="F306" s="111" t="str">
        <f>VLOOKUP(名前リスト[[#This Row],[管理番号]],まとめ表_各Aパターン件数[[#All],[管理番号]:[Aパターン]],4,FALSE)</f>
        <v/>
      </c>
      <c r="G306" s="131"/>
      <c r="H30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80">
        <v>1050</v>
      </c>
      <c r="B307" s="80"/>
      <c r="C307" s="80" t="s">
        <v>454</v>
      </c>
      <c r="D307" s="87" t="str">
        <f>VLOOKUP(名前リスト[[#This Row],[管理番号]],まとめ表_バック金額[[#All],[管理番号]:[バック金額合計]],4,FALSE)</f>
        <v/>
      </c>
      <c r="E307" s="80" t="str">
        <f>VLOOKUP(名前リスト[[#This Row],[管理番号]],まとめ表_各店舗件数[[#All],[管理番号]:[合計件数]],4,FALSE)</f>
        <v/>
      </c>
      <c r="F307" s="111" t="str">
        <f>VLOOKUP(名前リスト[[#This Row],[管理番号]],まとめ表_各Aパターン件数[[#All],[管理番号]:[Aパターン]],4,FALSE)</f>
        <v/>
      </c>
      <c r="G307" s="131"/>
      <c r="H30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80">
        <v>1051</v>
      </c>
      <c r="B308" s="80"/>
      <c r="C308" s="80" t="s">
        <v>455</v>
      </c>
      <c r="D308" s="87" t="str">
        <f>VLOOKUP(名前リスト[[#This Row],[管理番号]],まとめ表_バック金額[[#All],[管理番号]:[バック金額合計]],4,FALSE)</f>
        <v/>
      </c>
      <c r="E308" s="80" t="str">
        <f>VLOOKUP(名前リスト[[#This Row],[管理番号]],まとめ表_各店舗件数[[#All],[管理番号]:[合計件数]],4,FALSE)</f>
        <v/>
      </c>
      <c r="F308" s="111" t="str">
        <f>VLOOKUP(名前リスト[[#This Row],[管理番号]],まとめ表_各Aパターン件数[[#All],[管理番号]:[Aパターン]],4,FALSE)</f>
        <v/>
      </c>
      <c r="G308" s="131"/>
      <c r="H30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80">
        <v>1052</v>
      </c>
      <c r="B309" s="80"/>
      <c r="C309" s="80" t="s">
        <v>456</v>
      </c>
      <c r="D309" s="87" t="str">
        <f>VLOOKUP(名前リスト[[#This Row],[管理番号]],まとめ表_バック金額[[#All],[管理番号]:[バック金額合計]],4,FALSE)</f>
        <v/>
      </c>
      <c r="E309" s="80" t="str">
        <f>VLOOKUP(名前リスト[[#This Row],[管理番号]],まとめ表_各店舗件数[[#All],[管理番号]:[合計件数]],4,FALSE)</f>
        <v/>
      </c>
      <c r="F309" s="111" t="str">
        <f>VLOOKUP(名前リスト[[#This Row],[管理番号]],まとめ表_各Aパターン件数[[#All],[管理番号]:[Aパターン]],4,FALSE)</f>
        <v/>
      </c>
      <c r="G309" s="131"/>
      <c r="H30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80">
        <v>1053</v>
      </c>
      <c r="B310" s="80"/>
      <c r="C310" s="80" t="s">
        <v>457</v>
      </c>
      <c r="D310" s="87" t="str">
        <f>VLOOKUP(名前リスト[[#This Row],[管理番号]],まとめ表_バック金額[[#All],[管理番号]:[バック金額合計]],4,FALSE)</f>
        <v/>
      </c>
      <c r="E310" s="80" t="str">
        <f>VLOOKUP(名前リスト[[#This Row],[管理番号]],まとめ表_各店舗件数[[#All],[管理番号]:[合計件数]],4,FALSE)</f>
        <v/>
      </c>
      <c r="F310" s="111" t="str">
        <f>VLOOKUP(名前リスト[[#This Row],[管理番号]],まとめ表_各Aパターン件数[[#All],[管理番号]:[Aパターン]],4,FALSE)</f>
        <v/>
      </c>
      <c r="G310" s="131"/>
      <c r="H3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80">
        <v>1054</v>
      </c>
      <c r="B311" s="80"/>
      <c r="C311" s="80" t="s">
        <v>458</v>
      </c>
      <c r="D311" s="87" t="str">
        <f>VLOOKUP(名前リスト[[#This Row],[管理番号]],まとめ表_バック金額[[#All],[管理番号]:[バック金額合計]],4,FALSE)</f>
        <v/>
      </c>
      <c r="E311" s="80" t="str">
        <f>VLOOKUP(名前リスト[[#This Row],[管理番号]],まとめ表_各店舗件数[[#All],[管理番号]:[合計件数]],4,FALSE)</f>
        <v/>
      </c>
      <c r="F311" s="111" t="str">
        <f>VLOOKUP(名前リスト[[#This Row],[管理番号]],まとめ表_各Aパターン件数[[#All],[管理番号]:[Aパターン]],4,FALSE)</f>
        <v/>
      </c>
      <c r="G311" s="131"/>
      <c r="H3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80">
        <v>1055</v>
      </c>
      <c r="B312" s="80"/>
      <c r="C312" s="80" t="s">
        <v>459</v>
      </c>
      <c r="D312" s="87" t="str">
        <f>VLOOKUP(名前リスト[[#This Row],[管理番号]],まとめ表_バック金額[[#All],[管理番号]:[バック金額合計]],4,FALSE)</f>
        <v/>
      </c>
      <c r="E312" s="80" t="str">
        <f>VLOOKUP(名前リスト[[#This Row],[管理番号]],まとめ表_各店舗件数[[#All],[管理番号]:[合計件数]],4,FALSE)</f>
        <v/>
      </c>
      <c r="F312" s="111" t="str">
        <f>VLOOKUP(名前リスト[[#This Row],[管理番号]],まとめ表_各Aパターン件数[[#All],[管理番号]:[Aパターン]],4,FALSE)</f>
        <v/>
      </c>
      <c r="G312" s="131"/>
      <c r="H3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80">
        <v>1056</v>
      </c>
      <c r="B313" s="80"/>
      <c r="C313" s="80" t="s">
        <v>460</v>
      </c>
      <c r="D313" s="87" t="str">
        <f>VLOOKUP(名前リスト[[#This Row],[管理番号]],まとめ表_バック金額[[#All],[管理番号]:[バック金額合計]],4,FALSE)</f>
        <v/>
      </c>
      <c r="E313" s="80" t="str">
        <f>VLOOKUP(名前リスト[[#This Row],[管理番号]],まとめ表_各店舗件数[[#All],[管理番号]:[合計件数]],4,FALSE)</f>
        <v/>
      </c>
      <c r="F313" s="111" t="str">
        <f>VLOOKUP(名前リスト[[#This Row],[管理番号]],まとめ表_各Aパターン件数[[#All],[管理番号]:[Aパターン]],4,FALSE)</f>
        <v/>
      </c>
      <c r="G313" s="131"/>
      <c r="H3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80">
        <v>1057</v>
      </c>
      <c r="B314" s="80"/>
      <c r="C314" s="80" t="s">
        <v>461</v>
      </c>
      <c r="D314" s="87" t="str">
        <f>VLOOKUP(名前リスト[[#This Row],[管理番号]],まとめ表_バック金額[[#All],[管理番号]:[バック金額合計]],4,FALSE)</f>
        <v/>
      </c>
      <c r="E314" s="80" t="str">
        <f>VLOOKUP(名前リスト[[#This Row],[管理番号]],まとめ表_各店舗件数[[#All],[管理番号]:[合計件数]],4,FALSE)</f>
        <v/>
      </c>
      <c r="F314" s="111" t="str">
        <f>VLOOKUP(名前リスト[[#This Row],[管理番号]],まとめ表_各Aパターン件数[[#All],[管理番号]:[Aパターン]],4,FALSE)</f>
        <v/>
      </c>
      <c r="G314" s="131"/>
      <c r="H3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80">
        <v>1058</v>
      </c>
      <c r="B315" s="80"/>
      <c r="C315" s="80" t="s">
        <v>462</v>
      </c>
      <c r="D315" s="87" t="str">
        <f>VLOOKUP(名前リスト[[#This Row],[管理番号]],まとめ表_バック金額[[#All],[管理番号]:[バック金額合計]],4,FALSE)</f>
        <v/>
      </c>
      <c r="E315" s="80" t="str">
        <f>VLOOKUP(名前リスト[[#This Row],[管理番号]],まとめ表_各店舗件数[[#All],[管理番号]:[合計件数]],4,FALSE)</f>
        <v/>
      </c>
      <c r="F315" s="111" t="str">
        <f>VLOOKUP(名前リスト[[#This Row],[管理番号]],まとめ表_各Aパターン件数[[#All],[管理番号]:[Aパターン]],4,FALSE)</f>
        <v/>
      </c>
      <c r="G315" s="131"/>
      <c r="H3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80">
        <v>1059</v>
      </c>
      <c r="B316" s="80"/>
      <c r="C316" s="80" t="s">
        <v>463</v>
      </c>
      <c r="D316" s="87" t="str">
        <f>VLOOKUP(名前リスト[[#This Row],[管理番号]],まとめ表_バック金額[[#All],[管理番号]:[バック金額合計]],4,FALSE)</f>
        <v/>
      </c>
      <c r="E316" s="80" t="str">
        <f>VLOOKUP(名前リスト[[#This Row],[管理番号]],まとめ表_各店舗件数[[#All],[管理番号]:[合計件数]],4,FALSE)</f>
        <v/>
      </c>
      <c r="F316" s="111" t="str">
        <f>VLOOKUP(名前リスト[[#This Row],[管理番号]],まとめ表_各Aパターン件数[[#All],[管理番号]:[Aパターン]],4,FALSE)</f>
        <v/>
      </c>
      <c r="G316" s="131"/>
      <c r="H3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80">
        <v>1060</v>
      </c>
      <c r="B317" s="80"/>
      <c r="C317" s="80" t="s">
        <v>464</v>
      </c>
      <c r="D317" s="87" t="str">
        <f>VLOOKUP(名前リスト[[#This Row],[管理番号]],まとめ表_バック金額[[#All],[管理番号]:[バック金額合計]],4,FALSE)</f>
        <v/>
      </c>
      <c r="E317" s="80" t="str">
        <f>VLOOKUP(名前リスト[[#This Row],[管理番号]],まとめ表_各店舗件数[[#All],[管理番号]:[合計件数]],4,FALSE)</f>
        <v/>
      </c>
      <c r="F317" s="111" t="str">
        <f>VLOOKUP(名前リスト[[#This Row],[管理番号]],まとめ表_各Aパターン件数[[#All],[管理番号]:[Aパターン]],4,FALSE)</f>
        <v/>
      </c>
      <c r="G317" s="131"/>
      <c r="H3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80">
        <v>1061</v>
      </c>
      <c r="B318" s="80"/>
      <c r="C318" s="80" t="s">
        <v>465</v>
      </c>
      <c r="D318" s="87" t="str">
        <f>VLOOKUP(名前リスト[[#This Row],[管理番号]],まとめ表_バック金額[[#All],[管理番号]:[バック金額合計]],4,FALSE)</f>
        <v/>
      </c>
      <c r="E318" s="80" t="str">
        <f>VLOOKUP(名前リスト[[#This Row],[管理番号]],まとめ表_各店舗件数[[#All],[管理番号]:[合計件数]],4,FALSE)</f>
        <v/>
      </c>
      <c r="F318" s="111" t="str">
        <f>VLOOKUP(名前リスト[[#This Row],[管理番号]],まとめ表_各Aパターン件数[[#All],[管理番号]:[Aパターン]],4,FALSE)</f>
        <v/>
      </c>
      <c r="G318" s="131"/>
      <c r="H3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80">
        <v>1062</v>
      </c>
      <c r="B319" s="80"/>
      <c r="C319" s="80" t="s">
        <v>466</v>
      </c>
      <c r="D319" s="87" t="str">
        <f>VLOOKUP(名前リスト[[#This Row],[管理番号]],まとめ表_バック金額[[#All],[管理番号]:[バック金額合計]],4,FALSE)</f>
        <v/>
      </c>
      <c r="E319" s="80" t="str">
        <f>VLOOKUP(名前リスト[[#This Row],[管理番号]],まとめ表_各店舗件数[[#All],[管理番号]:[合計件数]],4,FALSE)</f>
        <v/>
      </c>
      <c r="F319" s="111" t="str">
        <f>VLOOKUP(名前リスト[[#This Row],[管理番号]],まとめ表_各Aパターン件数[[#All],[管理番号]:[Aパターン]],4,FALSE)</f>
        <v/>
      </c>
      <c r="G319" s="131"/>
      <c r="H3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80">
        <v>1063</v>
      </c>
      <c r="B320" s="80"/>
      <c r="C320" s="80" t="s">
        <v>467</v>
      </c>
      <c r="D320" s="87" t="str">
        <f>VLOOKUP(名前リスト[[#This Row],[管理番号]],まとめ表_バック金額[[#All],[管理番号]:[バック金額合計]],4,FALSE)</f>
        <v/>
      </c>
      <c r="E320" s="80" t="str">
        <f>VLOOKUP(名前リスト[[#This Row],[管理番号]],まとめ表_各店舗件数[[#All],[管理番号]:[合計件数]],4,FALSE)</f>
        <v/>
      </c>
      <c r="F320" s="111" t="str">
        <f>VLOOKUP(名前リスト[[#This Row],[管理番号]],まとめ表_各Aパターン件数[[#All],[管理番号]:[Aパターン]],4,FALSE)</f>
        <v/>
      </c>
      <c r="G320" s="131"/>
      <c r="H3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80">
        <v>1064</v>
      </c>
      <c r="B321" s="80"/>
      <c r="C321" s="80" t="s">
        <v>468</v>
      </c>
      <c r="D321" s="87" t="str">
        <f>VLOOKUP(名前リスト[[#This Row],[管理番号]],まとめ表_バック金額[[#All],[管理番号]:[バック金額合計]],4,FALSE)</f>
        <v/>
      </c>
      <c r="E321" s="80" t="str">
        <f>VLOOKUP(名前リスト[[#This Row],[管理番号]],まとめ表_各店舗件数[[#All],[管理番号]:[合計件数]],4,FALSE)</f>
        <v/>
      </c>
      <c r="F321" s="111" t="str">
        <f>VLOOKUP(名前リスト[[#This Row],[管理番号]],まとめ表_各Aパターン件数[[#All],[管理番号]:[Aパターン]],4,FALSE)</f>
        <v/>
      </c>
      <c r="G321" s="131"/>
      <c r="H3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80">
        <v>1065</v>
      </c>
      <c r="B322" s="80"/>
      <c r="C322" s="80" t="s">
        <v>469</v>
      </c>
      <c r="D322" s="87" t="str">
        <f>VLOOKUP(名前リスト[[#This Row],[管理番号]],まとめ表_バック金額[[#All],[管理番号]:[バック金額合計]],4,FALSE)</f>
        <v/>
      </c>
      <c r="E322" s="80" t="str">
        <f>VLOOKUP(名前リスト[[#This Row],[管理番号]],まとめ表_各店舗件数[[#All],[管理番号]:[合計件数]],4,FALSE)</f>
        <v/>
      </c>
      <c r="F322" s="111" t="str">
        <f>VLOOKUP(名前リスト[[#This Row],[管理番号]],まとめ表_各Aパターン件数[[#All],[管理番号]:[Aパターン]],4,FALSE)</f>
        <v/>
      </c>
      <c r="G322" s="131"/>
      <c r="H3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80">
        <v>1066</v>
      </c>
      <c r="B323" s="80"/>
      <c r="C323" s="80" t="s">
        <v>470</v>
      </c>
      <c r="D323" s="87" t="str">
        <f>VLOOKUP(名前リスト[[#This Row],[管理番号]],まとめ表_バック金額[[#All],[管理番号]:[バック金額合計]],4,FALSE)</f>
        <v/>
      </c>
      <c r="E323" s="80" t="str">
        <f>VLOOKUP(名前リスト[[#This Row],[管理番号]],まとめ表_各店舗件数[[#All],[管理番号]:[合計件数]],4,FALSE)</f>
        <v/>
      </c>
      <c r="F323" s="111" t="str">
        <f>VLOOKUP(名前リスト[[#This Row],[管理番号]],まとめ表_各Aパターン件数[[#All],[管理番号]:[Aパターン]],4,FALSE)</f>
        <v/>
      </c>
      <c r="G323" s="131"/>
      <c r="H3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80">
        <v>1067</v>
      </c>
      <c r="B324" s="80"/>
      <c r="C324" s="80" t="s">
        <v>470</v>
      </c>
      <c r="D324" s="87" t="str">
        <f>VLOOKUP(名前リスト[[#This Row],[管理番号]],まとめ表_バック金額[[#All],[管理番号]:[バック金額合計]],4,FALSE)</f>
        <v/>
      </c>
      <c r="E324" s="80" t="str">
        <f>VLOOKUP(名前リスト[[#This Row],[管理番号]],まとめ表_各店舗件数[[#All],[管理番号]:[合計件数]],4,FALSE)</f>
        <v/>
      </c>
      <c r="F324" s="111" t="str">
        <f>VLOOKUP(名前リスト[[#This Row],[管理番号]],まとめ表_各Aパターン件数[[#All],[管理番号]:[Aパターン]],4,FALSE)</f>
        <v/>
      </c>
      <c r="G324" s="131"/>
      <c r="H3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80">
        <v>1068</v>
      </c>
      <c r="B325" s="80"/>
      <c r="C325" s="80" t="s">
        <v>471</v>
      </c>
      <c r="D325" s="87" t="str">
        <f>VLOOKUP(名前リスト[[#This Row],[管理番号]],まとめ表_バック金額[[#All],[管理番号]:[バック金額合計]],4,FALSE)</f>
        <v/>
      </c>
      <c r="E325" s="80" t="str">
        <f>VLOOKUP(名前リスト[[#This Row],[管理番号]],まとめ表_各店舗件数[[#All],[管理番号]:[合計件数]],4,FALSE)</f>
        <v/>
      </c>
      <c r="F325" s="111" t="str">
        <f>VLOOKUP(名前リスト[[#This Row],[管理番号]],まとめ表_各Aパターン件数[[#All],[管理番号]:[Aパターン]],4,FALSE)</f>
        <v/>
      </c>
      <c r="G325" s="131"/>
      <c r="H3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80">
        <v>1069</v>
      </c>
      <c r="B326" s="80"/>
      <c r="C326" s="80" t="s">
        <v>472</v>
      </c>
      <c r="D326" s="87" t="str">
        <f>VLOOKUP(名前リスト[[#This Row],[管理番号]],まとめ表_バック金額[[#All],[管理番号]:[バック金額合計]],4,FALSE)</f>
        <v/>
      </c>
      <c r="E326" s="80" t="str">
        <f>VLOOKUP(名前リスト[[#This Row],[管理番号]],まとめ表_各店舗件数[[#All],[管理番号]:[合計件数]],4,FALSE)</f>
        <v/>
      </c>
      <c r="F326" s="111" t="str">
        <f>VLOOKUP(名前リスト[[#This Row],[管理番号]],まとめ表_各Aパターン件数[[#All],[管理番号]:[Aパターン]],4,FALSE)</f>
        <v/>
      </c>
      <c r="G326" s="131"/>
      <c r="H3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80">
        <v>1070</v>
      </c>
      <c r="B327" s="80"/>
      <c r="C327" s="80" t="s">
        <v>473</v>
      </c>
      <c r="D327" s="87" t="str">
        <f>VLOOKUP(名前リスト[[#This Row],[管理番号]],まとめ表_バック金額[[#All],[管理番号]:[バック金額合計]],4,FALSE)</f>
        <v/>
      </c>
      <c r="E327" s="80" t="str">
        <f>VLOOKUP(名前リスト[[#This Row],[管理番号]],まとめ表_各店舗件数[[#All],[管理番号]:[合計件数]],4,FALSE)</f>
        <v/>
      </c>
      <c r="F327" s="111" t="str">
        <f>VLOOKUP(名前リスト[[#This Row],[管理番号]],まとめ表_各Aパターン件数[[#All],[管理番号]:[Aパターン]],4,FALSE)</f>
        <v/>
      </c>
      <c r="G327" s="131"/>
      <c r="H3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80">
        <v>1071</v>
      </c>
      <c r="B328" s="80"/>
      <c r="C328" s="80" t="s">
        <v>474</v>
      </c>
      <c r="D328" s="87" t="str">
        <f>VLOOKUP(名前リスト[[#This Row],[管理番号]],まとめ表_バック金額[[#All],[管理番号]:[バック金額合計]],4,FALSE)</f>
        <v/>
      </c>
      <c r="E328" s="80" t="str">
        <f>VLOOKUP(名前リスト[[#This Row],[管理番号]],まとめ表_各店舗件数[[#All],[管理番号]:[合計件数]],4,FALSE)</f>
        <v/>
      </c>
      <c r="F328" s="111" t="str">
        <f>VLOOKUP(名前リスト[[#This Row],[管理番号]],まとめ表_各Aパターン件数[[#All],[管理番号]:[Aパターン]],4,FALSE)</f>
        <v/>
      </c>
      <c r="G328" s="131"/>
      <c r="H3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80">
        <v>1072</v>
      </c>
      <c r="B329" s="80"/>
      <c r="C329" s="80" t="s">
        <v>475</v>
      </c>
      <c r="D329" s="87" t="str">
        <f>VLOOKUP(名前リスト[[#This Row],[管理番号]],まとめ表_バック金額[[#All],[管理番号]:[バック金額合計]],4,FALSE)</f>
        <v/>
      </c>
      <c r="E329" s="80" t="str">
        <f>VLOOKUP(名前リスト[[#This Row],[管理番号]],まとめ表_各店舗件数[[#All],[管理番号]:[合計件数]],4,FALSE)</f>
        <v/>
      </c>
      <c r="F329" s="111" t="str">
        <f>VLOOKUP(名前リスト[[#This Row],[管理番号]],まとめ表_各Aパターン件数[[#All],[管理番号]:[Aパターン]],4,FALSE)</f>
        <v/>
      </c>
      <c r="G329" s="131"/>
      <c r="H3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80">
        <v>1073</v>
      </c>
      <c r="B330" s="80"/>
      <c r="C330" s="80" t="s">
        <v>476</v>
      </c>
      <c r="D330" s="87" t="str">
        <f>VLOOKUP(名前リスト[[#This Row],[管理番号]],まとめ表_バック金額[[#All],[管理番号]:[バック金額合計]],4,FALSE)</f>
        <v/>
      </c>
      <c r="E330" s="80" t="str">
        <f>VLOOKUP(名前リスト[[#This Row],[管理番号]],まとめ表_各店舗件数[[#All],[管理番号]:[合計件数]],4,FALSE)</f>
        <v/>
      </c>
      <c r="F330" s="111" t="str">
        <f>VLOOKUP(名前リスト[[#This Row],[管理番号]],まとめ表_各Aパターン件数[[#All],[管理番号]:[Aパターン]],4,FALSE)</f>
        <v/>
      </c>
      <c r="G330" s="131"/>
      <c r="H3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80">
        <v>1074</v>
      </c>
      <c r="B331" s="80"/>
      <c r="C331" s="80" t="s">
        <v>477</v>
      </c>
      <c r="D331" s="87" t="str">
        <f>VLOOKUP(名前リスト[[#This Row],[管理番号]],まとめ表_バック金額[[#All],[管理番号]:[バック金額合計]],4,FALSE)</f>
        <v/>
      </c>
      <c r="E331" s="80" t="str">
        <f>VLOOKUP(名前リスト[[#This Row],[管理番号]],まとめ表_各店舗件数[[#All],[管理番号]:[合計件数]],4,FALSE)</f>
        <v/>
      </c>
      <c r="F331" s="111" t="str">
        <f>VLOOKUP(名前リスト[[#This Row],[管理番号]],まとめ表_各Aパターン件数[[#All],[管理番号]:[Aパターン]],4,FALSE)</f>
        <v/>
      </c>
      <c r="G331" s="131"/>
      <c r="H3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80">
        <v>1075</v>
      </c>
      <c r="B332" s="80"/>
      <c r="C332" s="80" t="s">
        <v>478</v>
      </c>
      <c r="D332" s="87" t="str">
        <f>VLOOKUP(名前リスト[[#This Row],[管理番号]],まとめ表_バック金額[[#All],[管理番号]:[バック金額合計]],4,FALSE)</f>
        <v/>
      </c>
      <c r="E332" s="80" t="str">
        <f>VLOOKUP(名前リスト[[#This Row],[管理番号]],まとめ表_各店舗件数[[#All],[管理番号]:[合計件数]],4,FALSE)</f>
        <v/>
      </c>
      <c r="F332" s="111" t="str">
        <f>VLOOKUP(名前リスト[[#This Row],[管理番号]],まとめ表_各Aパターン件数[[#All],[管理番号]:[Aパターン]],4,FALSE)</f>
        <v/>
      </c>
      <c r="G332" s="131"/>
      <c r="H3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80">
        <v>1076</v>
      </c>
      <c r="B333" s="80"/>
      <c r="C333" s="80" t="s">
        <v>479</v>
      </c>
      <c r="D333" s="87" t="str">
        <f>VLOOKUP(名前リスト[[#This Row],[管理番号]],まとめ表_バック金額[[#All],[管理番号]:[バック金額合計]],4,FALSE)</f>
        <v/>
      </c>
      <c r="E333" s="80" t="str">
        <f>VLOOKUP(名前リスト[[#This Row],[管理番号]],まとめ表_各店舗件数[[#All],[管理番号]:[合計件数]],4,FALSE)</f>
        <v/>
      </c>
      <c r="F333" s="111" t="str">
        <f>VLOOKUP(名前リスト[[#This Row],[管理番号]],まとめ表_各Aパターン件数[[#All],[管理番号]:[Aパターン]],4,FALSE)</f>
        <v/>
      </c>
      <c r="G333" s="131"/>
      <c r="H3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80">
        <v>1077</v>
      </c>
      <c r="B334" s="80"/>
      <c r="C334" s="80" t="s">
        <v>480</v>
      </c>
      <c r="D334" s="87" t="str">
        <f>VLOOKUP(名前リスト[[#This Row],[管理番号]],まとめ表_バック金額[[#All],[管理番号]:[バック金額合計]],4,FALSE)</f>
        <v/>
      </c>
      <c r="E334" s="80" t="str">
        <f>VLOOKUP(名前リスト[[#This Row],[管理番号]],まとめ表_各店舗件数[[#All],[管理番号]:[合計件数]],4,FALSE)</f>
        <v/>
      </c>
      <c r="F334" s="111" t="str">
        <f>VLOOKUP(名前リスト[[#This Row],[管理番号]],まとめ表_各Aパターン件数[[#All],[管理番号]:[Aパターン]],4,FALSE)</f>
        <v/>
      </c>
      <c r="G334" s="131"/>
      <c r="H3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80">
        <v>1078</v>
      </c>
      <c r="B335" s="80"/>
      <c r="C335" s="80" t="s">
        <v>481</v>
      </c>
      <c r="D335" s="87" t="str">
        <f>VLOOKUP(名前リスト[[#This Row],[管理番号]],まとめ表_バック金額[[#All],[管理番号]:[バック金額合計]],4,FALSE)</f>
        <v/>
      </c>
      <c r="E335" s="80" t="str">
        <f>VLOOKUP(名前リスト[[#This Row],[管理番号]],まとめ表_各店舗件数[[#All],[管理番号]:[合計件数]],4,FALSE)</f>
        <v/>
      </c>
      <c r="F335" s="111" t="str">
        <f>VLOOKUP(名前リスト[[#This Row],[管理番号]],まとめ表_各Aパターン件数[[#All],[管理番号]:[Aパターン]],4,FALSE)</f>
        <v/>
      </c>
      <c r="G335" s="131"/>
      <c r="H3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80">
        <v>1079</v>
      </c>
      <c r="B336" s="80"/>
      <c r="C336" s="80" t="s">
        <v>482</v>
      </c>
      <c r="D336" s="87" t="str">
        <f>VLOOKUP(名前リスト[[#This Row],[管理番号]],まとめ表_バック金額[[#All],[管理番号]:[バック金額合計]],4,FALSE)</f>
        <v/>
      </c>
      <c r="E336" s="80" t="str">
        <f>VLOOKUP(名前リスト[[#This Row],[管理番号]],まとめ表_各店舗件数[[#All],[管理番号]:[合計件数]],4,FALSE)</f>
        <v/>
      </c>
      <c r="F336" s="111" t="str">
        <f>VLOOKUP(名前リスト[[#This Row],[管理番号]],まとめ表_各Aパターン件数[[#All],[管理番号]:[Aパターン]],4,FALSE)</f>
        <v/>
      </c>
      <c r="G336" s="131"/>
      <c r="H3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80">
        <v>1080</v>
      </c>
      <c r="B337" s="80"/>
      <c r="C337" s="80" t="s">
        <v>483</v>
      </c>
      <c r="D337" s="87" t="str">
        <f>VLOOKUP(名前リスト[[#This Row],[管理番号]],まとめ表_バック金額[[#All],[管理番号]:[バック金額合計]],4,FALSE)</f>
        <v/>
      </c>
      <c r="E337" s="80" t="str">
        <f>VLOOKUP(名前リスト[[#This Row],[管理番号]],まとめ表_各店舗件数[[#All],[管理番号]:[合計件数]],4,FALSE)</f>
        <v/>
      </c>
      <c r="F337" s="111" t="str">
        <f>VLOOKUP(名前リスト[[#This Row],[管理番号]],まとめ表_各Aパターン件数[[#All],[管理番号]:[Aパターン]],4,FALSE)</f>
        <v/>
      </c>
      <c r="G337" s="131"/>
      <c r="H3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80">
        <v>1081</v>
      </c>
      <c r="B338" s="80"/>
      <c r="C338" s="80" t="s">
        <v>484</v>
      </c>
      <c r="D338" s="87" t="str">
        <f>VLOOKUP(名前リスト[[#This Row],[管理番号]],まとめ表_バック金額[[#All],[管理番号]:[バック金額合計]],4,FALSE)</f>
        <v/>
      </c>
      <c r="E338" s="80" t="str">
        <f>VLOOKUP(名前リスト[[#This Row],[管理番号]],まとめ表_各店舗件数[[#All],[管理番号]:[合計件数]],4,FALSE)</f>
        <v/>
      </c>
      <c r="F338" s="111" t="str">
        <f>VLOOKUP(名前リスト[[#This Row],[管理番号]],まとめ表_各Aパターン件数[[#All],[管理番号]:[Aパターン]],4,FALSE)</f>
        <v/>
      </c>
      <c r="G338" s="131"/>
      <c r="H3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80">
        <v>1082</v>
      </c>
      <c r="B339" s="80"/>
      <c r="C339" s="80" t="s">
        <v>485</v>
      </c>
      <c r="D339" s="87" t="str">
        <f>VLOOKUP(名前リスト[[#This Row],[管理番号]],まとめ表_バック金額[[#All],[管理番号]:[バック金額合計]],4,FALSE)</f>
        <v/>
      </c>
      <c r="E339" s="80" t="str">
        <f>VLOOKUP(名前リスト[[#This Row],[管理番号]],まとめ表_各店舗件数[[#All],[管理番号]:[合計件数]],4,FALSE)</f>
        <v/>
      </c>
      <c r="F339" s="111" t="str">
        <f>VLOOKUP(名前リスト[[#This Row],[管理番号]],まとめ表_各Aパターン件数[[#All],[管理番号]:[Aパターン]],4,FALSE)</f>
        <v/>
      </c>
      <c r="G339" s="131"/>
      <c r="H3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80">
        <v>1083</v>
      </c>
      <c r="B340" s="80"/>
      <c r="C340" s="80" t="s">
        <v>486</v>
      </c>
      <c r="D340" s="87" t="str">
        <f>VLOOKUP(名前リスト[[#This Row],[管理番号]],まとめ表_バック金額[[#All],[管理番号]:[バック金額合計]],4,FALSE)</f>
        <v/>
      </c>
      <c r="E340" s="80" t="str">
        <f>VLOOKUP(名前リスト[[#This Row],[管理番号]],まとめ表_各店舗件数[[#All],[管理番号]:[合計件数]],4,FALSE)</f>
        <v/>
      </c>
      <c r="F340" s="111" t="str">
        <f>VLOOKUP(名前リスト[[#This Row],[管理番号]],まとめ表_各Aパターン件数[[#All],[管理番号]:[Aパターン]],4,FALSE)</f>
        <v/>
      </c>
      <c r="G340" s="131"/>
      <c r="H3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80">
        <v>1084</v>
      </c>
      <c r="B341" s="80"/>
      <c r="C341" s="80" t="s">
        <v>487</v>
      </c>
      <c r="D341" s="87" t="str">
        <f>VLOOKUP(名前リスト[[#This Row],[管理番号]],まとめ表_バック金額[[#All],[管理番号]:[バック金額合計]],4,FALSE)</f>
        <v/>
      </c>
      <c r="E341" s="80" t="str">
        <f>VLOOKUP(名前リスト[[#This Row],[管理番号]],まとめ表_各店舗件数[[#All],[管理番号]:[合計件数]],4,FALSE)</f>
        <v/>
      </c>
      <c r="F341" s="111" t="str">
        <f>VLOOKUP(名前リスト[[#This Row],[管理番号]],まとめ表_各Aパターン件数[[#All],[管理番号]:[Aパターン]],4,FALSE)</f>
        <v/>
      </c>
      <c r="G341" s="131"/>
      <c r="H3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80">
        <v>1085</v>
      </c>
      <c r="B342" s="80"/>
      <c r="C342" s="80" t="s">
        <v>488</v>
      </c>
      <c r="D342" s="87" t="str">
        <f>VLOOKUP(名前リスト[[#This Row],[管理番号]],まとめ表_バック金額[[#All],[管理番号]:[バック金額合計]],4,FALSE)</f>
        <v/>
      </c>
      <c r="E342" s="80" t="str">
        <f>VLOOKUP(名前リスト[[#This Row],[管理番号]],まとめ表_各店舗件数[[#All],[管理番号]:[合計件数]],4,FALSE)</f>
        <v/>
      </c>
      <c r="F342" s="111" t="str">
        <f>VLOOKUP(名前リスト[[#This Row],[管理番号]],まとめ表_各Aパターン件数[[#All],[管理番号]:[Aパターン]],4,FALSE)</f>
        <v/>
      </c>
      <c r="G342" s="131"/>
      <c r="H3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80">
        <v>1086</v>
      </c>
      <c r="B343" s="80"/>
      <c r="C343" s="80" t="s">
        <v>489</v>
      </c>
      <c r="D343" s="87" t="str">
        <f>VLOOKUP(名前リスト[[#This Row],[管理番号]],まとめ表_バック金額[[#All],[管理番号]:[バック金額合計]],4,FALSE)</f>
        <v/>
      </c>
      <c r="E343" s="80" t="str">
        <f>VLOOKUP(名前リスト[[#This Row],[管理番号]],まとめ表_各店舗件数[[#All],[管理番号]:[合計件数]],4,FALSE)</f>
        <v/>
      </c>
      <c r="F343" s="111" t="str">
        <f>VLOOKUP(名前リスト[[#This Row],[管理番号]],まとめ表_各Aパターン件数[[#All],[管理番号]:[Aパターン]],4,FALSE)</f>
        <v/>
      </c>
      <c r="G343" s="131"/>
      <c r="H3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80">
        <v>1087</v>
      </c>
      <c r="B344" s="80"/>
      <c r="C344" s="80" t="s">
        <v>490</v>
      </c>
      <c r="D344" s="87" t="str">
        <f>VLOOKUP(名前リスト[[#This Row],[管理番号]],まとめ表_バック金額[[#All],[管理番号]:[バック金額合計]],4,FALSE)</f>
        <v/>
      </c>
      <c r="E344" s="80" t="str">
        <f>VLOOKUP(名前リスト[[#This Row],[管理番号]],まとめ表_各店舗件数[[#All],[管理番号]:[合計件数]],4,FALSE)</f>
        <v/>
      </c>
      <c r="F344" s="111" t="str">
        <f>VLOOKUP(名前リスト[[#This Row],[管理番号]],まとめ表_各Aパターン件数[[#All],[管理番号]:[Aパターン]],4,FALSE)</f>
        <v/>
      </c>
      <c r="G344" s="131"/>
      <c r="H3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80">
        <v>1088</v>
      </c>
      <c r="B345" s="80"/>
      <c r="C345" s="80" t="s">
        <v>491</v>
      </c>
      <c r="D345" s="87" t="str">
        <f>VLOOKUP(名前リスト[[#This Row],[管理番号]],まとめ表_バック金額[[#All],[管理番号]:[バック金額合計]],4,FALSE)</f>
        <v/>
      </c>
      <c r="E345" s="80" t="str">
        <f>VLOOKUP(名前リスト[[#This Row],[管理番号]],まとめ表_各店舗件数[[#All],[管理番号]:[合計件数]],4,FALSE)</f>
        <v/>
      </c>
      <c r="F345" s="111" t="str">
        <f>VLOOKUP(名前リスト[[#This Row],[管理番号]],まとめ表_各Aパターン件数[[#All],[管理番号]:[Aパターン]],4,FALSE)</f>
        <v/>
      </c>
      <c r="G345" s="131"/>
      <c r="H3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80">
        <v>1089</v>
      </c>
      <c r="B346" s="80"/>
      <c r="C346" s="80" t="s">
        <v>492</v>
      </c>
      <c r="D346" s="87" t="str">
        <f>VLOOKUP(名前リスト[[#This Row],[管理番号]],まとめ表_バック金額[[#All],[管理番号]:[バック金額合計]],4,FALSE)</f>
        <v/>
      </c>
      <c r="E346" s="80" t="str">
        <f>VLOOKUP(名前リスト[[#This Row],[管理番号]],まとめ表_各店舗件数[[#All],[管理番号]:[合計件数]],4,FALSE)</f>
        <v/>
      </c>
      <c r="F346" s="111" t="str">
        <f>VLOOKUP(名前リスト[[#This Row],[管理番号]],まとめ表_各Aパターン件数[[#All],[管理番号]:[Aパターン]],4,FALSE)</f>
        <v/>
      </c>
      <c r="G346" s="131"/>
      <c r="H3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80">
        <v>1090</v>
      </c>
      <c r="B347" s="135"/>
      <c r="C347" s="135" t="s">
        <v>493</v>
      </c>
      <c r="D347" s="87" t="str">
        <f>VLOOKUP(名前リスト[[#This Row],[管理番号]],まとめ表_バック金額[[#All],[管理番号]:[バック金額合計]],4,FALSE)</f>
        <v/>
      </c>
      <c r="E347" s="80" t="str">
        <f>VLOOKUP(名前リスト[[#This Row],[管理番号]],まとめ表_各店舗件数[[#All],[管理番号]:[合計件数]],4,FALSE)</f>
        <v/>
      </c>
      <c r="F347" s="111" t="str">
        <f>VLOOKUP(名前リスト[[#This Row],[管理番号]],まとめ表_各Aパターン件数[[#All],[管理番号]:[Aパターン]],4,FALSE)</f>
        <v/>
      </c>
      <c r="G347" s="131"/>
      <c r="H3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36">
        <v>1091</v>
      </c>
      <c r="B348" s="80"/>
      <c r="C348" s="130"/>
      <c r="D348" s="87" t="str">
        <f>VLOOKUP(名前リスト[[#This Row],[管理番号]],まとめ表_バック金額[[#All],[管理番号]:[バック金額合計]],4,FALSE)</f>
        <v/>
      </c>
      <c r="E348" s="80" t="str">
        <f>VLOOKUP(名前リスト[[#This Row],[管理番号]],まとめ表_各店舗件数[[#All],[管理番号]:[合計件数]],4,FALSE)</f>
        <v/>
      </c>
      <c r="F348" s="111" t="str">
        <f>VLOOKUP(名前リスト[[#This Row],[管理番号]],まとめ表_各Aパターン件数[[#All],[管理番号]:[Aパターン]],4,FALSE)</f>
        <v/>
      </c>
      <c r="G348" s="131"/>
      <c r="H3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36">
        <v>1092</v>
      </c>
      <c r="B349" s="80"/>
      <c r="C349" s="80"/>
      <c r="D349" s="87" t="str">
        <f>VLOOKUP(名前リスト[[#This Row],[管理番号]],まとめ表_バック金額[[#All],[管理番号]:[バック金額合計]],4,FALSE)</f>
        <v/>
      </c>
      <c r="E349" s="80" t="str">
        <f>VLOOKUP(名前リスト[[#This Row],[管理番号]],まとめ表_各店舗件数[[#All],[管理番号]:[合計件数]],4,FALSE)</f>
        <v/>
      </c>
      <c r="F349" s="111" t="str">
        <f>VLOOKUP(名前リスト[[#This Row],[管理番号]],まとめ表_各Aパターン件数[[#All],[管理番号]:[Aパターン]],4,FALSE)</f>
        <v/>
      </c>
      <c r="G349" s="131"/>
      <c r="H3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36">
        <v>1093</v>
      </c>
      <c r="B350" s="80"/>
      <c r="C350" s="80"/>
      <c r="D350" s="87" t="str">
        <f>VLOOKUP(名前リスト[[#This Row],[管理番号]],まとめ表_バック金額[[#All],[管理番号]:[バック金額合計]],4,FALSE)</f>
        <v/>
      </c>
      <c r="E350" s="80" t="str">
        <f>VLOOKUP(名前リスト[[#This Row],[管理番号]],まとめ表_各店舗件数[[#All],[管理番号]:[合計件数]],4,FALSE)</f>
        <v/>
      </c>
      <c r="F350" s="111" t="str">
        <f>VLOOKUP(名前リスト[[#This Row],[管理番号]],まとめ表_各Aパターン件数[[#All],[管理番号]:[Aパターン]],4,FALSE)</f>
        <v/>
      </c>
      <c r="G350" s="131"/>
      <c r="H3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36">
        <v>1094</v>
      </c>
      <c r="B351" s="130" t="s">
        <v>517</v>
      </c>
      <c r="C351" s="80"/>
      <c r="D351" s="87" t="str">
        <f>VLOOKUP(名前リスト[[#This Row],[管理番号]],まとめ表_バック金額[[#All],[管理番号]:[バック金額合計]],4,FALSE)</f>
        <v/>
      </c>
      <c r="E351" s="80" t="str">
        <f>VLOOKUP(名前リスト[[#This Row],[管理番号]],まとめ表_各店舗件数[[#All],[管理番号]:[合計件数]],4,FALSE)</f>
        <v/>
      </c>
      <c r="F351" s="111" t="str">
        <f>VLOOKUP(名前リスト[[#This Row],[管理番号]],まとめ表_各Aパターン件数[[#All],[管理番号]:[Aパターン]],4,FALSE)</f>
        <v/>
      </c>
      <c r="G351" s="131"/>
      <c r="H3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12700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20"/>
  <cols>
    <col min="1" max="1" width="9.84375" customWidth="1"/>
    <col min="3" max="3" width="15.3046875" customWidth="1"/>
  </cols>
  <sheetData>
    <row r="1" spans="1:3">
      <c r="A1" s="146" t="s">
        <v>323</v>
      </c>
      <c r="B1" s="146"/>
      <c r="C1" s="121">
        <v>60000</v>
      </c>
    </row>
    <row r="2" spans="1:3">
      <c r="A2" s="125" t="s">
        <v>234</v>
      </c>
      <c r="B2" s="119" t="s">
        <v>395</v>
      </c>
      <c r="C2" s="126" t="s">
        <v>396</v>
      </c>
    </row>
    <row r="3" spans="1:3">
      <c r="A3" s="124"/>
      <c r="B3" s="133"/>
      <c r="C3" s="122">
        <f>SUM(Bパターン[[#This Row],[B件数]]*Bバック金額)</f>
        <v>0</v>
      </c>
    </row>
    <row r="4" spans="1:3">
      <c r="A4" s="127"/>
      <c r="B4" s="128"/>
      <c r="C4" s="122">
        <f>SUM(Bパターン[[#This Row],[B件数]]*Bバック金額)</f>
        <v>0</v>
      </c>
    </row>
    <row r="5" spans="1:3">
      <c r="A5" s="127"/>
      <c r="B5" s="128"/>
      <c r="C5" s="122">
        <f>SUM(Bパターン[[#This Row],[B件数]]*Bバック金額)</f>
        <v>0</v>
      </c>
    </row>
    <row r="6" spans="1:3">
      <c r="A6" s="127"/>
      <c r="B6" s="128"/>
      <c r="C6" s="122">
        <f>SUM(Bパターン[[#This Row],[B件数]]*Bバック金額)</f>
        <v>0</v>
      </c>
    </row>
    <row r="7" spans="1:3">
      <c r="A7" s="127"/>
      <c r="B7" s="123"/>
      <c r="C7" s="122">
        <f>SUM(Bパターン[[#This Row],[B件数]]*Bバック金額)</f>
        <v>0</v>
      </c>
    </row>
    <row r="8" spans="1:3">
      <c r="A8" s="127"/>
      <c r="B8" s="123"/>
      <c r="C8" s="122">
        <f>SUM(Bパターン[[#This Row],[B件数]]*Bバック金額)</f>
        <v>0</v>
      </c>
    </row>
    <row r="9" spans="1:3">
      <c r="A9" s="127"/>
      <c r="B9" s="123"/>
      <c r="C9" s="122">
        <f>SUM(Bパターン[[#This Row],[B件数]]*Bバック金額)</f>
        <v>0</v>
      </c>
    </row>
    <row r="10" spans="1:3">
      <c r="A10" s="127"/>
      <c r="B10" s="123"/>
      <c r="C10" s="122">
        <f>SUM(Bパターン[[#This Row],[B件数]]*Bバック金額)</f>
        <v>0</v>
      </c>
    </row>
    <row r="11" spans="1:3">
      <c r="A11" s="127"/>
      <c r="B11" s="123"/>
      <c r="C11" s="122">
        <f>SUM(Bパターン[[#This Row],[B件数]]*Bバック金額)</f>
        <v>0</v>
      </c>
    </row>
    <row r="12" spans="1:3">
      <c r="A12" s="127"/>
      <c r="B12" s="123"/>
      <c r="C12" s="122">
        <f>SUM(Bパターン[[#This Row],[B件数]]*Bバック金額)</f>
        <v>0</v>
      </c>
    </row>
    <row r="13" spans="1:3">
      <c r="A13" s="134"/>
      <c r="B13" s="135"/>
      <c r="C13" s="122">
        <f>SUM(Bパターン[[#This Row],[B件数]]*Bバック金額)</f>
        <v>0</v>
      </c>
    </row>
    <row r="14" spans="1:3">
      <c r="A14" s="134"/>
      <c r="B14" s="135"/>
      <c r="C14" s="122">
        <f>SUM(Bパターン[[#This Row],[B件数]]*Bバック金額)</f>
        <v>0</v>
      </c>
    </row>
    <row r="15" spans="1:3">
      <c r="A15" s="134"/>
      <c r="B15" s="135"/>
      <c r="C15" s="122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/>
  </sheetViews>
  <sheetFormatPr defaultRowHeight="20"/>
  <cols>
    <col min="2" max="2" width="11.4609375" customWidth="1"/>
    <col min="3" max="3" width="15.07421875" customWidth="1"/>
    <col min="4" max="4" width="9.84375" customWidth="1"/>
  </cols>
  <sheetData>
    <row r="1" spans="1:28">
      <c r="A1" s="77" t="s">
        <v>234</v>
      </c>
      <c r="B1" s="11" t="s">
        <v>197</v>
      </c>
      <c r="C1" s="12" t="s">
        <v>198</v>
      </c>
      <c r="D1" s="78" t="s">
        <v>343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6" t="s">
        <v>519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79" t="str">
        <f t="shared" ref="D2:D35" si="0">IF(SUM(E2:XFD2)=0,"",SUM(E2:XFD2))</f>
        <v/>
      </c>
      <c r="E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79">
        <f t="shared" si="0"/>
        <v>1</v>
      </c>
      <c r="E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1</v>
      </c>
      <c r="U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79" t="e">
        <f>SUM(#REF!)</f>
        <v>#REF!</v>
      </c>
      <c r="E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48" t="e">
        <f>SUM(#REF!)</f>
        <v>#REF!</v>
      </c>
      <c r="N36" s="48" t="e">
        <f>SUM(#REF!)</f>
        <v>#REF!</v>
      </c>
      <c r="O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48" t="e">
        <f>SUM(#REF!)</f>
        <v>#REF!</v>
      </c>
      <c r="Q36" s="48" t="e">
        <f>SUM(#REF!)</f>
        <v>#REF!</v>
      </c>
      <c r="R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79" t="str">
        <f t="shared" ref="D37:D100" si="1">IF(SUM(E37:XFD37)=0,"",SUM(E37:XFD37))</f>
        <v/>
      </c>
      <c r="E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79" t="str">
        <f t="shared" si="1"/>
        <v/>
      </c>
      <c r="E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79" t="str">
        <f t="shared" si="1"/>
        <v/>
      </c>
      <c r="E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79" t="str">
        <f t="shared" si="1"/>
        <v/>
      </c>
      <c r="E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79">
        <f t="shared" si="1"/>
        <v>1</v>
      </c>
      <c r="E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1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79" t="str">
        <f t="shared" si="1"/>
        <v/>
      </c>
      <c r="E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79" t="str">
        <f t="shared" si="1"/>
        <v/>
      </c>
      <c r="E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79" t="str">
        <f t="shared" si="1"/>
        <v/>
      </c>
      <c r="E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79" t="str">
        <f t="shared" si="1"/>
        <v/>
      </c>
      <c r="E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79" t="str">
        <f t="shared" si="1"/>
        <v/>
      </c>
      <c r="E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79" t="str">
        <f t="shared" si="1"/>
        <v/>
      </c>
      <c r="E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79" t="str">
        <f t="shared" si="1"/>
        <v/>
      </c>
      <c r="E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79" t="str">
        <f t="shared" si="1"/>
        <v/>
      </c>
      <c r="E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79" t="str">
        <f t="shared" si="1"/>
        <v/>
      </c>
      <c r="E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79" t="str">
        <f t="shared" si="1"/>
        <v/>
      </c>
      <c r="E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79" t="str">
        <f t="shared" si="1"/>
        <v/>
      </c>
      <c r="E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79" t="str">
        <f t="shared" si="1"/>
        <v/>
      </c>
      <c r="E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79" t="str">
        <f t="shared" si="1"/>
        <v/>
      </c>
      <c r="E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79" t="str">
        <f t="shared" si="1"/>
        <v/>
      </c>
      <c r="E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79" t="str">
        <f t="shared" si="1"/>
        <v/>
      </c>
      <c r="E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79" t="str">
        <f t="shared" si="1"/>
        <v/>
      </c>
      <c r="E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79" t="str">
        <f t="shared" si="1"/>
        <v/>
      </c>
      <c r="E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79" t="str">
        <f t="shared" si="1"/>
        <v/>
      </c>
      <c r="E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79" t="str">
        <f t="shared" si="1"/>
        <v/>
      </c>
      <c r="E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79" t="str">
        <f t="shared" si="1"/>
        <v/>
      </c>
      <c r="E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79" t="str">
        <f t="shared" si="1"/>
        <v/>
      </c>
      <c r="E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79" t="str">
        <f t="shared" si="1"/>
        <v/>
      </c>
      <c r="E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79" t="str">
        <f t="shared" si="1"/>
        <v/>
      </c>
      <c r="E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79" t="str">
        <f t="shared" si="1"/>
        <v/>
      </c>
      <c r="E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79" t="str">
        <f t="shared" si="1"/>
        <v/>
      </c>
      <c r="E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79" t="str">
        <f t="shared" ref="D101:D164" si="2">IF(SUM(E101:XFD101)=0,"",SUM(E101:XFD101))</f>
        <v/>
      </c>
      <c r="E1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79" t="str">
        <f t="shared" si="2"/>
        <v/>
      </c>
      <c r="E1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79" t="str">
        <f t="shared" si="2"/>
        <v/>
      </c>
      <c r="E1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79" t="str">
        <f t="shared" si="2"/>
        <v/>
      </c>
      <c r="E1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79" t="str">
        <f t="shared" si="2"/>
        <v/>
      </c>
      <c r="E10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79" t="str">
        <f t="shared" si="2"/>
        <v/>
      </c>
      <c r="E10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79" t="str">
        <f t="shared" si="2"/>
        <v/>
      </c>
      <c r="E10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79" t="str">
        <f t="shared" si="2"/>
        <v/>
      </c>
      <c r="E10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79" t="str">
        <f t="shared" si="2"/>
        <v/>
      </c>
      <c r="E10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79" t="str">
        <f t="shared" si="2"/>
        <v/>
      </c>
      <c r="E1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79" t="str">
        <f t="shared" si="2"/>
        <v/>
      </c>
      <c r="E1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79" t="str">
        <f t="shared" si="2"/>
        <v/>
      </c>
      <c r="E1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79" t="str">
        <f t="shared" si="2"/>
        <v/>
      </c>
      <c r="E1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79" t="str">
        <f t="shared" si="2"/>
        <v/>
      </c>
      <c r="E1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79" t="str">
        <f t="shared" si="2"/>
        <v/>
      </c>
      <c r="E1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79" t="str">
        <f t="shared" si="2"/>
        <v/>
      </c>
      <c r="E1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79" t="str">
        <f t="shared" si="2"/>
        <v/>
      </c>
      <c r="E1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79" t="str">
        <f t="shared" si="2"/>
        <v/>
      </c>
      <c r="E1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79" t="str">
        <f t="shared" si="2"/>
        <v/>
      </c>
      <c r="E1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79" t="str">
        <f t="shared" si="2"/>
        <v/>
      </c>
      <c r="E1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79" t="str">
        <f t="shared" si="2"/>
        <v/>
      </c>
      <c r="E1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79" t="str">
        <f t="shared" si="2"/>
        <v/>
      </c>
      <c r="E1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79" t="str">
        <f t="shared" si="2"/>
        <v/>
      </c>
      <c r="E1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79" t="str">
        <f t="shared" si="2"/>
        <v/>
      </c>
      <c r="E1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79" t="str">
        <f t="shared" si="2"/>
        <v/>
      </c>
      <c r="E1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79" t="str">
        <f t="shared" si="2"/>
        <v/>
      </c>
      <c r="E1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79" t="str">
        <f t="shared" si="2"/>
        <v/>
      </c>
      <c r="E1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79" t="str">
        <f t="shared" si="2"/>
        <v/>
      </c>
      <c r="E1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79" t="str">
        <f t="shared" si="2"/>
        <v/>
      </c>
      <c r="E1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79" t="str">
        <f t="shared" si="2"/>
        <v/>
      </c>
      <c r="E1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79" t="str">
        <f t="shared" ref="D165:D228" si="3">IF(SUM(E165:XFD165)=0,"",SUM(E165:XFD165))</f>
        <v/>
      </c>
      <c r="E1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79" t="str">
        <f t="shared" si="3"/>
        <v/>
      </c>
      <c r="E1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79" t="str">
        <f t="shared" si="3"/>
        <v/>
      </c>
      <c r="E1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79" t="str">
        <f t="shared" si="3"/>
        <v/>
      </c>
      <c r="E1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79" t="str">
        <f t="shared" si="3"/>
        <v/>
      </c>
      <c r="E1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79" t="str">
        <f t="shared" si="3"/>
        <v/>
      </c>
      <c r="E1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79" t="str">
        <f t="shared" si="3"/>
        <v/>
      </c>
      <c r="E1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79" t="str">
        <f t="shared" si="3"/>
        <v/>
      </c>
      <c r="E1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79" t="str">
        <f t="shared" si="3"/>
        <v/>
      </c>
      <c r="E1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79" t="str">
        <f t="shared" si="3"/>
        <v/>
      </c>
      <c r="E1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79" t="str">
        <f t="shared" si="3"/>
        <v/>
      </c>
      <c r="E1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79" t="str">
        <f t="shared" si="3"/>
        <v/>
      </c>
      <c r="E1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79" t="str">
        <f t="shared" si="3"/>
        <v/>
      </c>
      <c r="E1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79" t="str">
        <f t="shared" si="3"/>
        <v/>
      </c>
      <c r="E1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79" t="str">
        <f t="shared" si="3"/>
        <v/>
      </c>
      <c r="E1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79" t="str">
        <f t="shared" si="3"/>
        <v/>
      </c>
      <c r="E1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79" t="str">
        <f t="shared" si="3"/>
        <v/>
      </c>
      <c r="E1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79" t="str">
        <f t="shared" si="3"/>
        <v/>
      </c>
      <c r="E1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79" t="str">
        <f t="shared" si="3"/>
        <v/>
      </c>
      <c r="E1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79" t="str">
        <f t="shared" si="3"/>
        <v/>
      </c>
      <c r="E1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79" t="str">
        <f t="shared" si="3"/>
        <v/>
      </c>
      <c r="E1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79" t="str">
        <f t="shared" si="3"/>
        <v/>
      </c>
      <c r="E1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79" t="str">
        <f t="shared" si="3"/>
        <v/>
      </c>
      <c r="E1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79" t="str">
        <f t="shared" si="3"/>
        <v/>
      </c>
      <c r="E1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79" t="str">
        <f t="shared" si="3"/>
        <v/>
      </c>
      <c r="E1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79" t="str">
        <f t="shared" si="3"/>
        <v/>
      </c>
      <c r="E1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79" t="str">
        <f t="shared" si="3"/>
        <v/>
      </c>
      <c r="E1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79" t="str">
        <f t="shared" si="3"/>
        <v/>
      </c>
      <c r="E1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79" t="str">
        <f t="shared" si="3"/>
        <v/>
      </c>
      <c r="E1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1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79" t="str">
        <f t="shared" si="3"/>
        <v/>
      </c>
      <c r="E1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1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1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1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79" t="str">
        <f t="shared" si="3"/>
        <v/>
      </c>
      <c r="E2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1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79" t="str">
        <f t="shared" si="3"/>
        <v/>
      </c>
      <c r="E2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1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79" t="str">
        <f t="shared" si="3"/>
        <v/>
      </c>
      <c r="E2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1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79" t="str">
        <f t="shared" si="3"/>
        <v/>
      </c>
      <c r="E2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1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79" t="str">
        <f t="shared" si="3"/>
        <v/>
      </c>
      <c r="E2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1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79" t="str">
        <f t="shared" si="3"/>
        <v/>
      </c>
      <c r="E2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1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79" t="str">
        <f t="shared" si="3"/>
        <v/>
      </c>
      <c r="E2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1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79" t="str">
        <f t="shared" si="3"/>
        <v/>
      </c>
      <c r="E2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1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79" t="str">
        <f t="shared" si="3"/>
        <v/>
      </c>
      <c r="E2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1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79" t="str">
        <f t="shared" si="3"/>
        <v/>
      </c>
      <c r="E2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1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79" t="str">
        <f t="shared" si="3"/>
        <v/>
      </c>
      <c r="E2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1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79" t="str">
        <f t="shared" si="3"/>
        <v/>
      </c>
      <c r="E2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1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79" t="str">
        <f t="shared" si="3"/>
        <v/>
      </c>
      <c r="E2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1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79" t="str">
        <f t="shared" si="3"/>
        <v/>
      </c>
      <c r="E2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1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79" t="str">
        <f t="shared" si="3"/>
        <v/>
      </c>
      <c r="E2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6">
        <f>IF(NOT(まとめ表_各店舗件数[[#This Row],[管理番号]]=""),VLOOKUP(まとめ表_各店舗件数[[#This Row],[管理番号]],名前リスト[[#All],[管理番号]:[氏名]],2,TRUE),"")</f>
        <v>0</v>
      </c>
      <c r="C220" s="21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79" t="str">
        <f t="shared" si="3"/>
        <v/>
      </c>
      <c r="E2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6">
        <f>IF(NOT(まとめ表_各店舗件数[[#This Row],[管理番号]]=""),VLOOKUP(まとめ表_各店舗件数[[#This Row],[管理番号]],名前リスト[[#All],[管理番号]:[氏名]],2,TRUE),"")</f>
        <v>0</v>
      </c>
      <c r="C221" s="21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79" t="str">
        <f t="shared" si="3"/>
        <v/>
      </c>
      <c r="E2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6">
        <f>IF(NOT(まとめ表_各店舗件数[[#This Row],[管理番号]]=""),VLOOKUP(まとめ表_各店舗件数[[#This Row],[管理番号]],名前リスト[[#All],[管理番号]:[氏名]],2,TRUE),"")</f>
        <v>0</v>
      </c>
      <c r="C222" s="21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79" t="str">
        <f t="shared" si="3"/>
        <v/>
      </c>
      <c r="E2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6">
        <f>IF(NOT(まとめ表_各店舗件数[[#This Row],[管理番号]]=""),VLOOKUP(まとめ表_各店舗件数[[#This Row],[管理番号]],名前リスト[[#All],[管理番号]:[氏名]],2,TRUE),"")</f>
        <v>0</v>
      </c>
      <c r="C223" s="21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79" t="str">
        <f t="shared" si="3"/>
        <v/>
      </c>
      <c r="E2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6">
        <f>IF(NOT(まとめ表_各店舗件数[[#This Row],[管理番号]]=""),VLOOKUP(まとめ表_各店舗件数[[#This Row],[管理番号]],名前リスト[[#All],[管理番号]:[氏名]],2,TRUE),"")</f>
        <v>0</v>
      </c>
      <c r="C224" s="21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79" t="str">
        <f t="shared" si="3"/>
        <v/>
      </c>
      <c r="E2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6">
        <f>IF(NOT(まとめ表_各店舗件数[[#This Row],[管理番号]]=""),VLOOKUP(まとめ表_各店舗件数[[#This Row],[管理番号]],名前リスト[[#All],[管理番号]:[氏名]],2,TRUE),"")</f>
        <v>0</v>
      </c>
      <c r="C225" s="21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79" t="str">
        <f t="shared" si="3"/>
        <v/>
      </c>
      <c r="E2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6">
        <f>IF(NOT(まとめ表_各店舗件数[[#This Row],[管理番号]]=""),VLOOKUP(まとめ表_各店舗件数[[#This Row],[管理番号]],名前リスト[[#All],[管理番号]:[氏名]],2,TRUE),"")</f>
        <v>0</v>
      </c>
      <c r="C226" s="21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79" t="str">
        <f t="shared" si="3"/>
        <v/>
      </c>
      <c r="E2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6">
        <f>IF(NOT(まとめ表_各店舗件数[[#This Row],[管理番号]]=""),VLOOKUP(まとめ表_各店舗件数[[#This Row],[管理番号]],名前リスト[[#All],[管理番号]:[氏名]],2,TRUE),"")</f>
        <v>0</v>
      </c>
      <c r="C227" s="21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79" t="str">
        <f t="shared" si="3"/>
        <v/>
      </c>
      <c r="E2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6">
        <f>IF(NOT(まとめ表_各店舗件数[[#This Row],[管理番号]]=""),VLOOKUP(まとめ表_各店舗件数[[#This Row],[管理番号]],名前リスト[[#All],[管理番号]:[氏名]],2,TRUE),"")</f>
        <v>0</v>
      </c>
      <c r="C228" s="21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79" t="str">
        <f t="shared" si="3"/>
        <v/>
      </c>
      <c r="E2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6">
        <f>IF(NOT(まとめ表_各店舗件数[[#This Row],[管理番号]]=""),VLOOKUP(まとめ表_各店舗件数[[#This Row],[管理番号]],名前リスト[[#All],[管理番号]:[氏名]],2,TRUE),"")</f>
        <v>0</v>
      </c>
      <c r="C229" s="21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79">
        <f t="shared" ref="D229:D292" si="4">IF(SUM(E229:XFD229)=0,"",SUM(E229:XFD229))</f>
        <v>1</v>
      </c>
      <c r="E2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1</v>
      </c>
      <c r="F2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6">
        <f>IF(NOT(まとめ表_各店舗件数[[#This Row],[管理番号]]=""),VLOOKUP(まとめ表_各店舗件数[[#This Row],[管理番号]],名前リスト[[#All],[管理番号]:[氏名]],2,TRUE),"")</f>
        <v>0</v>
      </c>
      <c r="C230" s="21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79" t="str">
        <f t="shared" si="4"/>
        <v/>
      </c>
      <c r="E2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6">
        <f>IF(NOT(まとめ表_各店舗件数[[#This Row],[管理番号]]=""),VLOOKUP(まとめ表_各店舗件数[[#This Row],[管理番号]],名前リスト[[#All],[管理番号]:[氏名]],2,TRUE),"")</f>
        <v>0</v>
      </c>
      <c r="C231" s="21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79" t="str">
        <f t="shared" si="4"/>
        <v/>
      </c>
      <c r="E2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6">
        <f>IF(NOT(まとめ表_各店舗件数[[#This Row],[管理番号]]=""),VLOOKUP(まとめ表_各店舗件数[[#This Row],[管理番号]],名前リスト[[#All],[管理番号]:[氏名]],2,TRUE),"")</f>
        <v>0</v>
      </c>
      <c r="C232" s="21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79" t="str">
        <f t="shared" si="4"/>
        <v/>
      </c>
      <c r="E2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6">
        <f>IF(NOT(まとめ表_各店舗件数[[#This Row],[管理番号]]=""),VLOOKUP(まとめ表_各店舗件数[[#This Row],[管理番号]],名前リスト[[#All],[管理番号]:[氏名]],2,TRUE),"")</f>
        <v>0</v>
      </c>
      <c r="C233" s="21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79" t="str">
        <f t="shared" si="4"/>
        <v/>
      </c>
      <c r="E2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6">
        <f>IF(NOT(まとめ表_各店舗件数[[#This Row],[管理番号]]=""),VLOOKUP(まとめ表_各店舗件数[[#This Row],[管理番号]],名前リスト[[#All],[管理番号]:[氏名]],2,TRUE),"")</f>
        <v>0</v>
      </c>
      <c r="C234" s="21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79" t="str">
        <f t="shared" si="4"/>
        <v/>
      </c>
      <c r="E2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6">
        <f>IF(NOT(まとめ表_各店舗件数[[#This Row],[管理番号]]=""),VLOOKUP(まとめ表_各店舗件数[[#This Row],[管理番号]],名前リスト[[#All],[管理番号]:[氏名]],2,TRUE),"")</f>
        <v>0</v>
      </c>
      <c r="C235" s="21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79" t="str">
        <f t="shared" si="4"/>
        <v/>
      </c>
      <c r="E2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6">
        <f>IF(NOT(まとめ表_各店舗件数[[#This Row],[管理番号]]=""),VLOOKUP(まとめ表_各店舗件数[[#This Row],[管理番号]],名前リスト[[#All],[管理番号]:[氏名]],2,TRUE),"")</f>
        <v>0</v>
      </c>
      <c r="C236" s="21">
        <f>IF(NOT(まとめ表_各店舗件数[[#This Row],[管理番号]]=""),VLOOKUP(まとめ表_各店舗件数[[#This Row],[管理番号]],名前リスト[[#All],[管理番号]:[氏名]],3,TRUE),"")</f>
        <v>0</v>
      </c>
      <c r="D236" s="79" t="str">
        <f t="shared" si="4"/>
        <v/>
      </c>
      <c r="E2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6">
        <f>IF(NOT(まとめ表_各店舗件数[[#This Row],[管理番号]]=""),VLOOKUP(まとめ表_各店舗件数[[#This Row],[管理番号]],名前リスト[[#All],[管理番号]:[氏名]],2,TRUE),"")</f>
        <v>0</v>
      </c>
      <c r="C237" s="21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79" t="str">
        <f t="shared" si="4"/>
        <v/>
      </c>
      <c r="E2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6">
        <f>IF(NOT(まとめ表_各店舗件数[[#This Row],[管理番号]]=""),VLOOKUP(まとめ表_各店舗件数[[#This Row],[管理番号]],名前リスト[[#All],[管理番号]:[氏名]],2,TRUE),"")</f>
        <v>0</v>
      </c>
      <c r="C238" s="21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79" t="str">
        <f t="shared" si="4"/>
        <v/>
      </c>
      <c r="E2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6">
        <f>IF(NOT(まとめ表_各店舗件数[[#This Row],[管理番号]]=""),VLOOKUP(まとめ表_各店舗件数[[#This Row],[管理番号]],名前リスト[[#All],[管理番号]:[氏名]],2,TRUE),"")</f>
        <v>0</v>
      </c>
      <c r="C239" s="21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79" t="str">
        <f t="shared" si="4"/>
        <v/>
      </c>
      <c r="E2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6">
        <f>IF(NOT(まとめ表_各店舗件数[[#This Row],[管理番号]]=""),VLOOKUP(まとめ表_各店舗件数[[#This Row],[管理番号]],名前リスト[[#All],[管理番号]:[氏名]],2,TRUE),"")</f>
        <v>0</v>
      </c>
      <c r="C240" s="21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79" t="str">
        <f t="shared" si="4"/>
        <v/>
      </c>
      <c r="E2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6">
        <f>IF(NOT(まとめ表_各店舗件数[[#This Row],[管理番号]]=""),VLOOKUP(まとめ表_各店舗件数[[#This Row],[管理番号]],名前リスト[[#All],[管理番号]:[氏名]],2,TRUE),"")</f>
        <v>0</v>
      </c>
      <c r="C241" s="21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79" t="str">
        <f t="shared" si="4"/>
        <v/>
      </c>
      <c r="E2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6">
        <f>IF(NOT(まとめ表_各店舗件数[[#This Row],[管理番号]]=""),VLOOKUP(まとめ表_各店舗件数[[#This Row],[管理番号]],名前リスト[[#All],[管理番号]:[氏名]],2,TRUE),"")</f>
        <v>0</v>
      </c>
      <c r="C242" s="21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79" t="str">
        <f t="shared" si="4"/>
        <v/>
      </c>
      <c r="E2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6">
        <f>IF(NOT(まとめ表_各店舗件数[[#This Row],[管理番号]]=""),VLOOKUP(まとめ表_各店舗件数[[#This Row],[管理番号]],名前リスト[[#All],[管理番号]:[氏名]],2,TRUE),"")</f>
        <v>0</v>
      </c>
      <c r="C243" s="21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79" t="str">
        <f t="shared" si="4"/>
        <v/>
      </c>
      <c r="E2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6">
        <f>IF(NOT(まとめ表_各店舗件数[[#This Row],[管理番号]]=""),VLOOKUP(まとめ表_各店舗件数[[#This Row],[管理番号]],名前リスト[[#All],[管理番号]:[氏名]],2,TRUE),"")</f>
        <v>0</v>
      </c>
      <c r="C244" s="21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79" t="str">
        <f t="shared" si="4"/>
        <v/>
      </c>
      <c r="E2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6">
        <f>IF(NOT(まとめ表_各店舗件数[[#This Row],[管理番号]]=""),VLOOKUP(まとめ表_各店舗件数[[#This Row],[管理番号]],名前リスト[[#All],[管理番号]:[氏名]],2,TRUE),"")</f>
        <v>0</v>
      </c>
      <c r="C245" s="21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79" t="str">
        <f t="shared" si="4"/>
        <v/>
      </c>
      <c r="E2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6">
        <f>IF(NOT(まとめ表_各店舗件数[[#This Row],[管理番号]]=""),VLOOKUP(まとめ表_各店舗件数[[#This Row],[管理番号]],名前リスト[[#All],[管理番号]:[氏名]],2,TRUE),"")</f>
        <v>0</v>
      </c>
      <c r="C246" s="21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79" t="str">
        <f t="shared" si="4"/>
        <v/>
      </c>
      <c r="E2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6">
        <f>IF(NOT(まとめ表_各店舗件数[[#This Row],[管理番号]]=""),VLOOKUP(まとめ表_各店舗件数[[#This Row],[管理番号]],名前リスト[[#All],[管理番号]:[氏名]],2,TRUE),"")</f>
        <v>0</v>
      </c>
      <c r="C247" s="21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79" t="str">
        <f t="shared" si="4"/>
        <v/>
      </c>
      <c r="E2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6">
        <f>IF(NOT(まとめ表_各店舗件数[[#This Row],[管理番号]]=""),VLOOKUP(まとめ表_各店舗件数[[#This Row],[管理番号]],名前リスト[[#All],[管理番号]:[氏名]],2,TRUE),"")</f>
        <v>0</v>
      </c>
      <c r="C248" s="21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79" t="str">
        <f t="shared" si="4"/>
        <v/>
      </c>
      <c r="E2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6">
        <f>IF(NOT(まとめ表_各店舗件数[[#This Row],[管理番号]]=""),VLOOKUP(まとめ表_各店舗件数[[#This Row],[管理番号]],名前リスト[[#All],[管理番号]:[氏名]],2,TRUE),"")</f>
        <v>0</v>
      </c>
      <c r="C249" s="21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79" t="str">
        <f t="shared" si="4"/>
        <v/>
      </c>
      <c r="E2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6">
        <f>IF(NOT(まとめ表_各店舗件数[[#This Row],[管理番号]]=""),VLOOKUP(まとめ表_各店舗件数[[#This Row],[管理番号]],名前リスト[[#All],[管理番号]:[氏名]],2,TRUE),"")</f>
        <v>0</v>
      </c>
      <c r="C250" s="21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79" t="str">
        <f t="shared" si="4"/>
        <v/>
      </c>
      <c r="E2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6">
        <f>IF(NOT(まとめ表_各店舗件数[[#This Row],[管理番号]]=""),VLOOKUP(まとめ表_各店舗件数[[#This Row],[管理番号]],名前リスト[[#All],[管理番号]:[氏名]],2,TRUE),"")</f>
        <v>0</v>
      </c>
      <c r="C251" s="21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79" t="str">
        <f t="shared" si="4"/>
        <v/>
      </c>
      <c r="E2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6">
        <f>IF(NOT(まとめ表_各店舗件数[[#This Row],[管理番号]]=""),VLOOKUP(まとめ表_各店舗件数[[#This Row],[管理番号]],名前リスト[[#All],[管理番号]:[氏名]],2,TRUE),"")</f>
        <v>0</v>
      </c>
      <c r="C252" s="21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79" t="str">
        <f t="shared" si="4"/>
        <v/>
      </c>
      <c r="E25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6">
        <f>IF(NOT(まとめ表_各店舗件数[[#This Row],[管理番号]]=""),VLOOKUP(まとめ表_各店舗件数[[#This Row],[管理番号]],名前リスト[[#All],[管理番号]:[氏名]],2,TRUE),"")</f>
        <v>0</v>
      </c>
      <c r="C253" s="21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79" t="str">
        <f t="shared" si="4"/>
        <v/>
      </c>
      <c r="E25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6">
        <f>IF(NOT(まとめ表_各店舗件数[[#This Row],[管理番号]]=""),VLOOKUP(まとめ表_各店舗件数[[#This Row],[管理番号]],名前リスト[[#All],[管理番号]:[氏名]],2,TRUE),"")</f>
        <v>0</v>
      </c>
      <c r="C254" s="21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79" t="str">
        <f t="shared" si="4"/>
        <v/>
      </c>
      <c r="E25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6">
        <f>IF(NOT(まとめ表_各店舗件数[[#This Row],[管理番号]]=""),VLOOKUP(まとめ表_各店舗件数[[#This Row],[管理番号]],名前リスト[[#All],[管理番号]:[氏名]],2,TRUE),"")</f>
        <v>0</v>
      </c>
      <c r="C255" s="21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79" t="str">
        <f t="shared" si="4"/>
        <v/>
      </c>
      <c r="E25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6">
        <f>IF(NOT(まとめ表_各店舗件数[[#This Row],[管理番号]]=""),VLOOKUP(まとめ表_各店舗件数[[#This Row],[管理番号]],名前リスト[[#All],[管理番号]:[氏名]],2,TRUE),"")</f>
        <v>0</v>
      </c>
      <c r="C256" s="21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79" t="str">
        <f t="shared" si="4"/>
        <v/>
      </c>
      <c r="E25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6">
        <f>IF(NOT(まとめ表_各店舗件数[[#This Row],[管理番号]]=""),VLOOKUP(まとめ表_各店舗件数[[#This Row],[管理番号]],名前リスト[[#All],[管理番号]:[氏名]],2,TRUE),"")</f>
        <v>0</v>
      </c>
      <c r="C257" s="21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79" t="str">
        <f t="shared" si="4"/>
        <v/>
      </c>
      <c r="E25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6">
        <f>IF(NOT(まとめ表_各店舗件数[[#This Row],[管理番号]]=""),VLOOKUP(まとめ表_各店舗件数[[#This Row],[管理番号]],名前リスト[[#All],[管理番号]:[氏名]],2,TRUE),"")</f>
        <v>0</v>
      </c>
      <c r="C258" s="21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79" t="str">
        <f t="shared" si="4"/>
        <v/>
      </c>
      <c r="E25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6">
        <f>IF(NOT(まとめ表_各店舗件数[[#This Row],[管理番号]]=""),VLOOKUP(まとめ表_各店舗件数[[#This Row],[管理番号]],名前リスト[[#All],[管理番号]:[氏名]],2,TRUE),"")</f>
        <v>0</v>
      </c>
      <c r="C259" s="21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79" t="str">
        <f t="shared" si="4"/>
        <v/>
      </c>
      <c r="E25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6">
        <f>IF(NOT(まとめ表_各店舗件数[[#This Row],[管理番号]]=""),VLOOKUP(まとめ表_各店舗件数[[#This Row],[管理番号]],名前リスト[[#All],[管理番号]:[氏名]],2,TRUE),"")</f>
        <v>0</v>
      </c>
      <c r="C260" s="21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79" t="str">
        <f t="shared" si="4"/>
        <v/>
      </c>
      <c r="E26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6">
        <f>IF(NOT(まとめ表_各店舗件数[[#This Row],[管理番号]]=""),VLOOKUP(まとめ表_各店舗件数[[#This Row],[管理番号]],名前リスト[[#All],[管理番号]:[氏名]],2,TRUE),"")</f>
        <v>0</v>
      </c>
      <c r="C261" s="21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79" t="str">
        <f t="shared" si="4"/>
        <v/>
      </c>
      <c r="E26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6">
        <f>IF(NOT(まとめ表_各店舗件数[[#This Row],[管理番号]]=""),VLOOKUP(まとめ表_各店舗件数[[#This Row],[管理番号]],名前リスト[[#All],[管理番号]:[氏名]],2,TRUE),"")</f>
        <v>0</v>
      </c>
      <c r="C262" s="21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79" t="str">
        <f t="shared" si="4"/>
        <v/>
      </c>
      <c r="E26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6">
        <f>IF(NOT(まとめ表_各店舗件数[[#This Row],[管理番号]]=""),VLOOKUP(まとめ表_各店舗件数[[#This Row],[管理番号]],名前リスト[[#All],[管理番号]:[氏名]],2,TRUE),"")</f>
        <v>0</v>
      </c>
      <c r="C263" s="21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79" t="str">
        <f t="shared" si="4"/>
        <v/>
      </c>
      <c r="E26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6">
        <f>IF(NOT(まとめ表_各店舗件数[[#This Row],[管理番号]]=""),VLOOKUP(まとめ表_各店舗件数[[#This Row],[管理番号]],名前リスト[[#All],[管理番号]:[氏名]],2,TRUE),"")</f>
        <v>0</v>
      </c>
      <c r="C264" s="21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79" t="str">
        <f t="shared" si="4"/>
        <v/>
      </c>
      <c r="E26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6">
        <f>IF(NOT(まとめ表_各店舗件数[[#This Row],[管理番号]]=""),VLOOKUP(まとめ表_各店舗件数[[#This Row],[管理番号]],名前リスト[[#All],[管理番号]:[氏名]],2,TRUE),"")</f>
        <v>0</v>
      </c>
      <c r="C265" s="21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79" t="str">
        <f t="shared" si="4"/>
        <v/>
      </c>
      <c r="E26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6">
        <f>IF(NOT(まとめ表_各店舗件数[[#This Row],[管理番号]]=""),VLOOKUP(まとめ表_各店舗件数[[#This Row],[管理番号]],名前リスト[[#All],[管理番号]:[氏名]],2,TRUE),"")</f>
        <v>0</v>
      </c>
      <c r="C266" s="21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79" t="str">
        <f t="shared" si="4"/>
        <v/>
      </c>
      <c r="E26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6">
        <f>IF(NOT(まとめ表_各店舗件数[[#This Row],[管理番号]]=""),VLOOKUP(まとめ表_各店舗件数[[#This Row],[管理番号]],名前リスト[[#All],[管理番号]:[氏名]],2,TRUE),"")</f>
        <v>0</v>
      </c>
      <c r="C267" s="21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79" t="str">
        <f t="shared" si="4"/>
        <v/>
      </c>
      <c r="E26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6">
        <f>IF(NOT(まとめ表_各店舗件数[[#This Row],[管理番号]]=""),VLOOKUP(まとめ表_各店舗件数[[#This Row],[管理番号]],名前リスト[[#All],[管理番号]:[氏名]],2,TRUE),"")</f>
        <v>0</v>
      </c>
      <c r="C268" s="21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79" t="str">
        <f t="shared" si="4"/>
        <v/>
      </c>
      <c r="E26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6">
        <f>IF(NOT(まとめ表_各店舗件数[[#This Row],[管理番号]]=""),VLOOKUP(まとめ表_各店舗件数[[#This Row],[管理番号]],名前リスト[[#All],[管理番号]:[氏名]],2,TRUE),"")</f>
        <v>0</v>
      </c>
      <c r="C269" s="21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79" t="str">
        <f t="shared" si="4"/>
        <v/>
      </c>
      <c r="E26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6">
        <f>IF(NOT(まとめ表_各店舗件数[[#This Row],[管理番号]]=""),VLOOKUP(まとめ表_各店舗件数[[#This Row],[管理番号]],名前リスト[[#All],[管理番号]:[氏名]],2,TRUE),"")</f>
        <v>0</v>
      </c>
      <c r="C270" s="21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79" t="str">
        <f t="shared" si="4"/>
        <v/>
      </c>
      <c r="E27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6">
        <f>IF(NOT(まとめ表_各店舗件数[[#This Row],[管理番号]]=""),VLOOKUP(まとめ表_各店舗件数[[#This Row],[管理番号]],名前リスト[[#All],[管理番号]:[氏名]],2,TRUE),"")</f>
        <v>0</v>
      </c>
      <c r="C271" s="21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79" t="str">
        <f t="shared" si="4"/>
        <v/>
      </c>
      <c r="E27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6">
        <f>IF(NOT(まとめ表_各店舗件数[[#This Row],[管理番号]]=""),VLOOKUP(まとめ表_各店舗件数[[#This Row],[管理番号]],名前リスト[[#All],[管理番号]:[氏名]],2,TRUE),"")</f>
        <v>0</v>
      </c>
      <c r="C272" s="21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79" t="str">
        <f t="shared" si="4"/>
        <v/>
      </c>
      <c r="E27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6">
        <f>IF(NOT(まとめ表_各店舗件数[[#This Row],[管理番号]]=""),VLOOKUP(まとめ表_各店舗件数[[#This Row],[管理番号]],名前リスト[[#All],[管理番号]:[氏名]],2,TRUE),"")</f>
        <v>0</v>
      </c>
      <c r="C273" s="21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79" t="str">
        <f t="shared" si="4"/>
        <v/>
      </c>
      <c r="E27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6">
        <f>IF(NOT(まとめ表_各店舗件数[[#This Row],[管理番号]]=""),VLOOKUP(まとめ表_各店舗件数[[#This Row],[管理番号]],名前リスト[[#All],[管理番号]:[氏名]],2,TRUE),"")</f>
        <v>0</v>
      </c>
      <c r="C274" s="21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79" t="str">
        <f t="shared" si="4"/>
        <v/>
      </c>
      <c r="E27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6">
        <f>IF(NOT(まとめ表_各店舗件数[[#This Row],[管理番号]]=""),VLOOKUP(まとめ表_各店舗件数[[#This Row],[管理番号]],名前リスト[[#All],[管理番号]:[氏名]],2,TRUE),"")</f>
        <v>0</v>
      </c>
      <c r="C275" s="21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79" t="str">
        <f t="shared" si="4"/>
        <v/>
      </c>
      <c r="E27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6">
        <f>IF(NOT(まとめ表_各店舗件数[[#This Row],[管理番号]]=""),VLOOKUP(まとめ表_各店舗件数[[#This Row],[管理番号]],名前リスト[[#All],[管理番号]:[氏名]],2,TRUE),"")</f>
        <v>0</v>
      </c>
      <c r="C276" s="21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79" t="str">
        <f t="shared" si="4"/>
        <v/>
      </c>
      <c r="E27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6">
        <f>IF(NOT(まとめ表_各店舗件数[[#This Row],[管理番号]]=""),VLOOKUP(まとめ表_各店舗件数[[#This Row],[管理番号]],名前リスト[[#All],[管理番号]:[氏名]],2,TRUE),"")</f>
        <v>0</v>
      </c>
      <c r="C277" s="21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79" t="str">
        <f t="shared" si="4"/>
        <v/>
      </c>
      <c r="E27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6">
        <f>IF(NOT(まとめ表_各店舗件数[[#This Row],[管理番号]]=""),VLOOKUP(まとめ表_各店舗件数[[#This Row],[管理番号]],名前リスト[[#All],[管理番号]:[氏名]],2,TRUE),"")</f>
        <v>0</v>
      </c>
      <c r="C278" s="21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79" t="str">
        <f t="shared" si="4"/>
        <v/>
      </c>
      <c r="E27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6">
        <f>IF(NOT(まとめ表_各店舗件数[[#This Row],[管理番号]]=""),VLOOKUP(まとめ表_各店舗件数[[#This Row],[管理番号]],名前リスト[[#All],[管理番号]:[氏名]],2,TRUE),"")</f>
        <v>0</v>
      </c>
      <c r="C279" s="21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79" t="str">
        <f t="shared" si="4"/>
        <v/>
      </c>
      <c r="E27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6">
        <f>IF(NOT(まとめ表_各店舗件数[[#This Row],[管理番号]]=""),VLOOKUP(まとめ表_各店舗件数[[#This Row],[管理番号]],名前リスト[[#All],[管理番号]:[氏名]],2,TRUE),"")</f>
        <v>0</v>
      </c>
      <c r="C280" s="21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79" t="str">
        <f t="shared" si="4"/>
        <v/>
      </c>
      <c r="E28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6">
        <f>IF(NOT(まとめ表_各店舗件数[[#This Row],[管理番号]]=""),VLOOKUP(まとめ表_各店舗件数[[#This Row],[管理番号]],名前リスト[[#All],[管理番号]:[氏名]],2,TRUE),"")</f>
        <v>0</v>
      </c>
      <c r="C281" s="21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79" t="str">
        <f t="shared" si="4"/>
        <v/>
      </c>
      <c r="E28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6">
        <f>IF(NOT(まとめ表_各店舗件数[[#This Row],[管理番号]]=""),VLOOKUP(まとめ表_各店舗件数[[#This Row],[管理番号]],名前リスト[[#All],[管理番号]:[氏名]],2,TRUE),"")</f>
        <v>0</v>
      </c>
      <c r="C282" s="21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79" t="str">
        <f t="shared" si="4"/>
        <v/>
      </c>
      <c r="E28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6">
        <f>IF(NOT(まとめ表_各店舗件数[[#This Row],[管理番号]]=""),VLOOKUP(まとめ表_各店舗件数[[#This Row],[管理番号]],名前リスト[[#All],[管理番号]:[氏名]],2,TRUE),"")</f>
        <v>0</v>
      </c>
      <c r="C283" s="21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79" t="str">
        <f t="shared" si="4"/>
        <v/>
      </c>
      <c r="E28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6">
        <f>IF(NOT(まとめ表_各店舗件数[[#This Row],[管理番号]]=""),VLOOKUP(まとめ表_各店舗件数[[#This Row],[管理番号]],名前リスト[[#All],[管理番号]:[氏名]],2,TRUE),"")</f>
        <v>0</v>
      </c>
      <c r="C284" s="21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79" t="str">
        <f t="shared" si="4"/>
        <v/>
      </c>
      <c r="E28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6">
        <f>IF(NOT(まとめ表_各店舗件数[[#This Row],[管理番号]]=""),VLOOKUP(まとめ表_各店舗件数[[#This Row],[管理番号]],名前リスト[[#All],[管理番号]:[氏名]],2,TRUE),"")</f>
        <v>0</v>
      </c>
      <c r="C285" s="21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79" t="str">
        <f t="shared" si="4"/>
        <v/>
      </c>
      <c r="E28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6">
        <f>IF(NOT(まとめ表_各店舗件数[[#This Row],[管理番号]]=""),VLOOKUP(まとめ表_各店舗件数[[#This Row],[管理番号]],名前リスト[[#All],[管理番号]:[氏名]],2,TRUE),"")</f>
        <v>0</v>
      </c>
      <c r="C286" s="21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79" t="str">
        <f t="shared" si="4"/>
        <v/>
      </c>
      <c r="E28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6">
        <f>IF(NOT(まとめ表_各店舗件数[[#This Row],[管理番号]]=""),VLOOKUP(まとめ表_各店舗件数[[#This Row],[管理番号]],名前リスト[[#All],[管理番号]:[氏名]],2,TRUE),"")</f>
        <v>0</v>
      </c>
      <c r="C287" s="21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79" t="str">
        <f t="shared" si="4"/>
        <v/>
      </c>
      <c r="E28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6">
        <f>IF(NOT(まとめ表_各店舗件数[[#This Row],[管理番号]]=""),VLOOKUP(まとめ表_各店舗件数[[#This Row],[管理番号]],名前リスト[[#All],[管理番号]:[氏名]],2,TRUE),"")</f>
        <v>0</v>
      </c>
      <c r="C288" s="21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79" t="str">
        <f t="shared" si="4"/>
        <v/>
      </c>
      <c r="E28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6">
        <f>IF(NOT(まとめ表_各店舗件数[[#This Row],[管理番号]]=""),VLOOKUP(まとめ表_各店舗件数[[#This Row],[管理番号]],名前リスト[[#All],[管理番号]:[氏名]],2,TRUE),"")</f>
        <v>0</v>
      </c>
      <c r="C289" s="21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79" t="str">
        <f t="shared" si="4"/>
        <v/>
      </c>
      <c r="E28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6">
        <f>IF(NOT(まとめ表_各店舗件数[[#This Row],[管理番号]]=""),VLOOKUP(まとめ表_各店舗件数[[#This Row],[管理番号]],名前リスト[[#All],[管理番号]:[氏名]],2,TRUE),"")</f>
        <v>0</v>
      </c>
      <c r="C290" s="21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79" t="str">
        <f t="shared" si="4"/>
        <v/>
      </c>
      <c r="E29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6">
        <f>IF(NOT(まとめ表_各店舗件数[[#This Row],[管理番号]]=""),VLOOKUP(まとめ表_各店舗件数[[#This Row],[管理番号]],名前リスト[[#All],[管理番号]:[氏名]],2,TRUE),"")</f>
        <v>0</v>
      </c>
      <c r="C291" s="21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79" t="str">
        <f t="shared" si="4"/>
        <v/>
      </c>
      <c r="E29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6">
        <f>IF(NOT(まとめ表_各店舗件数[[#This Row],[管理番号]]=""),VLOOKUP(まとめ表_各店舗件数[[#This Row],[管理番号]],名前リスト[[#All],[管理番号]:[氏名]],2,TRUE),"")</f>
        <v>0</v>
      </c>
      <c r="C292" s="21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79" t="str">
        <f t="shared" si="4"/>
        <v/>
      </c>
      <c r="E29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6">
        <f>IF(NOT(まとめ表_各店舗件数[[#This Row],[管理番号]]=""),VLOOKUP(まとめ表_各店舗件数[[#This Row],[管理番号]],名前リスト[[#All],[管理番号]:[氏名]],2,TRUE),"")</f>
        <v>0</v>
      </c>
      <c r="C293" s="21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79" t="str">
        <f t="shared" ref="D293:D351" si="5">IF(SUM(E293:XFD293)=0,"",SUM(E293:XFD293))</f>
        <v/>
      </c>
      <c r="E29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6">
        <f>IF(NOT(まとめ表_各店舗件数[[#This Row],[管理番号]]=""),VLOOKUP(まとめ表_各店舗件数[[#This Row],[管理番号]],名前リスト[[#All],[管理番号]:[氏名]],2,TRUE),"")</f>
        <v>0</v>
      </c>
      <c r="C294" s="21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79" t="str">
        <f t="shared" si="5"/>
        <v/>
      </c>
      <c r="E29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6">
        <f>IF(NOT(まとめ表_各店舗件数[[#This Row],[管理番号]]=""),VLOOKUP(まとめ表_各店舗件数[[#This Row],[管理番号]],名前リスト[[#All],[管理番号]:[氏名]],2,TRUE),"")</f>
        <v>0</v>
      </c>
      <c r="C295" s="21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79" t="str">
        <f t="shared" si="5"/>
        <v/>
      </c>
      <c r="E29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6">
        <f>IF(NOT(まとめ表_各店舗件数[[#This Row],[管理番号]]=""),VLOOKUP(まとめ表_各店舗件数[[#This Row],[管理番号]],名前リスト[[#All],[管理番号]:[氏名]],2,TRUE),"")</f>
        <v>0</v>
      </c>
      <c r="C296" s="21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79" t="str">
        <f t="shared" si="5"/>
        <v/>
      </c>
      <c r="E29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6">
        <f>IF(NOT(まとめ表_各店舗件数[[#This Row],[管理番号]]=""),VLOOKUP(まとめ表_各店舗件数[[#This Row],[管理番号]],名前リスト[[#All],[管理番号]:[氏名]],2,TRUE),"")</f>
        <v>0</v>
      </c>
      <c r="C297" s="21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79" t="str">
        <f t="shared" si="5"/>
        <v/>
      </c>
      <c r="E29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6">
        <f>IF(NOT(まとめ表_各店舗件数[[#This Row],[管理番号]]=""),VLOOKUP(まとめ表_各店舗件数[[#This Row],[管理番号]],名前リスト[[#All],[管理番号]:[氏名]],2,TRUE),"")</f>
        <v>0</v>
      </c>
      <c r="C298" s="21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79" t="str">
        <f t="shared" si="5"/>
        <v/>
      </c>
      <c r="E29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6">
        <f>IF(NOT(まとめ表_各店舗件数[[#This Row],[管理番号]]=""),VLOOKUP(まとめ表_各店舗件数[[#This Row],[管理番号]],名前リスト[[#All],[管理番号]:[氏名]],2,TRUE),"")</f>
        <v>0</v>
      </c>
      <c r="C299" s="21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79" t="str">
        <f t="shared" si="5"/>
        <v/>
      </c>
      <c r="E29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6">
        <f>IF(NOT(まとめ表_各店舗件数[[#This Row],[管理番号]]=""),VLOOKUP(まとめ表_各店舗件数[[#This Row],[管理番号]],名前リスト[[#All],[管理番号]:[氏名]],2,TRUE),"")</f>
        <v>0</v>
      </c>
      <c r="C300" s="21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79" t="str">
        <f t="shared" si="5"/>
        <v/>
      </c>
      <c r="E30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6">
        <f>IF(NOT(まとめ表_各店舗件数[[#This Row],[管理番号]]=""),VLOOKUP(まとめ表_各店舗件数[[#This Row],[管理番号]],名前リスト[[#All],[管理番号]:[氏名]],2,TRUE),"")</f>
        <v>0</v>
      </c>
      <c r="C301" s="21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79" t="str">
        <f t="shared" si="5"/>
        <v/>
      </c>
      <c r="E30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6">
        <f>IF(NOT(まとめ表_各店舗件数[[#This Row],[管理番号]]=""),VLOOKUP(まとめ表_各店舗件数[[#This Row],[管理番号]],名前リスト[[#All],[管理番号]:[氏名]],2,TRUE),"")</f>
        <v>0</v>
      </c>
      <c r="C302" s="21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79" t="str">
        <f t="shared" si="5"/>
        <v/>
      </c>
      <c r="E30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6">
        <f>IF(NOT(まとめ表_各店舗件数[[#This Row],[管理番号]]=""),VLOOKUP(まとめ表_各店舗件数[[#This Row],[管理番号]],名前リスト[[#All],[管理番号]:[氏名]],2,TRUE),"")</f>
        <v>0</v>
      </c>
      <c r="C303" s="21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79" t="str">
        <f t="shared" si="5"/>
        <v/>
      </c>
      <c r="E30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6">
        <f>IF(NOT(まとめ表_各店舗件数[[#This Row],[管理番号]]=""),VLOOKUP(まとめ表_各店舗件数[[#This Row],[管理番号]],名前リスト[[#All],[管理番号]:[氏名]],2,TRUE),"")</f>
        <v>0</v>
      </c>
      <c r="C304" s="21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79" t="str">
        <f t="shared" si="5"/>
        <v/>
      </c>
      <c r="E30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6">
        <f>IF(NOT(まとめ表_各店舗件数[[#This Row],[管理番号]]=""),VLOOKUP(まとめ表_各店舗件数[[#This Row],[管理番号]],名前リスト[[#All],[管理番号]:[氏名]],2,TRUE),"")</f>
        <v>0</v>
      </c>
      <c r="C305" s="21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79" t="str">
        <f t="shared" si="5"/>
        <v/>
      </c>
      <c r="E3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6">
        <f>IF(NOT(まとめ表_各店舗件数[[#This Row],[管理番号]]=""),VLOOKUP(まとめ表_各店舗件数[[#This Row],[管理番号]],名前リスト[[#All],[管理番号]:[氏名]],2,TRUE),"")</f>
        <v>0</v>
      </c>
      <c r="C306" s="21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79" t="str">
        <f t="shared" si="5"/>
        <v/>
      </c>
      <c r="E3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6">
        <f>IF(NOT(まとめ表_各店舗件数[[#This Row],[管理番号]]=""),VLOOKUP(まとめ表_各店舗件数[[#This Row],[管理番号]],名前リスト[[#All],[管理番号]:[氏名]],2,TRUE),"")</f>
        <v>0</v>
      </c>
      <c r="C307" s="21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79" t="str">
        <f t="shared" si="5"/>
        <v/>
      </c>
      <c r="E3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6">
        <f>IF(NOT(まとめ表_各店舗件数[[#This Row],[管理番号]]=""),VLOOKUP(まとめ表_各店舗件数[[#This Row],[管理番号]],名前リスト[[#All],[管理番号]:[氏名]],2,TRUE),"")</f>
        <v>0</v>
      </c>
      <c r="C308" s="21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79" t="str">
        <f t="shared" si="5"/>
        <v/>
      </c>
      <c r="E3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6">
        <f>IF(NOT(まとめ表_各店舗件数[[#This Row],[管理番号]]=""),VLOOKUP(まとめ表_各店舗件数[[#This Row],[管理番号]],名前リスト[[#All],[管理番号]:[氏名]],2,TRUE),"")</f>
        <v>0</v>
      </c>
      <c r="C309" s="21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79" t="str">
        <f t="shared" si="5"/>
        <v/>
      </c>
      <c r="E3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6">
        <f>IF(NOT(まとめ表_各店舗件数[[#This Row],[管理番号]]=""),VLOOKUP(まとめ表_各店舗件数[[#This Row],[管理番号]],名前リスト[[#All],[管理番号]:[氏名]],2,TRUE),"")</f>
        <v>0</v>
      </c>
      <c r="C310" s="21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79" t="str">
        <f t="shared" si="5"/>
        <v/>
      </c>
      <c r="E3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6">
        <f>IF(NOT(まとめ表_各店舗件数[[#This Row],[管理番号]]=""),VLOOKUP(まとめ表_各店舗件数[[#This Row],[管理番号]],名前リスト[[#All],[管理番号]:[氏名]],2,TRUE),"")</f>
        <v>0</v>
      </c>
      <c r="C311" s="21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79" t="str">
        <f t="shared" si="5"/>
        <v/>
      </c>
      <c r="E3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6">
        <f>IF(NOT(まとめ表_各店舗件数[[#This Row],[管理番号]]=""),VLOOKUP(まとめ表_各店舗件数[[#This Row],[管理番号]],名前リスト[[#All],[管理番号]:[氏名]],2,TRUE),"")</f>
        <v>0</v>
      </c>
      <c r="C312" s="21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79" t="str">
        <f t="shared" si="5"/>
        <v/>
      </c>
      <c r="E3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6">
        <f>IF(NOT(まとめ表_各店舗件数[[#This Row],[管理番号]]=""),VLOOKUP(まとめ表_各店舗件数[[#This Row],[管理番号]],名前リスト[[#All],[管理番号]:[氏名]],2,TRUE),"")</f>
        <v>0</v>
      </c>
      <c r="C313" s="21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79" t="str">
        <f t="shared" si="5"/>
        <v/>
      </c>
      <c r="E3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6">
        <f>IF(NOT(まとめ表_各店舗件数[[#This Row],[管理番号]]=""),VLOOKUP(まとめ表_各店舗件数[[#This Row],[管理番号]],名前リスト[[#All],[管理番号]:[氏名]],2,TRUE),"")</f>
        <v>0</v>
      </c>
      <c r="C314" s="21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79" t="str">
        <f t="shared" si="5"/>
        <v/>
      </c>
      <c r="E3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6">
        <f>IF(NOT(まとめ表_各店舗件数[[#This Row],[管理番号]]=""),VLOOKUP(まとめ表_各店舗件数[[#This Row],[管理番号]],名前リスト[[#All],[管理番号]:[氏名]],2,TRUE),"")</f>
        <v>0</v>
      </c>
      <c r="C315" s="21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79" t="str">
        <f t="shared" si="5"/>
        <v/>
      </c>
      <c r="E3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6">
        <f>IF(NOT(まとめ表_各店舗件数[[#This Row],[管理番号]]=""),VLOOKUP(まとめ表_各店舗件数[[#This Row],[管理番号]],名前リスト[[#All],[管理番号]:[氏名]],2,TRUE),"")</f>
        <v>0</v>
      </c>
      <c r="C316" s="21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79" t="str">
        <f t="shared" si="5"/>
        <v/>
      </c>
      <c r="E3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6">
        <f>IF(NOT(まとめ表_各店舗件数[[#This Row],[管理番号]]=""),VLOOKUP(まとめ表_各店舗件数[[#This Row],[管理番号]],名前リスト[[#All],[管理番号]:[氏名]],2,TRUE),"")</f>
        <v>0</v>
      </c>
      <c r="C317" s="21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79" t="str">
        <f t="shared" si="5"/>
        <v/>
      </c>
      <c r="E3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6">
        <f>IF(NOT(まとめ表_各店舗件数[[#This Row],[管理番号]]=""),VLOOKUP(まとめ表_各店舗件数[[#This Row],[管理番号]],名前リスト[[#All],[管理番号]:[氏名]],2,TRUE),"")</f>
        <v>0</v>
      </c>
      <c r="C318" s="21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79" t="str">
        <f t="shared" si="5"/>
        <v/>
      </c>
      <c r="E3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76"/>
    </row>
    <row r="319" spans="1:28">
      <c r="A319" s="20">
        <f>名前リスト[[#This Row],[管理番号]]</f>
        <v>1062</v>
      </c>
      <c r="B319" s="6">
        <f>IF(NOT(まとめ表_各店舗件数[[#This Row],[管理番号]]=""),VLOOKUP(まとめ表_各店舗件数[[#This Row],[管理番号]],名前リスト[[#All],[管理番号]:[氏名]],2,TRUE),"")</f>
        <v>0</v>
      </c>
      <c r="C319" s="21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79" t="str">
        <f t="shared" si="5"/>
        <v/>
      </c>
      <c r="E3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76"/>
    </row>
    <row r="320" spans="1:28">
      <c r="A320" s="20">
        <f>名前リスト[[#This Row],[管理番号]]</f>
        <v>1063</v>
      </c>
      <c r="B320" s="6">
        <f>IF(NOT(まとめ表_各店舗件数[[#This Row],[管理番号]]=""),VLOOKUP(まとめ表_各店舗件数[[#This Row],[管理番号]],名前リスト[[#All],[管理番号]:[氏名]],2,TRUE),"")</f>
        <v>0</v>
      </c>
      <c r="C320" s="21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79" t="str">
        <f t="shared" si="5"/>
        <v/>
      </c>
      <c r="E3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76"/>
    </row>
    <row r="321" spans="1:28">
      <c r="A321" s="20">
        <f>名前リスト[[#This Row],[管理番号]]</f>
        <v>1064</v>
      </c>
      <c r="B321" s="6">
        <f>IF(NOT(まとめ表_各店舗件数[[#This Row],[管理番号]]=""),VLOOKUP(まとめ表_各店舗件数[[#This Row],[管理番号]],名前リスト[[#All],[管理番号]:[氏名]],2,TRUE),"")</f>
        <v>0</v>
      </c>
      <c r="C321" s="21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79" t="str">
        <f t="shared" si="5"/>
        <v/>
      </c>
      <c r="E3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76"/>
    </row>
    <row r="322" spans="1:28">
      <c r="A322" s="20">
        <f>名前リスト[[#This Row],[管理番号]]</f>
        <v>1065</v>
      </c>
      <c r="B322" s="6">
        <f>IF(NOT(まとめ表_各店舗件数[[#This Row],[管理番号]]=""),VLOOKUP(まとめ表_各店舗件数[[#This Row],[管理番号]],名前リスト[[#All],[管理番号]:[氏名]],2,TRUE),"")</f>
        <v>0</v>
      </c>
      <c r="C322" s="21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79" t="str">
        <f t="shared" si="5"/>
        <v/>
      </c>
      <c r="E3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76"/>
    </row>
    <row r="323" spans="1:28">
      <c r="A323" s="20">
        <f>名前リスト[[#This Row],[管理番号]]</f>
        <v>1066</v>
      </c>
      <c r="B323" s="6">
        <f>IF(NOT(まとめ表_各店舗件数[[#This Row],[管理番号]]=""),VLOOKUP(まとめ表_各店舗件数[[#This Row],[管理番号]],名前リスト[[#All],[管理番号]:[氏名]],2,TRUE),"")</f>
        <v>0</v>
      </c>
      <c r="C323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79" t="str">
        <f t="shared" si="5"/>
        <v/>
      </c>
      <c r="E3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76"/>
    </row>
    <row r="324" spans="1:28">
      <c r="A324" s="20">
        <f>名前リスト[[#This Row],[管理番号]]</f>
        <v>1067</v>
      </c>
      <c r="B324" s="6">
        <f>IF(NOT(まとめ表_各店舗件数[[#This Row],[管理番号]]=""),VLOOKUP(まとめ表_各店舗件数[[#This Row],[管理番号]],名前リスト[[#All],[管理番号]:[氏名]],2,TRUE),"")</f>
        <v>0</v>
      </c>
      <c r="C324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79" t="str">
        <f t="shared" si="5"/>
        <v/>
      </c>
      <c r="E3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76"/>
    </row>
    <row r="325" spans="1:28">
      <c r="A325" s="20">
        <f>名前リスト[[#This Row],[管理番号]]</f>
        <v>1068</v>
      </c>
      <c r="B325" s="6">
        <f>IF(NOT(まとめ表_各店舗件数[[#This Row],[管理番号]]=""),VLOOKUP(まとめ表_各店舗件数[[#This Row],[管理番号]],名前リスト[[#All],[管理番号]:[氏名]],2,TRUE),"")</f>
        <v>0</v>
      </c>
      <c r="C325" s="21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79" t="str">
        <f t="shared" si="5"/>
        <v/>
      </c>
      <c r="E3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76"/>
    </row>
    <row r="326" spans="1:28">
      <c r="A326" s="20">
        <f>名前リスト[[#This Row],[管理番号]]</f>
        <v>1069</v>
      </c>
      <c r="B326" s="6">
        <f>IF(NOT(まとめ表_各店舗件数[[#This Row],[管理番号]]=""),VLOOKUP(まとめ表_各店舗件数[[#This Row],[管理番号]],名前リスト[[#All],[管理番号]:[氏名]],2,TRUE),"")</f>
        <v>0</v>
      </c>
      <c r="C326" s="21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79" t="str">
        <f t="shared" si="5"/>
        <v/>
      </c>
      <c r="E3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76"/>
    </row>
    <row r="327" spans="1:28">
      <c r="A327" s="20">
        <f>名前リスト[[#This Row],[管理番号]]</f>
        <v>1070</v>
      </c>
      <c r="B327" s="6">
        <f>IF(NOT(まとめ表_各店舗件数[[#This Row],[管理番号]]=""),VLOOKUP(まとめ表_各店舗件数[[#This Row],[管理番号]],名前リスト[[#All],[管理番号]:[氏名]],2,TRUE),"")</f>
        <v>0</v>
      </c>
      <c r="C327" s="21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79" t="str">
        <f t="shared" si="5"/>
        <v/>
      </c>
      <c r="E3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76"/>
    </row>
    <row r="328" spans="1:28">
      <c r="A328" s="20">
        <f>名前リスト[[#This Row],[管理番号]]</f>
        <v>1071</v>
      </c>
      <c r="B328" s="6">
        <f>IF(NOT(まとめ表_各店舗件数[[#This Row],[管理番号]]=""),VLOOKUP(まとめ表_各店舗件数[[#This Row],[管理番号]],名前リスト[[#All],[管理番号]:[氏名]],2,TRUE),"")</f>
        <v>0</v>
      </c>
      <c r="C328" s="21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79" t="str">
        <f t="shared" si="5"/>
        <v/>
      </c>
      <c r="E3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76"/>
    </row>
    <row r="329" spans="1:28">
      <c r="A329" s="20">
        <f>名前リスト[[#This Row],[管理番号]]</f>
        <v>1072</v>
      </c>
      <c r="B329" s="6">
        <f>IF(NOT(まとめ表_各店舗件数[[#This Row],[管理番号]]=""),VLOOKUP(まとめ表_各店舗件数[[#This Row],[管理番号]],名前リスト[[#All],[管理番号]:[氏名]],2,TRUE),"")</f>
        <v>0</v>
      </c>
      <c r="C329" s="21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79" t="str">
        <f t="shared" si="5"/>
        <v/>
      </c>
      <c r="E3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76"/>
    </row>
    <row r="330" spans="1:28">
      <c r="A330" s="20">
        <f>名前リスト[[#This Row],[管理番号]]</f>
        <v>1073</v>
      </c>
      <c r="B330" s="6">
        <f>IF(NOT(まとめ表_各店舗件数[[#This Row],[管理番号]]=""),VLOOKUP(まとめ表_各店舗件数[[#This Row],[管理番号]],名前リスト[[#All],[管理番号]:[氏名]],2,TRUE),"")</f>
        <v>0</v>
      </c>
      <c r="C330" s="21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79" t="str">
        <f t="shared" si="5"/>
        <v/>
      </c>
      <c r="E3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76"/>
    </row>
    <row r="331" spans="1:28">
      <c r="A331" s="20">
        <f>名前リスト[[#This Row],[管理番号]]</f>
        <v>1074</v>
      </c>
      <c r="B331" s="6">
        <f>IF(NOT(まとめ表_各店舗件数[[#This Row],[管理番号]]=""),VLOOKUP(まとめ表_各店舗件数[[#This Row],[管理番号]],名前リスト[[#All],[管理番号]:[氏名]],2,TRUE),"")</f>
        <v>0</v>
      </c>
      <c r="C331" s="21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79" t="str">
        <f t="shared" si="5"/>
        <v/>
      </c>
      <c r="E3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76"/>
    </row>
    <row r="332" spans="1:28">
      <c r="A332" s="20">
        <f>名前リスト[[#This Row],[管理番号]]</f>
        <v>1075</v>
      </c>
      <c r="B332" s="6">
        <f>IF(NOT(まとめ表_各店舗件数[[#This Row],[管理番号]]=""),VLOOKUP(まとめ表_各店舗件数[[#This Row],[管理番号]],名前リスト[[#All],[管理番号]:[氏名]],2,TRUE),"")</f>
        <v>0</v>
      </c>
      <c r="C332" s="21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79" t="str">
        <f t="shared" si="5"/>
        <v/>
      </c>
      <c r="E3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76"/>
    </row>
    <row r="333" spans="1:28">
      <c r="A333" s="20">
        <f>名前リスト[[#This Row],[管理番号]]</f>
        <v>1076</v>
      </c>
      <c r="B333" s="6">
        <f>IF(NOT(まとめ表_各店舗件数[[#This Row],[管理番号]]=""),VLOOKUP(まとめ表_各店舗件数[[#This Row],[管理番号]],名前リスト[[#All],[管理番号]:[氏名]],2,TRUE),"")</f>
        <v>0</v>
      </c>
      <c r="C333" s="21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79" t="str">
        <f t="shared" si="5"/>
        <v/>
      </c>
      <c r="E3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76"/>
    </row>
    <row r="334" spans="1:28">
      <c r="A334" s="20">
        <f>名前リスト[[#This Row],[管理番号]]</f>
        <v>1077</v>
      </c>
      <c r="B334" s="6">
        <f>IF(NOT(まとめ表_各店舗件数[[#This Row],[管理番号]]=""),VLOOKUP(まとめ表_各店舗件数[[#This Row],[管理番号]],名前リスト[[#All],[管理番号]:[氏名]],2,TRUE),"")</f>
        <v>0</v>
      </c>
      <c r="C334" s="21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79" t="str">
        <f t="shared" si="5"/>
        <v/>
      </c>
      <c r="E3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76"/>
    </row>
    <row r="335" spans="1:28">
      <c r="A335" s="20">
        <f>名前リスト[[#This Row],[管理番号]]</f>
        <v>1078</v>
      </c>
      <c r="B335" s="6">
        <f>IF(NOT(まとめ表_各店舗件数[[#This Row],[管理番号]]=""),VLOOKUP(まとめ表_各店舗件数[[#This Row],[管理番号]],名前リスト[[#All],[管理番号]:[氏名]],2,TRUE),"")</f>
        <v>0</v>
      </c>
      <c r="C335" s="21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79" t="str">
        <f t="shared" si="5"/>
        <v/>
      </c>
      <c r="E3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76"/>
    </row>
    <row r="336" spans="1:28">
      <c r="A336" s="20">
        <f>名前リスト[[#This Row],[管理番号]]</f>
        <v>1079</v>
      </c>
      <c r="B336" s="6">
        <f>IF(NOT(まとめ表_各店舗件数[[#This Row],[管理番号]]=""),VLOOKUP(まとめ表_各店舗件数[[#This Row],[管理番号]],名前リスト[[#All],[管理番号]:[氏名]],2,TRUE),"")</f>
        <v>0</v>
      </c>
      <c r="C336" s="21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79" t="str">
        <f t="shared" si="5"/>
        <v/>
      </c>
      <c r="E3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76"/>
    </row>
    <row r="337" spans="1:28">
      <c r="A337" s="20">
        <f>名前リスト[[#This Row],[管理番号]]</f>
        <v>1080</v>
      </c>
      <c r="B337" s="6">
        <f>IF(NOT(まとめ表_各店舗件数[[#This Row],[管理番号]]=""),VLOOKUP(まとめ表_各店舗件数[[#This Row],[管理番号]],名前リスト[[#All],[管理番号]:[氏名]],2,TRUE),"")</f>
        <v>0</v>
      </c>
      <c r="C337" s="21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79" t="str">
        <f t="shared" si="5"/>
        <v/>
      </c>
      <c r="E3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76"/>
    </row>
    <row r="338" spans="1:28">
      <c r="A338" s="20">
        <f>名前リスト[[#This Row],[管理番号]]</f>
        <v>1081</v>
      </c>
      <c r="B338" s="6">
        <f>IF(NOT(まとめ表_各店舗件数[[#This Row],[管理番号]]=""),VLOOKUP(まとめ表_各店舗件数[[#This Row],[管理番号]],名前リスト[[#All],[管理番号]:[氏名]],2,TRUE),"")</f>
        <v>0</v>
      </c>
      <c r="C338" s="21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79" t="str">
        <f t="shared" si="5"/>
        <v/>
      </c>
      <c r="E3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76"/>
    </row>
    <row r="339" spans="1:28">
      <c r="A339" s="20">
        <f>名前リスト[[#This Row],[管理番号]]</f>
        <v>1082</v>
      </c>
      <c r="B339" s="6">
        <f>IF(NOT(まとめ表_各店舗件数[[#This Row],[管理番号]]=""),VLOOKUP(まとめ表_各店舗件数[[#This Row],[管理番号]],名前リスト[[#All],[管理番号]:[氏名]],2,TRUE),"")</f>
        <v>0</v>
      </c>
      <c r="C339" s="21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79" t="str">
        <f t="shared" si="5"/>
        <v/>
      </c>
      <c r="E3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76"/>
    </row>
    <row r="340" spans="1:28">
      <c r="A340" s="20">
        <f>名前リスト[[#This Row],[管理番号]]</f>
        <v>1083</v>
      </c>
      <c r="B340" s="6">
        <f>IF(NOT(まとめ表_各店舗件数[[#This Row],[管理番号]]=""),VLOOKUP(まとめ表_各店舗件数[[#This Row],[管理番号]],名前リスト[[#All],[管理番号]:[氏名]],2,TRUE),"")</f>
        <v>0</v>
      </c>
      <c r="C340" s="21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79" t="str">
        <f t="shared" si="5"/>
        <v/>
      </c>
      <c r="E3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76"/>
    </row>
    <row r="341" spans="1:28">
      <c r="A341" s="20">
        <f>名前リスト[[#This Row],[管理番号]]</f>
        <v>1084</v>
      </c>
      <c r="B341" s="6">
        <f>IF(NOT(まとめ表_各店舗件数[[#This Row],[管理番号]]=""),VLOOKUP(まとめ表_各店舗件数[[#This Row],[管理番号]],名前リスト[[#All],[管理番号]:[氏名]],2,TRUE),"")</f>
        <v>0</v>
      </c>
      <c r="C341" s="21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79" t="str">
        <f t="shared" si="5"/>
        <v/>
      </c>
      <c r="E3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76"/>
    </row>
    <row r="342" spans="1:28">
      <c r="A342" s="20">
        <f>名前リスト[[#This Row],[管理番号]]</f>
        <v>1085</v>
      </c>
      <c r="B342" s="6">
        <f>IF(NOT(まとめ表_各店舗件数[[#This Row],[管理番号]]=""),VLOOKUP(まとめ表_各店舗件数[[#This Row],[管理番号]],名前リスト[[#All],[管理番号]:[氏名]],2,TRUE),"")</f>
        <v>0</v>
      </c>
      <c r="C342" s="21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79" t="str">
        <f t="shared" si="5"/>
        <v/>
      </c>
      <c r="E3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76"/>
    </row>
    <row r="343" spans="1:28">
      <c r="A343" s="20">
        <f>名前リスト[[#This Row],[管理番号]]</f>
        <v>1086</v>
      </c>
      <c r="B343" s="6">
        <f>IF(NOT(まとめ表_各店舗件数[[#This Row],[管理番号]]=""),VLOOKUP(まとめ表_各店舗件数[[#This Row],[管理番号]],名前リスト[[#All],[管理番号]:[氏名]],2,TRUE),"")</f>
        <v>0</v>
      </c>
      <c r="C343" s="21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79" t="str">
        <f t="shared" si="5"/>
        <v/>
      </c>
      <c r="E3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76"/>
    </row>
    <row r="344" spans="1:28">
      <c r="A344" s="20">
        <f>名前リスト[[#This Row],[管理番号]]</f>
        <v>1087</v>
      </c>
      <c r="B344" s="6">
        <f>IF(NOT(まとめ表_各店舗件数[[#This Row],[管理番号]]=""),VLOOKUP(まとめ表_各店舗件数[[#This Row],[管理番号]],名前リスト[[#All],[管理番号]:[氏名]],2,TRUE),"")</f>
        <v>0</v>
      </c>
      <c r="C344" s="21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79" t="str">
        <f t="shared" si="5"/>
        <v/>
      </c>
      <c r="E3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76"/>
    </row>
    <row r="345" spans="1:28">
      <c r="A345" s="20">
        <f>名前リスト[[#This Row],[管理番号]]</f>
        <v>1088</v>
      </c>
      <c r="B345" s="6">
        <f>IF(NOT(まとめ表_各店舗件数[[#This Row],[管理番号]]=""),VLOOKUP(まとめ表_各店舗件数[[#This Row],[管理番号]],名前リスト[[#All],[管理番号]:[氏名]],2,TRUE),"")</f>
        <v>0</v>
      </c>
      <c r="C345" s="21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79" t="str">
        <f t="shared" si="5"/>
        <v/>
      </c>
      <c r="E3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76"/>
    </row>
    <row r="346" spans="1:28">
      <c r="A346" s="20">
        <f>名前リスト[[#This Row],[管理番号]]</f>
        <v>1089</v>
      </c>
      <c r="B346" s="6">
        <f>IF(NOT(まとめ表_各店舗件数[[#This Row],[管理番号]]=""),VLOOKUP(まとめ表_各店舗件数[[#This Row],[管理番号]],名前リスト[[#All],[管理番号]:[氏名]],2,TRUE),"")</f>
        <v>0</v>
      </c>
      <c r="C346" s="21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79" t="str">
        <f t="shared" si="5"/>
        <v/>
      </c>
      <c r="E3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76"/>
    </row>
    <row r="347" spans="1:28">
      <c r="A347" s="20">
        <f>名前リスト[[#This Row],[管理番号]]</f>
        <v>1090</v>
      </c>
      <c r="B347" s="6">
        <f>IF(NOT(まとめ表_各店舗件数[[#This Row],[管理番号]]=""),VLOOKUP(まとめ表_各店舗件数[[#This Row],[管理番号]],名前リスト[[#All],[管理番号]:[氏名]],2,TRUE),"")</f>
        <v>0</v>
      </c>
      <c r="C347" s="21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79" t="str">
        <f t="shared" si="5"/>
        <v/>
      </c>
      <c r="E3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76"/>
    </row>
    <row r="348" spans="1:28">
      <c r="A348" s="20">
        <f>名前リスト[[#This Row],[管理番号]]</f>
        <v>1091</v>
      </c>
      <c r="B348" s="6">
        <f>IF(NOT(まとめ表_各店舗件数[[#This Row],[管理番号]]=""),VLOOKUP(まとめ表_各店舗件数[[#This Row],[管理番号]],名前リスト[[#All],[管理番号]:[氏名]],2,TRUE),"")</f>
        <v>0</v>
      </c>
      <c r="C348" s="21">
        <f>IF(NOT(まとめ表_各店舗件数[[#This Row],[管理番号]]=""),VLOOKUP(まとめ表_各店舗件数[[#This Row],[管理番号]],名前リスト[[#All],[管理番号]:[氏名]],3,TRUE),"")</f>
        <v>0</v>
      </c>
      <c r="D348" s="79" t="str">
        <f t="shared" si="5"/>
        <v/>
      </c>
      <c r="E3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76"/>
    </row>
    <row r="349" spans="1:28">
      <c r="A349" s="20">
        <f>名前リスト[[#This Row],[管理番号]]</f>
        <v>1092</v>
      </c>
      <c r="B349" s="6">
        <f>IF(NOT(まとめ表_各店舗件数[[#This Row],[管理番号]]=""),VLOOKUP(まとめ表_各店舗件数[[#This Row],[管理番号]],名前リスト[[#All],[管理番号]:[氏名]],2,TRUE),"")</f>
        <v>0</v>
      </c>
      <c r="C349" s="21">
        <f>IF(NOT(まとめ表_各店舗件数[[#This Row],[管理番号]]=""),VLOOKUP(まとめ表_各店舗件数[[#This Row],[管理番号]],名前リスト[[#All],[管理番号]:[氏名]],3,TRUE),"")</f>
        <v>0</v>
      </c>
      <c r="D349" s="79" t="str">
        <f t="shared" si="5"/>
        <v/>
      </c>
      <c r="E3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76"/>
    </row>
    <row r="350" spans="1:28">
      <c r="A350" s="20">
        <f>名前リスト[[#This Row],[管理番号]]</f>
        <v>1093</v>
      </c>
      <c r="B350" s="6">
        <f>IF(NOT(まとめ表_各店舗件数[[#This Row],[管理番号]]=""),VLOOKUP(まとめ表_各店舗件数[[#This Row],[管理番号]],名前リスト[[#All],[管理番号]:[氏名]],2,TRUE),"")</f>
        <v>0</v>
      </c>
      <c r="C350" s="21">
        <f>IF(NOT(まとめ表_各店舗件数[[#This Row],[管理番号]]=""),VLOOKUP(まとめ表_各店舗件数[[#This Row],[管理番号]],名前リスト[[#All],[管理番号]:[氏名]],3,TRUE),"")</f>
        <v>0</v>
      </c>
      <c r="D350" s="79" t="str">
        <f t="shared" si="5"/>
        <v/>
      </c>
      <c r="E3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76"/>
    </row>
    <row r="351" spans="1:28">
      <c r="A351" s="20">
        <f>名前リスト[[#This Row],[管理番号]]</f>
        <v>1094</v>
      </c>
      <c r="B351" s="6" t="str">
        <f>IF(NOT(まとめ表_各店舗件数[[#This Row],[管理番号]]=""),VLOOKUP(まとめ表_各店舗件数[[#This Row],[管理番号]],名前リスト[[#All],[管理番号]:[氏名]],2,TRUE),"")</f>
        <v>たくま</v>
      </c>
      <c r="C351" s="21">
        <f>IF(NOT(まとめ表_各店舗件数[[#This Row],[管理番号]]=""),VLOOKUP(まとめ表_各店舗件数[[#This Row],[管理番号]],名前リスト[[#All],[管理番号]:[氏名]],3,TRUE),"")</f>
        <v>0</v>
      </c>
      <c r="D351" s="79" t="str">
        <f t="shared" si="5"/>
        <v/>
      </c>
      <c r="E3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76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20"/>
  <cols>
    <col min="2" max="2" width="11.4609375" customWidth="1"/>
    <col min="3" max="3" width="15.07421875" customWidth="1"/>
    <col min="4" max="4" width="12.07421875" bestFit="1" customWidth="1"/>
  </cols>
  <sheetData>
    <row r="1" spans="1:28">
      <c r="A1" s="77" t="s">
        <v>234</v>
      </c>
      <c r="B1" s="11" t="s">
        <v>197</v>
      </c>
      <c r="C1" s="11" t="s">
        <v>198</v>
      </c>
      <c r="D1" s="106" t="s">
        <v>374</v>
      </c>
      <c r="E1" s="107" t="s">
        <v>199</v>
      </c>
      <c r="F1" s="107" t="s">
        <v>200</v>
      </c>
      <c r="G1" s="107" t="s">
        <v>201</v>
      </c>
      <c r="H1" s="107" t="s">
        <v>202</v>
      </c>
      <c r="I1" s="107" t="s">
        <v>203</v>
      </c>
      <c r="J1" s="60" t="s">
        <v>324</v>
      </c>
      <c r="K1" s="60" t="s">
        <v>321</v>
      </c>
      <c r="L1" s="107" t="s">
        <v>204</v>
      </c>
      <c r="M1" s="107" t="s">
        <v>227</v>
      </c>
      <c r="N1" s="107" t="s">
        <v>228</v>
      </c>
      <c r="O1" s="107" t="s">
        <v>229</v>
      </c>
      <c r="P1" s="107" t="s">
        <v>230</v>
      </c>
      <c r="Q1" s="107" t="s">
        <v>231</v>
      </c>
      <c r="R1" s="60" t="s">
        <v>246</v>
      </c>
      <c r="S1" s="60" t="s">
        <v>252</v>
      </c>
      <c r="T1" s="60" t="s">
        <v>316</v>
      </c>
      <c r="U1" s="60" t="s">
        <v>317</v>
      </c>
      <c r="V1" s="60" t="s">
        <v>318</v>
      </c>
      <c r="W1" s="60" t="s">
        <v>319</v>
      </c>
      <c r="X1" s="60" t="s">
        <v>326</v>
      </c>
      <c r="Y1" s="60" t="s">
        <v>320</v>
      </c>
      <c r="Z1" s="60" t="s">
        <v>325</v>
      </c>
      <c r="AA1" s="108" t="s">
        <v>327</v>
      </c>
      <c r="AB1" s="117" t="s">
        <v>519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76" t="str">
        <f t="shared" ref="D2:D65" si="0">IF(SUM(E2:XFD2)=0,"",SUM(E2:XFD2))</f>
        <v/>
      </c>
      <c r="E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76" t="str">
        <f t="shared" si="0"/>
        <v/>
      </c>
      <c r="E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76" t="str">
        <f t="shared" si="0"/>
        <v/>
      </c>
      <c r="E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76" t="str">
        <f t="shared" si="0"/>
        <v/>
      </c>
      <c r="E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76" t="str">
        <f t="shared" si="0"/>
        <v/>
      </c>
      <c r="E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76" t="str">
        <f t="shared" si="0"/>
        <v/>
      </c>
      <c r="E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76" t="str">
        <f t="shared" si="0"/>
        <v/>
      </c>
      <c r="E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76" t="str">
        <f t="shared" si="0"/>
        <v/>
      </c>
      <c r="E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76" t="str">
        <f t="shared" si="0"/>
        <v/>
      </c>
      <c r="E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76" t="str">
        <f t="shared" si="0"/>
        <v/>
      </c>
      <c r="E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76" t="str">
        <f t="shared" si="0"/>
        <v/>
      </c>
      <c r="E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76" t="str">
        <f t="shared" si="0"/>
        <v/>
      </c>
      <c r="E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76" t="str">
        <f t="shared" si="0"/>
        <v/>
      </c>
      <c r="E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76" t="str">
        <f t="shared" si="0"/>
        <v/>
      </c>
      <c r="E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76" t="str">
        <f t="shared" si="0"/>
        <v/>
      </c>
      <c r="E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76" t="str">
        <f t="shared" si="0"/>
        <v/>
      </c>
      <c r="E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76" t="str">
        <f t="shared" si="0"/>
        <v/>
      </c>
      <c r="E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76" t="str">
        <f t="shared" si="0"/>
        <v/>
      </c>
      <c r="E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76" t="str">
        <f t="shared" si="0"/>
        <v/>
      </c>
      <c r="E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76" t="str">
        <f t="shared" si="0"/>
        <v/>
      </c>
      <c r="E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76" t="str">
        <f t="shared" si="0"/>
        <v/>
      </c>
      <c r="E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76" t="str">
        <f t="shared" si="0"/>
        <v/>
      </c>
      <c r="E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76" t="str">
        <f t="shared" si="0"/>
        <v/>
      </c>
      <c r="E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76" t="str">
        <f t="shared" si="0"/>
        <v/>
      </c>
      <c r="E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76" t="str">
        <f t="shared" si="0"/>
        <v/>
      </c>
      <c r="E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76" t="str">
        <f t="shared" si="0"/>
        <v/>
      </c>
      <c r="E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76" t="str">
        <f t="shared" si="0"/>
        <v/>
      </c>
      <c r="E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76" t="str">
        <f t="shared" si="0"/>
        <v/>
      </c>
      <c r="E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76" t="str">
        <f t="shared" si="0"/>
        <v/>
      </c>
      <c r="E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76" t="str">
        <f t="shared" si="0"/>
        <v/>
      </c>
      <c r="E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76" t="str">
        <f t="shared" si="0"/>
        <v/>
      </c>
      <c r="E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76" t="str">
        <f t="shared" si="0"/>
        <v/>
      </c>
      <c r="E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76" t="str">
        <f t="shared" si="0"/>
        <v/>
      </c>
      <c r="E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76" t="str">
        <f t="shared" si="0"/>
        <v/>
      </c>
      <c r="E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76" t="str">
        <f t="shared" si="0"/>
        <v/>
      </c>
      <c r="E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76" t="str">
        <f t="shared" si="0"/>
        <v/>
      </c>
      <c r="E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76" t="str">
        <f t="shared" si="0"/>
        <v/>
      </c>
      <c r="E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76" t="str">
        <f t="shared" si="0"/>
        <v/>
      </c>
      <c r="E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76" t="str">
        <f t="shared" si="0"/>
        <v/>
      </c>
      <c r="E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76" t="str">
        <f t="shared" si="0"/>
        <v/>
      </c>
      <c r="E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76" t="str">
        <f t="shared" si="0"/>
        <v/>
      </c>
      <c r="E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76" t="str">
        <f t="shared" si="0"/>
        <v/>
      </c>
      <c r="E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76" t="str">
        <f t="shared" si="0"/>
        <v/>
      </c>
      <c r="E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76" t="str">
        <f t="shared" si="0"/>
        <v/>
      </c>
      <c r="E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76" t="str">
        <f t="shared" si="0"/>
        <v/>
      </c>
      <c r="E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76" t="str">
        <f t="shared" si="0"/>
        <v/>
      </c>
      <c r="E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76" t="str">
        <f t="shared" si="0"/>
        <v/>
      </c>
      <c r="E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76" t="str">
        <f t="shared" si="0"/>
        <v/>
      </c>
      <c r="E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76" t="str">
        <f t="shared" si="0"/>
        <v/>
      </c>
      <c r="E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76" t="str">
        <f t="shared" si="0"/>
        <v/>
      </c>
      <c r="E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76" t="str">
        <f t="shared" si="0"/>
        <v/>
      </c>
      <c r="E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76" t="str">
        <f t="shared" si="0"/>
        <v/>
      </c>
      <c r="E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76" t="str">
        <f t="shared" si="0"/>
        <v/>
      </c>
      <c r="E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76" t="str">
        <f t="shared" si="0"/>
        <v/>
      </c>
      <c r="E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76" t="str">
        <f t="shared" si="0"/>
        <v/>
      </c>
      <c r="E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76" t="str">
        <f t="shared" si="0"/>
        <v/>
      </c>
      <c r="E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76" t="str">
        <f t="shared" si="0"/>
        <v/>
      </c>
      <c r="E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76" t="str">
        <f t="shared" si="0"/>
        <v/>
      </c>
      <c r="E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76" t="str">
        <f t="shared" si="0"/>
        <v/>
      </c>
      <c r="E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76" t="str">
        <f t="shared" si="0"/>
        <v/>
      </c>
      <c r="E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76" t="str">
        <f t="shared" si="0"/>
        <v/>
      </c>
      <c r="E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76" t="str">
        <f t="shared" si="0"/>
        <v/>
      </c>
      <c r="E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76" t="str">
        <f t="shared" si="0"/>
        <v/>
      </c>
      <c r="E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76" t="str">
        <f t="shared" si="0"/>
        <v/>
      </c>
      <c r="E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76" t="str">
        <f t="shared" ref="D66:D129" si="1">IF(SUM(E66:XFD66)=0,"",SUM(E66:XFD66))</f>
        <v/>
      </c>
      <c r="E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76" t="str">
        <f t="shared" si="1"/>
        <v/>
      </c>
      <c r="E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76" t="str">
        <f t="shared" si="1"/>
        <v/>
      </c>
      <c r="E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76" t="str">
        <f t="shared" si="1"/>
        <v/>
      </c>
      <c r="E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76" t="str">
        <f t="shared" si="1"/>
        <v/>
      </c>
      <c r="E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76" t="str">
        <f t="shared" si="1"/>
        <v/>
      </c>
      <c r="E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76" t="str">
        <f t="shared" si="1"/>
        <v/>
      </c>
      <c r="E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76" t="str">
        <f t="shared" si="1"/>
        <v/>
      </c>
      <c r="E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76" t="str">
        <f t="shared" si="1"/>
        <v/>
      </c>
      <c r="E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76" t="str">
        <f t="shared" si="1"/>
        <v/>
      </c>
      <c r="E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76" t="str">
        <f t="shared" si="1"/>
        <v/>
      </c>
      <c r="E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76" t="str">
        <f t="shared" si="1"/>
        <v/>
      </c>
      <c r="E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76" t="str">
        <f t="shared" si="1"/>
        <v/>
      </c>
      <c r="E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76" t="str">
        <f t="shared" si="1"/>
        <v/>
      </c>
      <c r="E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76" t="str">
        <f t="shared" si="1"/>
        <v/>
      </c>
      <c r="E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76" t="str">
        <f t="shared" si="1"/>
        <v/>
      </c>
      <c r="E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76" t="str">
        <f t="shared" si="1"/>
        <v/>
      </c>
      <c r="E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76" t="str">
        <f t="shared" si="1"/>
        <v/>
      </c>
      <c r="E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76" t="str">
        <f t="shared" si="1"/>
        <v/>
      </c>
      <c r="E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76" t="str">
        <f t="shared" si="1"/>
        <v/>
      </c>
      <c r="E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76" t="str">
        <f t="shared" si="1"/>
        <v/>
      </c>
      <c r="E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76" t="str">
        <f t="shared" si="1"/>
        <v/>
      </c>
      <c r="E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76" t="str">
        <f t="shared" si="1"/>
        <v/>
      </c>
      <c r="E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76" t="str">
        <f t="shared" si="1"/>
        <v/>
      </c>
      <c r="E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76" t="str">
        <f t="shared" si="1"/>
        <v/>
      </c>
      <c r="E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76" t="str">
        <f t="shared" si="1"/>
        <v/>
      </c>
      <c r="E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76" t="str">
        <f t="shared" si="1"/>
        <v/>
      </c>
      <c r="E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76" t="str">
        <f t="shared" si="1"/>
        <v/>
      </c>
      <c r="E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76" t="str">
        <f t="shared" si="1"/>
        <v/>
      </c>
      <c r="E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76" t="str">
        <f t="shared" si="1"/>
        <v/>
      </c>
      <c r="E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76" t="str">
        <f t="shared" si="1"/>
        <v/>
      </c>
      <c r="E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76" t="str">
        <f t="shared" si="1"/>
        <v/>
      </c>
      <c r="E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76" t="str">
        <f t="shared" si="1"/>
        <v/>
      </c>
      <c r="E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76" t="str">
        <f t="shared" si="1"/>
        <v/>
      </c>
      <c r="E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76" t="str">
        <f t="shared" si="1"/>
        <v/>
      </c>
      <c r="E1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76" t="str">
        <f t="shared" si="1"/>
        <v/>
      </c>
      <c r="E1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76" t="str">
        <f t="shared" si="1"/>
        <v/>
      </c>
      <c r="E1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76" t="str">
        <f t="shared" si="1"/>
        <v/>
      </c>
      <c r="E1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76" t="str">
        <f t="shared" si="1"/>
        <v/>
      </c>
      <c r="E1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76" t="str">
        <f t="shared" si="1"/>
        <v/>
      </c>
      <c r="E10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76" t="str">
        <f t="shared" si="1"/>
        <v/>
      </c>
      <c r="E10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76" t="str">
        <f t="shared" si="1"/>
        <v/>
      </c>
      <c r="E10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76" t="str">
        <f t="shared" si="1"/>
        <v/>
      </c>
      <c r="E10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76" t="str">
        <f t="shared" si="1"/>
        <v/>
      </c>
      <c r="E10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76" t="str">
        <f t="shared" si="1"/>
        <v/>
      </c>
      <c r="E1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76" t="str">
        <f t="shared" si="1"/>
        <v/>
      </c>
      <c r="E1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76" t="str">
        <f t="shared" si="1"/>
        <v/>
      </c>
      <c r="E1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76" t="str">
        <f t="shared" si="1"/>
        <v/>
      </c>
      <c r="E1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76" t="str">
        <f t="shared" si="1"/>
        <v/>
      </c>
      <c r="E1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76" t="str">
        <f t="shared" si="1"/>
        <v/>
      </c>
      <c r="E1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76" t="str">
        <f t="shared" si="1"/>
        <v/>
      </c>
      <c r="E1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76" t="str">
        <f t="shared" si="1"/>
        <v/>
      </c>
      <c r="E1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76" t="str">
        <f t="shared" si="1"/>
        <v/>
      </c>
      <c r="E1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76" t="str">
        <f t="shared" si="1"/>
        <v/>
      </c>
      <c r="E1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76" t="str">
        <f t="shared" si="1"/>
        <v/>
      </c>
      <c r="E1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76" t="str">
        <f t="shared" si="1"/>
        <v/>
      </c>
      <c r="E1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76" t="str">
        <f t="shared" si="1"/>
        <v/>
      </c>
      <c r="E1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76" t="str">
        <f t="shared" si="1"/>
        <v/>
      </c>
      <c r="E1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76" t="str">
        <f t="shared" si="1"/>
        <v/>
      </c>
      <c r="E1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76" t="str">
        <f t="shared" si="1"/>
        <v/>
      </c>
      <c r="E1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76" t="str">
        <f t="shared" si="1"/>
        <v/>
      </c>
      <c r="E1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76" t="str">
        <f t="shared" si="1"/>
        <v/>
      </c>
      <c r="E1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76" t="str">
        <f t="shared" si="1"/>
        <v/>
      </c>
      <c r="E1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76" t="str">
        <f t="shared" si="1"/>
        <v/>
      </c>
      <c r="E1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76" t="str">
        <f t="shared" ref="D130:D193" si="2">IF(SUM(E130:XFD130)=0,"",SUM(E130:XFD130))</f>
        <v/>
      </c>
      <c r="E1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76" t="str">
        <f t="shared" si="2"/>
        <v/>
      </c>
      <c r="E1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76" t="str">
        <f t="shared" si="2"/>
        <v/>
      </c>
      <c r="E1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76" t="str">
        <f t="shared" si="2"/>
        <v/>
      </c>
      <c r="E1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76" t="str">
        <f t="shared" si="2"/>
        <v/>
      </c>
      <c r="E1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76" t="str">
        <f t="shared" si="2"/>
        <v/>
      </c>
      <c r="E1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76" t="str">
        <f t="shared" si="2"/>
        <v/>
      </c>
      <c r="E1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76" t="str">
        <f t="shared" si="2"/>
        <v/>
      </c>
      <c r="E1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76" t="str">
        <f t="shared" si="2"/>
        <v/>
      </c>
      <c r="E1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76" t="str">
        <f t="shared" si="2"/>
        <v/>
      </c>
      <c r="E1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76" t="str">
        <f t="shared" si="2"/>
        <v/>
      </c>
      <c r="E1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76" t="str">
        <f t="shared" si="2"/>
        <v/>
      </c>
      <c r="E1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76" t="str">
        <f t="shared" si="2"/>
        <v/>
      </c>
      <c r="E1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76" t="str">
        <f t="shared" si="2"/>
        <v/>
      </c>
      <c r="E1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76" t="str">
        <f t="shared" si="2"/>
        <v/>
      </c>
      <c r="E1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76" t="str">
        <f t="shared" si="2"/>
        <v/>
      </c>
      <c r="E1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76" t="str">
        <f t="shared" si="2"/>
        <v/>
      </c>
      <c r="E1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76" t="str">
        <f t="shared" si="2"/>
        <v/>
      </c>
      <c r="E1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76" t="str">
        <f t="shared" si="2"/>
        <v/>
      </c>
      <c r="E1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76" t="str">
        <f t="shared" si="2"/>
        <v/>
      </c>
      <c r="E1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76" t="str">
        <f t="shared" si="2"/>
        <v/>
      </c>
      <c r="E1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76" t="str">
        <f t="shared" si="2"/>
        <v/>
      </c>
      <c r="E1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76" t="str">
        <f t="shared" si="2"/>
        <v/>
      </c>
      <c r="E1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76" t="str">
        <f t="shared" si="2"/>
        <v/>
      </c>
      <c r="E1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76" t="str">
        <f t="shared" si="2"/>
        <v/>
      </c>
      <c r="E1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76" t="str">
        <f t="shared" si="2"/>
        <v/>
      </c>
      <c r="E1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76" t="str">
        <f t="shared" si="2"/>
        <v/>
      </c>
      <c r="E1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76" t="str">
        <f t="shared" si="2"/>
        <v/>
      </c>
      <c r="E1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76" t="str">
        <f t="shared" si="2"/>
        <v/>
      </c>
      <c r="E1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76" t="str">
        <f t="shared" si="2"/>
        <v/>
      </c>
      <c r="E1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76" t="str">
        <f t="shared" si="2"/>
        <v/>
      </c>
      <c r="E1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76" t="str">
        <f t="shared" si="2"/>
        <v/>
      </c>
      <c r="E1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76" t="str">
        <f t="shared" si="2"/>
        <v/>
      </c>
      <c r="E1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76" t="str">
        <f t="shared" si="2"/>
        <v/>
      </c>
      <c r="E1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76" t="str">
        <f t="shared" si="2"/>
        <v/>
      </c>
      <c r="E1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76" t="str">
        <f t="shared" si="2"/>
        <v/>
      </c>
      <c r="E1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76" t="str">
        <f t="shared" si="2"/>
        <v/>
      </c>
      <c r="E1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76" t="str">
        <f t="shared" si="2"/>
        <v/>
      </c>
      <c r="E1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76" t="str">
        <f t="shared" si="2"/>
        <v/>
      </c>
      <c r="E1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76" t="str">
        <f t="shared" si="2"/>
        <v/>
      </c>
      <c r="E1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76" t="str">
        <f t="shared" si="2"/>
        <v/>
      </c>
      <c r="E1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76" t="str">
        <f t="shared" si="2"/>
        <v/>
      </c>
      <c r="E1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76" t="str">
        <f t="shared" si="2"/>
        <v/>
      </c>
      <c r="E1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76" t="str">
        <f t="shared" si="2"/>
        <v/>
      </c>
      <c r="E1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76" t="str">
        <f t="shared" si="2"/>
        <v/>
      </c>
      <c r="E1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76" t="str">
        <f t="shared" si="2"/>
        <v/>
      </c>
      <c r="E1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76" t="str">
        <f t="shared" si="2"/>
        <v/>
      </c>
      <c r="E1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76" t="str">
        <f t="shared" si="2"/>
        <v/>
      </c>
      <c r="E1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76" t="str">
        <f t="shared" si="2"/>
        <v/>
      </c>
      <c r="E1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76" t="str">
        <f t="shared" si="2"/>
        <v/>
      </c>
      <c r="E1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76" t="str">
        <f t="shared" si="2"/>
        <v/>
      </c>
      <c r="E1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76" t="str">
        <f t="shared" si="2"/>
        <v/>
      </c>
      <c r="E1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76" t="str">
        <f t="shared" si="2"/>
        <v/>
      </c>
      <c r="E1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76" t="str">
        <f t="shared" si="2"/>
        <v/>
      </c>
      <c r="E1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76" t="str">
        <f t="shared" si="2"/>
        <v/>
      </c>
      <c r="E1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76" t="str">
        <f t="shared" si="2"/>
        <v/>
      </c>
      <c r="E1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76" t="str">
        <f t="shared" si="2"/>
        <v/>
      </c>
      <c r="E1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76" t="str">
        <f t="shared" si="2"/>
        <v/>
      </c>
      <c r="E1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76" t="str">
        <f t="shared" si="2"/>
        <v/>
      </c>
      <c r="E1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76" t="str">
        <f t="shared" si="2"/>
        <v/>
      </c>
      <c r="E1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76" t="str">
        <f t="shared" si="2"/>
        <v/>
      </c>
      <c r="E1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76" t="str">
        <f t="shared" si="2"/>
        <v/>
      </c>
      <c r="E1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76" t="str">
        <f t="shared" si="2"/>
        <v/>
      </c>
      <c r="E1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76" t="str">
        <f t="shared" si="2"/>
        <v/>
      </c>
      <c r="E1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6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76" t="str">
        <f t="shared" ref="D194:D257" si="3">IF(SUM(E194:XFD194)=0,"",SUM(E194:XFD194))</f>
        <v/>
      </c>
      <c r="E1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6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76" t="str">
        <f t="shared" si="3"/>
        <v/>
      </c>
      <c r="E1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6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76" t="str">
        <f t="shared" si="3"/>
        <v/>
      </c>
      <c r="E1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76" t="str">
        <f t="shared" si="3"/>
        <v/>
      </c>
      <c r="E1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76" t="str">
        <f t="shared" si="3"/>
        <v/>
      </c>
      <c r="E1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76" t="str">
        <f t="shared" si="3"/>
        <v/>
      </c>
      <c r="E1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76" t="str">
        <f t="shared" si="3"/>
        <v/>
      </c>
      <c r="E2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76" t="str">
        <f t="shared" si="3"/>
        <v/>
      </c>
      <c r="E2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76" t="str">
        <f t="shared" si="3"/>
        <v/>
      </c>
      <c r="E2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76" t="str">
        <f t="shared" si="3"/>
        <v/>
      </c>
      <c r="E2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4" spans="1:28">
      <c r="A204" s="109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10" t="str">
        <f t="shared" si="3"/>
        <v/>
      </c>
      <c r="E2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5" spans="1:28">
      <c r="A205" s="109">
        <f>名前リスト[[#This Row],[管理番号]]</f>
        <v>204</v>
      </c>
      <c r="B205" s="6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6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76" t="str">
        <f t="shared" si="3"/>
        <v/>
      </c>
      <c r="E2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6" spans="1:28">
      <c r="A206" s="109">
        <f>名前リスト[[#This Row],[管理番号]]</f>
        <v>205</v>
      </c>
      <c r="B206" s="6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6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76" t="str">
        <f t="shared" si="3"/>
        <v/>
      </c>
      <c r="E2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7" spans="1:28">
      <c r="A207" s="109">
        <f>名前リスト[[#This Row],[管理番号]]</f>
        <v>206</v>
      </c>
      <c r="B207" s="6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6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76" t="str">
        <f t="shared" si="3"/>
        <v/>
      </c>
      <c r="E2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8" spans="1:28">
      <c r="A208" s="109">
        <f>名前リスト[[#This Row],[管理番号]]</f>
        <v>207</v>
      </c>
      <c r="B208" s="6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6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76" t="str">
        <f t="shared" si="3"/>
        <v/>
      </c>
      <c r="E2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9" spans="1:28">
      <c r="A209" s="109">
        <f>名前リスト[[#This Row],[管理番号]]</f>
        <v>208</v>
      </c>
      <c r="B209" s="6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6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76" t="str">
        <f t="shared" si="3"/>
        <v/>
      </c>
      <c r="E2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0" spans="1:28">
      <c r="A210" s="109">
        <f>名前リスト[[#This Row],[管理番号]]</f>
        <v>209</v>
      </c>
      <c r="B210" s="6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6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76" t="str">
        <f t="shared" si="3"/>
        <v/>
      </c>
      <c r="E2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1" spans="1:28">
      <c r="A211" s="109">
        <f>名前リスト[[#This Row],[管理番号]]</f>
        <v>210</v>
      </c>
      <c r="B211" s="6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6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76" t="str">
        <f t="shared" si="3"/>
        <v/>
      </c>
      <c r="E2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2" spans="1:28">
      <c r="A212" s="109">
        <f>名前リスト[[#This Row],[管理番号]]</f>
        <v>211</v>
      </c>
      <c r="B212" s="6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6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76" t="str">
        <f t="shared" si="3"/>
        <v/>
      </c>
      <c r="E2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3" spans="1:28">
      <c r="A213" s="109">
        <f>名前リスト[[#This Row],[管理番号]]</f>
        <v>212</v>
      </c>
      <c r="B213" s="6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6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76" t="str">
        <f t="shared" si="3"/>
        <v/>
      </c>
      <c r="E2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4" spans="1:28">
      <c r="A214" s="109">
        <f>名前リスト[[#This Row],[管理番号]]</f>
        <v>213</v>
      </c>
      <c r="B214" s="6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6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76" t="str">
        <f t="shared" si="3"/>
        <v/>
      </c>
      <c r="E2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5" spans="1:28">
      <c r="A215" s="109">
        <f>名前リスト[[#This Row],[管理番号]]</f>
        <v>214</v>
      </c>
      <c r="B215" s="6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6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76" t="str">
        <f t="shared" si="3"/>
        <v/>
      </c>
      <c r="E2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6" spans="1:28">
      <c r="A216" s="109">
        <f>名前リスト[[#This Row],[管理番号]]</f>
        <v>215</v>
      </c>
      <c r="B216" s="6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6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76" t="str">
        <f t="shared" si="3"/>
        <v/>
      </c>
      <c r="E2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7" spans="1:28">
      <c r="A217" s="109">
        <f>名前リスト[[#This Row],[管理番号]]</f>
        <v>216</v>
      </c>
      <c r="B217" s="6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6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76" t="str">
        <f t="shared" si="3"/>
        <v/>
      </c>
      <c r="E2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8" spans="1:28">
      <c r="A218" s="109">
        <f>名前リスト[[#This Row],[管理番号]]</f>
        <v>217</v>
      </c>
      <c r="B218" s="6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6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76" t="str">
        <f t="shared" si="3"/>
        <v/>
      </c>
      <c r="E2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9" spans="1:28">
      <c r="A219" s="109">
        <f>名前リスト[[#This Row],[管理番号]]</f>
        <v>218</v>
      </c>
      <c r="B219" s="6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6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76" t="str">
        <f t="shared" si="3"/>
        <v/>
      </c>
      <c r="E2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0" spans="1:28">
      <c r="A220" s="109">
        <f>名前リスト[[#This Row],[管理番号]]</f>
        <v>219</v>
      </c>
      <c r="B220" s="6">
        <f>IF(NOT(まとめ表_各Aパターン件数[[#This Row],[管理番号]]=""),VLOOKUP(まとめ表_各Aパターン件数[[#This Row],[管理番号]],名前リスト[[#All],[管理番号]:[氏名]],2,TRUE),"")</f>
        <v>0</v>
      </c>
      <c r="C220" s="6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76" t="str">
        <f t="shared" si="3"/>
        <v/>
      </c>
      <c r="E2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1" spans="1:28">
      <c r="A221" s="109">
        <f>名前リスト[[#This Row],[管理番号]]</f>
        <v>220</v>
      </c>
      <c r="B221" s="6">
        <f>IF(NOT(まとめ表_各Aパターン件数[[#This Row],[管理番号]]=""),VLOOKUP(まとめ表_各Aパターン件数[[#This Row],[管理番号]],名前リスト[[#All],[管理番号]:[氏名]],2,TRUE),"")</f>
        <v>0</v>
      </c>
      <c r="C221" s="6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76" t="str">
        <f t="shared" si="3"/>
        <v/>
      </c>
      <c r="E2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2" spans="1:28">
      <c r="A222" s="109">
        <f>名前リスト[[#This Row],[管理番号]]</f>
        <v>221</v>
      </c>
      <c r="B222" s="6">
        <f>IF(NOT(まとめ表_各Aパターン件数[[#This Row],[管理番号]]=""),VLOOKUP(まとめ表_各Aパターン件数[[#This Row],[管理番号]],名前リスト[[#All],[管理番号]:[氏名]],2,TRUE),"")</f>
        <v>0</v>
      </c>
      <c r="C222" s="6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76" t="str">
        <f t="shared" si="3"/>
        <v/>
      </c>
      <c r="E2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3" spans="1:28">
      <c r="A223" s="109">
        <f>名前リスト[[#This Row],[管理番号]]</f>
        <v>222</v>
      </c>
      <c r="B223" s="6">
        <f>IF(NOT(まとめ表_各Aパターン件数[[#This Row],[管理番号]]=""),VLOOKUP(まとめ表_各Aパターン件数[[#This Row],[管理番号]],名前リスト[[#All],[管理番号]:[氏名]],2,TRUE),"")</f>
        <v>0</v>
      </c>
      <c r="C223" s="6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76" t="str">
        <f t="shared" si="3"/>
        <v/>
      </c>
      <c r="E2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4" spans="1:28">
      <c r="A224" s="109">
        <f>名前リスト[[#This Row],[管理番号]]</f>
        <v>223</v>
      </c>
      <c r="B224" s="6">
        <f>IF(NOT(まとめ表_各Aパターン件数[[#This Row],[管理番号]]=""),VLOOKUP(まとめ表_各Aパターン件数[[#This Row],[管理番号]],名前リスト[[#All],[管理番号]:[氏名]],2,TRUE),"")</f>
        <v>0</v>
      </c>
      <c r="C224" s="6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76" t="str">
        <f t="shared" si="3"/>
        <v/>
      </c>
      <c r="E2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5" spans="1:28">
      <c r="A225" s="109">
        <f>名前リスト[[#This Row],[管理番号]]</f>
        <v>224</v>
      </c>
      <c r="B225" s="6">
        <f>IF(NOT(まとめ表_各Aパターン件数[[#This Row],[管理番号]]=""),VLOOKUP(まとめ表_各Aパターン件数[[#This Row],[管理番号]],名前リスト[[#All],[管理番号]:[氏名]],2,TRUE),"")</f>
        <v>0</v>
      </c>
      <c r="C225" s="6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76" t="str">
        <f t="shared" si="3"/>
        <v/>
      </c>
      <c r="E2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6" spans="1:28">
      <c r="A226" s="109">
        <f>名前リスト[[#This Row],[管理番号]]</f>
        <v>225</v>
      </c>
      <c r="B226" s="6">
        <f>IF(NOT(まとめ表_各Aパターン件数[[#This Row],[管理番号]]=""),VLOOKUP(まとめ表_各Aパターン件数[[#This Row],[管理番号]],名前リスト[[#All],[管理番号]:[氏名]],2,TRUE),"")</f>
        <v>0</v>
      </c>
      <c r="C226" s="6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76" t="str">
        <f t="shared" si="3"/>
        <v/>
      </c>
      <c r="E2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7" spans="1:28">
      <c r="A227" s="109">
        <f>名前リスト[[#This Row],[管理番号]]</f>
        <v>226</v>
      </c>
      <c r="B227" s="6">
        <f>IF(NOT(まとめ表_各Aパターン件数[[#This Row],[管理番号]]=""),VLOOKUP(まとめ表_各Aパターン件数[[#This Row],[管理番号]],名前リスト[[#All],[管理番号]:[氏名]],2,TRUE),"")</f>
        <v>0</v>
      </c>
      <c r="C227" s="6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76" t="str">
        <f t="shared" si="3"/>
        <v/>
      </c>
      <c r="E2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8" spans="1:28">
      <c r="A228" s="109">
        <f>名前リスト[[#This Row],[管理番号]]</f>
        <v>227</v>
      </c>
      <c r="B228" s="6">
        <f>IF(NOT(まとめ表_各Aパターン件数[[#This Row],[管理番号]]=""),VLOOKUP(まとめ表_各Aパターン件数[[#This Row],[管理番号]],名前リスト[[#All],[管理番号]:[氏名]],2,TRUE),"")</f>
        <v>0</v>
      </c>
      <c r="C228" s="6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76" t="str">
        <f t="shared" si="3"/>
        <v/>
      </c>
      <c r="E2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9" spans="1:28">
      <c r="A229" s="109">
        <f>名前リスト[[#This Row],[管理番号]]</f>
        <v>228</v>
      </c>
      <c r="B229" s="6">
        <f>IF(NOT(まとめ表_各Aパターン件数[[#This Row],[管理番号]]=""),VLOOKUP(まとめ表_各Aパターン件数[[#This Row],[管理番号]],名前リスト[[#All],[管理番号]:[氏名]],2,TRUE),"")</f>
        <v>0</v>
      </c>
      <c r="C229" s="6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76">
        <f t="shared" si="3"/>
        <v>1</v>
      </c>
      <c r="E2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1</v>
      </c>
      <c r="F2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0" spans="1:28">
      <c r="A230" s="109">
        <f>名前リスト[[#This Row],[管理番号]]</f>
        <v>229</v>
      </c>
      <c r="B230" s="6">
        <f>IF(NOT(まとめ表_各Aパターン件数[[#This Row],[管理番号]]=""),VLOOKUP(まとめ表_各Aパターン件数[[#This Row],[管理番号]],名前リスト[[#All],[管理番号]:[氏名]],2,TRUE),"")</f>
        <v>0</v>
      </c>
      <c r="C230" s="6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76" t="str">
        <f t="shared" si="3"/>
        <v/>
      </c>
      <c r="E2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1" spans="1:28">
      <c r="A231" s="109">
        <f>名前リスト[[#This Row],[管理番号]]</f>
        <v>230</v>
      </c>
      <c r="B231" s="6">
        <f>IF(NOT(まとめ表_各Aパターン件数[[#This Row],[管理番号]]=""),VLOOKUP(まとめ表_各Aパターン件数[[#This Row],[管理番号]],名前リスト[[#All],[管理番号]:[氏名]],2,TRUE),"")</f>
        <v>0</v>
      </c>
      <c r="C231" s="6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76" t="str">
        <f t="shared" si="3"/>
        <v/>
      </c>
      <c r="E2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2" spans="1:28">
      <c r="A232" s="109">
        <f>名前リスト[[#This Row],[管理番号]]</f>
        <v>231</v>
      </c>
      <c r="B232" s="6">
        <f>IF(NOT(まとめ表_各Aパターン件数[[#This Row],[管理番号]]=""),VLOOKUP(まとめ表_各Aパターン件数[[#This Row],[管理番号]],名前リスト[[#All],[管理番号]:[氏名]],2,TRUE),"")</f>
        <v>0</v>
      </c>
      <c r="C232" s="6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76" t="str">
        <f t="shared" si="3"/>
        <v/>
      </c>
      <c r="E2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3" spans="1:28">
      <c r="A233" s="109">
        <f>名前リスト[[#This Row],[管理番号]]</f>
        <v>232</v>
      </c>
      <c r="B233" s="6">
        <f>IF(NOT(まとめ表_各Aパターン件数[[#This Row],[管理番号]]=""),VLOOKUP(まとめ表_各Aパターン件数[[#This Row],[管理番号]],名前リスト[[#All],[管理番号]:[氏名]],2,TRUE),"")</f>
        <v>0</v>
      </c>
      <c r="C233" s="6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76" t="str">
        <f t="shared" si="3"/>
        <v/>
      </c>
      <c r="E2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4" spans="1:28">
      <c r="A234" s="109">
        <f>名前リスト[[#This Row],[管理番号]]</f>
        <v>233</v>
      </c>
      <c r="B234" s="6">
        <f>IF(NOT(まとめ表_各Aパターン件数[[#This Row],[管理番号]]=""),VLOOKUP(まとめ表_各Aパターン件数[[#This Row],[管理番号]],名前リスト[[#All],[管理番号]:[氏名]],2,TRUE),"")</f>
        <v>0</v>
      </c>
      <c r="C234" s="6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76" t="str">
        <f t="shared" si="3"/>
        <v/>
      </c>
      <c r="E2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5" spans="1:28">
      <c r="A235" s="109">
        <f>名前リスト[[#This Row],[管理番号]]</f>
        <v>234</v>
      </c>
      <c r="B235" s="6">
        <f>IF(NOT(まとめ表_各Aパターン件数[[#This Row],[管理番号]]=""),VLOOKUP(まとめ表_各Aパターン件数[[#This Row],[管理番号]],名前リスト[[#All],[管理番号]:[氏名]],2,TRUE),"")</f>
        <v>0</v>
      </c>
      <c r="C235" s="6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76" t="str">
        <f t="shared" si="3"/>
        <v/>
      </c>
      <c r="E2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6" spans="1:28">
      <c r="A236" s="109">
        <f>名前リスト[[#This Row],[管理番号]]</f>
        <v>235</v>
      </c>
      <c r="B236" s="6">
        <f>IF(NOT(まとめ表_各Aパターン件数[[#This Row],[管理番号]]=""),VLOOKUP(まとめ表_各Aパターン件数[[#This Row],[管理番号]],名前リスト[[#All],[管理番号]:[氏名]],2,TRUE),"")</f>
        <v>0</v>
      </c>
      <c r="C236" s="6">
        <f>IF(NOT(まとめ表_各Aパターン件数[[#This Row],[管理番号]]=""),VLOOKUP(まとめ表_各Aパターン件数[[#This Row],[管理番号]],名前リスト[[#All],[管理番号]:[氏名]],3,TRUE),"")</f>
        <v>0</v>
      </c>
      <c r="D236" s="76" t="str">
        <f t="shared" si="3"/>
        <v/>
      </c>
      <c r="E2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7" spans="1:28">
      <c r="A237" s="109">
        <f>名前リスト[[#This Row],[管理番号]]</f>
        <v>236</v>
      </c>
      <c r="B237" s="6">
        <f>IF(NOT(まとめ表_各Aパターン件数[[#This Row],[管理番号]]=""),VLOOKUP(まとめ表_各Aパターン件数[[#This Row],[管理番号]],名前リスト[[#All],[管理番号]:[氏名]],2,TRUE),"")</f>
        <v>0</v>
      </c>
      <c r="C237" s="6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76" t="str">
        <f t="shared" si="3"/>
        <v/>
      </c>
      <c r="E2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8" spans="1:28">
      <c r="A238" s="109">
        <f>名前リスト[[#This Row],[管理番号]]</f>
        <v>237</v>
      </c>
      <c r="B238" s="6">
        <f>IF(NOT(まとめ表_各Aパターン件数[[#This Row],[管理番号]]=""),VLOOKUP(まとめ表_各Aパターン件数[[#This Row],[管理番号]],名前リスト[[#All],[管理番号]:[氏名]],2,TRUE),"")</f>
        <v>0</v>
      </c>
      <c r="C238" s="6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76" t="str">
        <f t="shared" si="3"/>
        <v/>
      </c>
      <c r="E2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9" spans="1:28">
      <c r="A239" s="109">
        <f>名前リスト[[#This Row],[管理番号]]</f>
        <v>238</v>
      </c>
      <c r="B239" s="6">
        <f>IF(NOT(まとめ表_各Aパターン件数[[#This Row],[管理番号]]=""),VLOOKUP(まとめ表_各Aパターン件数[[#This Row],[管理番号]],名前リスト[[#All],[管理番号]:[氏名]],2,TRUE),"")</f>
        <v>0</v>
      </c>
      <c r="C239" s="6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76" t="str">
        <f t="shared" si="3"/>
        <v/>
      </c>
      <c r="E2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0" spans="1:28">
      <c r="A240" s="109">
        <f>名前リスト[[#This Row],[管理番号]]</f>
        <v>239</v>
      </c>
      <c r="B240" s="6">
        <f>IF(NOT(まとめ表_各Aパターン件数[[#This Row],[管理番号]]=""),VLOOKUP(まとめ表_各Aパターン件数[[#This Row],[管理番号]],名前リスト[[#All],[管理番号]:[氏名]],2,TRUE),"")</f>
        <v>0</v>
      </c>
      <c r="C240" s="6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76" t="str">
        <f t="shared" si="3"/>
        <v/>
      </c>
      <c r="E2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1" spans="1:28">
      <c r="A241" s="109">
        <f>名前リスト[[#This Row],[管理番号]]</f>
        <v>240</v>
      </c>
      <c r="B241" s="6">
        <f>IF(NOT(まとめ表_各Aパターン件数[[#This Row],[管理番号]]=""),VLOOKUP(まとめ表_各Aパターン件数[[#This Row],[管理番号]],名前リスト[[#All],[管理番号]:[氏名]],2,TRUE),"")</f>
        <v>0</v>
      </c>
      <c r="C241" s="6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76" t="str">
        <f t="shared" si="3"/>
        <v/>
      </c>
      <c r="E2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2" spans="1:28">
      <c r="A242" s="109">
        <f>名前リスト[[#This Row],[管理番号]]</f>
        <v>241</v>
      </c>
      <c r="B242" s="6">
        <f>IF(NOT(まとめ表_各Aパターン件数[[#This Row],[管理番号]]=""),VLOOKUP(まとめ表_各Aパターン件数[[#This Row],[管理番号]],名前リスト[[#All],[管理番号]:[氏名]],2,TRUE),"")</f>
        <v>0</v>
      </c>
      <c r="C242" s="6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76" t="str">
        <f t="shared" si="3"/>
        <v/>
      </c>
      <c r="E2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3" spans="1:28">
      <c r="A243" s="109">
        <f>名前リスト[[#This Row],[管理番号]]</f>
        <v>242</v>
      </c>
      <c r="B243" s="6">
        <f>IF(NOT(まとめ表_各Aパターン件数[[#This Row],[管理番号]]=""),VLOOKUP(まとめ表_各Aパターン件数[[#This Row],[管理番号]],名前リスト[[#All],[管理番号]:[氏名]],2,TRUE),"")</f>
        <v>0</v>
      </c>
      <c r="C243" s="6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76" t="str">
        <f t="shared" si="3"/>
        <v/>
      </c>
      <c r="E2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4" spans="1:28">
      <c r="A244" s="109">
        <f>名前リスト[[#This Row],[管理番号]]</f>
        <v>243</v>
      </c>
      <c r="B244" s="6">
        <f>IF(NOT(まとめ表_各Aパターン件数[[#This Row],[管理番号]]=""),VLOOKUP(まとめ表_各Aパターン件数[[#This Row],[管理番号]],名前リスト[[#All],[管理番号]:[氏名]],2,TRUE),"")</f>
        <v>0</v>
      </c>
      <c r="C244" s="6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76" t="str">
        <f t="shared" si="3"/>
        <v/>
      </c>
      <c r="E2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5" spans="1:28">
      <c r="A245" s="109">
        <f>名前リスト[[#This Row],[管理番号]]</f>
        <v>244</v>
      </c>
      <c r="B245" s="6">
        <f>IF(NOT(まとめ表_各Aパターン件数[[#This Row],[管理番号]]=""),VLOOKUP(まとめ表_各Aパターン件数[[#This Row],[管理番号]],名前リスト[[#All],[管理番号]:[氏名]],2,TRUE),"")</f>
        <v>0</v>
      </c>
      <c r="C245" s="6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76" t="str">
        <f t="shared" si="3"/>
        <v/>
      </c>
      <c r="E2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6" spans="1:28">
      <c r="A246" s="109">
        <f>名前リスト[[#This Row],[管理番号]]</f>
        <v>255</v>
      </c>
      <c r="B246" s="6">
        <f>IF(NOT(まとめ表_各Aパターン件数[[#This Row],[管理番号]]=""),VLOOKUP(まとめ表_各Aパターン件数[[#This Row],[管理番号]],名前リスト[[#All],[管理番号]:[氏名]],2,TRUE),"")</f>
        <v>0</v>
      </c>
      <c r="C246" s="6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76" t="str">
        <f t="shared" si="3"/>
        <v/>
      </c>
      <c r="E2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7" spans="1:28">
      <c r="A247" s="109">
        <f>名前リスト[[#This Row],[管理番号]]</f>
        <v>256</v>
      </c>
      <c r="B247" s="6">
        <f>IF(NOT(まとめ表_各Aパターン件数[[#This Row],[管理番号]]=""),VLOOKUP(まとめ表_各Aパターン件数[[#This Row],[管理番号]],名前リスト[[#All],[管理番号]:[氏名]],2,TRUE),"")</f>
        <v>0</v>
      </c>
      <c r="C247" s="6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76" t="str">
        <f t="shared" si="3"/>
        <v/>
      </c>
      <c r="E2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8" spans="1:28">
      <c r="A248" s="109">
        <f>名前リスト[[#This Row],[管理番号]]</f>
        <v>257</v>
      </c>
      <c r="B248" s="6">
        <f>IF(NOT(まとめ表_各Aパターン件数[[#This Row],[管理番号]]=""),VLOOKUP(まとめ表_各Aパターン件数[[#This Row],[管理番号]],名前リスト[[#All],[管理番号]:[氏名]],2,TRUE),"")</f>
        <v>0</v>
      </c>
      <c r="C248" s="6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76" t="str">
        <f t="shared" si="3"/>
        <v/>
      </c>
      <c r="E2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9" spans="1:28">
      <c r="A249" s="109">
        <f>名前リスト[[#This Row],[管理番号]]</f>
        <v>258</v>
      </c>
      <c r="B249" s="6">
        <f>IF(NOT(まとめ表_各Aパターン件数[[#This Row],[管理番号]]=""),VLOOKUP(まとめ表_各Aパターン件数[[#This Row],[管理番号]],名前リスト[[#All],[管理番号]:[氏名]],2,TRUE),"")</f>
        <v>0</v>
      </c>
      <c r="C249" s="6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76" t="str">
        <f t="shared" si="3"/>
        <v/>
      </c>
      <c r="E2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0" spans="1:28">
      <c r="A250" s="109">
        <f>名前リスト[[#This Row],[管理番号]]</f>
        <v>259</v>
      </c>
      <c r="B250" s="6">
        <f>IF(NOT(まとめ表_各Aパターン件数[[#This Row],[管理番号]]=""),VLOOKUP(まとめ表_各Aパターン件数[[#This Row],[管理番号]],名前リスト[[#All],[管理番号]:[氏名]],2,TRUE),"")</f>
        <v>0</v>
      </c>
      <c r="C250" s="6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76" t="str">
        <f t="shared" si="3"/>
        <v/>
      </c>
      <c r="E2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1" spans="1:28">
      <c r="A251" s="109">
        <f>名前リスト[[#This Row],[管理番号]]</f>
        <v>260</v>
      </c>
      <c r="B251" s="6">
        <f>IF(NOT(まとめ表_各Aパターン件数[[#This Row],[管理番号]]=""),VLOOKUP(まとめ表_各Aパターン件数[[#This Row],[管理番号]],名前リスト[[#All],[管理番号]:[氏名]],2,TRUE),"")</f>
        <v>0</v>
      </c>
      <c r="C251" s="6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76" t="str">
        <f t="shared" si="3"/>
        <v/>
      </c>
      <c r="E2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2" spans="1:28">
      <c r="A252" s="109">
        <f>名前リスト[[#This Row],[管理番号]]</f>
        <v>261</v>
      </c>
      <c r="B252" s="6">
        <f>IF(NOT(まとめ表_各Aパターン件数[[#This Row],[管理番号]]=""),VLOOKUP(まとめ表_各Aパターン件数[[#This Row],[管理番号]],名前リスト[[#All],[管理番号]:[氏名]],2,TRUE),"")</f>
        <v>0</v>
      </c>
      <c r="C252" s="6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76" t="str">
        <f t="shared" si="3"/>
        <v/>
      </c>
      <c r="E25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3" spans="1:28">
      <c r="A253" s="109">
        <f>名前リスト[[#This Row],[管理番号]]</f>
        <v>262</v>
      </c>
      <c r="B253" s="6">
        <f>IF(NOT(まとめ表_各Aパターン件数[[#This Row],[管理番号]]=""),VLOOKUP(まとめ表_各Aパターン件数[[#This Row],[管理番号]],名前リスト[[#All],[管理番号]:[氏名]],2,TRUE),"")</f>
        <v>0</v>
      </c>
      <c r="C253" s="6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76" t="str">
        <f t="shared" si="3"/>
        <v/>
      </c>
      <c r="E25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4" spans="1:28">
      <c r="A254" s="109">
        <f>名前リスト[[#This Row],[管理番号]]</f>
        <v>263</v>
      </c>
      <c r="B254" s="6">
        <f>IF(NOT(まとめ表_各Aパターン件数[[#This Row],[管理番号]]=""),VLOOKUP(まとめ表_各Aパターン件数[[#This Row],[管理番号]],名前リスト[[#All],[管理番号]:[氏名]],2,TRUE),"")</f>
        <v>0</v>
      </c>
      <c r="C254" s="6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76" t="str">
        <f t="shared" si="3"/>
        <v/>
      </c>
      <c r="E25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5" spans="1:28">
      <c r="A255" s="109">
        <f>名前リスト[[#This Row],[管理番号]]</f>
        <v>264</v>
      </c>
      <c r="B255" s="6">
        <f>IF(NOT(まとめ表_各Aパターン件数[[#This Row],[管理番号]]=""),VLOOKUP(まとめ表_各Aパターン件数[[#This Row],[管理番号]],名前リスト[[#All],[管理番号]:[氏名]],2,TRUE),"")</f>
        <v>0</v>
      </c>
      <c r="C255" s="6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76" t="str">
        <f t="shared" si="3"/>
        <v/>
      </c>
      <c r="E25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6" spans="1:28">
      <c r="A256" s="109">
        <f>名前リスト[[#This Row],[管理番号]]</f>
        <v>265</v>
      </c>
      <c r="B256" s="6">
        <f>IF(NOT(まとめ表_各Aパターン件数[[#This Row],[管理番号]]=""),VLOOKUP(まとめ表_各Aパターン件数[[#This Row],[管理番号]],名前リスト[[#All],[管理番号]:[氏名]],2,TRUE),"")</f>
        <v>0</v>
      </c>
      <c r="C256" s="6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76" t="str">
        <f t="shared" si="3"/>
        <v/>
      </c>
      <c r="E25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7" spans="1:28">
      <c r="A257" s="109">
        <f>名前リスト[[#This Row],[管理番号]]</f>
        <v>1000</v>
      </c>
      <c r="B257" s="6">
        <f>IF(NOT(まとめ表_各Aパターン件数[[#This Row],[管理番号]]=""),VLOOKUP(まとめ表_各Aパターン件数[[#This Row],[管理番号]],名前リスト[[#All],[管理番号]:[氏名]],2,TRUE),"")</f>
        <v>0</v>
      </c>
      <c r="C257" s="6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76" t="str">
        <f t="shared" si="3"/>
        <v/>
      </c>
      <c r="E25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8" spans="1:28">
      <c r="A258" s="109">
        <f>名前リスト[[#This Row],[管理番号]]</f>
        <v>1001</v>
      </c>
      <c r="B258" s="6">
        <f>IF(NOT(まとめ表_各Aパターン件数[[#This Row],[管理番号]]=""),VLOOKUP(まとめ表_各Aパターン件数[[#This Row],[管理番号]],名前リスト[[#All],[管理番号]:[氏名]],2,TRUE),"")</f>
        <v>0</v>
      </c>
      <c r="C258" s="6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76" t="str">
        <f t="shared" ref="D258:D321" si="4">IF(SUM(E258:XFD258)=0,"",SUM(E258:XFD258))</f>
        <v/>
      </c>
      <c r="E25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9" spans="1:28">
      <c r="A259" s="109">
        <f>名前リスト[[#This Row],[管理番号]]</f>
        <v>1002</v>
      </c>
      <c r="B259" s="6">
        <f>IF(NOT(まとめ表_各Aパターン件数[[#This Row],[管理番号]]=""),VLOOKUP(まとめ表_各Aパターン件数[[#This Row],[管理番号]],名前リスト[[#All],[管理番号]:[氏名]],2,TRUE),"")</f>
        <v>0</v>
      </c>
      <c r="C259" s="6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76" t="str">
        <f t="shared" si="4"/>
        <v/>
      </c>
      <c r="E25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0" spans="1:28">
      <c r="A260" s="109">
        <f>名前リスト[[#This Row],[管理番号]]</f>
        <v>1003</v>
      </c>
      <c r="B260" s="6">
        <f>IF(NOT(まとめ表_各Aパターン件数[[#This Row],[管理番号]]=""),VLOOKUP(まとめ表_各Aパターン件数[[#This Row],[管理番号]],名前リスト[[#All],[管理番号]:[氏名]],2,TRUE),"")</f>
        <v>0</v>
      </c>
      <c r="C260" s="6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76" t="str">
        <f t="shared" si="4"/>
        <v/>
      </c>
      <c r="E26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1" spans="1:28">
      <c r="A261" s="109">
        <f>名前リスト[[#This Row],[管理番号]]</f>
        <v>1004</v>
      </c>
      <c r="B261" s="6">
        <f>IF(NOT(まとめ表_各Aパターン件数[[#This Row],[管理番号]]=""),VLOOKUP(まとめ表_各Aパターン件数[[#This Row],[管理番号]],名前リスト[[#All],[管理番号]:[氏名]],2,TRUE),"")</f>
        <v>0</v>
      </c>
      <c r="C261" s="6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76" t="str">
        <f t="shared" si="4"/>
        <v/>
      </c>
      <c r="E26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2" spans="1:28">
      <c r="A262" s="109">
        <f>名前リスト[[#This Row],[管理番号]]</f>
        <v>1005</v>
      </c>
      <c r="B262" s="6">
        <f>IF(NOT(まとめ表_各Aパターン件数[[#This Row],[管理番号]]=""),VLOOKUP(まとめ表_各Aパターン件数[[#This Row],[管理番号]],名前リスト[[#All],[管理番号]:[氏名]],2,TRUE),"")</f>
        <v>0</v>
      </c>
      <c r="C262" s="6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76" t="str">
        <f t="shared" si="4"/>
        <v/>
      </c>
      <c r="E26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3" spans="1:28">
      <c r="A263" s="109">
        <f>名前リスト[[#This Row],[管理番号]]</f>
        <v>1006</v>
      </c>
      <c r="B263" s="6">
        <f>IF(NOT(まとめ表_各Aパターン件数[[#This Row],[管理番号]]=""),VLOOKUP(まとめ表_各Aパターン件数[[#This Row],[管理番号]],名前リスト[[#All],[管理番号]:[氏名]],2,TRUE),"")</f>
        <v>0</v>
      </c>
      <c r="C263" s="6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76" t="str">
        <f t="shared" si="4"/>
        <v/>
      </c>
      <c r="E26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4" spans="1:28">
      <c r="A264" s="109">
        <f>名前リスト[[#This Row],[管理番号]]</f>
        <v>1007</v>
      </c>
      <c r="B264" s="6">
        <f>IF(NOT(まとめ表_各Aパターン件数[[#This Row],[管理番号]]=""),VLOOKUP(まとめ表_各Aパターン件数[[#This Row],[管理番号]],名前リスト[[#All],[管理番号]:[氏名]],2,TRUE),"")</f>
        <v>0</v>
      </c>
      <c r="C264" s="6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76" t="str">
        <f t="shared" si="4"/>
        <v/>
      </c>
      <c r="E26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5" spans="1:28">
      <c r="A265" s="109">
        <f>名前リスト[[#This Row],[管理番号]]</f>
        <v>1008</v>
      </c>
      <c r="B265" s="6">
        <f>IF(NOT(まとめ表_各Aパターン件数[[#This Row],[管理番号]]=""),VLOOKUP(まとめ表_各Aパターン件数[[#This Row],[管理番号]],名前リスト[[#All],[管理番号]:[氏名]],2,TRUE),"")</f>
        <v>0</v>
      </c>
      <c r="C265" s="6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76" t="str">
        <f t="shared" si="4"/>
        <v/>
      </c>
      <c r="E26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6" spans="1:28">
      <c r="A266" s="109">
        <f>名前リスト[[#This Row],[管理番号]]</f>
        <v>1009</v>
      </c>
      <c r="B266" s="6">
        <f>IF(NOT(まとめ表_各Aパターン件数[[#This Row],[管理番号]]=""),VLOOKUP(まとめ表_各Aパターン件数[[#This Row],[管理番号]],名前リスト[[#All],[管理番号]:[氏名]],2,TRUE),"")</f>
        <v>0</v>
      </c>
      <c r="C266" s="6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76" t="str">
        <f t="shared" si="4"/>
        <v/>
      </c>
      <c r="E26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7" spans="1:28">
      <c r="A267" s="109">
        <f>名前リスト[[#This Row],[管理番号]]</f>
        <v>1010</v>
      </c>
      <c r="B267" s="6">
        <f>IF(NOT(まとめ表_各Aパターン件数[[#This Row],[管理番号]]=""),VLOOKUP(まとめ表_各Aパターン件数[[#This Row],[管理番号]],名前リスト[[#All],[管理番号]:[氏名]],2,TRUE),"")</f>
        <v>0</v>
      </c>
      <c r="C267" s="6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76" t="str">
        <f t="shared" si="4"/>
        <v/>
      </c>
      <c r="E26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8" spans="1:28">
      <c r="A268" s="109">
        <f>名前リスト[[#This Row],[管理番号]]</f>
        <v>1011</v>
      </c>
      <c r="B268" s="6">
        <f>IF(NOT(まとめ表_各Aパターン件数[[#This Row],[管理番号]]=""),VLOOKUP(まとめ表_各Aパターン件数[[#This Row],[管理番号]],名前リスト[[#All],[管理番号]:[氏名]],2,TRUE),"")</f>
        <v>0</v>
      </c>
      <c r="C268" s="6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76" t="str">
        <f t="shared" si="4"/>
        <v/>
      </c>
      <c r="E26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9" spans="1:28">
      <c r="A269" s="109">
        <f>名前リスト[[#This Row],[管理番号]]</f>
        <v>1012</v>
      </c>
      <c r="B269" s="6">
        <f>IF(NOT(まとめ表_各Aパターン件数[[#This Row],[管理番号]]=""),VLOOKUP(まとめ表_各Aパターン件数[[#This Row],[管理番号]],名前リスト[[#All],[管理番号]:[氏名]],2,TRUE),"")</f>
        <v>0</v>
      </c>
      <c r="C269" s="6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76" t="str">
        <f t="shared" si="4"/>
        <v/>
      </c>
      <c r="E26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0" spans="1:28">
      <c r="A270" s="109">
        <f>名前リスト[[#This Row],[管理番号]]</f>
        <v>1013</v>
      </c>
      <c r="B270" s="6">
        <f>IF(NOT(まとめ表_各Aパターン件数[[#This Row],[管理番号]]=""),VLOOKUP(まとめ表_各Aパターン件数[[#This Row],[管理番号]],名前リスト[[#All],[管理番号]:[氏名]],2,TRUE),"")</f>
        <v>0</v>
      </c>
      <c r="C270" s="6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76" t="str">
        <f t="shared" si="4"/>
        <v/>
      </c>
      <c r="E27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1" spans="1:28">
      <c r="A271" s="109">
        <f>名前リスト[[#This Row],[管理番号]]</f>
        <v>1014</v>
      </c>
      <c r="B271" s="6">
        <f>IF(NOT(まとめ表_各Aパターン件数[[#This Row],[管理番号]]=""),VLOOKUP(まとめ表_各Aパターン件数[[#This Row],[管理番号]],名前リスト[[#All],[管理番号]:[氏名]],2,TRUE),"")</f>
        <v>0</v>
      </c>
      <c r="C271" s="6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76" t="str">
        <f t="shared" si="4"/>
        <v/>
      </c>
      <c r="E27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2" spans="1:28">
      <c r="A272" s="109">
        <f>名前リスト[[#This Row],[管理番号]]</f>
        <v>1015</v>
      </c>
      <c r="B272" s="6">
        <f>IF(NOT(まとめ表_各Aパターン件数[[#This Row],[管理番号]]=""),VLOOKUP(まとめ表_各Aパターン件数[[#This Row],[管理番号]],名前リスト[[#All],[管理番号]:[氏名]],2,TRUE),"")</f>
        <v>0</v>
      </c>
      <c r="C272" s="6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76" t="str">
        <f t="shared" si="4"/>
        <v/>
      </c>
      <c r="E27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3" spans="1:28">
      <c r="A273" s="109">
        <f>名前リスト[[#This Row],[管理番号]]</f>
        <v>1016</v>
      </c>
      <c r="B273" s="6">
        <f>IF(NOT(まとめ表_各Aパターン件数[[#This Row],[管理番号]]=""),VLOOKUP(まとめ表_各Aパターン件数[[#This Row],[管理番号]],名前リスト[[#All],[管理番号]:[氏名]],2,TRUE),"")</f>
        <v>0</v>
      </c>
      <c r="C273" s="6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76" t="str">
        <f t="shared" si="4"/>
        <v/>
      </c>
      <c r="E27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4" spans="1:28">
      <c r="A274" s="109">
        <f>名前リスト[[#This Row],[管理番号]]</f>
        <v>1017</v>
      </c>
      <c r="B274" s="6">
        <f>IF(NOT(まとめ表_各Aパターン件数[[#This Row],[管理番号]]=""),VLOOKUP(まとめ表_各Aパターン件数[[#This Row],[管理番号]],名前リスト[[#All],[管理番号]:[氏名]],2,TRUE),"")</f>
        <v>0</v>
      </c>
      <c r="C274" s="6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76" t="str">
        <f t="shared" si="4"/>
        <v/>
      </c>
      <c r="E27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5" spans="1:28">
      <c r="A275" s="109">
        <f>名前リスト[[#This Row],[管理番号]]</f>
        <v>1018</v>
      </c>
      <c r="B275" s="6">
        <f>IF(NOT(まとめ表_各Aパターン件数[[#This Row],[管理番号]]=""),VLOOKUP(まとめ表_各Aパターン件数[[#This Row],[管理番号]],名前リスト[[#All],[管理番号]:[氏名]],2,TRUE),"")</f>
        <v>0</v>
      </c>
      <c r="C275" s="6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76" t="str">
        <f t="shared" si="4"/>
        <v/>
      </c>
      <c r="E27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6" spans="1:28">
      <c r="A276" s="109">
        <f>名前リスト[[#This Row],[管理番号]]</f>
        <v>1019</v>
      </c>
      <c r="B276" s="6">
        <f>IF(NOT(まとめ表_各Aパターン件数[[#This Row],[管理番号]]=""),VLOOKUP(まとめ表_各Aパターン件数[[#This Row],[管理番号]],名前リスト[[#All],[管理番号]:[氏名]],2,TRUE),"")</f>
        <v>0</v>
      </c>
      <c r="C276" s="6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76" t="str">
        <f t="shared" si="4"/>
        <v/>
      </c>
      <c r="E27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7" spans="1:28">
      <c r="A277" s="109">
        <f>名前リスト[[#This Row],[管理番号]]</f>
        <v>1020</v>
      </c>
      <c r="B277" s="6">
        <f>IF(NOT(まとめ表_各Aパターン件数[[#This Row],[管理番号]]=""),VLOOKUP(まとめ表_各Aパターン件数[[#This Row],[管理番号]],名前リスト[[#All],[管理番号]:[氏名]],2,TRUE),"")</f>
        <v>0</v>
      </c>
      <c r="C277" s="6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76" t="str">
        <f t="shared" si="4"/>
        <v/>
      </c>
      <c r="E27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8" spans="1:28">
      <c r="A278" s="109">
        <f>名前リスト[[#This Row],[管理番号]]</f>
        <v>1021</v>
      </c>
      <c r="B278" s="6">
        <f>IF(NOT(まとめ表_各Aパターン件数[[#This Row],[管理番号]]=""),VLOOKUP(まとめ表_各Aパターン件数[[#This Row],[管理番号]],名前リスト[[#All],[管理番号]:[氏名]],2,TRUE),"")</f>
        <v>0</v>
      </c>
      <c r="C278" s="6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76" t="str">
        <f t="shared" si="4"/>
        <v/>
      </c>
      <c r="E27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9" spans="1:28">
      <c r="A279" s="109">
        <f>名前リスト[[#This Row],[管理番号]]</f>
        <v>1022</v>
      </c>
      <c r="B279" s="6">
        <f>IF(NOT(まとめ表_各Aパターン件数[[#This Row],[管理番号]]=""),VLOOKUP(まとめ表_各Aパターン件数[[#This Row],[管理番号]],名前リスト[[#All],[管理番号]:[氏名]],2,TRUE),"")</f>
        <v>0</v>
      </c>
      <c r="C279" s="6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76" t="str">
        <f t="shared" si="4"/>
        <v/>
      </c>
      <c r="E27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0" spans="1:28">
      <c r="A280" s="109">
        <f>名前リスト[[#This Row],[管理番号]]</f>
        <v>1023</v>
      </c>
      <c r="B280" s="6">
        <f>IF(NOT(まとめ表_各Aパターン件数[[#This Row],[管理番号]]=""),VLOOKUP(まとめ表_各Aパターン件数[[#This Row],[管理番号]],名前リスト[[#All],[管理番号]:[氏名]],2,TRUE),"")</f>
        <v>0</v>
      </c>
      <c r="C280" s="6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76" t="str">
        <f t="shared" si="4"/>
        <v/>
      </c>
      <c r="E28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1" spans="1:28">
      <c r="A281" s="109">
        <f>名前リスト[[#This Row],[管理番号]]</f>
        <v>1024</v>
      </c>
      <c r="B281" s="6">
        <f>IF(NOT(まとめ表_各Aパターン件数[[#This Row],[管理番号]]=""),VLOOKUP(まとめ表_各Aパターン件数[[#This Row],[管理番号]],名前リスト[[#All],[管理番号]:[氏名]],2,TRUE),"")</f>
        <v>0</v>
      </c>
      <c r="C281" s="6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76" t="str">
        <f t="shared" si="4"/>
        <v/>
      </c>
      <c r="E28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2" spans="1:28">
      <c r="A282" s="109">
        <f>名前リスト[[#This Row],[管理番号]]</f>
        <v>1025</v>
      </c>
      <c r="B282" s="6">
        <f>IF(NOT(まとめ表_各Aパターン件数[[#This Row],[管理番号]]=""),VLOOKUP(まとめ表_各Aパターン件数[[#This Row],[管理番号]],名前リスト[[#All],[管理番号]:[氏名]],2,TRUE),"")</f>
        <v>0</v>
      </c>
      <c r="C282" s="6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76" t="str">
        <f t="shared" si="4"/>
        <v/>
      </c>
      <c r="E28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3" spans="1:28">
      <c r="A283" s="109">
        <f>名前リスト[[#This Row],[管理番号]]</f>
        <v>1026</v>
      </c>
      <c r="B283" s="6">
        <f>IF(NOT(まとめ表_各Aパターン件数[[#This Row],[管理番号]]=""),VLOOKUP(まとめ表_各Aパターン件数[[#This Row],[管理番号]],名前リスト[[#All],[管理番号]:[氏名]],2,TRUE),"")</f>
        <v>0</v>
      </c>
      <c r="C283" s="6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76" t="str">
        <f t="shared" si="4"/>
        <v/>
      </c>
      <c r="E28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4" spans="1:28">
      <c r="A284" s="109">
        <f>名前リスト[[#This Row],[管理番号]]</f>
        <v>1027</v>
      </c>
      <c r="B284" s="6">
        <f>IF(NOT(まとめ表_各Aパターン件数[[#This Row],[管理番号]]=""),VLOOKUP(まとめ表_各Aパターン件数[[#This Row],[管理番号]],名前リスト[[#All],[管理番号]:[氏名]],2,TRUE),"")</f>
        <v>0</v>
      </c>
      <c r="C284" s="6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76" t="str">
        <f t="shared" si="4"/>
        <v/>
      </c>
      <c r="E28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5" spans="1:28">
      <c r="A285" s="109">
        <f>名前リスト[[#This Row],[管理番号]]</f>
        <v>1028</v>
      </c>
      <c r="B285" s="6">
        <f>IF(NOT(まとめ表_各Aパターン件数[[#This Row],[管理番号]]=""),VLOOKUP(まとめ表_各Aパターン件数[[#This Row],[管理番号]],名前リスト[[#All],[管理番号]:[氏名]],2,TRUE),"")</f>
        <v>0</v>
      </c>
      <c r="C285" s="6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76" t="str">
        <f t="shared" si="4"/>
        <v/>
      </c>
      <c r="E28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6" spans="1:28">
      <c r="A286" s="109">
        <f>名前リスト[[#This Row],[管理番号]]</f>
        <v>1029</v>
      </c>
      <c r="B286" s="6">
        <f>IF(NOT(まとめ表_各Aパターン件数[[#This Row],[管理番号]]=""),VLOOKUP(まとめ表_各Aパターン件数[[#This Row],[管理番号]],名前リスト[[#All],[管理番号]:[氏名]],2,TRUE),"")</f>
        <v>0</v>
      </c>
      <c r="C286" s="6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76" t="str">
        <f t="shared" si="4"/>
        <v/>
      </c>
      <c r="E28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7" spans="1:28">
      <c r="A287" s="109">
        <f>名前リスト[[#This Row],[管理番号]]</f>
        <v>1030</v>
      </c>
      <c r="B287" s="6">
        <f>IF(NOT(まとめ表_各Aパターン件数[[#This Row],[管理番号]]=""),VLOOKUP(まとめ表_各Aパターン件数[[#This Row],[管理番号]],名前リスト[[#All],[管理番号]:[氏名]],2,TRUE),"")</f>
        <v>0</v>
      </c>
      <c r="C287" s="6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76" t="str">
        <f t="shared" si="4"/>
        <v/>
      </c>
      <c r="E28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8" spans="1:28">
      <c r="A288" s="109">
        <f>名前リスト[[#This Row],[管理番号]]</f>
        <v>1031</v>
      </c>
      <c r="B288" s="6">
        <f>IF(NOT(まとめ表_各Aパターン件数[[#This Row],[管理番号]]=""),VLOOKUP(まとめ表_各Aパターン件数[[#This Row],[管理番号]],名前リスト[[#All],[管理番号]:[氏名]],2,TRUE),"")</f>
        <v>0</v>
      </c>
      <c r="C288" s="6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76" t="str">
        <f t="shared" si="4"/>
        <v/>
      </c>
      <c r="E28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9" spans="1:28">
      <c r="A289" s="109">
        <f>名前リスト[[#This Row],[管理番号]]</f>
        <v>1032</v>
      </c>
      <c r="B289" s="6">
        <f>IF(NOT(まとめ表_各Aパターン件数[[#This Row],[管理番号]]=""),VLOOKUP(まとめ表_各Aパターン件数[[#This Row],[管理番号]],名前リスト[[#All],[管理番号]:[氏名]],2,TRUE),"")</f>
        <v>0</v>
      </c>
      <c r="C289" s="6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76" t="str">
        <f t="shared" si="4"/>
        <v/>
      </c>
      <c r="E28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0" spans="1:28">
      <c r="A290" s="109">
        <f>名前リスト[[#This Row],[管理番号]]</f>
        <v>1033</v>
      </c>
      <c r="B290" s="6">
        <f>IF(NOT(まとめ表_各Aパターン件数[[#This Row],[管理番号]]=""),VLOOKUP(まとめ表_各Aパターン件数[[#This Row],[管理番号]],名前リスト[[#All],[管理番号]:[氏名]],2,TRUE),"")</f>
        <v>0</v>
      </c>
      <c r="C290" s="6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76" t="str">
        <f t="shared" si="4"/>
        <v/>
      </c>
      <c r="E29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1" spans="1:28">
      <c r="A291" s="109">
        <f>名前リスト[[#This Row],[管理番号]]</f>
        <v>1034</v>
      </c>
      <c r="B291" s="6">
        <f>IF(NOT(まとめ表_各Aパターン件数[[#This Row],[管理番号]]=""),VLOOKUP(まとめ表_各Aパターン件数[[#This Row],[管理番号]],名前リスト[[#All],[管理番号]:[氏名]],2,TRUE),"")</f>
        <v>0</v>
      </c>
      <c r="C291" s="6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76" t="str">
        <f t="shared" si="4"/>
        <v/>
      </c>
      <c r="E29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2" spans="1:28">
      <c r="A292" s="109">
        <f>名前リスト[[#This Row],[管理番号]]</f>
        <v>1035</v>
      </c>
      <c r="B292" s="6">
        <f>IF(NOT(まとめ表_各Aパターン件数[[#This Row],[管理番号]]=""),VLOOKUP(まとめ表_各Aパターン件数[[#This Row],[管理番号]],名前リスト[[#All],[管理番号]:[氏名]],2,TRUE),"")</f>
        <v>0</v>
      </c>
      <c r="C292" s="6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76" t="str">
        <f t="shared" si="4"/>
        <v/>
      </c>
      <c r="E29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3" spans="1:28">
      <c r="A293" s="109">
        <f>名前リスト[[#This Row],[管理番号]]</f>
        <v>1036</v>
      </c>
      <c r="B293" s="6">
        <f>IF(NOT(まとめ表_各Aパターン件数[[#This Row],[管理番号]]=""),VLOOKUP(まとめ表_各Aパターン件数[[#This Row],[管理番号]],名前リスト[[#All],[管理番号]:[氏名]],2,TRUE),"")</f>
        <v>0</v>
      </c>
      <c r="C293" s="6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76" t="str">
        <f t="shared" si="4"/>
        <v/>
      </c>
      <c r="E29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4" spans="1:28">
      <c r="A294" s="109">
        <f>名前リスト[[#This Row],[管理番号]]</f>
        <v>1037</v>
      </c>
      <c r="B294" s="6">
        <f>IF(NOT(まとめ表_各Aパターン件数[[#This Row],[管理番号]]=""),VLOOKUP(まとめ表_各Aパターン件数[[#This Row],[管理番号]],名前リスト[[#All],[管理番号]:[氏名]],2,TRUE),"")</f>
        <v>0</v>
      </c>
      <c r="C294" s="6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76" t="str">
        <f t="shared" si="4"/>
        <v/>
      </c>
      <c r="E29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5" spans="1:28">
      <c r="A295" s="109">
        <f>名前リスト[[#This Row],[管理番号]]</f>
        <v>1038</v>
      </c>
      <c r="B295" s="6">
        <f>IF(NOT(まとめ表_各Aパターン件数[[#This Row],[管理番号]]=""),VLOOKUP(まとめ表_各Aパターン件数[[#This Row],[管理番号]],名前リスト[[#All],[管理番号]:[氏名]],2,TRUE),"")</f>
        <v>0</v>
      </c>
      <c r="C295" s="6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76" t="str">
        <f t="shared" si="4"/>
        <v/>
      </c>
      <c r="E29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6" spans="1:28">
      <c r="A296" s="109">
        <f>名前リスト[[#This Row],[管理番号]]</f>
        <v>1039</v>
      </c>
      <c r="B296" s="6">
        <f>IF(NOT(まとめ表_各Aパターン件数[[#This Row],[管理番号]]=""),VLOOKUP(まとめ表_各Aパターン件数[[#This Row],[管理番号]],名前リスト[[#All],[管理番号]:[氏名]],2,TRUE),"")</f>
        <v>0</v>
      </c>
      <c r="C296" s="6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76" t="str">
        <f t="shared" si="4"/>
        <v/>
      </c>
      <c r="E29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7" spans="1:28">
      <c r="A297" s="109">
        <f>名前リスト[[#This Row],[管理番号]]</f>
        <v>1040</v>
      </c>
      <c r="B297" s="6">
        <f>IF(NOT(まとめ表_各Aパターン件数[[#This Row],[管理番号]]=""),VLOOKUP(まとめ表_各Aパターン件数[[#This Row],[管理番号]],名前リスト[[#All],[管理番号]:[氏名]],2,TRUE),"")</f>
        <v>0</v>
      </c>
      <c r="C297" s="6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76" t="str">
        <f t="shared" si="4"/>
        <v/>
      </c>
      <c r="E29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8" spans="1:28">
      <c r="A298" s="109">
        <f>名前リスト[[#This Row],[管理番号]]</f>
        <v>1041</v>
      </c>
      <c r="B298" s="6">
        <f>IF(NOT(まとめ表_各Aパターン件数[[#This Row],[管理番号]]=""),VLOOKUP(まとめ表_各Aパターン件数[[#This Row],[管理番号]],名前リスト[[#All],[管理番号]:[氏名]],2,TRUE),"")</f>
        <v>0</v>
      </c>
      <c r="C298" s="6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76" t="str">
        <f t="shared" si="4"/>
        <v/>
      </c>
      <c r="E29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9" spans="1:28">
      <c r="A299" s="109">
        <f>名前リスト[[#This Row],[管理番号]]</f>
        <v>1042</v>
      </c>
      <c r="B299" s="6">
        <f>IF(NOT(まとめ表_各Aパターン件数[[#This Row],[管理番号]]=""),VLOOKUP(まとめ表_各Aパターン件数[[#This Row],[管理番号]],名前リスト[[#All],[管理番号]:[氏名]],2,TRUE),"")</f>
        <v>0</v>
      </c>
      <c r="C299" s="6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76" t="str">
        <f t="shared" si="4"/>
        <v/>
      </c>
      <c r="E29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0" spans="1:28">
      <c r="A300" s="109">
        <f>名前リスト[[#This Row],[管理番号]]</f>
        <v>1043</v>
      </c>
      <c r="B300" s="6">
        <f>IF(NOT(まとめ表_各Aパターン件数[[#This Row],[管理番号]]=""),VLOOKUP(まとめ表_各Aパターン件数[[#This Row],[管理番号]],名前リスト[[#All],[管理番号]:[氏名]],2,TRUE),"")</f>
        <v>0</v>
      </c>
      <c r="C300" s="6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76" t="str">
        <f t="shared" si="4"/>
        <v/>
      </c>
      <c r="E30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1" spans="1:28">
      <c r="A301" s="109">
        <f>名前リスト[[#This Row],[管理番号]]</f>
        <v>1044</v>
      </c>
      <c r="B301" s="6">
        <f>IF(NOT(まとめ表_各Aパターン件数[[#This Row],[管理番号]]=""),VLOOKUP(まとめ表_各Aパターン件数[[#This Row],[管理番号]],名前リスト[[#All],[管理番号]:[氏名]],2,TRUE),"")</f>
        <v>0</v>
      </c>
      <c r="C301" s="6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76" t="str">
        <f t="shared" si="4"/>
        <v/>
      </c>
      <c r="E30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2" spans="1:28">
      <c r="A302" s="109">
        <f>名前リスト[[#This Row],[管理番号]]</f>
        <v>1045</v>
      </c>
      <c r="B302" s="6">
        <f>IF(NOT(まとめ表_各Aパターン件数[[#This Row],[管理番号]]=""),VLOOKUP(まとめ表_各Aパターン件数[[#This Row],[管理番号]],名前リスト[[#All],[管理番号]:[氏名]],2,TRUE),"")</f>
        <v>0</v>
      </c>
      <c r="C302" s="6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76" t="str">
        <f t="shared" si="4"/>
        <v/>
      </c>
      <c r="E30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3" spans="1:28">
      <c r="A303" s="109">
        <f>名前リスト[[#This Row],[管理番号]]</f>
        <v>1046</v>
      </c>
      <c r="B303" s="6">
        <f>IF(NOT(まとめ表_各Aパターン件数[[#This Row],[管理番号]]=""),VLOOKUP(まとめ表_各Aパターン件数[[#This Row],[管理番号]],名前リスト[[#All],[管理番号]:[氏名]],2,TRUE),"")</f>
        <v>0</v>
      </c>
      <c r="C303" s="6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76" t="str">
        <f t="shared" si="4"/>
        <v/>
      </c>
      <c r="E30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4" spans="1:28">
      <c r="A304" s="109">
        <f>名前リスト[[#This Row],[管理番号]]</f>
        <v>1047</v>
      </c>
      <c r="B304" s="6">
        <f>IF(NOT(まとめ表_各Aパターン件数[[#This Row],[管理番号]]=""),VLOOKUP(まとめ表_各Aパターン件数[[#This Row],[管理番号]],名前リスト[[#All],[管理番号]:[氏名]],2,TRUE),"")</f>
        <v>0</v>
      </c>
      <c r="C304" s="6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76" t="str">
        <f t="shared" si="4"/>
        <v/>
      </c>
      <c r="E30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5" spans="1:28">
      <c r="A305" s="109">
        <f>名前リスト[[#This Row],[管理番号]]</f>
        <v>1048</v>
      </c>
      <c r="B305" s="6">
        <f>IF(NOT(まとめ表_各Aパターン件数[[#This Row],[管理番号]]=""),VLOOKUP(まとめ表_各Aパターン件数[[#This Row],[管理番号]],名前リスト[[#All],[管理番号]:[氏名]],2,TRUE),"")</f>
        <v>0</v>
      </c>
      <c r="C305" s="6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76" t="str">
        <f t="shared" si="4"/>
        <v/>
      </c>
      <c r="E3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6" spans="1:28">
      <c r="A306" s="109">
        <f>名前リスト[[#This Row],[管理番号]]</f>
        <v>1049</v>
      </c>
      <c r="B306" s="6">
        <f>IF(NOT(まとめ表_各Aパターン件数[[#This Row],[管理番号]]=""),VLOOKUP(まとめ表_各Aパターン件数[[#This Row],[管理番号]],名前リスト[[#All],[管理番号]:[氏名]],2,TRUE),"")</f>
        <v>0</v>
      </c>
      <c r="C306" s="6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76" t="str">
        <f t="shared" si="4"/>
        <v/>
      </c>
      <c r="E3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7" spans="1:28">
      <c r="A307" s="109">
        <f>名前リスト[[#This Row],[管理番号]]</f>
        <v>1050</v>
      </c>
      <c r="B307" s="6">
        <f>IF(NOT(まとめ表_各Aパターン件数[[#This Row],[管理番号]]=""),VLOOKUP(まとめ表_各Aパターン件数[[#This Row],[管理番号]],名前リスト[[#All],[管理番号]:[氏名]],2,TRUE),"")</f>
        <v>0</v>
      </c>
      <c r="C307" s="6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76" t="str">
        <f t="shared" si="4"/>
        <v/>
      </c>
      <c r="E3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8" spans="1:28">
      <c r="A308" s="109">
        <f>名前リスト[[#This Row],[管理番号]]</f>
        <v>1051</v>
      </c>
      <c r="B308" s="6">
        <f>IF(NOT(まとめ表_各Aパターン件数[[#This Row],[管理番号]]=""),VLOOKUP(まとめ表_各Aパターン件数[[#This Row],[管理番号]],名前リスト[[#All],[管理番号]:[氏名]],2,TRUE),"")</f>
        <v>0</v>
      </c>
      <c r="C308" s="6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76" t="str">
        <f t="shared" si="4"/>
        <v/>
      </c>
      <c r="E3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9" spans="1:28">
      <c r="A309" s="109">
        <f>名前リスト[[#This Row],[管理番号]]</f>
        <v>1052</v>
      </c>
      <c r="B309" s="6">
        <f>IF(NOT(まとめ表_各Aパターン件数[[#This Row],[管理番号]]=""),VLOOKUP(まとめ表_各Aパターン件数[[#This Row],[管理番号]],名前リスト[[#All],[管理番号]:[氏名]],2,TRUE),"")</f>
        <v>0</v>
      </c>
      <c r="C309" s="6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76" t="str">
        <f t="shared" si="4"/>
        <v/>
      </c>
      <c r="E3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0" spans="1:28">
      <c r="A310" s="109">
        <f>名前リスト[[#This Row],[管理番号]]</f>
        <v>1053</v>
      </c>
      <c r="B310" s="6">
        <f>IF(NOT(まとめ表_各Aパターン件数[[#This Row],[管理番号]]=""),VLOOKUP(まとめ表_各Aパターン件数[[#This Row],[管理番号]],名前リスト[[#All],[管理番号]:[氏名]],2,TRUE),"")</f>
        <v>0</v>
      </c>
      <c r="C310" s="6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76" t="str">
        <f t="shared" si="4"/>
        <v/>
      </c>
      <c r="E3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1" spans="1:28">
      <c r="A311" s="109">
        <f>名前リスト[[#This Row],[管理番号]]</f>
        <v>1054</v>
      </c>
      <c r="B311" s="6">
        <f>IF(NOT(まとめ表_各Aパターン件数[[#This Row],[管理番号]]=""),VLOOKUP(まとめ表_各Aパターン件数[[#This Row],[管理番号]],名前リスト[[#All],[管理番号]:[氏名]],2,TRUE),"")</f>
        <v>0</v>
      </c>
      <c r="C311" s="6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76" t="str">
        <f t="shared" si="4"/>
        <v/>
      </c>
      <c r="E3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2" spans="1:28">
      <c r="A312" s="109">
        <f>名前リスト[[#This Row],[管理番号]]</f>
        <v>1055</v>
      </c>
      <c r="B312" s="6">
        <f>IF(NOT(まとめ表_各Aパターン件数[[#This Row],[管理番号]]=""),VLOOKUP(まとめ表_各Aパターン件数[[#This Row],[管理番号]],名前リスト[[#All],[管理番号]:[氏名]],2,TRUE),"")</f>
        <v>0</v>
      </c>
      <c r="C312" s="6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76" t="str">
        <f t="shared" si="4"/>
        <v/>
      </c>
      <c r="E3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3" spans="1:28">
      <c r="A313" s="109">
        <f>名前リスト[[#This Row],[管理番号]]</f>
        <v>1056</v>
      </c>
      <c r="B313" s="6">
        <f>IF(NOT(まとめ表_各Aパターン件数[[#This Row],[管理番号]]=""),VLOOKUP(まとめ表_各Aパターン件数[[#This Row],[管理番号]],名前リスト[[#All],[管理番号]:[氏名]],2,TRUE),"")</f>
        <v>0</v>
      </c>
      <c r="C313" s="6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76" t="str">
        <f t="shared" si="4"/>
        <v/>
      </c>
      <c r="E3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4" spans="1:28">
      <c r="A314" s="109">
        <f>名前リスト[[#This Row],[管理番号]]</f>
        <v>1057</v>
      </c>
      <c r="B314" s="6">
        <f>IF(NOT(まとめ表_各Aパターン件数[[#This Row],[管理番号]]=""),VLOOKUP(まとめ表_各Aパターン件数[[#This Row],[管理番号]],名前リスト[[#All],[管理番号]:[氏名]],2,TRUE),"")</f>
        <v>0</v>
      </c>
      <c r="C314" s="6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76" t="str">
        <f t="shared" si="4"/>
        <v/>
      </c>
      <c r="E3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5" spans="1:28">
      <c r="A315" s="109">
        <f>名前リスト[[#This Row],[管理番号]]</f>
        <v>1058</v>
      </c>
      <c r="B315" s="6">
        <f>IF(NOT(まとめ表_各Aパターン件数[[#This Row],[管理番号]]=""),VLOOKUP(まとめ表_各Aパターン件数[[#This Row],[管理番号]],名前リスト[[#All],[管理番号]:[氏名]],2,TRUE),"")</f>
        <v>0</v>
      </c>
      <c r="C315" s="6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76" t="str">
        <f t="shared" si="4"/>
        <v/>
      </c>
      <c r="E3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6" spans="1:28">
      <c r="A316" s="109">
        <f>名前リスト[[#This Row],[管理番号]]</f>
        <v>1059</v>
      </c>
      <c r="B316" s="6">
        <f>IF(NOT(まとめ表_各Aパターン件数[[#This Row],[管理番号]]=""),VLOOKUP(まとめ表_各Aパターン件数[[#This Row],[管理番号]],名前リスト[[#All],[管理番号]:[氏名]],2,TRUE),"")</f>
        <v>0</v>
      </c>
      <c r="C316" s="6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76" t="str">
        <f t="shared" si="4"/>
        <v/>
      </c>
      <c r="E3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7" spans="1:28">
      <c r="A317" s="109">
        <f>名前リスト[[#This Row],[管理番号]]</f>
        <v>1060</v>
      </c>
      <c r="B317" s="6">
        <f>IF(NOT(まとめ表_各Aパターン件数[[#This Row],[管理番号]]=""),VLOOKUP(まとめ表_各Aパターン件数[[#This Row],[管理番号]],名前リスト[[#All],[管理番号]:[氏名]],2,TRUE),"")</f>
        <v>0</v>
      </c>
      <c r="C317" s="6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76" t="str">
        <f t="shared" si="4"/>
        <v/>
      </c>
      <c r="E3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8" spans="1:28">
      <c r="A318" s="109">
        <f>名前リスト[[#This Row],[管理番号]]</f>
        <v>1061</v>
      </c>
      <c r="B318" s="6">
        <f>IF(NOT(まとめ表_各Aパターン件数[[#This Row],[管理番号]]=""),VLOOKUP(まとめ表_各Aパターン件数[[#This Row],[管理番号]],名前リスト[[#All],[管理番号]:[氏名]],2,TRUE),"")</f>
        <v>0</v>
      </c>
      <c r="C318" s="6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76" t="str">
        <f t="shared" si="4"/>
        <v/>
      </c>
      <c r="E3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9" spans="1:28">
      <c r="A319" s="109">
        <f>名前リスト[[#This Row],[管理番号]]</f>
        <v>1062</v>
      </c>
      <c r="B319" s="6">
        <f>IF(NOT(まとめ表_各Aパターン件数[[#This Row],[管理番号]]=""),VLOOKUP(まとめ表_各Aパターン件数[[#This Row],[管理番号]],名前リスト[[#All],[管理番号]:[氏名]],2,TRUE),"")</f>
        <v>0</v>
      </c>
      <c r="C319" s="6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76" t="str">
        <f t="shared" si="4"/>
        <v/>
      </c>
      <c r="E3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0" spans="1:28">
      <c r="A320" s="109">
        <f>名前リスト[[#This Row],[管理番号]]</f>
        <v>1063</v>
      </c>
      <c r="B320" s="6">
        <f>IF(NOT(まとめ表_各Aパターン件数[[#This Row],[管理番号]]=""),VLOOKUP(まとめ表_各Aパターン件数[[#This Row],[管理番号]],名前リスト[[#All],[管理番号]:[氏名]],2,TRUE),"")</f>
        <v>0</v>
      </c>
      <c r="C320" s="6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76" t="str">
        <f t="shared" si="4"/>
        <v/>
      </c>
      <c r="E3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1" spans="1:28">
      <c r="A321" s="109">
        <f>名前リスト[[#This Row],[管理番号]]</f>
        <v>1064</v>
      </c>
      <c r="B321" s="6">
        <f>IF(NOT(まとめ表_各Aパターン件数[[#This Row],[管理番号]]=""),VLOOKUP(まとめ表_各Aパターン件数[[#This Row],[管理番号]],名前リスト[[#All],[管理番号]:[氏名]],2,TRUE),"")</f>
        <v>0</v>
      </c>
      <c r="C321" s="6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76" t="str">
        <f t="shared" si="4"/>
        <v/>
      </c>
      <c r="E3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2" spans="1:28">
      <c r="A322" s="109">
        <f>名前リスト[[#This Row],[管理番号]]</f>
        <v>1065</v>
      </c>
      <c r="B322" s="6">
        <f>IF(NOT(まとめ表_各Aパターン件数[[#This Row],[管理番号]]=""),VLOOKUP(まとめ表_各Aパターン件数[[#This Row],[管理番号]],名前リスト[[#All],[管理番号]:[氏名]],2,TRUE),"")</f>
        <v>0</v>
      </c>
      <c r="C322" s="6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76" t="str">
        <f t="shared" ref="D322:D351" si="5">IF(SUM(E322:XFD322)=0,"",SUM(E322:XFD322))</f>
        <v/>
      </c>
      <c r="E3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3" spans="1:28">
      <c r="A323" s="109">
        <f>名前リスト[[#This Row],[管理番号]]</f>
        <v>1066</v>
      </c>
      <c r="B323" s="6">
        <f>IF(NOT(まとめ表_各Aパターン件数[[#This Row],[管理番号]]=""),VLOOKUP(まとめ表_各Aパターン件数[[#This Row],[管理番号]],名前リスト[[#All],[管理番号]:[氏名]],2,TRUE),"")</f>
        <v>0</v>
      </c>
      <c r="C323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76" t="str">
        <f t="shared" si="5"/>
        <v/>
      </c>
      <c r="E3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4" spans="1:28">
      <c r="A324" s="109">
        <f>名前リスト[[#This Row],[管理番号]]</f>
        <v>1067</v>
      </c>
      <c r="B324" s="6">
        <f>IF(NOT(まとめ表_各Aパターン件数[[#This Row],[管理番号]]=""),VLOOKUP(まとめ表_各Aパターン件数[[#This Row],[管理番号]],名前リスト[[#All],[管理番号]:[氏名]],2,TRUE),"")</f>
        <v>0</v>
      </c>
      <c r="C324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76" t="str">
        <f t="shared" si="5"/>
        <v/>
      </c>
      <c r="E3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5" spans="1:28">
      <c r="A325" s="109">
        <f>名前リスト[[#This Row],[管理番号]]</f>
        <v>1068</v>
      </c>
      <c r="B325" s="6">
        <f>IF(NOT(まとめ表_各Aパターン件数[[#This Row],[管理番号]]=""),VLOOKUP(まとめ表_各Aパターン件数[[#This Row],[管理番号]],名前リスト[[#All],[管理番号]:[氏名]],2,TRUE),"")</f>
        <v>0</v>
      </c>
      <c r="C325" s="6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76" t="str">
        <f t="shared" si="5"/>
        <v/>
      </c>
      <c r="E3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6" spans="1:28">
      <c r="A326" s="109">
        <f>名前リスト[[#This Row],[管理番号]]</f>
        <v>1069</v>
      </c>
      <c r="B326" s="6">
        <f>IF(NOT(まとめ表_各Aパターン件数[[#This Row],[管理番号]]=""),VLOOKUP(まとめ表_各Aパターン件数[[#This Row],[管理番号]],名前リスト[[#All],[管理番号]:[氏名]],2,TRUE),"")</f>
        <v>0</v>
      </c>
      <c r="C326" s="6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76" t="str">
        <f t="shared" si="5"/>
        <v/>
      </c>
      <c r="E3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7" spans="1:28">
      <c r="A327" s="109">
        <f>名前リスト[[#This Row],[管理番号]]</f>
        <v>1070</v>
      </c>
      <c r="B327" s="6">
        <f>IF(NOT(まとめ表_各Aパターン件数[[#This Row],[管理番号]]=""),VLOOKUP(まとめ表_各Aパターン件数[[#This Row],[管理番号]],名前リスト[[#All],[管理番号]:[氏名]],2,TRUE),"")</f>
        <v>0</v>
      </c>
      <c r="C327" s="6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76" t="str">
        <f t="shared" si="5"/>
        <v/>
      </c>
      <c r="E3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8" spans="1:28">
      <c r="A328" s="109">
        <f>名前リスト[[#This Row],[管理番号]]</f>
        <v>1071</v>
      </c>
      <c r="B328" s="6">
        <f>IF(NOT(まとめ表_各Aパターン件数[[#This Row],[管理番号]]=""),VLOOKUP(まとめ表_各Aパターン件数[[#This Row],[管理番号]],名前リスト[[#All],[管理番号]:[氏名]],2,TRUE),"")</f>
        <v>0</v>
      </c>
      <c r="C328" s="6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76" t="str">
        <f t="shared" si="5"/>
        <v/>
      </c>
      <c r="E3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9" spans="1:28">
      <c r="A329" s="109">
        <f>名前リスト[[#This Row],[管理番号]]</f>
        <v>1072</v>
      </c>
      <c r="B329" s="6">
        <f>IF(NOT(まとめ表_各Aパターン件数[[#This Row],[管理番号]]=""),VLOOKUP(まとめ表_各Aパターン件数[[#This Row],[管理番号]],名前リスト[[#All],[管理番号]:[氏名]],2,TRUE),"")</f>
        <v>0</v>
      </c>
      <c r="C329" s="6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76" t="str">
        <f t="shared" si="5"/>
        <v/>
      </c>
      <c r="E3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0" spans="1:28">
      <c r="A330" s="109">
        <f>名前リスト[[#This Row],[管理番号]]</f>
        <v>1073</v>
      </c>
      <c r="B330" s="6">
        <f>IF(NOT(まとめ表_各Aパターン件数[[#This Row],[管理番号]]=""),VLOOKUP(まとめ表_各Aパターン件数[[#This Row],[管理番号]],名前リスト[[#All],[管理番号]:[氏名]],2,TRUE),"")</f>
        <v>0</v>
      </c>
      <c r="C330" s="6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76" t="str">
        <f t="shared" si="5"/>
        <v/>
      </c>
      <c r="E3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1" spans="1:28">
      <c r="A331" s="109">
        <f>名前リスト[[#This Row],[管理番号]]</f>
        <v>1074</v>
      </c>
      <c r="B331" s="6">
        <f>IF(NOT(まとめ表_各Aパターン件数[[#This Row],[管理番号]]=""),VLOOKUP(まとめ表_各Aパターン件数[[#This Row],[管理番号]],名前リスト[[#All],[管理番号]:[氏名]],2,TRUE),"")</f>
        <v>0</v>
      </c>
      <c r="C331" s="6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76" t="str">
        <f t="shared" si="5"/>
        <v/>
      </c>
      <c r="E3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2" spans="1:28">
      <c r="A332" s="109">
        <f>名前リスト[[#This Row],[管理番号]]</f>
        <v>1075</v>
      </c>
      <c r="B332" s="6">
        <f>IF(NOT(まとめ表_各Aパターン件数[[#This Row],[管理番号]]=""),VLOOKUP(まとめ表_各Aパターン件数[[#This Row],[管理番号]],名前リスト[[#All],[管理番号]:[氏名]],2,TRUE),"")</f>
        <v>0</v>
      </c>
      <c r="C332" s="6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76" t="str">
        <f t="shared" si="5"/>
        <v/>
      </c>
      <c r="E3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3" spans="1:28">
      <c r="A333" s="109">
        <f>名前リスト[[#This Row],[管理番号]]</f>
        <v>1076</v>
      </c>
      <c r="B333" s="6">
        <f>IF(NOT(まとめ表_各Aパターン件数[[#This Row],[管理番号]]=""),VLOOKUP(まとめ表_各Aパターン件数[[#This Row],[管理番号]],名前リスト[[#All],[管理番号]:[氏名]],2,TRUE),"")</f>
        <v>0</v>
      </c>
      <c r="C333" s="6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76" t="str">
        <f t="shared" si="5"/>
        <v/>
      </c>
      <c r="E3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4" spans="1:28">
      <c r="A334" s="109">
        <f>名前リスト[[#This Row],[管理番号]]</f>
        <v>1077</v>
      </c>
      <c r="B334" s="6">
        <f>IF(NOT(まとめ表_各Aパターン件数[[#This Row],[管理番号]]=""),VLOOKUP(まとめ表_各Aパターン件数[[#This Row],[管理番号]],名前リスト[[#All],[管理番号]:[氏名]],2,TRUE),"")</f>
        <v>0</v>
      </c>
      <c r="C334" s="6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76" t="str">
        <f t="shared" si="5"/>
        <v/>
      </c>
      <c r="E3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5" spans="1:28">
      <c r="A335" s="109">
        <f>名前リスト[[#This Row],[管理番号]]</f>
        <v>1078</v>
      </c>
      <c r="B335" s="6">
        <f>IF(NOT(まとめ表_各Aパターン件数[[#This Row],[管理番号]]=""),VLOOKUP(まとめ表_各Aパターン件数[[#This Row],[管理番号]],名前リスト[[#All],[管理番号]:[氏名]],2,TRUE),"")</f>
        <v>0</v>
      </c>
      <c r="C335" s="6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76" t="str">
        <f t="shared" si="5"/>
        <v/>
      </c>
      <c r="E3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6" spans="1:28">
      <c r="A336" s="109">
        <f>名前リスト[[#This Row],[管理番号]]</f>
        <v>1079</v>
      </c>
      <c r="B336" s="6">
        <f>IF(NOT(まとめ表_各Aパターン件数[[#This Row],[管理番号]]=""),VLOOKUP(まとめ表_各Aパターン件数[[#This Row],[管理番号]],名前リスト[[#All],[管理番号]:[氏名]],2,TRUE),"")</f>
        <v>0</v>
      </c>
      <c r="C336" s="6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76" t="str">
        <f t="shared" si="5"/>
        <v/>
      </c>
      <c r="E3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7" spans="1:28">
      <c r="A337" s="109">
        <f>名前リスト[[#This Row],[管理番号]]</f>
        <v>1080</v>
      </c>
      <c r="B337" s="6">
        <f>IF(NOT(まとめ表_各Aパターン件数[[#This Row],[管理番号]]=""),VLOOKUP(まとめ表_各Aパターン件数[[#This Row],[管理番号]],名前リスト[[#All],[管理番号]:[氏名]],2,TRUE),"")</f>
        <v>0</v>
      </c>
      <c r="C337" s="6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76" t="str">
        <f t="shared" si="5"/>
        <v/>
      </c>
      <c r="E3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8" spans="1:28">
      <c r="A338" s="109">
        <f>名前リスト[[#This Row],[管理番号]]</f>
        <v>1081</v>
      </c>
      <c r="B338" s="6">
        <f>IF(NOT(まとめ表_各Aパターン件数[[#This Row],[管理番号]]=""),VLOOKUP(まとめ表_各Aパターン件数[[#This Row],[管理番号]],名前リスト[[#All],[管理番号]:[氏名]],2,TRUE),"")</f>
        <v>0</v>
      </c>
      <c r="C338" s="6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76" t="str">
        <f t="shared" si="5"/>
        <v/>
      </c>
      <c r="E3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9" spans="1:28">
      <c r="A339" s="109">
        <f>名前リスト[[#This Row],[管理番号]]</f>
        <v>1082</v>
      </c>
      <c r="B339" s="6">
        <f>IF(NOT(まとめ表_各Aパターン件数[[#This Row],[管理番号]]=""),VLOOKUP(まとめ表_各Aパターン件数[[#This Row],[管理番号]],名前リスト[[#All],[管理番号]:[氏名]],2,TRUE),"")</f>
        <v>0</v>
      </c>
      <c r="C339" s="6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76" t="str">
        <f t="shared" si="5"/>
        <v/>
      </c>
      <c r="E3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0" spans="1:28">
      <c r="A340" s="109">
        <f>名前リスト[[#This Row],[管理番号]]</f>
        <v>1083</v>
      </c>
      <c r="B340" s="6">
        <f>IF(NOT(まとめ表_各Aパターン件数[[#This Row],[管理番号]]=""),VLOOKUP(まとめ表_各Aパターン件数[[#This Row],[管理番号]],名前リスト[[#All],[管理番号]:[氏名]],2,TRUE),"")</f>
        <v>0</v>
      </c>
      <c r="C340" s="6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76" t="str">
        <f t="shared" si="5"/>
        <v/>
      </c>
      <c r="E3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1" spans="1:28">
      <c r="A341" s="109">
        <f>名前リスト[[#This Row],[管理番号]]</f>
        <v>1084</v>
      </c>
      <c r="B341" s="6">
        <f>IF(NOT(まとめ表_各Aパターン件数[[#This Row],[管理番号]]=""),VLOOKUP(まとめ表_各Aパターン件数[[#This Row],[管理番号]],名前リスト[[#All],[管理番号]:[氏名]],2,TRUE),"")</f>
        <v>0</v>
      </c>
      <c r="C341" s="6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76" t="str">
        <f t="shared" si="5"/>
        <v/>
      </c>
      <c r="E3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2" spans="1:28">
      <c r="A342" s="109">
        <f>名前リスト[[#This Row],[管理番号]]</f>
        <v>1085</v>
      </c>
      <c r="B342" s="6">
        <f>IF(NOT(まとめ表_各Aパターン件数[[#This Row],[管理番号]]=""),VLOOKUP(まとめ表_各Aパターン件数[[#This Row],[管理番号]],名前リスト[[#All],[管理番号]:[氏名]],2,TRUE),"")</f>
        <v>0</v>
      </c>
      <c r="C342" s="6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76" t="str">
        <f t="shared" si="5"/>
        <v/>
      </c>
      <c r="E3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3" spans="1:28">
      <c r="A343" s="109">
        <f>名前リスト[[#This Row],[管理番号]]</f>
        <v>1086</v>
      </c>
      <c r="B343" s="6">
        <f>IF(NOT(まとめ表_各Aパターン件数[[#This Row],[管理番号]]=""),VLOOKUP(まとめ表_各Aパターン件数[[#This Row],[管理番号]],名前リスト[[#All],[管理番号]:[氏名]],2,TRUE),"")</f>
        <v>0</v>
      </c>
      <c r="C343" s="6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76" t="str">
        <f t="shared" si="5"/>
        <v/>
      </c>
      <c r="E3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4" spans="1:28">
      <c r="A344" s="109">
        <f>名前リスト[[#This Row],[管理番号]]</f>
        <v>1087</v>
      </c>
      <c r="B344" s="6">
        <f>IF(NOT(まとめ表_各Aパターン件数[[#This Row],[管理番号]]=""),VLOOKUP(まとめ表_各Aパターン件数[[#This Row],[管理番号]],名前リスト[[#All],[管理番号]:[氏名]],2,TRUE),"")</f>
        <v>0</v>
      </c>
      <c r="C344" s="6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76" t="str">
        <f t="shared" si="5"/>
        <v/>
      </c>
      <c r="E3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5" spans="1:28">
      <c r="A345" s="109">
        <f>名前リスト[[#This Row],[管理番号]]</f>
        <v>1088</v>
      </c>
      <c r="B345" s="6">
        <f>IF(NOT(まとめ表_各Aパターン件数[[#This Row],[管理番号]]=""),VLOOKUP(まとめ表_各Aパターン件数[[#This Row],[管理番号]],名前リスト[[#All],[管理番号]:[氏名]],2,TRUE),"")</f>
        <v>0</v>
      </c>
      <c r="C345" s="6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76" t="str">
        <f t="shared" si="5"/>
        <v/>
      </c>
      <c r="E3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6" spans="1:28">
      <c r="A346" s="109">
        <f>名前リスト[[#This Row],[管理番号]]</f>
        <v>1089</v>
      </c>
      <c r="B346" s="6">
        <f>IF(NOT(まとめ表_各Aパターン件数[[#This Row],[管理番号]]=""),VLOOKUP(まとめ表_各Aパターン件数[[#This Row],[管理番号]],名前リスト[[#All],[管理番号]:[氏名]],2,TRUE),"")</f>
        <v>0</v>
      </c>
      <c r="C346" s="6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76" t="str">
        <f t="shared" si="5"/>
        <v/>
      </c>
      <c r="E3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7" spans="1:28">
      <c r="A347" s="109">
        <f>名前リスト[[#This Row],[管理番号]]</f>
        <v>1090</v>
      </c>
      <c r="B347" s="6">
        <f>IF(NOT(まとめ表_各Aパターン件数[[#This Row],[管理番号]]=""),VLOOKUP(まとめ表_各Aパターン件数[[#This Row],[管理番号]],名前リスト[[#All],[管理番号]:[氏名]],2,TRUE),"")</f>
        <v>0</v>
      </c>
      <c r="C347" s="6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76" t="str">
        <f t="shared" si="5"/>
        <v/>
      </c>
      <c r="E3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8" spans="1:28">
      <c r="A348" s="109">
        <f>名前リスト[[#This Row],[管理番号]]</f>
        <v>1091</v>
      </c>
      <c r="B348" s="6">
        <f>IF(NOT(まとめ表_各Aパターン件数[[#This Row],[管理番号]]=""),VLOOKUP(まとめ表_各Aパターン件数[[#This Row],[管理番号]],名前リスト[[#All],[管理番号]:[氏名]],2,TRUE),"")</f>
        <v>0</v>
      </c>
      <c r="C348" s="6">
        <f>IF(NOT(まとめ表_各Aパターン件数[[#This Row],[管理番号]]=""),VLOOKUP(まとめ表_各Aパターン件数[[#This Row],[管理番号]],名前リスト[[#All],[管理番号]:[氏名]],3,TRUE),"")</f>
        <v>0</v>
      </c>
      <c r="D348" s="76" t="str">
        <f t="shared" si="5"/>
        <v/>
      </c>
      <c r="E3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9" spans="1:28">
      <c r="A349" s="109">
        <f>名前リスト[[#This Row],[管理番号]]</f>
        <v>1092</v>
      </c>
      <c r="B349" s="6">
        <f>IF(NOT(まとめ表_各Aパターン件数[[#This Row],[管理番号]]=""),VLOOKUP(まとめ表_各Aパターン件数[[#This Row],[管理番号]],名前リスト[[#All],[管理番号]:[氏名]],2,TRUE),"")</f>
        <v>0</v>
      </c>
      <c r="C349" s="6">
        <f>IF(NOT(まとめ表_各Aパターン件数[[#This Row],[管理番号]]=""),VLOOKUP(まとめ表_各Aパターン件数[[#This Row],[管理番号]],名前リスト[[#All],[管理番号]:[氏名]],3,TRUE),"")</f>
        <v>0</v>
      </c>
      <c r="D349" s="76" t="str">
        <f t="shared" si="5"/>
        <v/>
      </c>
      <c r="E3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0" spans="1:28">
      <c r="A350" s="109">
        <f>名前リスト[[#This Row],[管理番号]]</f>
        <v>1093</v>
      </c>
      <c r="B350" s="6">
        <f>IF(NOT(まとめ表_各Aパターン件数[[#This Row],[管理番号]]=""),VLOOKUP(まとめ表_各Aパターン件数[[#This Row],[管理番号]],名前リスト[[#All],[管理番号]:[氏名]],2,TRUE),"")</f>
        <v>0</v>
      </c>
      <c r="C350" s="6">
        <f>IF(NOT(まとめ表_各Aパターン件数[[#This Row],[管理番号]]=""),VLOOKUP(まとめ表_各Aパターン件数[[#This Row],[管理番号]],名前リスト[[#All],[管理番号]:[氏名]],3,TRUE),"")</f>
        <v>0</v>
      </c>
      <c r="D350" s="76" t="str">
        <f t="shared" si="5"/>
        <v/>
      </c>
      <c r="E3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1" spans="1:28">
      <c r="A351" s="109">
        <f>名前リスト[[#This Row],[管理番号]]</f>
        <v>1094</v>
      </c>
      <c r="B351" s="6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6">
        <f>IF(NOT(まとめ表_各Aパターン件数[[#This Row],[管理番号]]=""),VLOOKUP(まとめ表_各Aパターン件数[[#This Row],[管理番号]],名前リスト[[#All],[管理番号]:[氏名]],3,TRUE),"")</f>
        <v>0</v>
      </c>
      <c r="D351" s="76" t="str">
        <f t="shared" si="5"/>
        <v/>
      </c>
      <c r="E3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3515625" defaultRowHeight="20"/>
  <cols>
    <col min="1" max="1" width="10.765625" style="8" bestFit="1" customWidth="1"/>
    <col min="2" max="3" width="22.3046875" style="8" bestFit="1" customWidth="1"/>
    <col min="4" max="4" width="18.07421875" style="8" customWidth="1"/>
    <col min="5" max="5" width="10.765625" style="9" bestFit="1" customWidth="1"/>
    <col min="6" max="6" width="12.69140625" style="9" bestFit="1" customWidth="1"/>
    <col min="7" max="7" width="12.3046875" style="9" customWidth="1"/>
    <col min="8" max="8" width="18.69140625" style="9" bestFit="1" customWidth="1"/>
    <col min="9" max="9" width="20.53515625" style="9" bestFit="1" customWidth="1"/>
    <col min="10" max="10" width="20.53515625" style="9" customWidth="1"/>
    <col min="11" max="11" width="12.3046875" style="9" customWidth="1"/>
    <col min="12" max="12" width="12.4609375" style="9" customWidth="1"/>
    <col min="13" max="13" width="13.69140625" style="8" customWidth="1"/>
    <col min="14" max="14" width="13.53515625" style="8" customWidth="1"/>
    <col min="15" max="15" width="14.53515625" style="8" bestFit="1" customWidth="1"/>
    <col min="16" max="16" width="8.765625" style="8" bestFit="1" customWidth="1"/>
    <col min="17" max="17" width="7.3046875" style="8" bestFit="1" customWidth="1"/>
    <col min="18" max="18" width="10.765625" style="8" bestFit="1" customWidth="1"/>
    <col min="19" max="19" width="10.765625" style="8" customWidth="1"/>
    <col min="20" max="16384" width="11.53515625" style="8"/>
  </cols>
  <sheetData>
    <row r="1" spans="1:28" ht="25" customHeight="1">
      <c r="A1" s="77" t="s">
        <v>234</v>
      </c>
      <c r="B1" s="11" t="s">
        <v>197</v>
      </c>
      <c r="C1" s="12" t="s">
        <v>198</v>
      </c>
      <c r="D1" s="78" t="s">
        <v>328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8" t="s">
        <v>520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79" t="str">
        <f t="shared" ref="D2:D65" si="0">IF(SUM(E2:XFD2)=0,"",SUM(E2:XFD2))</f>
        <v/>
      </c>
      <c r="E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79">
        <f t="shared" si="0"/>
        <v>5000</v>
      </c>
      <c r="E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5000</v>
      </c>
      <c r="U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79" t="str">
        <f t="shared" si="0"/>
        <v/>
      </c>
      <c r="E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79" t="str">
        <f t="shared" si="0"/>
        <v/>
      </c>
      <c r="E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79" t="str">
        <f t="shared" si="0"/>
        <v/>
      </c>
      <c r="E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79" t="str">
        <f t="shared" si="0"/>
        <v/>
      </c>
      <c r="E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79" t="str">
        <f t="shared" si="0"/>
        <v/>
      </c>
      <c r="E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79">
        <f t="shared" si="0"/>
        <v>9000</v>
      </c>
      <c r="E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9000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79" t="str">
        <f t="shared" si="0"/>
        <v/>
      </c>
      <c r="E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79" t="str">
        <f t="shared" si="0"/>
        <v/>
      </c>
      <c r="E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79" t="str">
        <f t="shared" si="0"/>
        <v/>
      </c>
      <c r="E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79" t="str">
        <f t="shared" si="0"/>
        <v/>
      </c>
      <c r="E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79" t="str">
        <f t="shared" si="0"/>
        <v/>
      </c>
      <c r="E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79" t="str">
        <f t="shared" si="0"/>
        <v/>
      </c>
      <c r="E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79" t="str">
        <f t="shared" si="0"/>
        <v/>
      </c>
      <c r="E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79" t="str">
        <f t="shared" si="0"/>
        <v/>
      </c>
      <c r="E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79" t="str">
        <f t="shared" si="0"/>
        <v/>
      </c>
      <c r="E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79" t="str">
        <f t="shared" si="0"/>
        <v/>
      </c>
      <c r="E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79" t="str">
        <f t="shared" si="0"/>
        <v/>
      </c>
      <c r="E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79" t="str">
        <f t="shared" si="0"/>
        <v/>
      </c>
      <c r="E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79" t="str">
        <f t="shared" si="0"/>
        <v/>
      </c>
      <c r="E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79" t="str">
        <f t="shared" si="0"/>
        <v/>
      </c>
      <c r="E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79" t="str">
        <f t="shared" si="0"/>
        <v/>
      </c>
      <c r="E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79" t="str">
        <f t="shared" si="0"/>
        <v/>
      </c>
      <c r="E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79" t="str">
        <f t="shared" si="0"/>
        <v/>
      </c>
      <c r="E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79" t="str">
        <f t="shared" si="0"/>
        <v/>
      </c>
      <c r="E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79" t="str">
        <f t="shared" si="0"/>
        <v/>
      </c>
      <c r="E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79" t="str">
        <f t="shared" si="0"/>
        <v/>
      </c>
      <c r="E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79" t="str">
        <f t="shared" si="0"/>
        <v/>
      </c>
      <c r="E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79" t="str">
        <f t="shared" si="0"/>
        <v/>
      </c>
      <c r="E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79" t="str">
        <f t="shared" si="0"/>
        <v/>
      </c>
      <c r="E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79" t="str">
        <f t="shared" si="0"/>
        <v/>
      </c>
      <c r="E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79" t="str">
        <f t="shared" ref="D66:D129" si="1">IF(SUM(E66:XFD66)=0,"",SUM(E66:XFD66))</f>
        <v/>
      </c>
      <c r="E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79" t="str">
        <f t="shared" si="1"/>
        <v/>
      </c>
      <c r="E1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79" t="str">
        <f t="shared" si="1"/>
        <v/>
      </c>
      <c r="E1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79" t="str">
        <f t="shared" si="1"/>
        <v/>
      </c>
      <c r="E1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79" t="str">
        <f t="shared" si="1"/>
        <v/>
      </c>
      <c r="E1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79" t="str">
        <f t="shared" si="1"/>
        <v/>
      </c>
      <c r="E1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79" t="str">
        <f t="shared" si="1"/>
        <v/>
      </c>
      <c r="E1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79" t="str">
        <f t="shared" si="1"/>
        <v/>
      </c>
      <c r="E1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79" t="str">
        <f t="shared" si="1"/>
        <v/>
      </c>
      <c r="E10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79" t="str">
        <f t="shared" si="1"/>
        <v/>
      </c>
      <c r="E10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79" t="str">
        <f t="shared" si="1"/>
        <v/>
      </c>
      <c r="E1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79" t="str">
        <f t="shared" si="1"/>
        <v/>
      </c>
      <c r="E1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79" t="str">
        <f t="shared" si="1"/>
        <v/>
      </c>
      <c r="E1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79" t="str">
        <f t="shared" si="1"/>
        <v/>
      </c>
      <c r="E1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79" t="str">
        <f t="shared" si="1"/>
        <v/>
      </c>
      <c r="E1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79" t="str">
        <f t="shared" si="1"/>
        <v/>
      </c>
      <c r="E1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79" t="str">
        <f t="shared" si="1"/>
        <v/>
      </c>
      <c r="E1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79" t="str">
        <f t="shared" si="1"/>
        <v/>
      </c>
      <c r="E1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79" t="str">
        <f t="shared" si="1"/>
        <v/>
      </c>
      <c r="E1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79" t="str">
        <f t="shared" si="1"/>
        <v/>
      </c>
      <c r="E1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79" t="str">
        <f t="shared" si="1"/>
        <v/>
      </c>
      <c r="E1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79" t="str">
        <f t="shared" si="1"/>
        <v/>
      </c>
      <c r="E1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79" t="str">
        <f t="shared" si="1"/>
        <v/>
      </c>
      <c r="E1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79" t="str">
        <f t="shared" si="1"/>
        <v/>
      </c>
      <c r="E1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79" t="str">
        <f t="shared" si="1"/>
        <v/>
      </c>
      <c r="E1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79" t="str">
        <f t="shared" si="1"/>
        <v/>
      </c>
      <c r="E1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79" t="str">
        <f t="shared" si="1"/>
        <v/>
      </c>
      <c r="E1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79" t="str">
        <f t="shared" si="1"/>
        <v/>
      </c>
      <c r="E1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79" t="str">
        <f t="shared" si="1"/>
        <v/>
      </c>
      <c r="E1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79" t="str">
        <f t="shared" si="1"/>
        <v/>
      </c>
      <c r="E1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79" t="str">
        <f t="shared" ref="D130:D193" si="2">IF(SUM(E130:XFD130)=0,"",SUM(E130:XFD130))</f>
        <v/>
      </c>
      <c r="E1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79" t="str">
        <f t="shared" si="2"/>
        <v/>
      </c>
      <c r="E1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79" t="str">
        <f t="shared" si="2"/>
        <v/>
      </c>
      <c r="E1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79" t="str">
        <f t="shared" si="2"/>
        <v/>
      </c>
      <c r="E1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79" t="str">
        <f t="shared" si="2"/>
        <v/>
      </c>
      <c r="E1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79" t="str">
        <f t="shared" si="2"/>
        <v/>
      </c>
      <c r="E1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79" t="str">
        <f t="shared" si="2"/>
        <v/>
      </c>
      <c r="E1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79" t="str">
        <f t="shared" si="2"/>
        <v/>
      </c>
      <c r="E1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79" t="str">
        <f t="shared" si="2"/>
        <v/>
      </c>
      <c r="E1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79" t="str">
        <f t="shared" si="2"/>
        <v/>
      </c>
      <c r="E1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79" t="str">
        <f t="shared" si="2"/>
        <v/>
      </c>
      <c r="E1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79" t="str">
        <f t="shared" si="2"/>
        <v/>
      </c>
      <c r="E1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79" t="str">
        <f t="shared" si="2"/>
        <v/>
      </c>
      <c r="E1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79" t="str">
        <f t="shared" si="2"/>
        <v/>
      </c>
      <c r="E1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79" t="str">
        <f t="shared" si="2"/>
        <v/>
      </c>
      <c r="E1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79" t="str">
        <f t="shared" si="2"/>
        <v/>
      </c>
      <c r="E1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79" t="str">
        <f t="shared" si="2"/>
        <v/>
      </c>
      <c r="E1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79" t="str">
        <f t="shared" si="2"/>
        <v/>
      </c>
      <c r="E1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79" t="str">
        <f t="shared" si="2"/>
        <v/>
      </c>
      <c r="E1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79" t="str">
        <f t="shared" si="2"/>
        <v/>
      </c>
      <c r="E1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79" t="str">
        <f t="shared" si="2"/>
        <v/>
      </c>
      <c r="E1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79" t="str">
        <f t="shared" si="2"/>
        <v/>
      </c>
      <c r="E1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79" t="str">
        <f t="shared" si="2"/>
        <v/>
      </c>
      <c r="E1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79" t="str">
        <f t="shared" si="2"/>
        <v/>
      </c>
      <c r="E1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79" t="str">
        <f t="shared" si="2"/>
        <v/>
      </c>
      <c r="E1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79" t="str">
        <f t="shared" si="2"/>
        <v/>
      </c>
      <c r="E1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79" t="str">
        <f t="shared" si="2"/>
        <v/>
      </c>
      <c r="E1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79" t="str">
        <f t="shared" si="2"/>
        <v/>
      </c>
      <c r="E1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79" t="str">
        <f t="shared" si="2"/>
        <v/>
      </c>
      <c r="E1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79" t="str">
        <f t="shared" si="2"/>
        <v/>
      </c>
      <c r="E1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1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79" t="str">
        <f t="shared" ref="D194:D257" si="3">IF(SUM(E194:XFD194)=0,"",SUM(E194:XFD194))</f>
        <v/>
      </c>
      <c r="E1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1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1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82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82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82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82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82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82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82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59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59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59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59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59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59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59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59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59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59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59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59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59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59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1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79" t="str">
        <f t="shared" si="3"/>
        <v/>
      </c>
      <c r="E2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1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79" t="str">
        <f t="shared" si="3"/>
        <v/>
      </c>
      <c r="E2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1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79" t="str">
        <f t="shared" si="3"/>
        <v/>
      </c>
      <c r="E2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1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79" t="str">
        <f t="shared" si="3"/>
        <v/>
      </c>
      <c r="E208" s="48"/>
      <c r="F2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1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79" t="str">
        <f t="shared" si="3"/>
        <v/>
      </c>
      <c r="E209" s="48"/>
      <c r="F2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1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79" t="str">
        <f t="shared" si="3"/>
        <v/>
      </c>
      <c r="E210" s="48"/>
      <c r="F2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1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79" t="str">
        <f t="shared" si="3"/>
        <v/>
      </c>
      <c r="E211" s="48"/>
      <c r="F2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1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79" t="str">
        <f t="shared" si="3"/>
        <v/>
      </c>
      <c r="E212" s="48"/>
      <c r="F2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1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79" t="str">
        <f t="shared" si="3"/>
        <v/>
      </c>
      <c r="E213" s="48"/>
      <c r="F2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1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79" t="str">
        <f t="shared" si="3"/>
        <v/>
      </c>
      <c r="E214" s="48"/>
      <c r="F2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1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79" t="str">
        <f t="shared" si="3"/>
        <v/>
      </c>
      <c r="E215" s="48"/>
      <c r="F2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1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79" t="str">
        <f t="shared" si="3"/>
        <v/>
      </c>
      <c r="E216" s="48"/>
      <c r="F2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1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79" t="str">
        <f t="shared" si="3"/>
        <v/>
      </c>
      <c r="E217" s="48"/>
      <c r="F2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1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79" t="str">
        <f t="shared" si="3"/>
        <v/>
      </c>
      <c r="E218" s="48"/>
      <c r="F2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1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79" t="str">
        <f t="shared" si="3"/>
        <v/>
      </c>
      <c r="E219" s="48"/>
      <c r="F2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6">
        <f>IF(NOT(まとめ表_バック金額[[#This Row],[管理番号]]=""),VLOOKUP(まとめ表_バック金額[[#This Row],[管理番号]],名前リスト[[#All],[管理番号]:[氏名]],2,TRUE),"")</f>
        <v>0</v>
      </c>
      <c r="C220" s="21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79" t="str">
        <f t="shared" si="3"/>
        <v/>
      </c>
      <c r="E220" s="48"/>
      <c r="F2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6">
        <f>IF(NOT(まとめ表_バック金額[[#This Row],[管理番号]]=""),VLOOKUP(まとめ表_バック金額[[#This Row],[管理番号]],名前リスト[[#All],[管理番号]:[氏名]],2,TRUE),"")</f>
        <v>0</v>
      </c>
      <c r="C221" s="21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79" t="str">
        <f t="shared" si="3"/>
        <v/>
      </c>
      <c r="E221" s="48"/>
      <c r="F2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6">
        <f>IF(NOT(まとめ表_バック金額[[#This Row],[管理番号]]=""),VLOOKUP(まとめ表_バック金額[[#This Row],[管理番号]],名前リスト[[#All],[管理番号]:[氏名]],2,TRUE),"")</f>
        <v>0</v>
      </c>
      <c r="C222" s="21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79" t="str">
        <f t="shared" si="3"/>
        <v/>
      </c>
      <c r="E222" s="48"/>
      <c r="F2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6">
        <f>IF(NOT(まとめ表_バック金額[[#This Row],[管理番号]]=""),VLOOKUP(まとめ表_バック金額[[#This Row],[管理番号]],名前リスト[[#All],[管理番号]:[氏名]],2,TRUE),"")</f>
        <v>0</v>
      </c>
      <c r="C223" s="21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79" t="str">
        <f t="shared" si="3"/>
        <v/>
      </c>
      <c r="E223" s="48"/>
      <c r="F2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6">
        <f>IF(NOT(まとめ表_バック金額[[#This Row],[管理番号]]=""),VLOOKUP(まとめ表_バック金額[[#This Row],[管理番号]],名前リスト[[#All],[管理番号]:[氏名]],2,TRUE),"")</f>
        <v>0</v>
      </c>
      <c r="C224" s="21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79" t="str">
        <f t="shared" si="3"/>
        <v/>
      </c>
      <c r="E224" s="48"/>
      <c r="F2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6">
        <f>IF(NOT(まとめ表_バック金額[[#This Row],[管理番号]]=""),VLOOKUP(まとめ表_バック金額[[#This Row],[管理番号]],名前リスト[[#All],[管理番号]:[氏名]],2,TRUE),"")</f>
        <v>0</v>
      </c>
      <c r="C225" s="21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79" t="str">
        <f t="shared" si="3"/>
        <v/>
      </c>
      <c r="E225" s="48"/>
      <c r="F2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6">
        <f>IF(NOT(まとめ表_バック金額[[#This Row],[管理番号]]=""),VLOOKUP(まとめ表_バック金額[[#This Row],[管理番号]],名前リスト[[#All],[管理番号]:[氏名]],2,TRUE),"")</f>
        <v>0</v>
      </c>
      <c r="C226" s="21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79" t="str">
        <f t="shared" si="3"/>
        <v/>
      </c>
      <c r="E226" s="48"/>
      <c r="F2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6">
        <f>IF(NOT(まとめ表_バック金額[[#This Row],[管理番号]]=""),VLOOKUP(まとめ表_バック金額[[#This Row],[管理番号]],名前リスト[[#All],[管理番号]:[氏名]],2,TRUE),"")</f>
        <v>0</v>
      </c>
      <c r="C227" s="21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79" t="str">
        <f t="shared" si="3"/>
        <v/>
      </c>
      <c r="E227" s="48"/>
      <c r="F2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6">
        <f>IF(NOT(まとめ表_バック金額[[#This Row],[管理番号]]=""),VLOOKUP(まとめ表_バック金額[[#This Row],[管理番号]],名前リスト[[#All],[管理番号]:[氏名]],2,TRUE),"")</f>
        <v>0</v>
      </c>
      <c r="C228" s="21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79" t="str">
        <f t="shared" si="3"/>
        <v/>
      </c>
      <c r="E228" s="48"/>
      <c r="F2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6">
        <f>IF(NOT(まとめ表_バック金額[[#This Row],[管理番号]]=""),VLOOKUP(まとめ表_バック金額[[#This Row],[管理番号]],名前リスト[[#All],[管理番号]:[氏名]],2,TRUE),"")</f>
        <v>0</v>
      </c>
      <c r="C229" s="21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79" t="str">
        <f t="shared" si="3"/>
        <v/>
      </c>
      <c r="E229" s="48"/>
      <c r="F2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6">
        <f>IF(NOT(まとめ表_バック金額[[#This Row],[管理番号]]=""),VLOOKUP(まとめ表_バック金額[[#This Row],[管理番号]],名前リスト[[#All],[管理番号]:[氏名]],2,TRUE),"")</f>
        <v>0</v>
      </c>
      <c r="C230" s="21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79" t="str">
        <f t="shared" si="3"/>
        <v/>
      </c>
      <c r="E230" s="48"/>
      <c r="F2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6">
        <f>IF(NOT(まとめ表_バック金額[[#This Row],[管理番号]]=""),VLOOKUP(まとめ表_バック金額[[#This Row],[管理番号]],名前リスト[[#All],[管理番号]:[氏名]],2,TRUE),"")</f>
        <v>0</v>
      </c>
      <c r="C231" s="21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79" t="str">
        <f t="shared" si="3"/>
        <v/>
      </c>
      <c r="E231" s="48"/>
      <c r="F2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6">
        <f>IF(NOT(まとめ表_バック金額[[#This Row],[管理番号]]=""),VLOOKUP(まとめ表_バック金額[[#This Row],[管理番号]],名前リスト[[#All],[管理番号]:[氏名]],2,TRUE),"")</f>
        <v>0</v>
      </c>
      <c r="C232" s="21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79" t="str">
        <f t="shared" si="3"/>
        <v/>
      </c>
      <c r="E232" s="48"/>
      <c r="F2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6">
        <f>IF(NOT(まとめ表_バック金額[[#This Row],[管理番号]]=""),VLOOKUP(まとめ表_バック金額[[#This Row],[管理番号]],名前リスト[[#All],[管理番号]:[氏名]],2,TRUE),"")</f>
        <v>0</v>
      </c>
      <c r="C233" s="21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79" t="str">
        <f t="shared" si="3"/>
        <v/>
      </c>
      <c r="E233" s="48"/>
      <c r="F2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6">
        <f>IF(NOT(まとめ表_バック金額[[#This Row],[管理番号]]=""),VLOOKUP(まとめ表_バック金額[[#This Row],[管理番号]],名前リスト[[#All],[管理番号]:[氏名]],2,TRUE),"")</f>
        <v>0</v>
      </c>
      <c r="C234" s="21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79" t="str">
        <f t="shared" si="3"/>
        <v/>
      </c>
      <c r="E234" s="48"/>
      <c r="F2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6">
        <f>IF(NOT(まとめ表_バック金額[[#This Row],[管理番号]]=""),VLOOKUP(まとめ表_バック金額[[#This Row],[管理番号]],名前リスト[[#All],[管理番号]:[氏名]],2,TRUE),"")</f>
        <v>0</v>
      </c>
      <c r="C235" s="21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79" t="str">
        <f t="shared" si="3"/>
        <v/>
      </c>
      <c r="E235" s="48"/>
      <c r="F2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6">
        <f>IF(NOT(まとめ表_バック金額[[#This Row],[管理番号]]=""),VLOOKUP(まとめ表_バック金額[[#This Row],[管理番号]],名前リスト[[#All],[管理番号]:[氏名]],2,TRUE),"")</f>
        <v>0</v>
      </c>
      <c r="C236" s="21">
        <f>IF(NOT(まとめ表_バック金額[[#This Row],[管理番号]]=""),VLOOKUP(まとめ表_バック金額[[#This Row],[管理番号]],名前リスト[[#All],[管理番号]:[氏名]],3,TRUE),"")</f>
        <v>0</v>
      </c>
      <c r="D236" s="79" t="str">
        <f t="shared" si="3"/>
        <v/>
      </c>
      <c r="E236" s="48"/>
      <c r="F2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6">
        <f>IF(NOT(まとめ表_バック金額[[#This Row],[管理番号]]=""),VLOOKUP(まとめ表_バック金額[[#This Row],[管理番号]],名前リスト[[#All],[管理番号]:[氏名]],2,TRUE),"")</f>
        <v>0</v>
      </c>
      <c r="C237" s="21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79" t="str">
        <f t="shared" si="3"/>
        <v/>
      </c>
      <c r="E237" s="48"/>
      <c r="F2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6">
        <f>IF(NOT(まとめ表_バック金額[[#This Row],[管理番号]]=""),VLOOKUP(まとめ表_バック金額[[#This Row],[管理番号]],名前リスト[[#All],[管理番号]:[氏名]],2,TRUE),"")</f>
        <v>0</v>
      </c>
      <c r="C238" s="21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79" t="str">
        <f t="shared" si="3"/>
        <v/>
      </c>
      <c r="E238" s="48"/>
      <c r="F2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6">
        <f>IF(NOT(まとめ表_バック金額[[#This Row],[管理番号]]=""),VLOOKUP(まとめ表_バック金額[[#This Row],[管理番号]],名前リスト[[#All],[管理番号]:[氏名]],2,TRUE),"")</f>
        <v>0</v>
      </c>
      <c r="C239" s="21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79" t="str">
        <f t="shared" si="3"/>
        <v/>
      </c>
      <c r="E239" s="48"/>
      <c r="F2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6">
        <f>IF(NOT(まとめ表_バック金額[[#This Row],[管理番号]]=""),VLOOKUP(まとめ表_バック金額[[#This Row],[管理番号]],名前リスト[[#All],[管理番号]:[氏名]],2,TRUE),"")</f>
        <v>0</v>
      </c>
      <c r="C240" s="21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79" t="str">
        <f t="shared" si="3"/>
        <v/>
      </c>
      <c r="E240" s="48"/>
      <c r="F2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6">
        <f>IF(NOT(まとめ表_バック金額[[#This Row],[管理番号]]=""),VLOOKUP(まとめ表_バック金額[[#This Row],[管理番号]],名前リスト[[#All],[管理番号]:[氏名]],2,TRUE),"")</f>
        <v>0</v>
      </c>
      <c r="C241" s="21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79" t="str">
        <f t="shared" si="3"/>
        <v/>
      </c>
      <c r="E241" s="48"/>
      <c r="F2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6">
        <f>IF(NOT(まとめ表_バック金額[[#This Row],[管理番号]]=""),VLOOKUP(まとめ表_バック金額[[#This Row],[管理番号]],名前リスト[[#All],[管理番号]:[氏名]],2,TRUE),"")</f>
        <v>0</v>
      </c>
      <c r="C242" s="21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79" t="str">
        <f t="shared" si="3"/>
        <v/>
      </c>
      <c r="E242" s="48"/>
      <c r="F2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6">
        <f>IF(NOT(まとめ表_バック金額[[#This Row],[管理番号]]=""),VLOOKUP(まとめ表_バック金額[[#This Row],[管理番号]],名前リスト[[#All],[管理番号]:[氏名]],2,TRUE),"")</f>
        <v>0</v>
      </c>
      <c r="C243" s="21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79" t="str">
        <f t="shared" si="3"/>
        <v/>
      </c>
      <c r="E243" s="48"/>
      <c r="F2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6">
        <f>IF(NOT(まとめ表_バック金額[[#This Row],[管理番号]]=""),VLOOKUP(まとめ表_バック金額[[#This Row],[管理番号]],名前リスト[[#All],[管理番号]:[氏名]],2,TRUE),"")</f>
        <v>0</v>
      </c>
      <c r="C244" s="21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79" t="str">
        <f t="shared" si="3"/>
        <v/>
      </c>
      <c r="E244" s="48"/>
      <c r="F2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6">
        <f>IF(NOT(まとめ表_バック金額[[#This Row],[管理番号]]=""),VLOOKUP(まとめ表_バック金額[[#This Row],[管理番号]],名前リスト[[#All],[管理番号]:[氏名]],2,TRUE),"")</f>
        <v>0</v>
      </c>
      <c r="C245" s="21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79" t="str">
        <f t="shared" si="3"/>
        <v/>
      </c>
      <c r="E245" s="48"/>
      <c r="F2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6">
        <f>IF(NOT(まとめ表_バック金額[[#This Row],[管理番号]]=""),VLOOKUP(まとめ表_バック金額[[#This Row],[管理番号]],名前リスト[[#All],[管理番号]:[氏名]],2,TRUE),"")</f>
        <v>0</v>
      </c>
      <c r="C246" s="21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79" t="str">
        <f t="shared" si="3"/>
        <v/>
      </c>
      <c r="E246" s="48"/>
      <c r="F2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6">
        <f>IF(NOT(まとめ表_バック金額[[#This Row],[管理番号]]=""),VLOOKUP(まとめ表_バック金額[[#This Row],[管理番号]],名前リスト[[#All],[管理番号]:[氏名]],2,TRUE),"")</f>
        <v>0</v>
      </c>
      <c r="C247" s="21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79" t="str">
        <f t="shared" si="3"/>
        <v/>
      </c>
      <c r="E247" s="48"/>
      <c r="F2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6">
        <f>IF(NOT(まとめ表_バック金額[[#This Row],[管理番号]]=""),VLOOKUP(まとめ表_バック金額[[#This Row],[管理番号]],名前リスト[[#All],[管理番号]:[氏名]],2,TRUE),"")</f>
        <v>0</v>
      </c>
      <c r="C248" s="21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79" t="str">
        <f t="shared" si="3"/>
        <v/>
      </c>
      <c r="E248" s="48"/>
      <c r="F2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6">
        <f>IF(NOT(まとめ表_バック金額[[#This Row],[管理番号]]=""),VLOOKUP(まとめ表_バック金額[[#This Row],[管理番号]],名前リスト[[#All],[管理番号]:[氏名]],2,TRUE),"")</f>
        <v>0</v>
      </c>
      <c r="C249" s="21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79" t="str">
        <f t="shared" si="3"/>
        <v/>
      </c>
      <c r="E249" s="48"/>
      <c r="F2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6">
        <f>IF(NOT(まとめ表_バック金額[[#This Row],[管理番号]]=""),VLOOKUP(まとめ表_バック金額[[#This Row],[管理番号]],名前リスト[[#All],[管理番号]:[氏名]],2,TRUE),"")</f>
        <v>0</v>
      </c>
      <c r="C250" s="21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79" t="str">
        <f t="shared" si="3"/>
        <v/>
      </c>
      <c r="E250" s="48"/>
      <c r="F2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6">
        <f>IF(NOT(まとめ表_バック金額[[#This Row],[管理番号]]=""),VLOOKUP(まとめ表_バック金額[[#This Row],[管理番号]],名前リスト[[#All],[管理番号]:[氏名]],2,TRUE),"")</f>
        <v>0</v>
      </c>
      <c r="C251" s="21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79" t="str">
        <f t="shared" si="3"/>
        <v/>
      </c>
      <c r="E251" s="48"/>
      <c r="F2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6">
        <f>IF(NOT(まとめ表_バック金額[[#This Row],[管理番号]]=""),VLOOKUP(まとめ表_バック金額[[#This Row],[管理番号]],名前リスト[[#All],[管理番号]:[氏名]],2,TRUE),"")</f>
        <v>0</v>
      </c>
      <c r="C252" s="21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79" t="str">
        <f t="shared" si="3"/>
        <v/>
      </c>
      <c r="E252" s="48"/>
      <c r="F25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6">
        <f>IF(NOT(まとめ表_バック金額[[#This Row],[管理番号]]=""),VLOOKUP(まとめ表_バック金額[[#This Row],[管理番号]],名前リスト[[#All],[管理番号]:[氏名]],2,TRUE),"")</f>
        <v>0</v>
      </c>
      <c r="C253" s="21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79" t="str">
        <f t="shared" si="3"/>
        <v/>
      </c>
      <c r="E253" s="48"/>
      <c r="F25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6">
        <f>IF(NOT(まとめ表_バック金額[[#This Row],[管理番号]]=""),VLOOKUP(まとめ表_バック金額[[#This Row],[管理番号]],名前リスト[[#All],[管理番号]:[氏名]],2,TRUE),"")</f>
        <v>0</v>
      </c>
      <c r="C254" s="21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79" t="str">
        <f t="shared" si="3"/>
        <v/>
      </c>
      <c r="E254" s="48"/>
      <c r="F25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6">
        <f>IF(NOT(まとめ表_バック金額[[#This Row],[管理番号]]=""),VLOOKUP(まとめ表_バック金額[[#This Row],[管理番号]],名前リスト[[#All],[管理番号]:[氏名]],2,TRUE),"")</f>
        <v>0</v>
      </c>
      <c r="C255" s="21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79" t="str">
        <f t="shared" si="3"/>
        <v/>
      </c>
      <c r="E255" s="48"/>
      <c r="F25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6">
        <f>IF(NOT(まとめ表_バック金額[[#This Row],[管理番号]]=""),VLOOKUP(まとめ表_バック金額[[#This Row],[管理番号]],名前リスト[[#All],[管理番号]:[氏名]],2,TRUE),"")</f>
        <v>0</v>
      </c>
      <c r="C256" s="21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79" t="str">
        <f t="shared" si="3"/>
        <v/>
      </c>
      <c r="E256" s="48"/>
      <c r="F25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6">
        <f>IF(NOT(まとめ表_バック金額[[#This Row],[管理番号]]=""),VLOOKUP(まとめ表_バック金額[[#This Row],[管理番号]],名前リスト[[#All],[管理番号]:[氏名]],2,TRUE),"")</f>
        <v>0</v>
      </c>
      <c r="C257" s="21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79" t="str">
        <f t="shared" si="3"/>
        <v/>
      </c>
      <c r="E257" s="48"/>
      <c r="F25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6">
        <f>IF(NOT(まとめ表_バック金額[[#This Row],[管理番号]]=""),VLOOKUP(まとめ表_バック金額[[#This Row],[管理番号]],名前リスト[[#All],[管理番号]:[氏名]],2,TRUE),"")</f>
        <v>0</v>
      </c>
      <c r="C258" s="21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79" t="str">
        <f t="shared" ref="D258:D321" si="4">IF(SUM(E258:XFD258)=0,"",SUM(E258:XFD258))</f>
        <v/>
      </c>
      <c r="E258" s="48"/>
      <c r="F25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6">
        <f>IF(NOT(まとめ表_バック金額[[#This Row],[管理番号]]=""),VLOOKUP(まとめ表_バック金額[[#This Row],[管理番号]],名前リスト[[#All],[管理番号]:[氏名]],2,TRUE),"")</f>
        <v>0</v>
      </c>
      <c r="C259" s="21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79" t="str">
        <f t="shared" si="4"/>
        <v/>
      </c>
      <c r="E259" s="48"/>
      <c r="F25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6">
        <f>IF(NOT(まとめ表_バック金額[[#This Row],[管理番号]]=""),VLOOKUP(まとめ表_バック金額[[#This Row],[管理番号]],名前リスト[[#All],[管理番号]:[氏名]],2,TRUE),"")</f>
        <v>0</v>
      </c>
      <c r="C260" s="21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79" t="str">
        <f t="shared" si="4"/>
        <v/>
      </c>
      <c r="E260" s="48"/>
      <c r="F26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6">
        <f>IF(NOT(まとめ表_バック金額[[#This Row],[管理番号]]=""),VLOOKUP(まとめ表_バック金額[[#This Row],[管理番号]],名前リスト[[#All],[管理番号]:[氏名]],2,TRUE),"")</f>
        <v>0</v>
      </c>
      <c r="C261" s="21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79" t="str">
        <f t="shared" si="4"/>
        <v/>
      </c>
      <c r="E261" s="48"/>
      <c r="F26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6">
        <f>IF(NOT(まとめ表_バック金額[[#This Row],[管理番号]]=""),VLOOKUP(まとめ表_バック金額[[#This Row],[管理番号]],名前リスト[[#All],[管理番号]:[氏名]],2,TRUE),"")</f>
        <v>0</v>
      </c>
      <c r="C262" s="21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79" t="str">
        <f t="shared" si="4"/>
        <v/>
      </c>
      <c r="E262" s="48"/>
      <c r="F26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6">
        <f>IF(NOT(まとめ表_バック金額[[#This Row],[管理番号]]=""),VLOOKUP(まとめ表_バック金額[[#This Row],[管理番号]],名前リスト[[#All],[管理番号]:[氏名]],2,TRUE),"")</f>
        <v>0</v>
      </c>
      <c r="C263" s="21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79" t="str">
        <f t="shared" si="4"/>
        <v/>
      </c>
      <c r="E263" s="48"/>
      <c r="F26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6">
        <f>IF(NOT(まとめ表_バック金額[[#This Row],[管理番号]]=""),VLOOKUP(まとめ表_バック金額[[#This Row],[管理番号]],名前リスト[[#All],[管理番号]:[氏名]],2,TRUE),"")</f>
        <v>0</v>
      </c>
      <c r="C264" s="21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79" t="str">
        <f t="shared" si="4"/>
        <v/>
      </c>
      <c r="E264" s="48"/>
      <c r="F26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6">
        <f>IF(NOT(まとめ表_バック金額[[#This Row],[管理番号]]=""),VLOOKUP(まとめ表_バック金額[[#This Row],[管理番号]],名前リスト[[#All],[管理番号]:[氏名]],2,TRUE),"")</f>
        <v>0</v>
      </c>
      <c r="C265" s="21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79" t="str">
        <f t="shared" si="4"/>
        <v/>
      </c>
      <c r="E265" s="48"/>
      <c r="F26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6">
        <f>IF(NOT(まとめ表_バック金額[[#This Row],[管理番号]]=""),VLOOKUP(まとめ表_バック金額[[#This Row],[管理番号]],名前リスト[[#All],[管理番号]:[氏名]],2,TRUE),"")</f>
        <v>0</v>
      </c>
      <c r="C266" s="21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79" t="str">
        <f t="shared" si="4"/>
        <v/>
      </c>
      <c r="E266" s="48"/>
      <c r="F26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6">
        <f>IF(NOT(まとめ表_バック金額[[#This Row],[管理番号]]=""),VLOOKUP(まとめ表_バック金額[[#This Row],[管理番号]],名前リスト[[#All],[管理番号]:[氏名]],2,TRUE),"")</f>
        <v>0</v>
      </c>
      <c r="C267" s="21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79" t="str">
        <f t="shared" si="4"/>
        <v/>
      </c>
      <c r="E267" s="48"/>
      <c r="F26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6">
        <f>IF(NOT(まとめ表_バック金額[[#This Row],[管理番号]]=""),VLOOKUP(まとめ表_バック金額[[#This Row],[管理番号]],名前リスト[[#All],[管理番号]:[氏名]],2,TRUE),"")</f>
        <v>0</v>
      </c>
      <c r="C268" s="21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79" t="str">
        <f t="shared" si="4"/>
        <v/>
      </c>
      <c r="E268" s="48"/>
      <c r="F26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6">
        <f>IF(NOT(まとめ表_バック金額[[#This Row],[管理番号]]=""),VLOOKUP(まとめ表_バック金額[[#This Row],[管理番号]],名前リスト[[#All],[管理番号]:[氏名]],2,TRUE),"")</f>
        <v>0</v>
      </c>
      <c r="C269" s="21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79" t="str">
        <f t="shared" si="4"/>
        <v/>
      </c>
      <c r="E269" s="48"/>
      <c r="F26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6">
        <f>IF(NOT(まとめ表_バック金額[[#This Row],[管理番号]]=""),VLOOKUP(まとめ表_バック金額[[#This Row],[管理番号]],名前リスト[[#All],[管理番号]:[氏名]],2,TRUE),"")</f>
        <v>0</v>
      </c>
      <c r="C270" s="21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79" t="str">
        <f t="shared" si="4"/>
        <v/>
      </c>
      <c r="E270" s="48"/>
      <c r="F27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6">
        <f>IF(NOT(まとめ表_バック金額[[#This Row],[管理番号]]=""),VLOOKUP(まとめ表_バック金額[[#This Row],[管理番号]],名前リスト[[#All],[管理番号]:[氏名]],2,TRUE),"")</f>
        <v>0</v>
      </c>
      <c r="C271" s="21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79" t="str">
        <f t="shared" si="4"/>
        <v/>
      </c>
      <c r="E271" s="48"/>
      <c r="F27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6">
        <f>IF(NOT(まとめ表_バック金額[[#This Row],[管理番号]]=""),VLOOKUP(まとめ表_バック金額[[#This Row],[管理番号]],名前リスト[[#All],[管理番号]:[氏名]],2,TRUE),"")</f>
        <v>0</v>
      </c>
      <c r="C272" s="21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79" t="str">
        <f t="shared" si="4"/>
        <v/>
      </c>
      <c r="E272" s="48"/>
      <c r="F27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6">
        <f>IF(NOT(まとめ表_バック金額[[#This Row],[管理番号]]=""),VLOOKUP(まとめ表_バック金額[[#This Row],[管理番号]],名前リスト[[#All],[管理番号]:[氏名]],2,TRUE),"")</f>
        <v>0</v>
      </c>
      <c r="C273" s="21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79" t="str">
        <f t="shared" si="4"/>
        <v/>
      </c>
      <c r="E273" s="48"/>
      <c r="F27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6">
        <f>IF(NOT(まとめ表_バック金額[[#This Row],[管理番号]]=""),VLOOKUP(まとめ表_バック金額[[#This Row],[管理番号]],名前リスト[[#All],[管理番号]:[氏名]],2,TRUE),"")</f>
        <v>0</v>
      </c>
      <c r="C274" s="21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79" t="str">
        <f t="shared" si="4"/>
        <v/>
      </c>
      <c r="E274" s="48"/>
      <c r="F27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6">
        <f>IF(NOT(まとめ表_バック金額[[#This Row],[管理番号]]=""),VLOOKUP(まとめ表_バック金額[[#This Row],[管理番号]],名前リスト[[#All],[管理番号]:[氏名]],2,TRUE),"")</f>
        <v>0</v>
      </c>
      <c r="C275" s="21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79" t="str">
        <f t="shared" si="4"/>
        <v/>
      </c>
      <c r="E275" s="48"/>
      <c r="F27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6">
        <f>IF(NOT(まとめ表_バック金額[[#This Row],[管理番号]]=""),VLOOKUP(まとめ表_バック金額[[#This Row],[管理番号]],名前リスト[[#All],[管理番号]:[氏名]],2,TRUE),"")</f>
        <v>0</v>
      </c>
      <c r="C276" s="21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79" t="str">
        <f t="shared" si="4"/>
        <v/>
      </c>
      <c r="E276" s="48"/>
      <c r="F27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6">
        <f>IF(NOT(まとめ表_バック金額[[#This Row],[管理番号]]=""),VLOOKUP(まとめ表_バック金額[[#This Row],[管理番号]],名前リスト[[#All],[管理番号]:[氏名]],2,TRUE),"")</f>
        <v>0</v>
      </c>
      <c r="C277" s="21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79" t="str">
        <f t="shared" si="4"/>
        <v/>
      </c>
      <c r="E277" s="48"/>
      <c r="F27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6">
        <f>IF(NOT(まとめ表_バック金額[[#This Row],[管理番号]]=""),VLOOKUP(まとめ表_バック金額[[#This Row],[管理番号]],名前リスト[[#All],[管理番号]:[氏名]],2,TRUE),"")</f>
        <v>0</v>
      </c>
      <c r="C278" s="21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79" t="str">
        <f t="shared" si="4"/>
        <v/>
      </c>
      <c r="E278" s="48"/>
      <c r="F27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6">
        <f>IF(NOT(まとめ表_バック金額[[#This Row],[管理番号]]=""),VLOOKUP(まとめ表_バック金額[[#This Row],[管理番号]],名前リスト[[#All],[管理番号]:[氏名]],2,TRUE),"")</f>
        <v>0</v>
      </c>
      <c r="C279" s="21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79" t="str">
        <f t="shared" si="4"/>
        <v/>
      </c>
      <c r="E279" s="48"/>
      <c r="F27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6">
        <f>IF(NOT(まとめ表_バック金額[[#This Row],[管理番号]]=""),VLOOKUP(まとめ表_バック金額[[#This Row],[管理番号]],名前リスト[[#All],[管理番号]:[氏名]],2,TRUE),"")</f>
        <v>0</v>
      </c>
      <c r="C280" s="21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79" t="str">
        <f t="shared" si="4"/>
        <v/>
      </c>
      <c r="E280" s="48"/>
      <c r="F28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6">
        <f>IF(NOT(まとめ表_バック金額[[#This Row],[管理番号]]=""),VLOOKUP(まとめ表_バック金額[[#This Row],[管理番号]],名前リスト[[#All],[管理番号]:[氏名]],2,TRUE),"")</f>
        <v>0</v>
      </c>
      <c r="C281" s="21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79" t="str">
        <f t="shared" si="4"/>
        <v/>
      </c>
      <c r="E281" s="48"/>
      <c r="F28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6">
        <f>IF(NOT(まとめ表_バック金額[[#This Row],[管理番号]]=""),VLOOKUP(まとめ表_バック金額[[#This Row],[管理番号]],名前リスト[[#All],[管理番号]:[氏名]],2,TRUE),"")</f>
        <v>0</v>
      </c>
      <c r="C282" s="21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79" t="str">
        <f t="shared" si="4"/>
        <v/>
      </c>
      <c r="E282" s="48"/>
      <c r="F28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6">
        <f>IF(NOT(まとめ表_バック金額[[#This Row],[管理番号]]=""),VLOOKUP(まとめ表_バック金額[[#This Row],[管理番号]],名前リスト[[#All],[管理番号]:[氏名]],2,TRUE),"")</f>
        <v>0</v>
      </c>
      <c r="C283" s="21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79" t="str">
        <f t="shared" si="4"/>
        <v/>
      </c>
      <c r="E283" s="48"/>
      <c r="F28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6">
        <f>IF(NOT(まとめ表_バック金額[[#This Row],[管理番号]]=""),VLOOKUP(まとめ表_バック金額[[#This Row],[管理番号]],名前リスト[[#All],[管理番号]:[氏名]],2,TRUE),"")</f>
        <v>0</v>
      </c>
      <c r="C284" s="21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79" t="str">
        <f t="shared" si="4"/>
        <v/>
      </c>
      <c r="E284" s="48"/>
      <c r="F28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6">
        <f>IF(NOT(まとめ表_バック金額[[#This Row],[管理番号]]=""),VLOOKUP(まとめ表_バック金額[[#This Row],[管理番号]],名前リスト[[#All],[管理番号]:[氏名]],2,TRUE),"")</f>
        <v>0</v>
      </c>
      <c r="C285" s="21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79" t="str">
        <f t="shared" si="4"/>
        <v/>
      </c>
      <c r="E285" s="48"/>
      <c r="F28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6">
        <f>IF(NOT(まとめ表_バック金額[[#This Row],[管理番号]]=""),VLOOKUP(まとめ表_バック金額[[#This Row],[管理番号]],名前リスト[[#All],[管理番号]:[氏名]],2,TRUE),"")</f>
        <v>0</v>
      </c>
      <c r="C286" s="21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79" t="str">
        <f t="shared" si="4"/>
        <v/>
      </c>
      <c r="E286" s="48"/>
      <c r="F28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6">
        <f>IF(NOT(まとめ表_バック金額[[#This Row],[管理番号]]=""),VLOOKUP(まとめ表_バック金額[[#This Row],[管理番号]],名前リスト[[#All],[管理番号]:[氏名]],2,TRUE),"")</f>
        <v>0</v>
      </c>
      <c r="C287" s="21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79" t="str">
        <f t="shared" si="4"/>
        <v/>
      </c>
      <c r="E287" s="48"/>
      <c r="F28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6">
        <f>IF(NOT(まとめ表_バック金額[[#This Row],[管理番号]]=""),VLOOKUP(まとめ表_バック金額[[#This Row],[管理番号]],名前リスト[[#All],[管理番号]:[氏名]],2,TRUE),"")</f>
        <v>0</v>
      </c>
      <c r="C288" s="21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79" t="str">
        <f t="shared" si="4"/>
        <v/>
      </c>
      <c r="E288" s="48"/>
      <c r="F28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6">
        <f>IF(NOT(まとめ表_バック金額[[#This Row],[管理番号]]=""),VLOOKUP(まとめ表_バック金額[[#This Row],[管理番号]],名前リスト[[#All],[管理番号]:[氏名]],2,TRUE),"")</f>
        <v>0</v>
      </c>
      <c r="C289" s="21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79" t="str">
        <f t="shared" si="4"/>
        <v/>
      </c>
      <c r="E289" s="48"/>
      <c r="F28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6">
        <f>IF(NOT(まとめ表_バック金額[[#This Row],[管理番号]]=""),VLOOKUP(まとめ表_バック金額[[#This Row],[管理番号]],名前リスト[[#All],[管理番号]:[氏名]],2,TRUE),"")</f>
        <v>0</v>
      </c>
      <c r="C290" s="21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79" t="str">
        <f t="shared" si="4"/>
        <v/>
      </c>
      <c r="E290" s="48"/>
      <c r="F29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6">
        <f>IF(NOT(まとめ表_バック金額[[#This Row],[管理番号]]=""),VLOOKUP(まとめ表_バック金額[[#This Row],[管理番号]],名前リスト[[#All],[管理番号]:[氏名]],2,TRUE),"")</f>
        <v>0</v>
      </c>
      <c r="C291" s="21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79" t="str">
        <f t="shared" si="4"/>
        <v/>
      </c>
      <c r="E291" s="48"/>
      <c r="F29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6">
        <f>IF(NOT(まとめ表_バック金額[[#This Row],[管理番号]]=""),VLOOKUP(まとめ表_バック金額[[#This Row],[管理番号]],名前リスト[[#All],[管理番号]:[氏名]],2,TRUE),"")</f>
        <v>0</v>
      </c>
      <c r="C292" s="21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79" t="str">
        <f t="shared" si="4"/>
        <v/>
      </c>
      <c r="E292" s="48"/>
      <c r="F29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6">
        <f>IF(NOT(まとめ表_バック金額[[#This Row],[管理番号]]=""),VLOOKUP(まとめ表_バック金額[[#This Row],[管理番号]],名前リスト[[#All],[管理番号]:[氏名]],2,TRUE),"")</f>
        <v>0</v>
      </c>
      <c r="C293" s="21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79" t="str">
        <f t="shared" si="4"/>
        <v/>
      </c>
      <c r="E293" s="48"/>
      <c r="F29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6">
        <f>IF(NOT(まとめ表_バック金額[[#This Row],[管理番号]]=""),VLOOKUP(まとめ表_バック金額[[#This Row],[管理番号]],名前リスト[[#All],[管理番号]:[氏名]],2,TRUE),"")</f>
        <v>0</v>
      </c>
      <c r="C294" s="21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79" t="str">
        <f t="shared" si="4"/>
        <v/>
      </c>
      <c r="E294" s="48"/>
      <c r="F29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6">
        <f>IF(NOT(まとめ表_バック金額[[#This Row],[管理番号]]=""),VLOOKUP(まとめ表_バック金額[[#This Row],[管理番号]],名前リスト[[#All],[管理番号]:[氏名]],2,TRUE),"")</f>
        <v>0</v>
      </c>
      <c r="C295" s="21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79" t="str">
        <f t="shared" si="4"/>
        <v/>
      </c>
      <c r="E295" s="48"/>
      <c r="F29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6">
        <f>IF(NOT(まとめ表_バック金額[[#This Row],[管理番号]]=""),VLOOKUP(まとめ表_バック金額[[#This Row],[管理番号]],名前リスト[[#All],[管理番号]:[氏名]],2,TRUE),"")</f>
        <v>0</v>
      </c>
      <c r="C296" s="21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79" t="str">
        <f t="shared" si="4"/>
        <v/>
      </c>
      <c r="E296" s="48"/>
      <c r="F2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6">
        <f>IF(NOT(まとめ表_バック金額[[#This Row],[管理番号]]=""),VLOOKUP(まとめ表_バック金額[[#This Row],[管理番号]],名前リスト[[#All],[管理番号]:[氏名]],2,TRUE),"")</f>
        <v>0</v>
      </c>
      <c r="C297" s="21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79" t="str">
        <f t="shared" si="4"/>
        <v/>
      </c>
      <c r="E297" s="48"/>
      <c r="F29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6">
        <f>IF(NOT(まとめ表_バック金額[[#This Row],[管理番号]]=""),VLOOKUP(まとめ表_バック金額[[#This Row],[管理番号]],名前リスト[[#All],[管理番号]:[氏名]],2,TRUE),"")</f>
        <v>0</v>
      </c>
      <c r="C298" s="21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79" t="str">
        <f t="shared" si="4"/>
        <v/>
      </c>
      <c r="E298" s="48"/>
      <c r="F29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6">
        <f>IF(NOT(まとめ表_バック金額[[#This Row],[管理番号]]=""),VLOOKUP(まとめ表_バック金額[[#This Row],[管理番号]],名前リスト[[#All],[管理番号]:[氏名]],2,TRUE),"")</f>
        <v>0</v>
      </c>
      <c r="C299" s="21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79" t="str">
        <f t="shared" si="4"/>
        <v/>
      </c>
      <c r="E299" s="48"/>
      <c r="F29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6">
        <f>IF(NOT(まとめ表_バック金額[[#This Row],[管理番号]]=""),VLOOKUP(まとめ表_バック金額[[#This Row],[管理番号]],名前リスト[[#All],[管理番号]:[氏名]],2,TRUE),"")</f>
        <v>0</v>
      </c>
      <c r="C300" s="21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79" t="str">
        <f t="shared" si="4"/>
        <v/>
      </c>
      <c r="E300" s="48"/>
      <c r="F30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6">
        <f>IF(NOT(まとめ表_バック金額[[#This Row],[管理番号]]=""),VLOOKUP(まとめ表_バック金額[[#This Row],[管理番号]],名前リスト[[#All],[管理番号]:[氏名]],2,TRUE),"")</f>
        <v>0</v>
      </c>
      <c r="C301" s="21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79" t="str">
        <f t="shared" si="4"/>
        <v/>
      </c>
      <c r="E301" s="48"/>
      <c r="F30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6">
        <f>IF(NOT(まとめ表_バック金額[[#This Row],[管理番号]]=""),VLOOKUP(まとめ表_バック金額[[#This Row],[管理番号]],名前リスト[[#All],[管理番号]:[氏名]],2,TRUE),"")</f>
        <v>0</v>
      </c>
      <c r="C302" s="21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79" t="str">
        <f t="shared" si="4"/>
        <v/>
      </c>
      <c r="E302" s="48"/>
      <c r="F30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6">
        <f>IF(NOT(まとめ表_バック金額[[#This Row],[管理番号]]=""),VLOOKUP(まとめ表_バック金額[[#This Row],[管理番号]],名前リスト[[#All],[管理番号]:[氏名]],2,TRUE),"")</f>
        <v>0</v>
      </c>
      <c r="C303" s="21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79" t="str">
        <f t="shared" si="4"/>
        <v/>
      </c>
      <c r="E303" s="48"/>
      <c r="F30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6">
        <f>IF(NOT(まとめ表_バック金額[[#This Row],[管理番号]]=""),VLOOKUP(まとめ表_バック金額[[#This Row],[管理番号]],名前リスト[[#All],[管理番号]:[氏名]],2,TRUE),"")</f>
        <v>0</v>
      </c>
      <c r="C304" s="21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79" t="str">
        <f t="shared" si="4"/>
        <v/>
      </c>
      <c r="E304" s="48"/>
      <c r="F30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6">
        <f>IF(NOT(まとめ表_バック金額[[#This Row],[管理番号]]=""),VLOOKUP(まとめ表_バック金額[[#This Row],[管理番号]],名前リスト[[#All],[管理番号]:[氏名]],2,TRUE),"")</f>
        <v>0</v>
      </c>
      <c r="C305" s="21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79" t="str">
        <f t="shared" si="4"/>
        <v/>
      </c>
      <c r="E305" s="48"/>
      <c r="F3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6">
        <f>IF(NOT(まとめ表_バック金額[[#This Row],[管理番号]]=""),VLOOKUP(まとめ表_バック金額[[#This Row],[管理番号]],名前リスト[[#All],[管理番号]:[氏名]],2,TRUE),"")</f>
        <v>0</v>
      </c>
      <c r="C306" s="21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79" t="str">
        <f t="shared" si="4"/>
        <v/>
      </c>
      <c r="E306" s="48"/>
      <c r="F3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6">
        <f>IF(NOT(まとめ表_バック金額[[#This Row],[管理番号]]=""),VLOOKUP(まとめ表_バック金額[[#This Row],[管理番号]],名前リスト[[#All],[管理番号]:[氏名]],2,TRUE),"")</f>
        <v>0</v>
      </c>
      <c r="C307" s="21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79" t="str">
        <f t="shared" si="4"/>
        <v/>
      </c>
      <c r="E307" s="48"/>
      <c r="F3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6">
        <f>IF(NOT(まとめ表_バック金額[[#This Row],[管理番号]]=""),VLOOKUP(まとめ表_バック金額[[#This Row],[管理番号]],名前リスト[[#All],[管理番号]:[氏名]],2,TRUE),"")</f>
        <v>0</v>
      </c>
      <c r="C308" s="21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79" t="str">
        <f t="shared" si="4"/>
        <v/>
      </c>
      <c r="E308" s="48"/>
      <c r="F3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6">
        <f>IF(NOT(まとめ表_バック金額[[#This Row],[管理番号]]=""),VLOOKUP(まとめ表_バック金額[[#This Row],[管理番号]],名前リスト[[#All],[管理番号]:[氏名]],2,TRUE),"")</f>
        <v>0</v>
      </c>
      <c r="C309" s="21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79" t="str">
        <f t="shared" si="4"/>
        <v/>
      </c>
      <c r="E309" s="48"/>
      <c r="F3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6">
        <f>IF(NOT(まとめ表_バック金額[[#This Row],[管理番号]]=""),VLOOKUP(まとめ表_バック金額[[#This Row],[管理番号]],名前リスト[[#All],[管理番号]:[氏名]],2,TRUE),"")</f>
        <v>0</v>
      </c>
      <c r="C310" s="21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79" t="str">
        <f t="shared" si="4"/>
        <v/>
      </c>
      <c r="E310" s="48"/>
      <c r="F3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6">
        <f>IF(NOT(まとめ表_バック金額[[#This Row],[管理番号]]=""),VLOOKUP(まとめ表_バック金額[[#This Row],[管理番号]],名前リスト[[#All],[管理番号]:[氏名]],2,TRUE),"")</f>
        <v>0</v>
      </c>
      <c r="C311" s="21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79" t="str">
        <f t="shared" si="4"/>
        <v/>
      </c>
      <c r="E311" s="48"/>
      <c r="F3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6">
        <f>IF(NOT(まとめ表_バック金額[[#This Row],[管理番号]]=""),VLOOKUP(まとめ表_バック金額[[#This Row],[管理番号]],名前リスト[[#All],[管理番号]:[氏名]],2,TRUE),"")</f>
        <v>0</v>
      </c>
      <c r="C312" s="21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79" t="str">
        <f t="shared" si="4"/>
        <v/>
      </c>
      <c r="E312" s="48"/>
      <c r="F3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6">
        <f>IF(NOT(まとめ表_バック金額[[#This Row],[管理番号]]=""),VLOOKUP(まとめ表_バック金額[[#This Row],[管理番号]],名前リスト[[#All],[管理番号]:[氏名]],2,TRUE),"")</f>
        <v>0</v>
      </c>
      <c r="C313" s="21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79" t="str">
        <f t="shared" si="4"/>
        <v/>
      </c>
      <c r="E313" s="48"/>
      <c r="F3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6">
        <f>IF(NOT(まとめ表_バック金額[[#This Row],[管理番号]]=""),VLOOKUP(まとめ表_バック金額[[#This Row],[管理番号]],名前リスト[[#All],[管理番号]:[氏名]],2,TRUE),"")</f>
        <v>0</v>
      </c>
      <c r="C314" s="21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79" t="str">
        <f t="shared" si="4"/>
        <v/>
      </c>
      <c r="E314" s="48"/>
      <c r="F3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6">
        <f>IF(NOT(まとめ表_バック金額[[#This Row],[管理番号]]=""),VLOOKUP(まとめ表_バック金額[[#This Row],[管理番号]],名前リスト[[#All],[管理番号]:[氏名]],2,TRUE),"")</f>
        <v>0</v>
      </c>
      <c r="C315" s="21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79" t="str">
        <f t="shared" si="4"/>
        <v/>
      </c>
      <c r="E315" s="48"/>
      <c r="F3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6">
        <f>IF(NOT(まとめ表_バック金額[[#This Row],[管理番号]]=""),VLOOKUP(まとめ表_バック金額[[#This Row],[管理番号]],名前リスト[[#All],[管理番号]:[氏名]],2,TRUE),"")</f>
        <v>0</v>
      </c>
      <c r="C316" s="21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79" t="str">
        <f t="shared" si="4"/>
        <v/>
      </c>
      <c r="E316" s="48"/>
      <c r="F3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6">
        <f>IF(NOT(まとめ表_バック金額[[#This Row],[管理番号]]=""),VLOOKUP(まとめ表_バック金額[[#This Row],[管理番号]],名前リスト[[#All],[管理番号]:[氏名]],2,TRUE),"")</f>
        <v>0</v>
      </c>
      <c r="C317" s="21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79" t="str">
        <f t="shared" si="4"/>
        <v/>
      </c>
      <c r="E317" s="48"/>
      <c r="F3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6">
        <f>IF(NOT(まとめ表_バック金額[[#This Row],[管理番号]]=""),VLOOKUP(まとめ表_バック金額[[#This Row],[管理番号]],名前リスト[[#All],[管理番号]:[氏名]],2,TRUE),"")</f>
        <v>0</v>
      </c>
      <c r="C318" s="21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79" t="str">
        <f t="shared" si="4"/>
        <v/>
      </c>
      <c r="E318" s="48"/>
      <c r="F3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6">
        <f>IF(NOT(まとめ表_バック金額[[#This Row],[管理番号]]=""),VLOOKUP(まとめ表_バック金額[[#This Row],[管理番号]],名前リスト[[#All],[管理番号]:[氏名]],2,TRUE),"")</f>
        <v>0</v>
      </c>
      <c r="C319" s="21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79" t="str">
        <f t="shared" si="4"/>
        <v/>
      </c>
      <c r="E319" s="48"/>
      <c r="F3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6">
        <f>IF(NOT(まとめ表_バック金額[[#This Row],[管理番号]]=""),VLOOKUP(まとめ表_バック金額[[#This Row],[管理番号]],名前リスト[[#All],[管理番号]:[氏名]],2,TRUE),"")</f>
        <v>0</v>
      </c>
      <c r="C320" s="21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79" t="str">
        <f t="shared" si="4"/>
        <v/>
      </c>
      <c r="E320" s="48"/>
      <c r="F3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6">
        <f>IF(NOT(まとめ表_バック金額[[#This Row],[管理番号]]=""),VLOOKUP(まとめ表_バック金額[[#This Row],[管理番号]],名前リスト[[#All],[管理番号]:[氏名]],2,TRUE),"")</f>
        <v>0</v>
      </c>
      <c r="C321" s="21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79" t="str">
        <f t="shared" si="4"/>
        <v/>
      </c>
      <c r="E321" s="48"/>
      <c r="F3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6">
        <f>IF(NOT(まとめ表_バック金額[[#This Row],[管理番号]]=""),VLOOKUP(まとめ表_バック金額[[#This Row],[管理番号]],名前リスト[[#All],[管理番号]:[氏名]],2,TRUE),"")</f>
        <v>0</v>
      </c>
      <c r="C322" s="21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79" t="str">
        <f t="shared" ref="D322:D351" si="5">IF(SUM(E322:XFD322)=0,"",SUM(E322:XFD322))</f>
        <v/>
      </c>
      <c r="E322" s="48"/>
      <c r="F3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6">
        <f>IF(NOT(まとめ表_バック金額[[#This Row],[管理番号]]=""),VLOOKUP(まとめ表_バック金額[[#This Row],[管理番号]],名前リスト[[#All],[管理番号]:[氏名]],2,TRUE),"")</f>
        <v>0</v>
      </c>
      <c r="C323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79" t="str">
        <f t="shared" si="5"/>
        <v/>
      </c>
      <c r="E323" s="48"/>
      <c r="F3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6">
        <f>IF(NOT(まとめ表_バック金額[[#This Row],[管理番号]]=""),VLOOKUP(まとめ表_バック金額[[#This Row],[管理番号]],名前リスト[[#All],[管理番号]:[氏名]],2,TRUE),"")</f>
        <v>0</v>
      </c>
      <c r="C324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79" t="str">
        <f t="shared" si="5"/>
        <v/>
      </c>
      <c r="E324" s="48"/>
      <c r="F3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6">
        <f>IF(NOT(まとめ表_バック金額[[#This Row],[管理番号]]=""),VLOOKUP(まとめ表_バック金額[[#This Row],[管理番号]],名前リスト[[#All],[管理番号]:[氏名]],2,TRUE),"")</f>
        <v>0</v>
      </c>
      <c r="C325" s="21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79" t="str">
        <f t="shared" si="5"/>
        <v/>
      </c>
      <c r="E325" s="48"/>
      <c r="F3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6">
        <f>IF(NOT(まとめ表_バック金額[[#This Row],[管理番号]]=""),VLOOKUP(まとめ表_バック金額[[#This Row],[管理番号]],名前リスト[[#All],[管理番号]:[氏名]],2,TRUE),"")</f>
        <v>0</v>
      </c>
      <c r="C326" s="21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79" t="str">
        <f t="shared" si="5"/>
        <v/>
      </c>
      <c r="E326" s="48"/>
      <c r="F3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6">
        <f>IF(NOT(まとめ表_バック金額[[#This Row],[管理番号]]=""),VLOOKUP(まとめ表_バック金額[[#This Row],[管理番号]],名前リスト[[#All],[管理番号]:[氏名]],2,TRUE),"")</f>
        <v>0</v>
      </c>
      <c r="C327" s="21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79" t="str">
        <f t="shared" si="5"/>
        <v/>
      </c>
      <c r="E327" s="48"/>
      <c r="F3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6">
        <f>IF(NOT(まとめ表_バック金額[[#This Row],[管理番号]]=""),VLOOKUP(まとめ表_バック金額[[#This Row],[管理番号]],名前リスト[[#All],[管理番号]:[氏名]],2,TRUE),"")</f>
        <v>0</v>
      </c>
      <c r="C328" s="21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79" t="str">
        <f t="shared" si="5"/>
        <v/>
      </c>
      <c r="E328" s="48"/>
      <c r="F3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6">
        <f>IF(NOT(まとめ表_バック金額[[#This Row],[管理番号]]=""),VLOOKUP(まとめ表_バック金額[[#This Row],[管理番号]],名前リスト[[#All],[管理番号]:[氏名]],2,TRUE),"")</f>
        <v>0</v>
      </c>
      <c r="C329" s="21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79" t="str">
        <f t="shared" si="5"/>
        <v/>
      </c>
      <c r="E329" s="48"/>
      <c r="F3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6">
        <f>IF(NOT(まとめ表_バック金額[[#This Row],[管理番号]]=""),VLOOKUP(まとめ表_バック金額[[#This Row],[管理番号]],名前リスト[[#All],[管理番号]:[氏名]],2,TRUE),"")</f>
        <v>0</v>
      </c>
      <c r="C330" s="21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79" t="str">
        <f t="shared" si="5"/>
        <v/>
      </c>
      <c r="E330" s="48"/>
      <c r="F3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6">
        <f>IF(NOT(まとめ表_バック金額[[#This Row],[管理番号]]=""),VLOOKUP(まとめ表_バック金額[[#This Row],[管理番号]],名前リスト[[#All],[管理番号]:[氏名]],2,TRUE),"")</f>
        <v>0</v>
      </c>
      <c r="C331" s="21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79" t="str">
        <f t="shared" si="5"/>
        <v/>
      </c>
      <c r="E331" s="48"/>
      <c r="F3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6">
        <f>IF(NOT(まとめ表_バック金額[[#This Row],[管理番号]]=""),VLOOKUP(まとめ表_バック金額[[#This Row],[管理番号]],名前リスト[[#All],[管理番号]:[氏名]],2,TRUE),"")</f>
        <v>0</v>
      </c>
      <c r="C332" s="21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79" t="str">
        <f t="shared" si="5"/>
        <v/>
      </c>
      <c r="E332" s="48"/>
      <c r="F3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6">
        <f>IF(NOT(まとめ表_バック金額[[#This Row],[管理番号]]=""),VLOOKUP(まとめ表_バック金額[[#This Row],[管理番号]],名前リスト[[#All],[管理番号]:[氏名]],2,TRUE),"")</f>
        <v>0</v>
      </c>
      <c r="C333" s="21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79" t="str">
        <f t="shared" si="5"/>
        <v/>
      </c>
      <c r="E333" s="48"/>
      <c r="F3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6">
        <f>IF(NOT(まとめ表_バック金額[[#This Row],[管理番号]]=""),VLOOKUP(まとめ表_バック金額[[#This Row],[管理番号]],名前リスト[[#All],[管理番号]:[氏名]],2,TRUE),"")</f>
        <v>0</v>
      </c>
      <c r="C334" s="21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79" t="str">
        <f t="shared" si="5"/>
        <v/>
      </c>
      <c r="E334" s="48"/>
      <c r="F3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6">
        <f>IF(NOT(まとめ表_バック金額[[#This Row],[管理番号]]=""),VLOOKUP(まとめ表_バック金額[[#This Row],[管理番号]],名前リスト[[#All],[管理番号]:[氏名]],2,TRUE),"")</f>
        <v>0</v>
      </c>
      <c r="C335" s="21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79" t="str">
        <f t="shared" si="5"/>
        <v/>
      </c>
      <c r="E335" s="48"/>
      <c r="F3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6">
        <f>IF(NOT(まとめ表_バック金額[[#This Row],[管理番号]]=""),VLOOKUP(まとめ表_バック金額[[#This Row],[管理番号]],名前リスト[[#All],[管理番号]:[氏名]],2,TRUE),"")</f>
        <v>0</v>
      </c>
      <c r="C336" s="21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79" t="str">
        <f t="shared" si="5"/>
        <v/>
      </c>
      <c r="E336" s="48"/>
      <c r="F3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6">
        <f>IF(NOT(まとめ表_バック金額[[#This Row],[管理番号]]=""),VLOOKUP(まとめ表_バック金額[[#This Row],[管理番号]],名前リスト[[#All],[管理番号]:[氏名]],2,TRUE),"")</f>
        <v>0</v>
      </c>
      <c r="C337" s="21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79" t="str">
        <f t="shared" si="5"/>
        <v/>
      </c>
      <c r="E337" s="48"/>
      <c r="F3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6">
        <f>IF(NOT(まとめ表_バック金額[[#This Row],[管理番号]]=""),VLOOKUP(まとめ表_バック金額[[#This Row],[管理番号]],名前リスト[[#All],[管理番号]:[氏名]],2,TRUE),"")</f>
        <v>0</v>
      </c>
      <c r="C338" s="21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79" t="str">
        <f t="shared" si="5"/>
        <v/>
      </c>
      <c r="E338" s="48"/>
      <c r="F3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6">
        <f>IF(NOT(まとめ表_バック金額[[#This Row],[管理番号]]=""),VLOOKUP(まとめ表_バック金額[[#This Row],[管理番号]],名前リスト[[#All],[管理番号]:[氏名]],2,TRUE),"")</f>
        <v>0</v>
      </c>
      <c r="C339" s="21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79" t="str">
        <f t="shared" si="5"/>
        <v/>
      </c>
      <c r="E339" s="48"/>
      <c r="F3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6">
        <f>IF(NOT(まとめ表_バック金額[[#This Row],[管理番号]]=""),VLOOKUP(まとめ表_バック金額[[#This Row],[管理番号]],名前リスト[[#All],[管理番号]:[氏名]],2,TRUE),"")</f>
        <v>0</v>
      </c>
      <c r="C340" s="21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79" t="str">
        <f t="shared" si="5"/>
        <v/>
      </c>
      <c r="E340" s="48"/>
      <c r="F3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6">
        <f>IF(NOT(まとめ表_バック金額[[#This Row],[管理番号]]=""),VLOOKUP(まとめ表_バック金額[[#This Row],[管理番号]],名前リスト[[#All],[管理番号]:[氏名]],2,TRUE),"")</f>
        <v>0</v>
      </c>
      <c r="C341" s="21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79" t="str">
        <f t="shared" si="5"/>
        <v/>
      </c>
      <c r="E341" s="48"/>
      <c r="F3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6">
        <f>IF(NOT(まとめ表_バック金額[[#This Row],[管理番号]]=""),VLOOKUP(まとめ表_バック金額[[#This Row],[管理番号]],名前リスト[[#All],[管理番号]:[氏名]],2,TRUE),"")</f>
        <v>0</v>
      </c>
      <c r="C342" s="21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79" t="str">
        <f t="shared" si="5"/>
        <v/>
      </c>
      <c r="E342" s="48"/>
      <c r="F3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6">
        <f>IF(NOT(まとめ表_バック金額[[#This Row],[管理番号]]=""),VLOOKUP(まとめ表_バック金額[[#This Row],[管理番号]],名前リスト[[#All],[管理番号]:[氏名]],2,TRUE),"")</f>
        <v>0</v>
      </c>
      <c r="C343" s="21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79" t="str">
        <f t="shared" si="5"/>
        <v/>
      </c>
      <c r="E343" s="48"/>
      <c r="F3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6">
        <f>IF(NOT(まとめ表_バック金額[[#This Row],[管理番号]]=""),VLOOKUP(まとめ表_バック金額[[#This Row],[管理番号]],名前リスト[[#All],[管理番号]:[氏名]],2,TRUE),"")</f>
        <v>0</v>
      </c>
      <c r="C344" s="21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79" t="str">
        <f t="shared" si="5"/>
        <v/>
      </c>
      <c r="E344" s="48"/>
      <c r="F3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6">
        <f>IF(NOT(まとめ表_バック金額[[#This Row],[管理番号]]=""),VLOOKUP(まとめ表_バック金額[[#This Row],[管理番号]],名前リスト[[#All],[管理番号]:[氏名]],2,TRUE),"")</f>
        <v>0</v>
      </c>
      <c r="C345" s="21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79" t="str">
        <f t="shared" si="5"/>
        <v/>
      </c>
      <c r="E345" s="48"/>
      <c r="F3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6">
        <f>IF(NOT(まとめ表_バック金額[[#This Row],[管理番号]]=""),VLOOKUP(まとめ表_バック金額[[#This Row],[管理番号]],名前リスト[[#All],[管理番号]:[氏名]],2,TRUE),"")</f>
        <v>0</v>
      </c>
      <c r="C346" s="21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79" t="str">
        <f t="shared" si="5"/>
        <v/>
      </c>
      <c r="E346" s="48"/>
      <c r="F3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6">
        <f>IF(NOT(まとめ表_バック金額[[#This Row],[管理番号]]=""),VLOOKUP(まとめ表_バック金額[[#This Row],[管理番号]],名前リスト[[#All],[管理番号]:[氏名]],2,TRUE),"")</f>
        <v>0</v>
      </c>
      <c r="C347" s="21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79" t="str">
        <f t="shared" si="5"/>
        <v/>
      </c>
      <c r="E347" s="48"/>
      <c r="F3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6">
        <f>IF(NOT(まとめ表_バック金額[[#This Row],[管理番号]]=""),VLOOKUP(まとめ表_バック金額[[#This Row],[管理番号]],名前リスト[[#All],[管理番号]:[氏名]],2,TRUE),"")</f>
        <v>0</v>
      </c>
      <c r="C348" s="21">
        <f>IF(NOT(まとめ表_バック金額[[#This Row],[管理番号]]=""),VLOOKUP(まとめ表_バック金額[[#This Row],[管理番号]],名前リスト[[#All],[管理番号]:[氏名]],3,TRUE),"")</f>
        <v>0</v>
      </c>
      <c r="D348" s="79" t="str">
        <f t="shared" si="5"/>
        <v/>
      </c>
      <c r="E348" s="48"/>
      <c r="F3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6">
        <f>IF(NOT(まとめ表_バック金額[[#This Row],[管理番号]]=""),VLOOKUP(まとめ表_バック金額[[#This Row],[管理番号]],名前リスト[[#All],[管理番号]:[氏名]],2,TRUE),"")</f>
        <v>0</v>
      </c>
      <c r="C349" s="21">
        <f>IF(NOT(まとめ表_バック金額[[#This Row],[管理番号]]=""),VLOOKUP(まとめ表_バック金額[[#This Row],[管理番号]],名前リスト[[#All],[管理番号]:[氏名]],3,TRUE),"")</f>
        <v>0</v>
      </c>
      <c r="D349" s="79" t="str">
        <f t="shared" si="5"/>
        <v/>
      </c>
      <c r="E349" s="48"/>
      <c r="F3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6">
        <f>IF(NOT(まとめ表_バック金額[[#This Row],[管理番号]]=""),VLOOKUP(まとめ表_バック金額[[#This Row],[管理番号]],名前リスト[[#All],[管理番号]:[氏名]],2,TRUE),"")</f>
        <v>0</v>
      </c>
      <c r="C350" s="21">
        <f>IF(NOT(まとめ表_バック金額[[#This Row],[管理番号]]=""),VLOOKUP(まとめ表_バック金額[[#This Row],[管理番号]],名前リスト[[#All],[管理番号]:[氏名]],3,TRUE),"")</f>
        <v>0</v>
      </c>
      <c r="D350" s="79" t="str">
        <f t="shared" si="5"/>
        <v/>
      </c>
      <c r="E350" s="48"/>
      <c r="F3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6" t="str">
        <f>IF(NOT(まとめ表_バック金額[[#This Row],[管理番号]]=""),VLOOKUP(まとめ表_バック金額[[#This Row],[管理番号]],名前リスト[[#All],[管理番号]:[氏名]],2,TRUE),"")</f>
        <v>たくま</v>
      </c>
      <c r="C351" s="21">
        <f>IF(NOT(まとめ表_バック金額[[#This Row],[管理番号]]=""),VLOOKUP(まとめ表_バック金額[[#This Row],[管理番号]],名前リスト[[#All],[管理番号]:[氏名]],3,TRUE),"")</f>
        <v>0</v>
      </c>
      <c r="D351" s="79" t="str">
        <f t="shared" si="5"/>
        <v/>
      </c>
      <c r="E351" s="48"/>
      <c r="F3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20"/>
  <sheetData>
    <row r="1" spans="1:6">
      <c r="A1" s="85" t="s">
        <v>379</v>
      </c>
      <c r="B1" s="85" t="s">
        <v>323</v>
      </c>
      <c r="E1" s="85" t="s">
        <v>380</v>
      </c>
      <c r="F1" s="85" t="s">
        <v>323</v>
      </c>
    </row>
    <row r="2" spans="1:6">
      <c r="A2" s="85" t="s">
        <v>237</v>
      </c>
      <c r="B2" s="113"/>
      <c r="C2" s="85"/>
      <c r="E2" s="85" t="s">
        <v>237</v>
      </c>
      <c r="F2" s="113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85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85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3515625" defaultRowHeight="20"/>
  <cols>
    <col min="1" max="3" width="11.53515625" style="8"/>
    <col min="4" max="6" width="11.53515625" style="9"/>
    <col min="7" max="8" width="11.53515625" style="8"/>
    <col min="9" max="12" width="11.53515625" style="9"/>
    <col min="13" max="16384" width="11.5351562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 activeCell="I24" sqref="I24"/>
    </sheetView>
  </sheetViews>
  <sheetFormatPr defaultColWidth="11.53515625" defaultRowHeight="20"/>
  <cols>
    <col min="1" max="1" width="20.69140625" style="8" bestFit="1" customWidth="1"/>
    <col min="2" max="2" width="7.69140625" style="8" customWidth="1"/>
    <col min="3" max="3" width="6.3046875" style="8" customWidth="1"/>
    <col min="4" max="4" width="16.69140625" style="8" customWidth="1"/>
    <col min="5" max="5" width="6.3046875" style="8" customWidth="1"/>
    <col min="6" max="6" width="14.84375" style="8" bestFit="1" customWidth="1"/>
    <col min="7" max="7" width="10.84375" style="9" bestFit="1" customWidth="1"/>
    <col min="8" max="8" width="15.69140625" style="9" bestFit="1" customWidth="1"/>
    <col min="9" max="9" width="10.84375" style="9" bestFit="1" customWidth="1"/>
    <col min="10" max="10" width="15.69140625" style="9" customWidth="1"/>
    <col min="11" max="11" width="12" style="9" bestFit="1" customWidth="1"/>
    <col min="12" max="12" width="12" style="9" customWidth="1"/>
    <col min="13" max="13" width="11.53515625" style="8"/>
    <col min="14" max="14" width="20.69140625" style="8" bestFit="1" customWidth="1"/>
    <col min="15" max="15" width="7.69140625" style="8" bestFit="1" customWidth="1"/>
    <col min="16" max="16" width="6.3046875" style="8" customWidth="1"/>
    <col min="17" max="17" width="16.69140625" style="8" customWidth="1"/>
    <col min="18" max="18" width="6.3046875" style="8" customWidth="1"/>
    <col min="19" max="19" width="12.23046875" style="8" bestFit="1" customWidth="1"/>
    <col min="20" max="20" width="10.84375" style="9" bestFit="1" customWidth="1"/>
    <col min="21" max="21" width="15.69140625" style="9" bestFit="1" customWidth="1"/>
    <col min="22" max="23" width="15.69140625" style="9" customWidth="1"/>
    <col min="24" max="24" width="12" style="9" bestFit="1" customWidth="1"/>
    <col min="25" max="16384" width="11.53515625" style="8"/>
  </cols>
  <sheetData>
    <row r="1" spans="1:24">
      <c r="A1" s="46" t="s">
        <v>370</v>
      </c>
      <c r="B1" s="8">
        <v>2000</v>
      </c>
      <c r="E1" s="46" t="s">
        <v>239</v>
      </c>
      <c r="F1" s="46"/>
      <c r="N1" s="46"/>
      <c r="O1" s="46"/>
    </row>
    <row r="2" spans="1:24">
      <c r="A2" s="46" t="s">
        <v>371</v>
      </c>
      <c r="B2" s="8">
        <v>1000</v>
      </c>
      <c r="J2" s="93" t="s">
        <v>367</v>
      </c>
      <c r="N2" s="46" t="s">
        <v>495</v>
      </c>
      <c r="O2" s="46">
        <v>500</v>
      </c>
    </row>
    <row r="3" spans="1:24">
      <c r="A3" s="46" t="s">
        <v>373</v>
      </c>
      <c r="B3" s="8">
        <v>4000</v>
      </c>
      <c r="N3" s="46" t="s">
        <v>373</v>
      </c>
      <c r="O3" s="8">
        <v>3500</v>
      </c>
      <c r="Q3" s="46" t="s">
        <v>494</v>
      </c>
    </row>
    <row r="4" spans="1:24">
      <c r="A4" s="20" t="s">
        <v>205</v>
      </c>
      <c r="B4" s="75" t="s">
        <v>378</v>
      </c>
      <c r="C4" s="10" t="s">
        <v>206</v>
      </c>
      <c r="D4" s="11" t="s">
        <v>207</v>
      </c>
      <c r="E4" s="12" t="s">
        <v>208</v>
      </c>
      <c r="F4" s="78" t="s">
        <v>567</v>
      </c>
      <c r="G4" s="62" t="s">
        <v>372</v>
      </c>
      <c r="H4" s="51" t="s">
        <v>209</v>
      </c>
      <c r="I4" s="96" t="s">
        <v>368</v>
      </c>
      <c r="J4" s="96" t="s">
        <v>369</v>
      </c>
      <c r="K4" s="52" t="s">
        <v>210</v>
      </c>
      <c r="L4" s="94"/>
      <c r="N4" s="104" t="s">
        <v>205</v>
      </c>
      <c r="O4" s="75" t="s">
        <v>378</v>
      </c>
      <c r="P4" s="10" t="s">
        <v>206</v>
      </c>
      <c r="Q4" s="11" t="s">
        <v>207</v>
      </c>
      <c r="R4" s="12" t="s">
        <v>208</v>
      </c>
      <c r="S4" s="78" t="s">
        <v>374</v>
      </c>
      <c r="T4" s="62" t="s">
        <v>372</v>
      </c>
      <c r="U4" s="51" t="s">
        <v>209</v>
      </c>
      <c r="V4" s="96" t="s">
        <v>368</v>
      </c>
      <c r="W4" s="96" t="s">
        <v>369</v>
      </c>
      <c r="X4" s="52" t="s">
        <v>210</v>
      </c>
    </row>
    <row r="5" spans="1:24">
      <c r="A5" s="99">
        <f>IF(DAY(DATE(名前リスト!$N$1,名前リスト!$O$1,ROW()-4))=ROW()-4,DATE(名前リスト!$N$1,名前リスト!$O$1,ROW()-4),"")</f>
        <v>44958</v>
      </c>
      <c r="B5" s="105" t="str">
        <f>TEXT(DATE(名前リスト!$N$1,名前リスト!$O$1,ROW()-4),"aaa")</f>
        <v>水</v>
      </c>
      <c r="C5" s="20" t="str">
        <f>IF(梅田キャンプ4000[[#This Row],[人数]]=0,"",1)</f>
        <v/>
      </c>
      <c r="D5" s="14"/>
      <c r="E5" s="15"/>
      <c r="F5" s="21">
        <f>ROUNDDOWN(梅田キャンプ4000[[#This Row],[人数]]/8,0)</f>
        <v>0</v>
      </c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0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95"/>
      <c r="N5" s="99">
        <f>IF(DAY(DATE(名前リスト!$N$1,名前リスト!$O$1,ROW()-4))=ROW()-4,DATE(名前リスト!$N$1,名前リスト!$O$1,ROW()-4),"")</f>
        <v>44958</v>
      </c>
      <c r="O5" s="105" t="str">
        <f>TEXT(DATE(名前リスト!$N$1,名前リスト!$O$1,ROW()-4),"aaa")</f>
        <v>水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0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00">
        <f>IFERROR(IF(DATE(YEAR($A$5),MONTH($A$5),DAY($A$5))=DATE(YEAR(A5),MONTH(A5),DAY(A5+1)),"",DATE(YEAR(A5),MONTH(A5),DAY(A5+1))),"")</f>
        <v>44959</v>
      </c>
      <c r="B6" s="105" t="str">
        <f>TEXT(DATE(名前リスト!$N$1,名前リスト!$O$1,ROW()-4),"aaa")</f>
        <v>木</v>
      </c>
      <c r="C6" s="20" t="str">
        <f>IF(梅田キャンプ4000[[#This Row],[人数]]=0,"",1)</f>
        <v/>
      </c>
      <c r="D6" s="14"/>
      <c r="E6" s="15"/>
      <c r="F6" s="21">
        <f>ROUNDDOWN(梅田キャンプ4000[[#This Row],[人数]]/8,0)</f>
        <v>0</v>
      </c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0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95"/>
      <c r="N6" s="100">
        <f>IFERROR(IF(DATE(YEAR($A$5),MONTH($A$5),DAY($A$5))=DATE(YEAR(N5),MONTH(N5),DAY(N5+1)),"",DATE(YEAR(N5),MONTH(N5),DAY(N5+1))),"")</f>
        <v>44959</v>
      </c>
      <c r="O6" s="105" t="str">
        <f>TEXT(DATE(名前リスト!$N$1,名前リスト!$O$1,ROW()-4),"aaa")</f>
        <v>木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0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00">
        <f t="shared" ref="A7:A35" si="0">IFERROR(IF(DATE(YEAR($A$5),MONTH($A$5),DAY($A$5))=DATE(YEAR(A6),MONTH(A6),DAY(A6+1)),"",DATE(YEAR(A6),MONTH(A6),DAY(A6+1))),"")</f>
        <v>44960</v>
      </c>
      <c r="B7" s="105" t="str">
        <f>TEXT(DATE(名前リスト!$N$1,名前リスト!$O$1,ROW()-4),"aaa")</f>
        <v>金</v>
      </c>
      <c r="C7" s="20" t="str">
        <f>IF(梅田キャンプ4000[[#This Row],[人数]]=0,"",1)</f>
        <v/>
      </c>
      <c r="D7" s="14"/>
      <c r="E7" s="15"/>
      <c r="F7" s="21">
        <f>ROUNDDOWN(梅田キャンプ4000[[#This Row],[人数]]/8,0)</f>
        <v>0</v>
      </c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0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95"/>
      <c r="N7" s="100">
        <f t="shared" ref="N7:N35" si="1">IFERROR(IF(DATE(YEAR($A$5),MONTH($A$5),DAY($A$5))=DATE(YEAR(N6),MONTH(N6),DAY(N6+1)),"",DATE(YEAR(N6),MONTH(N6),DAY(N6+1))),"")</f>
        <v>44960</v>
      </c>
      <c r="O7" s="105" t="str">
        <f>TEXT(DATE(名前リスト!$N$1,名前リスト!$O$1,ROW()-4),"aaa")</f>
        <v>金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0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00">
        <f t="shared" si="0"/>
        <v>44961</v>
      </c>
      <c r="B8" s="105" t="str">
        <f>TEXT(DATE(名前リスト!$N$1,名前リスト!$O$1,ROW()-4),"aaa")</f>
        <v>土</v>
      </c>
      <c r="C8" s="20" t="str">
        <f>IF(梅田キャンプ4000[[#This Row],[人数]]=0,"",1)</f>
        <v/>
      </c>
      <c r="D8" s="14"/>
      <c r="E8" s="15"/>
      <c r="F8" s="21">
        <f>ROUNDDOWN(梅田キャンプ4000[[#This Row],[人数]]/8,0)</f>
        <v>0</v>
      </c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0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95"/>
      <c r="N8" s="100">
        <f t="shared" si="1"/>
        <v>44961</v>
      </c>
      <c r="O8" s="105" t="str">
        <f>TEXT(DATE(名前リスト!$N$1,名前リスト!$O$1,ROW()-4),"aaa")</f>
        <v>土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0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00">
        <f t="shared" si="0"/>
        <v>44962</v>
      </c>
      <c r="B9" s="105" t="str">
        <f>TEXT(DATE(名前リスト!$N$1,名前リスト!$O$1,ROW()-4),"aaa")</f>
        <v>日</v>
      </c>
      <c r="C9" s="20" t="str">
        <f>IF(梅田キャンプ4000[[#This Row],[人数]]=0,"",1)</f>
        <v/>
      </c>
      <c r="D9" s="14"/>
      <c r="E9" s="50"/>
      <c r="F9" s="21">
        <f>ROUNDDOWN(梅田キャンプ4000[[#This Row],[人数]]/8,0)</f>
        <v>0</v>
      </c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0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95"/>
      <c r="N9" s="100">
        <f t="shared" si="1"/>
        <v>44962</v>
      </c>
      <c r="O9" s="105" t="str">
        <f>TEXT(DATE(名前リスト!$N$1,名前リスト!$O$1,ROW()-4),"aaa")</f>
        <v>日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0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00">
        <f t="shared" si="0"/>
        <v>44963</v>
      </c>
      <c r="B10" s="105" t="str">
        <f>TEXT(DATE(名前リスト!$N$1,名前リスト!$O$1,ROW()-4),"aaa")</f>
        <v>月</v>
      </c>
      <c r="C10" s="20" t="str">
        <f>IF(梅田キャンプ4000[[#This Row],[人数]]=0,"",1)</f>
        <v/>
      </c>
      <c r="D10" s="14"/>
      <c r="E10" s="15"/>
      <c r="F10" s="21">
        <f>ROUNDDOWN(梅田キャンプ4000[[#This Row],[人数]]/8,0)</f>
        <v>0</v>
      </c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0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95"/>
      <c r="N10" s="100">
        <f t="shared" si="1"/>
        <v>44963</v>
      </c>
      <c r="O10" s="105" t="str">
        <f>TEXT(DATE(名前リスト!$N$1,名前リスト!$O$1,ROW()-4),"aaa")</f>
        <v>月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0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00">
        <f t="shared" si="0"/>
        <v>44964</v>
      </c>
      <c r="B11" s="105" t="str">
        <f>TEXT(DATE(名前リスト!$N$1,名前リスト!$O$1,ROW()-4),"aaa")</f>
        <v>火</v>
      </c>
      <c r="C11" s="20" t="str">
        <f>IF(梅田キャンプ4000[[#This Row],[人数]]=0,"",1)</f>
        <v/>
      </c>
      <c r="D11" s="14"/>
      <c r="E11" s="15"/>
      <c r="F11" s="21">
        <f>ROUNDDOWN(梅田キャンプ4000[[#This Row],[人数]]/8,0)</f>
        <v>0</v>
      </c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0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95"/>
      <c r="N11" s="100">
        <f t="shared" si="1"/>
        <v>44964</v>
      </c>
      <c r="O11" s="105" t="str">
        <f>TEXT(DATE(名前リスト!$N$1,名前リスト!$O$1,ROW()-4),"aaa")</f>
        <v>火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0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00">
        <f t="shared" si="0"/>
        <v>44965</v>
      </c>
      <c r="B12" s="105" t="str">
        <f>TEXT(DATE(名前リスト!$N$1,名前リスト!$O$1,ROW()-4),"aaa")</f>
        <v>水</v>
      </c>
      <c r="C12" s="20" t="str">
        <f>IF(梅田キャンプ4000[[#This Row],[人数]]=0,"",1)</f>
        <v/>
      </c>
      <c r="D12" s="14"/>
      <c r="E12" s="15"/>
      <c r="F12" s="21">
        <f>ROUNDDOWN(梅田キャンプ4000[[#This Row],[人数]]/8,0)</f>
        <v>0</v>
      </c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0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95"/>
      <c r="N12" s="100">
        <f t="shared" si="1"/>
        <v>44965</v>
      </c>
      <c r="O12" s="105" t="str">
        <f>TEXT(DATE(名前リスト!$N$1,名前リスト!$O$1,ROW()-4),"aaa")</f>
        <v>水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0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00">
        <f t="shared" si="0"/>
        <v>44966</v>
      </c>
      <c r="B13" s="105" t="str">
        <f>TEXT(DATE(名前リスト!$N$1,名前リスト!$O$1,ROW()-4),"aaa")</f>
        <v>木</v>
      </c>
      <c r="C13" s="20" t="str">
        <f>IF(梅田キャンプ4000[[#This Row],[人数]]=0,"",1)</f>
        <v/>
      </c>
      <c r="D13" s="14"/>
      <c r="E13" s="15"/>
      <c r="F13" s="21">
        <f>ROUNDDOWN(梅田キャンプ4000[[#This Row],[人数]]/8,0)</f>
        <v>0</v>
      </c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0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95"/>
      <c r="N13" s="100">
        <f t="shared" si="1"/>
        <v>44966</v>
      </c>
      <c r="O13" s="105" t="str">
        <f>TEXT(DATE(名前リスト!$N$1,名前リスト!$O$1,ROW()-4),"aaa")</f>
        <v>木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0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00">
        <f t="shared" si="0"/>
        <v>44967</v>
      </c>
      <c r="B14" s="105" t="str">
        <f>TEXT(DATE(名前リスト!$N$1,名前リスト!$O$1,ROW()-4),"aaa")</f>
        <v>金</v>
      </c>
      <c r="C14" s="20" t="str">
        <f>IF(梅田キャンプ4000[[#This Row],[人数]]=0,"",1)</f>
        <v/>
      </c>
      <c r="D14" s="14"/>
      <c r="E14" s="15"/>
      <c r="F14" s="21">
        <f>ROUNDDOWN(梅田キャンプ4000[[#This Row],[人数]]/8,0)</f>
        <v>0</v>
      </c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0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95"/>
      <c r="N14" s="100">
        <f t="shared" si="1"/>
        <v>44967</v>
      </c>
      <c r="O14" s="105" t="str">
        <f>TEXT(DATE(名前リスト!$N$1,名前リスト!$O$1,ROW()-4),"aaa")</f>
        <v>金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0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00">
        <f t="shared" si="0"/>
        <v>44968</v>
      </c>
      <c r="B15" s="105" t="str">
        <f>TEXT(DATE(名前リスト!$N$1,名前リスト!$O$1,ROW()-4),"aaa")</f>
        <v>土</v>
      </c>
      <c r="C15" s="20" t="str">
        <f>IF(梅田キャンプ4000[[#This Row],[人数]]=0,"",1)</f>
        <v/>
      </c>
      <c r="D15" s="14"/>
      <c r="E15" s="15"/>
      <c r="F15" s="21">
        <f>ROUNDDOWN(梅田キャンプ4000[[#This Row],[人数]]/8,0)</f>
        <v>0</v>
      </c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0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95"/>
      <c r="N15" s="100">
        <f t="shared" si="1"/>
        <v>44968</v>
      </c>
      <c r="O15" s="105" t="str">
        <f>TEXT(DATE(名前リスト!$N$1,名前リスト!$O$1,ROW()-4),"aaa")</f>
        <v>土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0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00">
        <f>IFERROR(IF(DATE(YEAR($A$5),MONTH($A$5),DAY($A$5))=DATE(YEAR(A15),MONTH(A15),DAY(A15+1)),"",DATE(YEAR(A15),MONTH(A15),DAY(A15+1))),"")</f>
        <v>44969</v>
      </c>
      <c r="B16" s="105" t="str">
        <f>TEXT(DATE(名前リスト!$N$1,名前リスト!$O$1,ROW()-4),"aaa")</f>
        <v>日</v>
      </c>
      <c r="C16" s="20" t="str">
        <f>IF(梅田キャンプ4000[[#This Row],[人数]]=0,"",1)</f>
        <v/>
      </c>
      <c r="D16" s="14"/>
      <c r="E16" s="15"/>
      <c r="F16" s="21">
        <f>ROUNDDOWN(梅田キャンプ4000[[#This Row],[人数]]/8,0)</f>
        <v>0</v>
      </c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0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95"/>
      <c r="N16" s="100">
        <f t="shared" si="1"/>
        <v>44969</v>
      </c>
      <c r="O16" s="105" t="str">
        <f>TEXT(DATE(名前リスト!$N$1,名前リスト!$O$1,ROW()-4),"aaa")</f>
        <v>日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0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00">
        <f t="shared" si="0"/>
        <v>44970</v>
      </c>
      <c r="B17" s="105" t="str">
        <f>TEXT(DATE(名前リスト!$N$1,名前リスト!$O$1,ROW()-4),"aaa")</f>
        <v>月</v>
      </c>
      <c r="C17" s="20" t="str">
        <f>IF(梅田キャンプ4000[[#This Row],[人数]]=0,"",1)</f>
        <v/>
      </c>
      <c r="D17" s="14"/>
      <c r="E17" s="15"/>
      <c r="F17" s="21">
        <f>ROUNDDOWN(梅田キャンプ4000[[#This Row],[人数]]/8,0)</f>
        <v>0</v>
      </c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0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95"/>
      <c r="N17" s="100">
        <f t="shared" si="1"/>
        <v>44970</v>
      </c>
      <c r="O17" s="105" t="str">
        <f>TEXT(DATE(名前リスト!$N$1,名前リスト!$O$1,ROW()-4),"aaa")</f>
        <v>月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0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00">
        <f t="shared" si="0"/>
        <v>44971</v>
      </c>
      <c r="B18" s="105" t="str">
        <f>TEXT(DATE(名前リスト!$N$1,名前リスト!$O$1,ROW()-4),"aaa")</f>
        <v>火</v>
      </c>
      <c r="C18" s="20" t="str">
        <f>IF(梅田キャンプ4000[[#This Row],[人数]]=0,"",1)</f>
        <v/>
      </c>
      <c r="D18" s="14"/>
      <c r="E18" s="15"/>
      <c r="F18" s="21">
        <f>ROUNDDOWN(梅田キャンプ4000[[#This Row],[人数]]/8,0)</f>
        <v>0</v>
      </c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0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95"/>
      <c r="N18" s="100">
        <f t="shared" si="1"/>
        <v>44971</v>
      </c>
      <c r="O18" s="105" t="str">
        <f>TEXT(DATE(名前リスト!$N$1,名前リスト!$O$1,ROW()-4),"aaa")</f>
        <v>火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0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00">
        <f t="shared" si="0"/>
        <v>44972</v>
      </c>
      <c r="B19" s="105" t="str">
        <f>TEXT(DATE(名前リスト!$N$1,名前リスト!$O$1,ROW()-4),"aaa")</f>
        <v>水</v>
      </c>
      <c r="C19" s="20" t="str">
        <f>IF(梅田キャンプ4000[[#This Row],[人数]]=0,"",1)</f>
        <v/>
      </c>
      <c r="D19" s="14"/>
      <c r="E19" s="15"/>
      <c r="F19" s="21">
        <f>ROUNDDOWN(梅田キャンプ4000[[#This Row],[人数]]/8,0)</f>
        <v>0</v>
      </c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0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95"/>
      <c r="N19" s="100">
        <f t="shared" si="1"/>
        <v>44972</v>
      </c>
      <c r="O19" s="105" t="str">
        <f>TEXT(DATE(名前リスト!$N$1,名前リスト!$O$1,ROW()-4),"aaa")</f>
        <v>水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0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00">
        <f t="shared" si="0"/>
        <v>44973</v>
      </c>
      <c r="B20" s="105" t="str">
        <f>TEXT(DATE(名前リスト!$N$1,名前リスト!$O$1,ROW()-4),"aaa")</f>
        <v>木</v>
      </c>
      <c r="C20" s="20" t="str">
        <f>IF(梅田キャンプ4000[[#This Row],[人数]]=0,"",1)</f>
        <v/>
      </c>
      <c r="D20" s="14"/>
      <c r="E20" s="15"/>
      <c r="F20" s="21">
        <f>ROUNDDOWN(梅田キャンプ4000[[#This Row],[人数]]/8,0)</f>
        <v>0</v>
      </c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0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95"/>
      <c r="N20" s="100">
        <f t="shared" si="1"/>
        <v>44973</v>
      </c>
      <c r="O20" s="105" t="str">
        <f>TEXT(DATE(名前リスト!$N$1,名前リスト!$O$1,ROW()-4),"aaa")</f>
        <v>木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0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00">
        <f t="shared" si="0"/>
        <v>44974</v>
      </c>
      <c r="B21" s="105" t="str">
        <f>TEXT(DATE(名前リスト!$N$1,名前リスト!$O$1,ROW()-4),"aaa")</f>
        <v>金</v>
      </c>
      <c r="C21" s="20">
        <f>IF(梅田キャンプ4000[[#This Row],[人数]]=0,"",1)</f>
        <v>1</v>
      </c>
      <c r="D21" s="14">
        <v>228</v>
      </c>
      <c r="E21" s="15">
        <v>8</v>
      </c>
      <c r="F21" s="21">
        <f>ROUNDDOWN(梅田キャンプ4000[[#This Row],[人数]]/8,0)</f>
        <v>1</v>
      </c>
      <c r="G21" s="16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>16000</v>
      </c>
      <c r="H21" s="16">
        <f>IFERROR(($B$3*梅田キャンプ4000[[#This Row],[人数]])-梅田キャンプ4000[[#This Row],[単価合計]]-(梅田キャンプ4000[[#This Row],[キャンセル人数]]*$B$2),"")</f>
        <v>16000</v>
      </c>
      <c r="I21" s="16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>0</v>
      </c>
      <c r="J21" s="70"/>
      <c r="K21" s="16">
        <f>IF(梅田キャンプ4000[[#This Row],[人数]]="","",VLOOKUP(梅田キャンプ4000[[#This Row],[人数]],バック金額①[#All],2,TRUE)-(梅田キャンプ4000[[#This Row],[キャンセル人数]]*$B$2))</f>
        <v>10000</v>
      </c>
      <c r="L21" s="95"/>
      <c r="N21" s="100">
        <f t="shared" si="1"/>
        <v>44974</v>
      </c>
      <c r="O21" s="105" t="str">
        <f>TEXT(DATE(名前リスト!$N$1,名前リスト!$O$1,ROW()-4),"aaa")</f>
        <v>金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0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00">
        <f t="shared" si="0"/>
        <v>44975</v>
      </c>
      <c r="B22" s="105" t="str">
        <f>TEXT(DATE(名前リスト!$N$1,名前リスト!$O$1,ROW()-4),"aaa")</f>
        <v>土</v>
      </c>
      <c r="C22" s="20" t="str">
        <f>IF(梅田キャンプ4000[[#This Row],[人数]]=0,"",1)</f>
        <v/>
      </c>
      <c r="D22" s="14"/>
      <c r="E22" s="15"/>
      <c r="F22" s="21">
        <f>ROUNDDOWN(梅田キャンプ4000[[#This Row],[人数]]/8,0)</f>
        <v>0</v>
      </c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0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95"/>
      <c r="N22" s="100">
        <f t="shared" si="1"/>
        <v>44975</v>
      </c>
      <c r="O22" s="105" t="str">
        <f>TEXT(DATE(名前リスト!$N$1,名前リスト!$O$1,ROW()-4),"aaa")</f>
        <v>土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0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00">
        <f t="shared" si="0"/>
        <v>44976</v>
      </c>
      <c r="B23" s="105" t="str">
        <f>TEXT(DATE(名前リスト!$N$1,名前リスト!$O$1,ROW()-4),"aaa")</f>
        <v>日</v>
      </c>
      <c r="C23" s="20" t="str">
        <f>IF(梅田キャンプ4000[[#This Row],[人数]]=0,"",1)</f>
        <v/>
      </c>
      <c r="D23" s="14"/>
      <c r="E23" s="15"/>
      <c r="F23" s="21">
        <f>ROUNDDOWN(梅田キャンプ4000[[#This Row],[人数]]/8,0)</f>
        <v>0</v>
      </c>
      <c r="G2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6" t="str">
        <f>IFERROR(($B$3*梅田キャンプ4000[[#This Row],[人数]])-梅田キャンプ4000[[#This Row],[単価合計]]-(梅田キャンプ4000[[#This Row],[キャンセル人数]]*$B$2),"")</f>
        <v/>
      </c>
      <c r="I2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0"/>
      <c r="K23" s="16" t="str">
        <f>IF(梅田キャンプ4000[[#This Row],[人数]]="","",VLOOKUP(梅田キャンプ4000[[#This Row],[人数]],バック金額①[#All],2,TRUE)-(梅田キャンプ4000[[#This Row],[キャンセル人数]]*$B$2))</f>
        <v/>
      </c>
      <c r="L23" s="95"/>
      <c r="N23" s="100">
        <f t="shared" si="1"/>
        <v>44976</v>
      </c>
      <c r="O23" s="105" t="str">
        <f>TEXT(DATE(名前リスト!$N$1,名前リスト!$O$1,ROW()-4),"aaa")</f>
        <v>日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0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00">
        <f t="shared" si="0"/>
        <v>44977</v>
      </c>
      <c r="B24" s="105" t="str">
        <f>TEXT(DATE(名前リスト!$N$1,名前リスト!$O$1,ROW()-4),"aaa")</f>
        <v>月</v>
      </c>
      <c r="C24" s="20">
        <f>IF(梅田キャンプ4000[[#This Row],[人数]]=0,"",1)</f>
        <v>1</v>
      </c>
      <c r="D24" s="14">
        <v>40</v>
      </c>
      <c r="E24" s="15">
        <v>7</v>
      </c>
      <c r="F24" s="21">
        <f>ROUNDDOWN(梅田キャンプ4000[[#This Row],[人数]]/8,0)</f>
        <v>0</v>
      </c>
      <c r="G24" s="16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>14000</v>
      </c>
      <c r="H24" s="16">
        <f>IFERROR(($B$3*梅田キャンプ4000[[#This Row],[人数]])-梅田キャンプ4000[[#This Row],[単価合計]]-(梅田キャンプ4000[[#This Row],[キャンセル人数]]*$B$2),"")</f>
        <v>14000</v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0"/>
      <c r="K24" s="16">
        <f>IF(梅田キャンプ4000[[#This Row],[人数]]="","",VLOOKUP(梅田キャンプ4000[[#This Row],[人数]],バック金額①[#All],2,TRUE)-(梅田キャンプ4000[[#This Row],[キャンセル人数]]*$B$2))</f>
        <v>9000</v>
      </c>
      <c r="L24" s="95"/>
      <c r="N24" s="100">
        <f t="shared" si="1"/>
        <v>44977</v>
      </c>
      <c r="O24" s="105" t="str">
        <f>TEXT(DATE(名前リスト!$N$1,名前リスト!$O$1,ROW()-4),"aaa")</f>
        <v>月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0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00">
        <f t="shared" si="0"/>
        <v>44978</v>
      </c>
      <c r="B25" s="105" t="str">
        <f>TEXT(DATE(名前リスト!$N$1,名前リスト!$O$1,ROW()-4),"aaa")</f>
        <v>火</v>
      </c>
      <c r="C25" s="20" t="str">
        <f>IF(梅田キャンプ4000[[#This Row],[人数]]=0,"",1)</f>
        <v/>
      </c>
      <c r="D25" s="14"/>
      <c r="E25" s="15"/>
      <c r="F25" s="21">
        <f>ROUNDDOWN(梅田キャンプ4000[[#This Row],[人数]]/8,0)</f>
        <v>0</v>
      </c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0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95"/>
      <c r="N25" s="100">
        <f t="shared" si="1"/>
        <v>44978</v>
      </c>
      <c r="O25" s="105" t="str">
        <f>TEXT(DATE(名前リスト!$N$1,名前リスト!$O$1,ROW()-4),"aaa")</f>
        <v>火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0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00">
        <f t="shared" si="0"/>
        <v>44979</v>
      </c>
      <c r="B26" s="105" t="str">
        <f>TEXT(DATE(名前リスト!$N$1,名前リスト!$O$1,ROW()-4),"aaa")</f>
        <v>水</v>
      </c>
      <c r="C26" s="20" t="str">
        <f>IF(梅田キャンプ4000[[#This Row],[人数]]=0,"",1)</f>
        <v/>
      </c>
      <c r="D26" s="53"/>
      <c r="E26" s="15"/>
      <c r="F26" s="21">
        <f>ROUNDDOWN(梅田キャンプ4000[[#This Row],[人数]]/8,0)</f>
        <v>0</v>
      </c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0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95"/>
      <c r="N26" s="100">
        <f t="shared" si="1"/>
        <v>44979</v>
      </c>
      <c r="O26" s="105" t="str">
        <f>TEXT(DATE(名前リスト!$N$1,名前リスト!$O$1,ROW()-4),"aaa")</f>
        <v>水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0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00">
        <f t="shared" si="0"/>
        <v>44980</v>
      </c>
      <c r="B27" s="105" t="str">
        <f>TEXT(DATE(名前リスト!$N$1,名前リスト!$O$1,ROW()-4),"aaa")</f>
        <v>木</v>
      </c>
      <c r="C27" s="20" t="str">
        <f>IF(梅田キャンプ4000[[#This Row],[人数]]=0,"",1)</f>
        <v/>
      </c>
      <c r="D27" s="14"/>
      <c r="E27" s="15"/>
      <c r="F27" s="21">
        <f>ROUNDDOWN(梅田キャンプ4000[[#This Row],[人数]]/8,0)</f>
        <v>0</v>
      </c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0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95"/>
      <c r="N27" s="100">
        <f t="shared" si="1"/>
        <v>44980</v>
      </c>
      <c r="O27" s="105" t="str">
        <f>TEXT(DATE(名前リスト!$N$1,名前リスト!$O$1,ROW()-4),"aaa")</f>
        <v>木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0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00">
        <f t="shared" si="0"/>
        <v>44981</v>
      </c>
      <c r="B28" s="105" t="str">
        <f>TEXT(DATE(名前リスト!$N$1,名前リスト!$O$1,ROW()-4),"aaa")</f>
        <v>金</v>
      </c>
      <c r="C28" s="20" t="str">
        <f>IF(梅田キャンプ4000[[#This Row],[人数]]=0,"",1)</f>
        <v/>
      </c>
      <c r="D28" s="14"/>
      <c r="E28" s="15"/>
      <c r="F28" s="21">
        <f>ROUNDDOWN(梅田キャンプ4000[[#This Row],[人数]]/8,0)</f>
        <v>0</v>
      </c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0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95"/>
      <c r="N28" s="100">
        <f t="shared" si="1"/>
        <v>44981</v>
      </c>
      <c r="O28" s="105" t="str">
        <f>TEXT(DATE(名前リスト!$N$1,名前リスト!$O$1,ROW()-4),"aaa")</f>
        <v>金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0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00">
        <f t="shared" si="0"/>
        <v>44982</v>
      </c>
      <c r="B29" s="105" t="str">
        <f>TEXT(DATE(名前リスト!$N$1,名前リスト!$O$1,ROW()-4),"aaa")</f>
        <v>土</v>
      </c>
      <c r="C29" s="20" t="str">
        <f>IF(梅田キャンプ4000[[#This Row],[人数]]=0,"",1)</f>
        <v/>
      </c>
      <c r="D29" s="14"/>
      <c r="E29" s="15"/>
      <c r="F29" s="21">
        <f>ROUNDDOWN(梅田キャンプ4000[[#This Row],[人数]]/8,0)</f>
        <v>0</v>
      </c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0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95"/>
      <c r="N29" s="100">
        <f t="shared" si="1"/>
        <v>44982</v>
      </c>
      <c r="O29" s="105" t="str">
        <f>TEXT(DATE(名前リスト!$N$1,名前リスト!$O$1,ROW()-4),"aaa")</f>
        <v>土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0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00">
        <f t="shared" si="0"/>
        <v>44983</v>
      </c>
      <c r="B30" s="105" t="str">
        <f>TEXT(DATE(名前リスト!$N$1,名前リスト!$O$1,ROW()-4),"aaa")</f>
        <v>日</v>
      </c>
      <c r="C30" s="20" t="str">
        <f>IF(梅田キャンプ4000[[#This Row],[人数]]=0,"",1)</f>
        <v/>
      </c>
      <c r="D30" s="14"/>
      <c r="E30" s="15"/>
      <c r="F30" s="21">
        <f>ROUNDDOWN(梅田キャンプ4000[[#This Row],[人数]]/8,0)</f>
        <v>0</v>
      </c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0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95"/>
      <c r="N30" s="100">
        <f t="shared" si="1"/>
        <v>44983</v>
      </c>
      <c r="O30" s="105" t="str">
        <f>TEXT(DATE(名前リスト!$N$1,名前リスト!$O$1,ROW()-4),"aaa")</f>
        <v>日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0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00">
        <f t="shared" si="0"/>
        <v>44984</v>
      </c>
      <c r="B31" s="105" t="str">
        <f>TEXT(DATE(名前リスト!$N$1,名前リスト!$O$1,ROW()-4),"aaa")</f>
        <v>月</v>
      </c>
      <c r="C31" s="20" t="str">
        <f>IF(梅田キャンプ4000[[#This Row],[人数]]=0,"",1)</f>
        <v/>
      </c>
      <c r="D31" s="14"/>
      <c r="E31" s="15"/>
      <c r="F31" s="21">
        <f>ROUNDDOWN(梅田キャンプ4000[[#This Row],[人数]]/8,0)</f>
        <v>0</v>
      </c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0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95"/>
      <c r="N31" s="100">
        <f t="shared" si="1"/>
        <v>44984</v>
      </c>
      <c r="O31" s="105" t="str">
        <f>TEXT(DATE(名前リスト!$N$1,名前リスト!$O$1,ROW()-4),"aaa")</f>
        <v>月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0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00">
        <f t="shared" si="0"/>
        <v>44985</v>
      </c>
      <c r="B32" s="105" t="str">
        <f>TEXT(DATE(名前リスト!$N$1,名前リスト!$O$1,ROW()-4),"aaa")</f>
        <v>火</v>
      </c>
      <c r="C32" s="20" t="str">
        <f>IF(梅田キャンプ4000[[#This Row],[人数]]=0,"",1)</f>
        <v/>
      </c>
      <c r="D32" s="14"/>
      <c r="E32" s="15"/>
      <c r="F32" s="21">
        <f>ROUNDDOWN(梅田キャンプ4000[[#This Row],[人数]]/8,0)</f>
        <v>0</v>
      </c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0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95"/>
      <c r="N32" s="100">
        <f t="shared" si="1"/>
        <v>44985</v>
      </c>
      <c r="O32" s="105" t="str">
        <f>TEXT(DATE(名前リスト!$N$1,名前リスト!$O$1,ROW()-4),"aaa")</f>
        <v>火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0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00" t="str">
        <f t="shared" si="0"/>
        <v/>
      </c>
      <c r="B33" s="105" t="str">
        <f>TEXT(DATE(名前リスト!$N$1,名前リスト!$O$1,ROW()-4),"aaa")</f>
        <v>水</v>
      </c>
      <c r="C33" s="20" t="str">
        <f>IF(梅田キャンプ4000[[#This Row],[人数]]=0,"",1)</f>
        <v/>
      </c>
      <c r="D33" s="14"/>
      <c r="E33" s="15"/>
      <c r="F33" s="21">
        <f>ROUNDDOWN(梅田キャンプ4000[[#This Row],[人数]]/8,0)</f>
        <v>0</v>
      </c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0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95"/>
      <c r="N33" s="100" t="str">
        <f t="shared" si="1"/>
        <v/>
      </c>
      <c r="O33" s="105" t="str">
        <f>TEXT(DATE(名前リスト!$N$1,名前リスト!$O$1,ROW()-4),"aaa")</f>
        <v>水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0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00" t="str">
        <f t="shared" si="0"/>
        <v/>
      </c>
      <c r="B34" s="105" t="str">
        <f>TEXT(DATE(名前リスト!$N$1,名前リスト!$O$1,ROW()-4),"aaa")</f>
        <v>木</v>
      </c>
      <c r="C34" s="20" t="str">
        <f>IF(梅田キャンプ4000[[#This Row],[人数]]=0,"",1)</f>
        <v/>
      </c>
      <c r="D34" s="14"/>
      <c r="E34" s="15"/>
      <c r="F34" s="21">
        <f>ROUNDDOWN(梅田キャンプ4000[[#This Row],[人数]]/8,0)</f>
        <v>0</v>
      </c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0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95"/>
      <c r="N34" s="100" t="str">
        <f t="shared" si="1"/>
        <v/>
      </c>
      <c r="O34" s="105" t="str">
        <f>TEXT(DATE(名前リスト!$N$1,名前リスト!$O$1,ROW()-4),"aaa")</f>
        <v>木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0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01" t="str">
        <f t="shared" si="0"/>
        <v/>
      </c>
      <c r="B35" s="105" t="str">
        <f>TEXT(DATE(名前リスト!$N$1,名前リスト!$O$1,ROW()-4),"aaa")</f>
        <v>金</v>
      </c>
      <c r="C35" s="20" t="str">
        <f>IF(梅田キャンプ4000[[#This Row],[人数]]=0,"",1)</f>
        <v/>
      </c>
      <c r="D35" s="18"/>
      <c r="E35" s="19"/>
      <c r="F35" s="21">
        <f>ROUNDDOWN(梅田キャンプ4000[[#This Row],[人数]]/8,0)</f>
        <v>0</v>
      </c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0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95"/>
      <c r="N35" s="101" t="str">
        <f t="shared" si="1"/>
        <v/>
      </c>
      <c r="O35" s="105" t="str">
        <f>TEXT(DATE(名前リスト!$N$1,名前リスト!$O$1,ROW()-4),"aaa")</f>
        <v>金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0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6" t="s">
        <v>211</v>
      </c>
      <c r="B36" s="102"/>
      <c r="C36" s="16">
        <f>SUM(梅田キャンプ4000[件数])</f>
        <v>2</v>
      </c>
      <c r="D36" s="6"/>
      <c r="E36" s="16">
        <f>SUM(梅田キャンプ4000[人数])</f>
        <v>15</v>
      </c>
      <c r="F36" s="16"/>
      <c r="G36" s="16">
        <f>SUM(梅田キャンプ4000[単価合計])</f>
        <v>30000</v>
      </c>
      <c r="H36" s="16">
        <f>SUM(梅田キャンプ4000[ゆうき取りに行く])</f>
        <v>30000</v>
      </c>
      <c r="I36" s="16"/>
      <c r="J36" s="16"/>
      <c r="K36" s="16">
        <f>SUM(梅田キャンプ4000[イベンターへ])</f>
        <v>19000</v>
      </c>
      <c r="L36" s="95"/>
      <c r="N36" s="69" t="s">
        <v>322</v>
      </c>
      <c r="O36" s="103"/>
      <c r="P36" s="16">
        <f>SUM(梅田キャンプ3500[件数])</f>
        <v>0</v>
      </c>
      <c r="Q36" s="6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3" style="8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843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  <c r="I1" s="46" t="s">
        <v>240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373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374</v>
      </c>
      <c r="F4" s="62" t="s">
        <v>372</v>
      </c>
      <c r="G4" s="51" t="s">
        <v>209</v>
      </c>
      <c r="H4" s="62" t="s">
        <v>376</v>
      </c>
      <c r="I4" s="62" t="s">
        <v>377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374</v>
      </c>
      <c r="Q4" s="62" t="s">
        <v>372</v>
      </c>
      <c r="R4" s="51" t="s">
        <v>209</v>
      </c>
      <c r="S4" s="62" t="s">
        <v>376</v>
      </c>
      <c r="T4" s="62" t="s">
        <v>377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44958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0"/>
      <c r="J5" s="16" t="str">
        <f>IF(梅田パンプキン4000[[#This Row],[人数]]="","",VLOOKUP(梅田パンプキン4000[[#This Row],[人数]],バック金額①[#All],2,TRUE))</f>
        <v/>
      </c>
      <c r="L5" s="63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0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0"/>
      <c r="J6" s="16" t="str">
        <f>IF(梅田パンプキン4000[[#This Row],[人数]]="","",VLOOKUP(梅田パンプキン4000[[#This Row],[人数]],バック金額①[#All],2,TRUE))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0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0"/>
      <c r="J7" s="16" t="str">
        <f>IF(梅田パンプキン4000[[#This Row],[人数]]="","",VLOOKUP(梅田パンプキン4000[[#This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0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0"/>
      <c r="J8" s="16" t="str">
        <f>IF(梅田パンプキン4000[[#This Row],[人数]]="","",VLOOKUP(梅田パンプキン4000[[#This Row],[人数]],バック金額①[#All],2,TRUE))</f>
        <v/>
      </c>
      <c r="L8" s="63">
        <f t="shared" si="1"/>
        <v>44961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0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3">
        <f t="shared" si="0"/>
        <v>44962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0"/>
      <c r="J9" s="16" t="str">
        <f>IF(梅田パンプキン4000[[#This Row],[人数]]="","",VLOOKUP(梅田パンプキン4000[[#This Row],[人数]],バック金額①[#All],2,TRUE))</f>
        <v/>
      </c>
      <c r="L9" s="63">
        <f t="shared" si="1"/>
        <v>44962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0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0"/>
      <c r="J10" s="16" t="str">
        <f>IF(梅田パンプキン4000[[#This Row],[人数]]="","",VLOOKUP(梅田パンプキン4000[[#This Row],[人数]],バック金額①[#All],2,TRUE))</f>
        <v/>
      </c>
      <c r="L10" s="63">
        <f t="shared" si="1"/>
        <v>44963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0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3">
        <f t="shared" si="0"/>
        <v>44964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0"/>
      <c r="J11" s="16" t="str">
        <f>IF(梅田パンプキン4000[[#This Row],[人数]]="","",VLOOKUP(梅田パンプキン4000[[#This Row],[人数]],バック金額①[#All],2,TRUE))</f>
        <v/>
      </c>
      <c r="L11" s="63">
        <f t="shared" si="1"/>
        <v>44964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0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3">
        <f t="shared" si="0"/>
        <v>44965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0"/>
      <c r="J12" s="16" t="str">
        <f>IF(梅田パンプキン4000[[#This Row],[人数]]="","",VLOOKUP(梅田パンプキン4000[[#This Row],[人数]],バック金額①[#All],2,TRUE))</f>
        <v/>
      </c>
      <c r="L12" s="63">
        <f t="shared" si="1"/>
        <v>44965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0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3">
        <f t="shared" si="0"/>
        <v>44966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0"/>
      <c r="J13" s="16" t="str">
        <f>IF(梅田パンプキン4000[[#This Row],[人数]]="","",VLOOKUP(梅田パンプキン4000[[#This Row],[人数]],バック金額①[#All],2,TRUE))</f>
        <v/>
      </c>
      <c r="L13" s="63">
        <f t="shared" si="1"/>
        <v>44966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0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0"/>
      <c r="J14" s="16" t="str">
        <f>IF(梅田パンプキン4000[[#This Row],[人数]]="","",VLOOKUP(梅田パンプキン4000[[#This Row],[人数]],バック金額①[#All],2,TRUE))</f>
        <v/>
      </c>
      <c r="L14" s="63">
        <f t="shared" si="1"/>
        <v>44967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0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3">
        <f t="shared" si="0"/>
        <v>44968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0"/>
      <c r="J15" s="16" t="str">
        <f>IF(梅田パンプキン4000[[#This Row],[人数]]="","",VLOOKUP(梅田パンプキン4000[[#This Row],[人数]],バック金額①[#All],2,TRUE))</f>
        <v/>
      </c>
      <c r="L15" s="63">
        <f t="shared" si="1"/>
        <v>44968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0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0"/>
      <c r="J16" s="16" t="str">
        <f>IF(梅田パンプキン4000[[#This Row],[人数]]="","",VLOOKUP(梅田パンプキン4000[[#This Row],[人数]],バック金額①[#All],2,TRUE))</f>
        <v/>
      </c>
      <c r="L16" s="63">
        <f t="shared" si="1"/>
        <v>44969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0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3">
        <f t="shared" si="0"/>
        <v>44970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0"/>
      <c r="J17" s="16" t="str">
        <f>IF(梅田パンプキン4000[[#This Row],[人数]]="","",VLOOKUP(梅田パンプキン4000[[#This Row],[人数]],バック金額①[#All],2,TRUE))</f>
        <v/>
      </c>
      <c r="L17" s="63">
        <f t="shared" si="1"/>
        <v>44970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0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0"/>
      <c r="J18" s="16" t="str">
        <f>IF(梅田パンプキン4000[[#This Row],[人数]]="","",VLOOKUP(梅田パンプキン4000[[#This Row],[人数]],バック金額①[#All],2,TRUE))</f>
        <v/>
      </c>
      <c r="L18" s="63">
        <f t="shared" si="1"/>
        <v>44971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0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3">
        <f t="shared" si="0"/>
        <v>44972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0"/>
      <c r="J19" s="16" t="str">
        <f>IF(梅田パンプキン4000[[#This Row],[人数]]="","",VLOOKUP(梅田パンプキン4000[[#This Row],[人数]],バック金額①[#All],2,TRUE))</f>
        <v/>
      </c>
      <c r="L19" s="63">
        <f t="shared" si="1"/>
        <v>44972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0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0"/>
      <c r="J20" s="16" t="str">
        <f>IF(梅田パンプキン4000[[#This Row],[人数]]="","",VLOOKUP(梅田パンプキン4000[[#This Row],[人数]],バック金額①[#All],2,TRUE))</f>
        <v/>
      </c>
      <c r="L20" s="63">
        <f t="shared" si="1"/>
        <v>44973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0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3">
        <f t="shared" si="0"/>
        <v>44974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0"/>
      <c r="J21" s="16" t="str">
        <f>IF(梅田パンプキン4000[[#This Row],[人数]]="","",VLOOKUP(梅田パンプキン4000[[#This Row],[人数]],バック金額①[#All],2,TRUE))</f>
        <v/>
      </c>
      <c r="L21" s="63">
        <f t="shared" si="1"/>
        <v>44974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0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0"/>
      <c r="J22" s="16" t="str">
        <f>IF(梅田パンプキン4000[[#This Row],[人数]]="","",VLOOKUP(梅田パンプキン4000[[#This Row],[人数]],バック金額①[#All],2,TRUE))</f>
        <v/>
      </c>
      <c r="L22" s="63">
        <f t="shared" si="1"/>
        <v>44975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0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3">
        <f t="shared" si="0"/>
        <v>44976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0"/>
      <c r="J23" s="16" t="str">
        <f>IF(梅田パンプキン4000[[#This Row],[人数]]="","",VLOOKUP(梅田パンプキン4000[[#This Row],[人数]],バック金額①[#All],2,TRUE))</f>
        <v/>
      </c>
      <c r="L23" s="63">
        <f t="shared" si="1"/>
        <v>44976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0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0"/>
      <c r="J24" s="16" t="str">
        <f>IF(梅田パンプキン4000[[#This Row],[人数]]="","",VLOOKUP(梅田パンプキン4000[[#This Row],[人数]],バック金額①[#All],2,TRUE))</f>
        <v/>
      </c>
      <c r="L24" s="63">
        <f t="shared" si="1"/>
        <v>44977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0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3">
        <f t="shared" si="0"/>
        <v>44978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0"/>
      <c r="J25" s="16" t="str">
        <f>IF(梅田パンプキン4000[[#This Row],[人数]]="","",VLOOKUP(梅田パンプキン4000[[#This Row],[人数]],バック金額①[#All],2,TRUE))</f>
        <v/>
      </c>
      <c r="L25" s="63">
        <f t="shared" si="1"/>
        <v>44978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0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0"/>
      <c r="J26" s="16" t="str">
        <f>IF(梅田パンプキン4000[[#This Row],[人数]]="","",VLOOKUP(梅田パンプキン4000[[#This Row],[人数]],バック金額①[#All],2,TRUE))</f>
        <v/>
      </c>
      <c r="L26" s="63">
        <f t="shared" si="1"/>
        <v>44979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0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3">
        <f t="shared" si="0"/>
        <v>44980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0"/>
      <c r="J27" s="16" t="str">
        <f>IF(梅田パンプキン4000[[#This Row],[人数]]="","",VLOOKUP(梅田パンプキン4000[[#This Row],[人数]],バック金額①[#All],2,TRUE))</f>
        <v/>
      </c>
      <c r="L27" s="63">
        <f t="shared" si="1"/>
        <v>44980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0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0"/>
      <c r="J28" s="16" t="str">
        <f>IF(梅田パンプキン4000[[#This Row],[人数]]="","",VLOOKUP(梅田パンプキン4000[[#This Row],[人数]],バック金額①[#All],2,TRUE))</f>
        <v/>
      </c>
      <c r="L28" s="63">
        <f t="shared" si="1"/>
        <v>44981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0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3">
        <f t="shared" si="0"/>
        <v>44982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0"/>
      <c r="J29" s="16" t="str">
        <f>IF(梅田パンプキン4000[[#This Row],[人数]]="","",VLOOKUP(梅田パンプキン4000[[#This Row],[人数]],バック金額①[#All],2,TRUE))</f>
        <v/>
      </c>
      <c r="L29" s="63">
        <f t="shared" si="1"/>
        <v>44982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0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0"/>
      <c r="J30" s="16" t="str">
        <f>IF(梅田パンプキン4000[[#This Row],[人数]]="","",VLOOKUP(梅田パンプキン4000[[#This Row],[人数]],バック金額①[#All],2,TRUE))</f>
        <v/>
      </c>
      <c r="L30" s="63">
        <f t="shared" si="1"/>
        <v>44983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0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3">
        <f t="shared" si="0"/>
        <v>44984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0"/>
      <c r="J31" s="16" t="str">
        <f>IF(梅田パンプキン4000[[#This Row],[人数]]="","",VLOOKUP(梅田パンプキン4000[[#This Row],[人数]],バック金額①[#All],2,TRUE))</f>
        <v/>
      </c>
      <c r="L31" s="63">
        <f t="shared" si="1"/>
        <v>44984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0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0"/>
      <c r="J32" s="16" t="str">
        <f>IF(梅田パンプキン4000[[#This Row],[人数]]="","",VLOOKUP(梅田パンプキン4000[[#This Row],[人数]],バック金額①[#All],2,TRUE))</f>
        <v/>
      </c>
      <c r="L32" s="63">
        <f t="shared" si="1"/>
        <v>44985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0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3" t="str">
        <f t="shared" si="0"/>
        <v/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0"/>
      <c r="J33" s="16" t="str">
        <f>IF(梅田パンプキン4000[[#This Row],[人数]]="","",VLOOKUP(梅田パンプキン4000[[#This Row],[人数]],バック金額①[#All],2,TRUE))</f>
        <v/>
      </c>
      <c r="L33" s="63" t="str">
        <f t="shared" si="1"/>
        <v/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0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0"/>
      <c r="J34" s="16" t="str">
        <f>IF(梅田パンプキン4000[[#This Row],[人数]]="","",VLOOKUP(梅田パンプキン4000[[#This Row],[人数]],バック金額①[#All],2,TRUE))</f>
        <v/>
      </c>
      <c r="L34" s="63" t="str">
        <f t="shared" si="1"/>
        <v/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0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97"/>
      <c r="J35" s="16" t="str">
        <f>IF(梅田パンプキン4000[[#This Row],[人数]]="","",VLOOKUP(梅田パンプキン4000[[#This Row],[人数]],バック金額①[#All],2,TRUE))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97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69" t="s">
        <v>322</v>
      </c>
      <c r="B36" s="16">
        <f>SUM(梅田パンプキン4000[[#All],[件数]])</f>
        <v>0</v>
      </c>
      <c r="C36" s="6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6" t="s">
        <v>211</v>
      </c>
      <c r="M36" s="16">
        <f>SUM(梅田パンプキン3500[[#All],[件数]])</f>
        <v>0</v>
      </c>
      <c r="N36" s="6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5.53515625" style="8" customWidth="1"/>
    <col min="14" max="14" width="15.69140625" style="8" bestFit="1" customWidth="1"/>
    <col min="15" max="15" width="5.5351562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  <c r="E1" s="46" t="s">
        <v>241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44958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0"/>
      <c r="J5" s="16" t="str">
        <f>IF(堀江あいあい4000[[#This Row],[人数]]="","",VLOOKUP(堀江あいあい4000[[#This Row],[人数]],バック金額①[#All],2,TRUE))</f>
        <v/>
      </c>
      <c r="L5" s="63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0"/>
      <c r="U5" s="16" t="str">
        <f>IF(堀江あいあい3500[[#This Row],[人数]]="","",VLOOKUP(堀江あいあい3500[[#This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0"/>
      <c r="J6" s="16" t="str">
        <f>IF(堀江あいあい4000[[#This Row],[人数]]="","",VLOOKUP(堀江あいあい4000[[#This Row],[人数]],バック金額①[#All],2,TRUE))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0"/>
      <c r="U6" s="16" t="str">
        <f>IF(堀江あいあい3500[[#This Row],[人数]]="","",VLOOKUP(堀江あいあい3500[[#This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0"/>
      <c r="J7" s="16" t="str">
        <f>IF(堀江あいあい4000[[#This Row],[人数]]="","",VLOOKUP(堀江あいあい4000[[#This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0"/>
      <c r="U7" s="16" t="str">
        <f>IF(堀江あいあい3500[[#This Row],[人数]]="","",VLOOKUP(堀江あいあい3500[[#This Row],[人数]],バック金額①[#All],2,TRUE))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0"/>
      <c r="J8" s="16" t="str">
        <f>IF(堀江あいあい4000[[#This Row],[人数]]="","",VLOOKUP(堀江あいあい4000[[#This Row],[人数]],バック金額①[#All],2,TRUE))</f>
        <v/>
      </c>
      <c r="L8" s="63">
        <f t="shared" si="1"/>
        <v>44961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0"/>
      <c r="U8" s="16" t="str">
        <f>IF(堀江あいあい3500[[#This Row],[人数]]="","",VLOOKUP(堀江あいあい3500[[#This Row],[人数]],バック金額①[#All],2,TRUE))</f>
        <v/>
      </c>
    </row>
    <row r="9" spans="1:21">
      <c r="A9" s="63">
        <f t="shared" si="0"/>
        <v>44962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0"/>
      <c r="J9" s="16" t="str">
        <f>IF(堀江あいあい4000[[#This Row],[人数]]="","",VLOOKUP(堀江あいあい4000[[#This Row],[人数]],バック金額①[#All],2,TRUE))</f>
        <v/>
      </c>
      <c r="L9" s="63">
        <f t="shared" si="1"/>
        <v>44962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0"/>
      <c r="U9" s="16" t="str">
        <f>IF(堀江あいあい3500[[#This Row],[人数]]="","",VLOOKUP(堀江あいあい3500[[#This Row],[人数]],バック金額①[#All],2,TRUE))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0"/>
      <c r="J10" s="16" t="str">
        <f>IF(堀江あいあい4000[[#This Row],[人数]]="","",VLOOKUP(堀江あいあい4000[[#This Row],[人数]],バック金額①[#All],2,TRUE))</f>
        <v/>
      </c>
      <c r="L10" s="63">
        <f t="shared" si="1"/>
        <v>44963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0"/>
      <c r="U10" s="16" t="str">
        <f>IF(堀江あいあい3500[[#This Row],[人数]]="","",VLOOKUP(堀江あいあい3500[[#This Row],[人数]],バック金額①[#All],2,TRUE))</f>
        <v/>
      </c>
    </row>
    <row r="11" spans="1:21">
      <c r="A11" s="63">
        <f t="shared" si="0"/>
        <v>44964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0"/>
      <c r="J11" s="16" t="str">
        <f>IF(堀江あいあい4000[[#This Row],[人数]]="","",VLOOKUP(堀江あいあい4000[[#This Row],[人数]],バック金額①[#All],2,TRUE))</f>
        <v/>
      </c>
      <c r="L11" s="63">
        <f t="shared" si="1"/>
        <v>44964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0"/>
      <c r="U11" s="16" t="str">
        <f>IF(堀江あいあい3500[[#This Row],[人数]]="","",VLOOKUP(堀江あいあい3500[[#This Row],[人数]],バック金額①[#All],2,TRUE))</f>
        <v/>
      </c>
    </row>
    <row r="12" spans="1:21">
      <c r="A12" s="63">
        <f t="shared" si="0"/>
        <v>44965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0"/>
      <c r="J12" s="16" t="str">
        <f>IF(堀江あいあい4000[[#This Row],[人数]]="","",VLOOKUP(堀江あいあい4000[[#This Row],[人数]],バック金額①[#All],2,TRUE))</f>
        <v/>
      </c>
      <c r="L12" s="63">
        <f t="shared" si="1"/>
        <v>44965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0"/>
      <c r="U12" s="16" t="str">
        <f>IF(堀江あいあい3500[[#This Row],[人数]]="","",VLOOKUP(堀江あいあい3500[[#This Row],[人数]],バック金額①[#All],2,TRUE))</f>
        <v/>
      </c>
    </row>
    <row r="13" spans="1:21">
      <c r="A13" s="63">
        <f t="shared" si="0"/>
        <v>44966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0"/>
      <c r="J13" s="16" t="str">
        <f>IF(堀江あいあい4000[[#This Row],[人数]]="","",VLOOKUP(堀江あいあい4000[[#This Row],[人数]],バック金額①[#All],2,TRUE))</f>
        <v/>
      </c>
      <c r="L13" s="63">
        <f t="shared" si="1"/>
        <v>44966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0"/>
      <c r="U13" s="16" t="str">
        <f>IF(堀江あいあい3500[[#This Row],[人数]]="","",VLOOKUP(堀江あいあい3500[[#This Row],[人数]],バック金額①[#All],2,TRUE))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0"/>
      <c r="J14" s="16" t="str">
        <f>IF(堀江あいあい4000[[#This Row],[人数]]="","",VLOOKUP(堀江あいあい4000[[#This Row],[人数]],バック金額①[#All],2,TRUE))</f>
        <v/>
      </c>
      <c r="L14" s="63">
        <f t="shared" si="1"/>
        <v>44967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0"/>
      <c r="U14" s="16" t="str">
        <f>IF(堀江あいあい3500[[#This Row],[人数]]="","",VLOOKUP(堀江あいあい3500[[#This Row],[人数]],バック金額①[#All],2,TRUE))</f>
        <v/>
      </c>
    </row>
    <row r="15" spans="1:21">
      <c r="A15" s="63">
        <f t="shared" si="0"/>
        <v>44968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0"/>
      <c r="J15" s="16" t="str">
        <f>IF(堀江あいあい4000[[#This Row],[人数]]="","",VLOOKUP(堀江あいあい4000[[#This Row],[人数]],バック金額①[#All],2,TRUE))</f>
        <v/>
      </c>
      <c r="L15" s="63">
        <f t="shared" si="1"/>
        <v>44968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0"/>
      <c r="U15" s="16" t="str">
        <f>IF(堀江あいあい3500[[#This Row],[人数]]="","",VLOOKUP(堀江あいあい3500[[#This Row],[人数]],バック金額①[#All],2,TRUE))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0"/>
      <c r="J16" s="16" t="str">
        <f>IF(堀江あいあい4000[[#This Row],[人数]]="","",VLOOKUP(堀江あいあい4000[[#This Row],[人数]],バック金額①[#All],2,TRUE))</f>
        <v/>
      </c>
      <c r="L16" s="63">
        <f t="shared" si="1"/>
        <v>44969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0"/>
      <c r="U16" s="16" t="str">
        <f>IF(堀江あいあい3500[[#This Row],[人数]]="","",VLOOKUP(堀江あいあい3500[[#This Row],[人数]],バック金額①[#All],2,TRUE))</f>
        <v/>
      </c>
    </row>
    <row r="17" spans="1:21">
      <c r="A17" s="63">
        <f t="shared" si="0"/>
        <v>44970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0"/>
      <c r="J17" s="16" t="str">
        <f>IF(堀江あいあい4000[[#This Row],[人数]]="","",VLOOKUP(堀江あいあい4000[[#This Row],[人数]],バック金額①[#All],2,TRUE))</f>
        <v/>
      </c>
      <c r="L17" s="63">
        <f t="shared" si="1"/>
        <v>44970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0"/>
      <c r="U17" s="16" t="str">
        <f>IF(堀江あいあい3500[[#This Row],[人数]]="","",VLOOKUP(堀江あいあい3500[[#This Row],[人数]],バック金額①[#All],2,TRUE))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0"/>
      <c r="J18" s="16" t="str">
        <f>IF(堀江あいあい4000[[#This Row],[人数]]="","",VLOOKUP(堀江あいあい4000[[#This Row],[人数]],バック金額①[#All],2,TRUE))</f>
        <v/>
      </c>
      <c r="L18" s="63">
        <f t="shared" si="1"/>
        <v>44971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0"/>
      <c r="U18" s="16" t="str">
        <f>IF(堀江あいあい3500[[#This Row],[人数]]="","",VLOOKUP(堀江あいあい3500[[#This Row],[人数]],バック金額①[#All],2,TRUE))</f>
        <v/>
      </c>
    </row>
    <row r="19" spans="1:21">
      <c r="A19" s="63">
        <f t="shared" si="0"/>
        <v>44972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0"/>
      <c r="J19" s="16" t="str">
        <f>IF(堀江あいあい4000[[#This Row],[人数]]="","",VLOOKUP(堀江あいあい4000[[#This Row],[人数]],バック金額①[#All],2,TRUE))</f>
        <v/>
      </c>
      <c r="L19" s="63">
        <f t="shared" si="1"/>
        <v>44972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0"/>
      <c r="U19" s="16" t="str">
        <f>IF(堀江あいあい3500[[#This Row],[人数]]="","",VLOOKUP(堀江あいあい3500[[#This Row],[人数]],バック金額①[#All],2,TRUE))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0"/>
      <c r="J20" s="16" t="str">
        <f>IF(堀江あいあい4000[[#This Row],[人数]]="","",VLOOKUP(堀江あいあい4000[[#This Row],[人数]],バック金額①[#All],2,TRUE))</f>
        <v/>
      </c>
      <c r="L20" s="63">
        <f t="shared" si="1"/>
        <v>44973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0"/>
      <c r="U20" s="16" t="str">
        <f>IF(堀江あいあい3500[[#This Row],[人数]]="","",VLOOKUP(堀江あいあい3500[[#This Row],[人数]],バック金額①[#All],2,TRUE))</f>
        <v/>
      </c>
    </row>
    <row r="21" spans="1:21">
      <c r="A21" s="63">
        <f t="shared" si="0"/>
        <v>44974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0"/>
      <c r="J21" s="16" t="str">
        <f>IF(堀江あいあい4000[[#This Row],[人数]]="","",VLOOKUP(堀江あいあい4000[[#This Row],[人数]],バック金額①[#All],2,TRUE))</f>
        <v/>
      </c>
      <c r="L21" s="63">
        <f t="shared" si="1"/>
        <v>44974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0"/>
      <c r="U21" s="16" t="str">
        <f>IF(堀江あいあい3500[[#This Row],[人数]]="","",VLOOKUP(堀江あいあい3500[[#This Row],[人数]],バック金額①[#All],2,TRUE))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0"/>
      <c r="J22" s="16" t="str">
        <f>IF(堀江あいあい4000[[#This Row],[人数]]="","",VLOOKUP(堀江あいあい4000[[#This Row],[人数]],バック金額①[#All],2,TRUE))</f>
        <v/>
      </c>
      <c r="L22" s="63">
        <f t="shared" si="1"/>
        <v>44975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0"/>
      <c r="U22" s="16" t="str">
        <f>IF(堀江あいあい3500[[#This Row],[人数]]="","",VLOOKUP(堀江あいあい3500[[#This Row],[人数]],バック金額①[#All],2,TRUE))</f>
        <v/>
      </c>
    </row>
    <row r="23" spans="1:21">
      <c r="A23" s="63">
        <f t="shared" si="0"/>
        <v>44976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0"/>
      <c r="J23" s="16" t="str">
        <f>IF(堀江あいあい4000[[#This Row],[人数]]="","",VLOOKUP(堀江あいあい4000[[#This Row],[人数]],バック金額①[#All],2,TRUE))</f>
        <v/>
      </c>
      <c r="L23" s="63">
        <f t="shared" si="1"/>
        <v>44976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0"/>
      <c r="U23" s="16" t="str">
        <f>IF(堀江あいあい3500[[#This Row],[人数]]="","",VLOOKUP(堀江あいあい3500[[#This Row],[人数]],バック金額①[#All],2,TRUE))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0"/>
      <c r="J24" s="16" t="str">
        <f>IF(堀江あいあい4000[[#This Row],[人数]]="","",VLOOKUP(堀江あいあい4000[[#This Row],[人数]],バック金額①[#All],2,TRUE))</f>
        <v/>
      </c>
      <c r="L24" s="63">
        <f t="shared" si="1"/>
        <v>44977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0"/>
      <c r="U24" s="16" t="str">
        <f>IF(堀江あいあい3500[[#This Row],[人数]]="","",VLOOKUP(堀江あいあい3500[[#This Row],[人数]],バック金額①[#All],2,TRUE))</f>
        <v/>
      </c>
    </row>
    <row r="25" spans="1:21">
      <c r="A25" s="63">
        <f t="shared" si="0"/>
        <v>44978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0"/>
      <c r="J25" s="16" t="str">
        <f>IF(堀江あいあい4000[[#This Row],[人数]]="","",VLOOKUP(堀江あいあい4000[[#This Row],[人数]],バック金額①[#All],2,TRUE))</f>
        <v/>
      </c>
      <c r="L25" s="63">
        <f t="shared" si="1"/>
        <v>44978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0"/>
      <c r="U25" s="16" t="str">
        <f>IF(堀江あいあい3500[[#This Row],[人数]]="","",VLOOKUP(堀江あいあい3500[[#This Row],[人数]],バック金額①[#All],2,TRUE))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0"/>
      <c r="J26" s="16" t="str">
        <f>IF(堀江あいあい4000[[#This Row],[人数]]="","",VLOOKUP(堀江あいあい4000[[#This Row],[人数]],バック金額①[#All],2,TRUE))</f>
        <v/>
      </c>
      <c r="L26" s="63">
        <f t="shared" si="1"/>
        <v>44979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0"/>
      <c r="U26" s="16" t="str">
        <f>IF(堀江あいあい3500[[#This Row],[人数]]="","",VLOOKUP(堀江あいあい3500[[#This Row],[人数]],バック金額①[#All],2,TRUE))</f>
        <v/>
      </c>
    </row>
    <row r="27" spans="1:21">
      <c r="A27" s="63">
        <f t="shared" si="0"/>
        <v>44980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0"/>
      <c r="J27" s="16" t="str">
        <f>IF(堀江あいあい4000[[#This Row],[人数]]="","",VLOOKUP(堀江あいあい4000[[#This Row],[人数]],バック金額①[#All],2,TRUE))</f>
        <v/>
      </c>
      <c r="L27" s="63">
        <f t="shared" si="1"/>
        <v>44980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0"/>
      <c r="U27" s="16" t="str">
        <f>IF(堀江あいあい3500[[#This Row],[人数]]="","",VLOOKUP(堀江あいあい3500[[#This Row],[人数]],バック金額①[#All],2,TRUE))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0"/>
      <c r="J28" s="16" t="str">
        <f>IF(堀江あいあい4000[[#This Row],[人数]]="","",VLOOKUP(堀江あいあい4000[[#This Row],[人数]],バック金額①[#All],2,TRUE))</f>
        <v/>
      </c>
      <c r="L28" s="63">
        <f t="shared" si="1"/>
        <v>44981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0"/>
      <c r="U28" s="16" t="str">
        <f>IF(堀江あいあい3500[[#This Row],[人数]]="","",VLOOKUP(堀江あいあい3500[[#This Row],[人数]],バック金額①[#All],2,TRUE))</f>
        <v/>
      </c>
    </row>
    <row r="29" spans="1:21">
      <c r="A29" s="63">
        <f t="shared" si="0"/>
        <v>44982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0"/>
      <c r="J29" s="16" t="str">
        <f>IF(堀江あいあい4000[[#This Row],[人数]]="","",VLOOKUP(堀江あいあい4000[[#This Row],[人数]],バック金額①[#All],2,TRUE))</f>
        <v/>
      </c>
      <c r="L29" s="63">
        <f t="shared" si="1"/>
        <v>44982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0"/>
      <c r="U29" s="16" t="str">
        <f>IF(堀江あいあい3500[[#This Row],[人数]]="","",VLOOKUP(堀江あいあい3500[[#This Row],[人数]],バック金額①[#All],2,TRUE))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0"/>
      <c r="J30" s="16" t="str">
        <f>IF(堀江あいあい4000[[#This Row],[人数]]="","",VLOOKUP(堀江あいあい4000[[#This Row],[人数]],バック金額①[#All],2,TRUE))</f>
        <v/>
      </c>
      <c r="L30" s="63">
        <f t="shared" si="1"/>
        <v>44983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0"/>
      <c r="U30" s="16" t="str">
        <f>IF(堀江あいあい3500[[#This Row],[人数]]="","",VLOOKUP(堀江あいあい3500[[#This Row],[人数]],バック金額①[#All],2,TRUE))</f>
        <v/>
      </c>
    </row>
    <row r="31" spans="1:21">
      <c r="A31" s="63">
        <f t="shared" si="0"/>
        <v>44984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0"/>
      <c r="J31" s="16" t="str">
        <f>IF(堀江あいあい4000[[#This Row],[人数]]="","",VLOOKUP(堀江あいあい4000[[#This Row],[人数]],バック金額①[#All],2,TRUE))</f>
        <v/>
      </c>
      <c r="L31" s="63">
        <f t="shared" si="1"/>
        <v>44984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0"/>
      <c r="U31" s="16" t="str">
        <f>IF(堀江あいあい3500[[#This Row],[人数]]="","",VLOOKUP(堀江あいあい3500[[#This Row],[人数]],バック金額①[#All],2,TRUE))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0"/>
      <c r="J32" s="16" t="str">
        <f>IF(堀江あいあい4000[[#This Row],[人数]]="","",VLOOKUP(堀江あいあい4000[[#This Row],[人数]],バック金額①[#All],2,TRUE))</f>
        <v/>
      </c>
      <c r="L32" s="63">
        <f t="shared" si="1"/>
        <v>44985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0"/>
      <c r="U32" s="16" t="str">
        <f>IF(堀江あいあい3500[[#This Row],[人数]]="","",VLOOKUP(堀江あいあい3500[[#This Row],[人数]],バック金額①[#All],2,TRUE))</f>
        <v/>
      </c>
    </row>
    <row r="33" spans="1:21">
      <c r="A33" s="63" t="str">
        <f t="shared" si="0"/>
        <v/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0"/>
      <c r="J33" s="16" t="str">
        <f>IF(堀江あいあい4000[[#This Row],[人数]]="","",VLOOKUP(堀江あいあい4000[[#This Row],[人数]],バック金額①[#All],2,TRUE))</f>
        <v/>
      </c>
      <c r="L33" s="63" t="str">
        <f t="shared" si="1"/>
        <v/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0"/>
      <c r="U33" s="16" t="str">
        <f>IF(堀江あいあい3500[[#This Row],[人数]]="","",VLOOKUP(堀江あいあい3500[[#This Row],[人数]],バック金額①[#All],2,TRUE))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0"/>
      <c r="J34" s="16" t="str">
        <f>IF(堀江あいあい4000[[#This Row],[人数]]="","",VLOOKUP(堀江あいあい4000[[#This Row],[人数]],バック金額①[#All],2,TRUE))</f>
        <v/>
      </c>
      <c r="L34" s="63" t="str">
        <f t="shared" si="1"/>
        <v/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0"/>
      <c r="U34" s="16" t="str">
        <f>IF(堀江あいあい3500[[#This Row],[人数]]="","",VLOOKUP(堀江あいあい3500[[#This Row],[人数]],バック金額①[#All],2,TRUE))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97"/>
      <c r="J35" s="16" t="str">
        <f>IF(堀江あいあい4000[[#This Row],[人数]]="","",VLOOKUP(堀江あいあい4000[[#This Row],[人数]],バック金額①[#All],2,TRUE))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97"/>
      <c r="U35" s="16" t="str">
        <f>IF(堀江あいあい3500[[#This Row],[人数]]="","",VLOOKUP(堀江あいあい3500[[#This Row],[人数]],バック金額①[#All],2,TRUE))</f>
        <v/>
      </c>
    </row>
    <row r="36" spans="1:21">
      <c r="A36" s="6" t="s">
        <v>211</v>
      </c>
      <c r="B36" s="16">
        <f>SUM(堀江あいあい4000[[#All],[件数]])</f>
        <v>0</v>
      </c>
      <c r="C36" s="6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6" t="s">
        <v>211</v>
      </c>
      <c r="M36" s="16">
        <f>SUM(堀江あいあい3500[[#All],[件数]])</f>
        <v>0</v>
      </c>
      <c r="N36" s="6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B34" sqref="B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C1" s="46" t="s">
        <v>242</v>
      </c>
      <c r="F1" s="93"/>
      <c r="K1" s="8" t="s">
        <v>557</v>
      </c>
    </row>
    <row r="2" spans="1:21">
      <c r="A2" s="46" t="s">
        <v>371</v>
      </c>
      <c r="B2" s="8">
        <v>1300</v>
      </c>
      <c r="F2" s="93"/>
      <c r="K2" s="46" t="s">
        <v>560</v>
      </c>
    </row>
    <row r="3" spans="1:21">
      <c r="A3" s="46" t="s">
        <v>375</v>
      </c>
      <c r="B3" s="8">
        <v>4000</v>
      </c>
      <c r="F3" s="93"/>
      <c r="K3" s="46" t="s">
        <v>559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K4" s="8" t="s">
        <v>558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44958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0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3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0"/>
      <c r="U5" s="16" t="str">
        <f>IF(堀江ファイブ3500[[#This Row],[人数]]="","",VLOOKUP(堀江ファイブ3500[[#This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0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0"/>
      <c r="U6" s="16" t="str">
        <f>IF(堀江ファイブ3500[[#This Row],[人数]]="","",VLOOKUP(堀江ファイブ3500[[#This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0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0"/>
      <c r="U7" s="16" t="str">
        <f>IF(堀江ファイブ3500[[#This Row],[人数]]="","",VLOOKUP(堀江ファイブ3500[[#This Row],[人数]],バック金額②[#All],2,TRUE))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0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3">
        <f t="shared" si="1"/>
        <v>44961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0"/>
      <c r="U8" s="16" t="str">
        <f>IF(堀江ファイブ3500[[#This Row],[人数]]="","",VLOOKUP(堀江ファイブ3500[[#This Row],[人数]],バック金額②[#All],2,TRUE))</f>
        <v/>
      </c>
    </row>
    <row r="9" spans="1:21">
      <c r="A9" s="63">
        <f t="shared" si="0"/>
        <v>44962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0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3">
        <f t="shared" si="1"/>
        <v>44962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0"/>
      <c r="U9" s="16" t="str">
        <f>IF(堀江ファイブ3500[[#This Row],[人数]]="","",VLOOKUP(堀江ファイブ3500[[#This Row],[人数]],バック金額②[#All],2,TRUE))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0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3">
        <f t="shared" si="1"/>
        <v>44963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0"/>
      <c r="U10" s="16" t="str">
        <f>IF(堀江ファイブ3500[[#This Row],[人数]]="","",VLOOKUP(堀江ファイブ3500[[#This Row],[人数]],バック金額②[#All],2,TRUE))</f>
        <v/>
      </c>
    </row>
    <row r="11" spans="1:21">
      <c r="A11" s="63">
        <f t="shared" si="0"/>
        <v>44964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0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3">
        <f t="shared" si="1"/>
        <v>44964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0"/>
      <c r="U11" s="16" t="str">
        <f>IF(堀江ファイブ3500[[#This Row],[人数]]="","",VLOOKUP(堀江ファイブ3500[[#This Row],[人数]],バック金額②[#All],2,TRUE))</f>
        <v/>
      </c>
    </row>
    <row r="12" spans="1:21">
      <c r="A12" s="63">
        <f t="shared" si="0"/>
        <v>44965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0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3">
        <f t="shared" si="1"/>
        <v>44965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0"/>
      <c r="U12" s="16" t="str">
        <f>IF(堀江ファイブ3500[[#This Row],[人数]]="","",VLOOKUP(堀江ファイブ3500[[#This Row],[人数]],バック金額②[#All],2,TRUE))</f>
        <v/>
      </c>
    </row>
    <row r="13" spans="1:21">
      <c r="A13" s="63">
        <f t="shared" si="0"/>
        <v>44966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0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3">
        <f t="shared" si="1"/>
        <v>44966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0"/>
      <c r="U13" s="16" t="str">
        <f>IF(堀江ファイブ3500[[#This Row],[人数]]="","",VLOOKUP(堀江ファイブ3500[[#This Row],[人数]],バック金額②[#All],2,TRUE))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0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3">
        <f t="shared" si="1"/>
        <v>44967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0"/>
      <c r="U14" s="16" t="str">
        <f>IF(堀江ファイブ3500[[#This Row],[人数]]="","",VLOOKUP(堀江ファイブ3500[[#This Row],[人数]],バック金額②[#All],2,TRUE))</f>
        <v/>
      </c>
    </row>
    <row r="15" spans="1:21">
      <c r="A15" s="63">
        <f t="shared" si="0"/>
        <v>44968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0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3">
        <f t="shared" si="1"/>
        <v>44968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0"/>
      <c r="U15" s="16" t="str">
        <f>IF(堀江ファイブ3500[[#This Row],[人数]]="","",VLOOKUP(堀江ファイブ3500[[#This Row],[人数]],バック金額②[#All],2,TRUE))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0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3">
        <f t="shared" si="1"/>
        <v>44969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0"/>
      <c r="U16" s="16" t="str">
        <f>IF(堀江ファイブ3500[[#This Row],[人数]]="","",VLOOKUP(堀江ファイブ3500[[#This Row],[人数]],バック金額②[#All],2,TRUE))</f>
        <v/>
      </c>
    </row>
    <row r="17" spans="1:21">
      <c r="A17" s="63">
        <f t="shared" si="0"/>
        <v>44970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0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3">
        <f t="shared" si="1"/>
        <v>44970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0"/>
      <c r="U17" s="16" t="str">
        <f>IF(堀江ファイブ3500[[#This Row],[人数]]="","",VLOOKUP(堀江ファイブ3500[[#This Row],[人数]],バック金額②[#All],2,TRUE))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0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3">
        <f t="shared" si="1"/>
        <v>44971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0"/>
      <c r="U18" s="16" t="str">
        <f>IF(堀江ファイブ3500[[#This Row],[人数]]="","",VLOOKUP(堀江ファイブ3500[[#This Row],[人数]],バック金額②[#All],2,TRUE))</f>
        <v/>
      </c>
    </row>
    <row r="19" spans="1:21">
      <c r="A19" s="63">
        <f t="shared" si="0"/>
        <v>44972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0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3">
        <f t="shared" si="1"/>
        <v>44972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0"/>
      <c r="U19" s="16" t="str">
        <f>IF(堀江ファイブ3500[[#This Row],[人数]]="","",VLOOKUP(堀江ファイブ3500[[#This Row],[人数]],バック金額②[#All],2,TRUE))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0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3">
        <f t="shared" si="1"/>
        <v>44973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0"/>
      <c r="U20" s="16" t="str">
        <f>IF(堀江ファイブ3500[[#This Row],[人数]]="","",VLOOKUP(堀江ファイブ3500[[#This Row],[人数]],バック金額②[#All],2,TRUE))</f>
        <v/>
      </c>
    </row>
    <row r="21" spans="1:21">
      <c r="A21" s="63">
        <f t="shared" si="0"/>
        <v>44974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0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3">
        <f t="shared" si="1"/>
        <v>44974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0"/>
      <c r="U21" s="16" t="str">
        <f>IF(堀江ファイブ3500[[#This Row],[人数]]="","",VLOOKUP(堀江ファイブ3500[[#This Row],[人数]],バック金額②[#All],2,TRUE))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0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3">
        <f t="shared" si="1"/>
        <v>44975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0"/>
      <c r="U22" s="16" t="str">
        <f>IF(堀江ファイブ3500[[#This Row],[人数]]="","",VLOOKUP(堀江ファイブ3500[[#This Row],[人数]],バック金額②[#All],2,TRUE))</f>
        <v/>
      </c>
    </row>
    <row r="23" spans="1:21">
      <c r="A23" s="63">
        <f t="shared" si="0"/>
        <v>44976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0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3">
        <f t="shared" si="1"/>
        <v>44976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0"/>
      <c r="U23" s="16" t="str">
        <f>IF(堀江ファイブ3500[[#This Row],[人数]]="","",VLOOKUP(堀江ファイブ3500[[#This Row],[人数]],バック金額②[#All],2,TRUE))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0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3">
        <f t="shared" si="1"/>
        <v>44977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0"/>
      <c r="U24" s="16" t="str">
        <f>IF(堀江ファイブ3500[[#This Row],[人数]]="","",VLOOKUP(堀江ファイブ3500[[#This Row],[人数]],バック金額②[#All],2,TRUE))</f>
        <v/>
      </c>
    </row>
    <row r="25" spans="1:21">
      <c r="A25" s="63">
        <f t="shared" si="0"/>
        <v>44978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0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3">
        <f t="shared" si="1"/>
        <v>44978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0"/>
      <c r="U25" s="16" t="str">
        <f>IF(堀江ファイブ3500[[#This Row],[人数]]="","",VLOOKUP(堀江ファイブ3500[[#This Row],[人数]],バック金額②[#All],2,TRUE))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0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3">
        <f t="shared" si="1"/>
        <v>44979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0"/>
      <c r="U26" s="16" t="str">
        <f>IF(堀江ファイブ3500[[#This Row],[人数]]="","",VLOOKUP(堀江ファイブ3500[[#This Row],[人数]],バック金額②[#All],2,TRUE))</f>
        <v/>
      </c>
    </row>
    <row r="27" spans="1:21">
      <c r="A27" s="63">
        <f t="shared" si="0"/>
        <v>44980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0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3">
        <f t="shared" si="1"/>
        <v>44980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0"/>
      <c r="U27" s="16" t="str">
        <f>IF(堀江ファイブ3500[[#This Row],[人数]]="","",VLOOKUP(堀江ファイブ3500[[#This Row],[人数]],バック金額②[#All],2,TRUE))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0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3">
        <f t="shared" si="1"/>
        <v>44981</v>
      </c>
      <c r="M28" s="13"/>
      <c r="N28" s="14"/>
      <c r="O28" s="50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0"/>
      <c r="U28" s="16" t="str">
        <f>IF(堀江ファイブ3500[[#This Row],[人数]]="","",VLOOKUP(堀江ファイブ3500[[#This Row],[人数]],バック金額②[#All],2,TRUE))</f>
        <v/>
      </c>
    </row>
    <row r="29" spans="1:21">
      <c r="A29" s="63">
        <f t="shared" si="0"/>
        <v>44982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0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3">
        <f t="shared" si="1"/>
        <v>44982</v>
      </c>
      <c r="M29" s="13"/>
      <c r="N29" s="14"/>
      <c r="O29" s="50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0"/>
      <c r="U29" s="16" t="str">
        <f>IF(堀江ファイブ3500[[#This Row],[人数]]="","",VLOOKUP(堀江ファイブ3500[[#This Row],[人数]],バック金額②[#All],2,TRUE))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0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3">
        <f t="shared" si="1"/>
        <v>44983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0"/>
      <c r="U30" s="16" t="str">
        <f>IF(堀江ファイブ3500[[#This Row],[人数]]="","",VLOOKUP(堀江ファイブ3500[[#This Row],[人数]],バック金額②[#All],2,TRUE))</f>
        <v/>
      </c>
    </row>
    <row r="31" spans="1:21">
      <c r="A31" s="63">
        <f t="shared" si="0"/>
        <v>44984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0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3">
        <f t="shared" si="1"/>
        <v>44984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0"/>
      <c r="U31" s="16" t="str">
        <f>IF(堀江ファイブ3500[[#This Row],[人数]]="","",VLOOKUP(堀江ファイブ3500[[#This Row],[人数]],バック金額②[#All],2,TRUE))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0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3">
        <f t="shared" si="1"/>
        <v>44985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0"/>
      <c r="U32" s="16" t="str">
        <f>IF(堀江ファイブ3500[[#This Row],[人数]]="","",VLOOKUP(堀江ファイブ3500[[#This Row],[人数]],バック金額②[#All],2,TRUE))</f>
        <v/>
      </c>
    </row>
    <row r="33" spans="1:21">
      <c r="A33" s="63" t="str">
        <f t="shared" si="0"/>
        <v/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0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3" t="str">
        <f t="shared" si="1"/>
        <v/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0"/>
      <c r="U33" s="16" t="str">
        <f>IF(堀江ファイブ3500[[#This Row],[人数]]="","",VLOOKUP(堀江ファイブ3500[[#This Row],[人数]],バック金額②[#All],2,TRUE))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0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3" t="str">
        <f t="shared" si="1"/>
        <v/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0"/>
      <c r="U34" s="16" t="str">
        <f>IF(堀江ファイブ3500[[#This Row],[人数]]="","",VLOOKUP(堀江ファイブ3500[[#This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0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74" t="str">
        <f t="shared" si="1"/>
        <v/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0"/>
      <c r="U35" s="16" t="str">
        <f>IF(堀江ファイブ3500[[#This Row],[人数]]="","",VLOOKUP(堀江ファイブ3500[[#This Row],[人数]],バック金額②[#All],2,TRUE))</f>
        <v/>
      </c>
    </row>
    <row r="36" spans="1:21">
      <c r="A36" s="6" t="s">
        <v>211</v>
      </c>
      <c r="B36" s="16">
        <f>SUM(堀江ファイブ4000[[#All],[件数]])</f>
        <v>0</v>
      </c>
      <c r="C36" s="6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6" t="s">
        <v>211</v>
      </c>
      <c r="M36" s="16">
        <f>SUM(堀江ファイブ3500[[#All],[件数]])</f>
        <v>0</v>
      </c>
      <c r="N36" s="6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tabSelected="1" zoomScale="70" zoomScaleNormal="70" workbookViewId="0">
      <pane ySplit="4" topLeftCell="A11" activePane="bottomLeft" state="frozen"/>
      <selection pane="bottomLeft" activeCell="H18" sqref="H18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</f>
        <v>37500</v>
      </c>
    </row>
    <row r="3" spans="1:21">
      <c r="A3" s="46" t="s">
        <v>375</v>
      </c>
      <c r="B3" s="8">
        <v>4000</v>
      </c>
      <c r="C3" s="46" t="s">
        <v>566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569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20" t="str">
        <f>IF(心斎橋CSB4000円[[#This Row],[人数]]=0,"",1)</f>
        <v/>
      </c>
      <c r="C5" s="14"/>
      <c r="D5" s="15"/>
      <c r="E5" s="21">
        <f>ROUNDDOWN(心斎橋CSB4000円[[#This Row],[人数]]/8,0)</f>
        <v>0</v>
      </c>
      <c r="F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2" t="str">
        <f>IFERROR(($B$3*心斎橋CSB4000円[[#This Row],[人数]])-心斎橋CSB4000円[[#This Row],[単価合計]]-(心斎橋CSB4000円[[#This Row],[キャンセル人数]]*$B$2),"")</f>
        <v/>
      </c>
      <c r="H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2" t="str">
        <f>IF(心斎橋CSB4000円[[#This Row],[人数]]="","",VLOOKUP(心斎橋CSB4000円[[#This Row],[人数]],バック金額②[#All],2,TRUE)-(心斎橋CSB4000円[[#This Row],[キャンセル人数]]*$B$2))</f>
        <v/>
      </c>
      <c r="L5" s="28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2" t="str">
        <f>IFERROR(($M$3*心斎橋CSB3500円[[#This Row],[人数]])-心斎橋CSB3500円[[#This Row],[単価合計]]-(心斎橋CSB3500円[[#This Row],[キャンセル人数]]*$B$2),"")</f>
        <v/>
      </c>
      <c r="S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2" t="str">
        <f>IF(心斎橋CSB3500円[[#This Row],[人数]]="","",VLOOKUP(心斎橋CSB3500円[[#This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20" t="str">
        <f>IF(心斎橋CSB4000円[[#This Row],[人数]]=0,"",1)</f>
        <v/>
      </c>
      <c r="C6" s="14"/>
      <c r="D6" s="15"/>
      <c r="E6" s="21">
        <f>ROUNDDOWN(心斎橋CSB4000円[[#This Row],[人数]]/8,0)</f>
        <v>0</v>
      </c>
      <c r="F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2" t="str">
        <f>IFERROR(($B$3*心斎橋CSB4000円[[#This Row],[人数]])-心斎橋CSB4000円[[#This Row],[単価合計]]-(心斎橋CSB4000円[[#This Row],[キャンセル人数]]*$B$2),"")</f>
        <v/>
      </c>
      <c r="H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2" t="str">
        <f>IF(心斎橋CSB4000円[[#This Row],[人数]]="","",VLOOKUP(心斎橋CSB4000円[[#This Row],[人数]],バック金額②[#All],2,TRUE)-(心斎橋CSB4000円[[#This Row],[キャンセル人数]]*$B$2))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2" t="str">
        <f>IFERROR(($M$3*心斎橋CSB3500円[[#This Row],[人数]])-心斎橋CSB3500円[[#This Row],[単価合計]]-(心斎橋CSB3500円[[#This Row],[キャンセル人数]]*$B$2),"")</f>
        <v/>
      </c>
      <c r="S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2" t="str">
        <f>IF(心斎橋CSB3500円[[#This Row],[人数]]="","",VLOOKUP(心斎橋CSB3500円[[#This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20" t="str">
        <f>IF(心斎橋CSB4000円[[#This Row],[人数]]=0,"",1)</f>
        <v/>
      </c>
      <c r="C7" s="14"/>
      <c r="D7" s="15"/>
      <c r="E7" s="21">
        <f>ROUNDDOWN(心斎橋CSB4000円[[#This Row],[人数]]/8,0)</f>
        <v>0</v>
      </c>
      <c r="F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2" t="str">
        <f>IFERROR(($B$3*心斎橋CSB4000円[[#This Row],[人数]])-心斎橋CSB4000円[[#This Row],[単価合計]]-(心斎橋CSB4000円[[#This Row],[キャンセル人数]]*$B$2),"")</f>
        <v/>
      </c>
      <c r="H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2" t="str">
        <f>IF(心斎橋CSB4000円[[#This Row],[人数]]="","",VLOOKUP(心斎橋CSB4000円[[#This Row],[人数]],バック金額②[#All],2,TRUE)-(心斎橋CSB4000円[[#This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2" t="str">
        <f>IFERROR(($M$3*心斎橋CSB3500円[[#This Row],[人数]])-心斎橋CSB3500円[[#This Row],[単価合計]]-(心斎橋CSB3500円[[#This Row],[キャンセル人数]]*$B$2),"")</f>
        <v/>
      </c>
      <c r="S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2" t="str">
        <f>IF(心斎橋CSB3500円[[#This Row],[人数]]="","",VLOOKUP(心斎橋CSB3500円[[#This Row],[人数]],バック金額②[#All],2,TRUE))</f>
        <v/>
      </c>
    </row>
    <row r="8" spans="1:21">
      <c r="A8" s="63">
        <f t="shared" si="0"/>
        <v>44961</v>
      </c>
      <c r="B8" s="20" t="str">
        <f>IF(心斎橋CSB4000円[[#This Row],[人数]]=0,"",1)</f>
        <v/>
      </c>
      <c r="C8" s="14"/>
      <c r="D8" s="15"/>
      <c r="E8" s="21">
        <f>ROUNDDOWN(心斎橋CSB4000円[[#This Row],[人数]]/8,0)</f>
        <v>0</v>
      </c>
      <c r="F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2" t="str">
        <f>IFERROR(($B$3*心斎橋CSB4000円[[#This Row],[人数]])-心斎橋CSB4000円[[#This Row],[単価合計]]-(心斎橋CSB4000円[[#This Row],[キャンセル人数]]*$B$2),"")</f>
        <v/>
      </c>
      <c r="H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2" t="str">
        <f>IF(心斎橋CSB4000円[[#This Row],[人数]]="","",VLOOKUP(心斎橋CSB4000円[[#This Row],[人数]],バック金額②[#All],2,TRUE)-(心斎橋CSB4000円[[#This Row],[キャンセル人数]]*$B$2))</f>
        <v/>
      </c>
      <c r="L8" s="63">
        <f t="shared" si="1"/>
        <v>44961</v>
      </c>
      <c r="M8" s="13"/>
      <c r="N8" s="14"/>
      <c r="O8" s="15"/>
      <c r="P8" s="15"/>
      <c r="Q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2" t="str">
        <f>IFERROR(($M$3*心斎橋CSB3500円[[#This Row],[人数]])-心斎橋CSB3500円[[#This Row],[単価合計]]-(心斎橋CSB3500円[[#This Row],[キャンセル人数]]*$B$2),"")</f>
        <v/>
      </c>
      <c r="S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2" t="str">
        <f>IF(心斎橋CSB3500円[[#This Row],[人数]]="","",VLOOKUP(心斎橋CSB3500円[[#This Row],[人数]],バック金額②[#All],2,TRUE))</f>
        <v/>
      </c>
    </row>
    <row r="9" spans="1:21">
      <c r="A9" s="63">
        <f t="shared" si="0"/>
        <v>44962</v>
      </c>
      <c r="B9" s="20" t="str">
        <f>IF(心斎橋CSB4000円[[#This Row],[人数]]=0,"",1)</f>
        <v/>
      </c>
      <c r="C9" s="14"/>
      <c r="D9" s="15"/>
      <c r="E9" s="21">
        <f>ROUNDDOWN(心斎橋CSB4000円[[#This Row],[人数]]/8,0)</f>
        <v>0</v>
      </c>
      <c r="F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2" t="str">
        <f>IFERROR(($B$3*心斎橋CSB4000円[[#This Row],[人数]])-心斎橋CSB4000円[[#This Row],[単価合計]]-(心斎橋CSB4000円[[#This Row],[キャンセル人数]]*$B$2),"")</f>
        <v/>
      </c>
      <c r="H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2" t="str">
        <f>IF(心斎橋CSB4000円[[#This Row],[人数]]="","",VLOOKUP(心斎橋CSB4000円[[#This Row],[人数]],バック金額②[#All],2,TRUE)-(心斎橋CSB4000円[[#This Row],[キャンセル人数]]*$B$2))</f>
        <v/>
      </c>
      <c r="L9" s="63">
        <f t="shared" si="1"/>
        <v>44962</v>
      </c>
      <c r="M9" s="13"/>
      <c r="N9" s="14"/>
      <c r="O9" s="15"/>
      <c r="P9" s="15"/>
      <c r="Q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2" t="str">
        <f>IFERROR(($M$3*心斎橋CSB3500円[[#This Row],[人数]])-心斎橋CSB3500円[[#This Row],[単価合計]]-(心斎橋CSB3500円[[#This Row],[キャンセル人数]]*$B$2),"")</f>
        <v/>
      </c>
      <c r="S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2" t="str">
        <f>IF(心斎橋CSB3500円[[#This Row],[人数]]="","",VLOOKUP(心斎橋CSB3500円[[#This Row],[人数]],バック金額②[#All],2,TRUE))</f>
        <v/>
      </c>
    </row>
    <row r="10" spans="1:21">
      <c r="A10" s="63">
        <f t="shared" si="0"/>
        <v>44963</v>
      </c>
      <c r="B10" s="20" t="str">
        <f>IF(心斎橋CSB4000円[[#This Row],[人数]]=0,"",1)</f>
        <v/>
      </c>
      <c r="C10" s="14"/>
      <c r="D10" s="15"/>
      <c r="E10" s="21">
        <f>ROUNDDOWN(心斎橋CSB4000円[[#This Row],[人数]]/8,0)</f>
        <v>0</v>
      </c>
      <c r="F1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2" t="str">
        <f>IFERROR(($B$3*心斎橋CSB4000円[[#This Row],[人数]])-心斎橋CSB4000円[[#This Row],[単価合計]]-(心斎橋CSB4000円[[#This Row],[キャンセル人数]]*$B$2),"")</f>
        <v/>
      </c>
      <c r="H1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2" t="str">
        <f>IF(心斎橋CSB4000円[[#This Row],[人数]]="","",VLOOKUP(心斎橋CSB4000円[[#This Row],[人数]],バック金額②[#All],2,TRUE)-(心斎橋CSB4000円[[#This Row],[キャンセル人数]]*$B$2))</f>
        <v/>
      </c>
      <c r="L10" s="63">
        <f t="shared" si="1"/>
        <v>44963</v>
      </c>
      <c r="M10" s="13"/>
      <c r="N10" s="14"/>
      <c r="O10" s="15"/>
      <c r="P10" s="15"/>
      <c r="Q1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2" t="str">
        <f>IFERROR(($M$3*心斎橋CSB3500円[[#This Row],[人数]])-心斎橋CSB3500円[[#This Row],[単価合計]]-(心斎橋CSB3500円[[#This Row],[キャンセル人数]]*$B$2),"")</f>
        <v/>
      </c>
      <c r="S1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2" t="str">
        <f>IF(心斎橋CSB3500円[[#This Row],[人数]]="","",VLOOKUP(心斎橋CSB3500円[[#This Row],[人数]],バック金額②[#All],2,TRUE))</f>
        <v/>
      </c>
    </row>
    <row r="11" spans="1:21">
      <c r="A11" s="63">
        <f t="shared" si="0"/>
        <v>44964</v>
      </c>
      <c r="B11" s="20" t="str">
        <f>IF(心斎橋CSB4000円[[#This Row],[人数]]=0,"",1)</f>
        <v/>
      </c>
      <c r="C11" s="14"/>
      <c r="D11" s="15"/>
      <c r="E11" s="21">
        <f>ROUNDDOWN(心斎橋CSB4000円[[#This Row],[人数]]/8,0)</f>
        <v>0</v>
      </c>
      <c r="F1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2" t="str">
        <f>IFERROR(($B$3*心斎橋CSB4000円[[#This Row],[人数]])-心斎橋CSB4000円[[#This Row],[単価合計]]-(心斎橋CSB4000円[[#This Row],[キャンセル人数]]*$B$2),"")</f>
        <v/>
      </c>
      <c r="H1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2" t="str">
        <f>IF(心斎橋CSB4000円[[#This Row],[人数]]="","",VLOOKUP(心斎橋CSB4000円[[#This Row],[人数]],バック金額②[#All],2,TRUE)-(心斎橋CSB4000円[[#This Row],[キャンセル人数]]*$B$2))</f>
        <v/>
      </c>
      <c r="L11" s="63">
        <f t="shared" si="1"/>
        <v>44964</v>
      </c>
      <c r="M11" s="13"/>
      <c r="N11" s="14"/>
      <c r="O11" s="15"/>
      <c r="P11" s="15"/>
      <c r="Q1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2" t="str">
        <f>IFERROR(($M$3*心斎橋CSB3500円[[#This Row],[人数]])-心斎橋CSB3500円[[#This Row],[単価合計]]-(心斎橋CSB3500円[[#This Row],[キャンセル人数]]*$B$2),"")</f>
        <v/>
      </c>
      <c r="S1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2" t="str">
        <f>IF(心斎橋CSB3500円[[#This Row],[人数]]="","",VLOOKUP(心斎橋CSB3500円[[#This Row],[人数]],バック金額②[#All],2,TRUE))</f>
        <v/>
      </c>
    </row>
    <row r="12" spans="1:21">
      <c r="A12" s="63">
        <f t="shared" si="0"/>
        <v>44965</v>
      </c>
      <c r="B12" s="20" t="str">
        <f>IF(心斎橋CSB4000円[[#This Row],[人数]]=0,"",1)</f>
        <v/>
      </c>
      <c r="C12" s="14"/>
      <c r="D12" s="15"/>
      <c r="E12" s="21">
        <f>ROUNDDOWN(心斎橋CSB4000円[[#This Row],[人数]]/8,0)</f>
        <v>0</v>
      </c>
      <c r="F1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2" t="str">
        <f>IFERROR(($B$3*心斎橋CSB4000円[[#This Row],[人数]])-心斎橋CSB4000円[[#This Row],[単価合計]]-(心斎橋CSB4000円[[#This Row],[キャンセル人数]]*$B$2),"")</f>
        <v/>
      </c>
      <c r="H1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2" t="str">
        <f>IF(心斎橋CSB4000円[[#This Row],[人数]]="","",VLOOKUP(心斎橋CSB4000円[[#This Row],[人数]],バック金額②[#All],2,TRUE)-(心斎橋CSB4000円[[#This Row],[キャンセル人数]]*$B$2))</f>
        <v/>
      </c>
      <c r="L12" s="63">
        <f t="shared" si="1"/>
        <v>44965</v>
      </c>
      <c r="M12" s="13"/>
      <c r="N12" s="14"/>
      <c r="O12" s="15"/>
      <c r="P12" s="15"/>
      <c r="Q1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2" t="str">
        <f>IFERROR(($M$3*心斎橋CSB3500円[[#This Row],[人数]])-心斎橋CSB3500円[[#This Row],[単価合計]]-(心斎橋CSB3500円[[#This Row],[キャンセル人数]]*$B$2),"")</f>
        <v/>
      </c>
      <c r="S1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2" t="str">
        <f>IF(心斎橋CSB3500円[[#This Row],[人数]]="","",VLOOKUP(心斎橋CSB3500円[[#This Row],[人数]],バック金額②[#All],2,TRUE))</f>
        <v/>
      </c>
    </row>
    <row r="13" spans="1:21">
      <c r="A13" s="63">
        <f t="shared" si="0"/>
        <v>44966</v>
      </c>
      <c r="B13" s="20" t="str">
        <f>IF(心斎橋CSB4000円[[#This Row],[人数]]=0,"",1)</f>
        <v/>
      </c>
      <c r="C13" s="14"/>
      <c r="D13" s="15"/>
      <c r="E13" s="21">
        <f>ROUNDDOWN(心斎橋CSB4000円[[#This Row],[人数]]/8,0)</f>
        <v>0</v>
      </c>
      <c r="F1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2" t="str">
        <f>IFERROR(($B$3*心斎橋CSB4000円[[#This Row],[人数]])-心斎橋CSB4000円[[#This Row],[単価合計]]-(心斎橋CSB4000円[[#This Row],[キャンセル人数]]*$B$2),"")</f>
        <v/>
      </c>
      <c r="H1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2" t="str">
        <f>IF(心斎橋CSB4000円[[#This Row],[人数]]="","",VLOOKUP(心斎橋CSB4000円[[#This Row],[人数]],バック金額②[#All],2,TRUE)-(心斎橋CSB4000円[[#This Row],[キャンセル人数]]*$B$2))</f>
        <v/>
      </c>
      <c r="L13" s="63">
        <f t="shared" si="1"/>
        <v>44966</v>
      </c>
      <c r="M13" s="13"/>
      <c r="N13" s="14"/>
      <c r="O13" s="15"/>
      <c r="P13" s="15"/>
      <c r="Q1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2" t="str">
        <f>IFERROR(($M$3*心斎橋CSB3500円[[#This Row],[人数]])-心斎橋CSB3500円[[#This Row],[単価合計]]-(心斎橋CSB3500円[[#This Row],[キャンセル人数]]*$B$2),"")</f>
        <v/>
      </c>
      <c r="S1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2" t="str">
        <f>IF(心斎橋CSB3500円[[#This Row],[人数]]="","",VLOOKUP(心斎橋CSB3500円[[#This Row],[人数]],バック金額②[#All],2,TRUE))</f>
        <v/>
      </c>
    </row>
    <row r="14" spans="1:21">
      <c r="A14" s="63">
        <f t="shared" si="0"/>
        <v>44967</v>
      </c>
      <c r="B14" s="20">
        <f>IF(心斎橋CSB4000円[[#This Row],[人数]]=0,"",1)</f>
        <v>1</v>
      </c>
      <c r="C14" s="14">
        <v>0</v>
      </c>
      <c r="D14" s="15">
        <v>8</v>
      </c>
      <c r="E14" s="21">
        <f>ROUNDDOWN(心斎橋CSB4000円[[#This Row],[人数]]/8,0)</f>
        <v>1</v>
      </c>
      <c r="F14" s="42">
        <f>IF(心斎橋CSB4000円[[#This Row],[人数]]="","",IF(心斎橋CSB4000円[[#This Row],[人数]]&lt;=7,$B$1*心斎橋CSB4000円[[#This Row],[人数]],$B$1*心斎橋CSB4000円[[#This Row],[人数]]-心斎橋CSB4000円[[#This Row],[幹事無料]]))</f>
        <v>17500</v>
      </c>
      <c r="G14" s="42">
        <f>IFERROR(($B$3*心斎橋CSB4000円[[#This Row],[人数]])-心斎橋CSB4000円[[#This Row],[単価合計]]-(心斎橋CSB4000円[[#This Row],[キャンセル人数]]*$B$2),"")</f>
        <v>14500</v>
      </c>
      <c r="H14" s="42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>2500</v>
      </c>
      <c r="I14" s="15"/>
      <c r="J14" s="42">
        <f>IF(心斎橋CSB4000円[[#This Row],[人数]]="","",VLOOKUP(心斎橋CSB4000円[[#This Row],[人数]],バック金額②[#All],2,TRUE)-(心斎橋CSB4000円[[#This Row],[キャンセル人数]]*$B$2))</f>
        <v>9000</v>
      </c>
      <c r="L14" s="63">
        <f t="shared" si="1"/>
        <v>44967</v>
      </c>
      <c r="M14" s="13"/>
      <c r="N14" s="14"/>
      <c r="O14" s="15"/>
      <c r="P14" s="15"/>
      <c r="Q1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2" t="str">
        <f>IFERROR(($M$3*心斎橋CSB3500円[[#This Row],[人数]])-心斎橋CSB3500円[[#This Row],[単価合計]]-(心斎橋CSB3500円[[#This Row],[キャンセル人数]]*$B$2),"")</f>
        <v/>
      </c>
      <c r="S1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2" t="str">
        <f>IF(心斎橋CSB3500円[[#This Row],[人数]]="","",VLOOKUP(心斎橋CSB3500円[[#This Row],[人数]],バック金額②[#All],2,TRUE))</f>
        <v/>
      </c>
    </row>
    <row r="15" spans="1:21">
      <c r="A15" s="63">
        <f t="shared" si="0"/>
        <v>44968</v>
      </c>
      <c r="B15" s="20" t="str">
        <f>IF(心斎橋CSB4000円[[#This Row],[人数]]=0,"",1)</f>
        <v/>
      </c>
      <c r="C15" s="14"/>
      <c r="D15" s="15"/>
      <c r="E15" s="21">
        <f>ROUNDDOWN(心斎橋CSB4000円[[#This Row],[人数]]/8,0)</f>
        <v>0</v>
      </c>
      <c r="F1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2" t="str">
        <f>IFERROR(($B$3*心斎橋CSB4000円[[#This Row],[人数]])-心斎橋CSB4000円[[#This Row],[単価合計]]-(心斎橋CSB4000円[[#This Row],[キャンセル人数]]*$B$2),"")</f>
        <v/>
      </c>
      <c r="H1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2" t="str">
        <f>IF(心斎橋CSB4000円[[#This Row],[人数]]="","",VLOOKUP(心斎橋CSB4000円[[#This Row],[人数]],バック金額②[#All],2,TRUE)-(心斎橋CSB4000円[[#This Row],[キャンセル人数]]*$B$2))</f>
        <v/>
      </c>
      <c r="L15" s="63">
        <f t="shared" si="1"/>
        <v>44968</v>
      </c>
      <c r="M15" s="13"/>
      <c r="N15" s="14"/>
      <c r="O15" s="15"/>
      <c r="P15" s="15"/>
      <c r="Q1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2" t="str">
        <f>IFERROR(($M$3*心斎橋CSB3500円[[#This Row],[人数]])-心斎橋CSB3500円[[#This Row],[単価合計]]-(心斎橋CSB3500円[[#This Row],[キャンセル人数]]*$B$2),"")</f>
        <v/>
      </c>
      <c r="S1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2" t="str">
        <f>IF(心斎橋CSB3500円[[#This Row],[人数]]="","",VLOOKUP(心斎橋CSB3500円[[#This Row],[人数]],バック金額②[#All],2,TRUE))</f>
        <v/>
      </c>
    </row>
    <row r="16" spans="1:21">
      <c r="A16" s="63">
        <f t="shared" si="0"/>
        <v>44969</v>
      </c>
      <c r="B16" s="20" t="str">
        <f>IF(心斎橋CSB4000円[[#This Row],[人数]]=0,"",1)</f>
        <v/>
      </c>
      <c r="C16" s="14"/>
      <c r="D16" s="15"/>
      <c r="E16" s="21">
        <f>ROUNDDOWN(心斎橋CSB4000円[[#This Row],[人数]]/8,0)</f>
        <v>0</v>
      </c>
      <c r="F1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2" t="str">
        <f>IFERROR(($B$3*心斎橋CSB4000円[[#This Row],[人数]])-心斎橋CSB4000円[[#This Row],[単価合計]]-(心斎橋CSB4000円[[#This Row],[キャンセル人数]]*$B$2),"")</f>
        <v/>
      </c>
      <c r="H1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2" t="str">
        <f>IF(心斎橋CSB4000円[[#This Row],[人数]]="","",VLOOKUP(心斎橋CSB4000円[[#This Row],[人数]],バック金額②[#All],2,TRUE)-(心斎橋CSB4000円[[#This Row],[キャンセル人数]]*$B$2))</f>
        <v/>
      </c>
      <c r="L16" s="63">
        <f t="shared" si="1"/>
        <v>44969</v>
      </c>
      <c r="M16" s="13"/>
      <c r="N16" s="14"/>
      <c r="O16" s="15"/>
      <c r="P16" s="15"/>
      <c r="Q1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2" t="str">
        <f>IFERROR(($M$3*心斎橋CSB3500円[[#This Row],[人数]])-心斎橋CSB3500円[[#This Row],[単価合計]]-(心斎橋CSB3500円[[#This Row],[キャンセル人数]]*$B$2),"")</f>
        <v/>
      </c>
      <c r="S1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2" t="str">
        <f>IF(心斎橋CSB3500円[[#This Row],[人数]]="","",VLOOKUP(心斎橋CSB3500円[[#This Row],[人数]],バック金額②[#All],2,TRUE))</f>
        <v/>
      </c>
    </row>
    <row r="17" spans="1:21">
      <c r="A17" s="63">
        <f t="shared" si="0"/>
        <v>44970</v>
      </c>
      <c r="B17" s="20" t="str">
        <f>IF(心斎橋CSB4000円[[#This Row],[人数]]=0,"",1)</f>
        <v/>
      </c>
      <c r="C17" s="14"/>
      <c r="D17" s="15"/>
      <c r="E17" s="21">
        <f>ROUNDDOWN(心斎橋CSB4000円[[#This Row],[人数]]/8,0)</f>
        <v>0</v>
      </c>
      <c r="F1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2" t="str">
        <f>IFERROR(($B$3*心斎橋CSB4000円[[#This Row],[人数]])-心斎橋CSB4000円[[#This Row],[単価合計]]-(心斎橋CSB4000円[[#This Row],[キャンセル人数]]*$B$2),"")</f>
        <v/>
      </c>
      <c r="H1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2" t="str">
        <f>IF(心斎橋CSB4000円[[#This Row],[人数]]="","",VLOOKUP(心斎橋CSB4000円[[#This Row],[人数]],バック金額②[#All],2,TRUE)-(心斎橋CSB4000円[[#This Row],[キャンセル人数]]*$B$2))</f>
        <v/>
      </c>
      <c r="L17" s="63">
        <f t="shared" si="1"/>
        <v>44970</v>
      </c>
      <c r="M17" s="13"/>
      <c r="N17" s="14"/>
      <c r="O17" s="15"/>
      <c r="P17" s="15"/>
      <c r="Q1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2" t="str">
        <f>IFERROR(($M$3*心斎橋CSB3500円[[#This Row],[人数]])-心斎橋CSB3500円[[#This Row],[単価合計]]-(心斎橋CSB3500円[[#This Row],[キャンセル人数]]*$B$2),"")</f>
        <v/>
      </c>
      <c r="S1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2" t="str">
        <f>IF(心斎橋CSB3500円[[#This Row],[人数]]="","",VLOOKUP(心斎橋CSB3500円[[#This Row],[人数]],バック金額②[#All],2,TRUE))</f>
        <v/>
      </c>
    </row>
    <row r="18" spans="1:21">
      <c r="A18" s="63">
        <f t="shared" si="0"/>
        <v>44971</v>
      </c>
      <c r="B18" s="20" t="str">
        <f>IF(心斎橋CSB4000円[[#This Row],[人数]]=0,"",1)</f>
        <v/>
      </c>
      <c r="C18" s="14"/>
      <c r="D18" s="15"/>
      <c r="E18" s="21">
        <f>ROUNDDOWN(心斎橋CSB4000円[[#This Row],[人数]]/8,0)</f>
        <v>0</v>
      </c>
      <c r="F1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2" t="str">
        <f>IFERROR(($B$3*心斎橋CSB4000円[[#This Row],[人数]])-心斎橋CSB4000円[[#This Row],[単価合計]]-(心斎橋CSB4000円[[#This Row],[キャンセル人数]]*$B$2),"")</f>
        <v/>
      </c>
      <c r="H1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2" t="str">
        <f>IF(心斎橋CSB4000円[[#This Row],[人数]]="","",VLOOKUP(心斎橋CSB4000円[[#This Row],[人数]],バック金額②[#All],2,TRUE)-(心斎橋CSB4000円[[#This Row],[キャンセル人数]]*$B$2))</f>
        <v/>
      </c>
      <c r="L18" s="63">
        <f t="shared" si="1"/>
        <v>44971</v>
      </c>
      <c r="M18" s="13"/>
      <c r="N18" s="14"/>
      <c r="O18" s="15"/>
      <c r="P18" s="15"/>
      <c r="Q1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2" t="str">
        <f>IFERROR(($M$3*心斎橋CSB3500円[[#This Row],[人数]])-心斎橋CSB3500円[[#This Row],[単価合計]]-(心斎橋CSB3500円[[#This Row],[キャンセル人数]]*$B$2),"")</f>
        <v/>
      </c>
      <c r="S1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2" t="str">
        <f>IF(心斎橋CSB3500円[[#This Row],[人数]]="","",VLOOKUP(心斎橋CSB3500円[[#This Row],[人数]],バック金額②[#All],2,TRUE))</f>
        <v/>
      </c>
    </row>
    <row r="19" spans="1:21">
      <c r="A19" s="63">
        <f t="shared" si="0"/>
        <v>44972</v>
      </c>
      <c r="B19" s="20" t="str">
        <f>IF(心斎橋CSB4000円[[#This Row],[人数]]=0,"",1)</f>
        <v/>
      </c>
      <c r="C19" s="14"/>
      <c r="D19" s="15"/>
      <c r="E19" s="21">
        <f>ROUNDDOWN(心斎橋CSB4000円[[#This Row],[人数]]/8,0)</f>
        <v>0</v>
      </c>
      <c r="F1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2" t="str">
        <f>IFERROR(($B$3*心斎橋CSB4000円[[#This Row],[人数]])-心斎橋CSB4000円[[#This Row],[単価合計]]-(心斎橋CSB4000円[[#This Row],[キャンセル人数]]*$B$2),"")</f>
        <v/>
      </c>
      <c r="H1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2" t="str">
        <f>IF(心斎橋CSB4000円[[#This Row],[人数]]="","",VLOOKUP(心斎橋CSB4000円[[#This Row],[人数]],バック金額②[#All],2,TRUE)-(心斎橋CSB4000円[[#This Row],[キャンセル人数]]*$B$2))</f>
        <v/>
      </c>
      <c r="L19" s="63">
        <f t="shared" si="1"/>
        <v>44972</v>
      </c>
      <c r="M19" s="13"/>
      <c r="N19" s="14"/>
      <c r="O19" s="15"/>
      <c r="P19" s="15"/>
      <c r="Q1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2" t="str">
        <f>IFERROR(($M$3*心斎橋CSB3500円[[#This Row],[人数]])-心斎橋CSB3500円[[#This Row],[単価合計]]-(心斎橋CSB3500円[[#This Row],[キャンセル人数]]*$B$2),"")</f>
        <v/>
      </c>
      <c r="S1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2" t="str">
        <f>IF(心斎橋CSB3500円[[#This Row],[人数]]="","",VLOOKUP(心斎橋CSB3500円[[#This Row],[人数]],バック金額②[#All],2,TRUE))</f>
        <v/>
      </c>
    </row>
    <row r="20" spans="1:21">
      <c r="A20" s="63">
        <f t="shared" si="0"/>
        <v>44973</v>
      </c>
      <c r="B20" s="20" t="str">
        <f>IF(心斎橋CSB4000円[[#This Row],[人数]]=0,"",1)</f>
        <v/>
      </c>
      <c r="C20" s="14"/>
      <c r="D20" s="15"/>
      <c r="E20" s="21">
        <f>ROUNDDOWN(心斎橋CSB4000円[[#This Row],[人数]]/8,0)</f>
        <v>0</v>
      </c>
      <c r="F2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2" t="str">
        <f>IFERROR(($B$3*心斎橋CSB4000円[[#This Row],[人数]])-心斎橋CSB4000円[[#This Row],[単価合計]]-(心斎橋CSB4000円[[#This Row],[キャンセル人数]]*$B$2),"")</f>
        <v/>
      </c>
      <c r="H2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2" t="str">
        <f>IF(心斎橋CSB4000円[[#This Row],[人数]]="","",VLOOKUP(心斎橋CSB4000円[[#This Row],[人数]],バック金額②[#All],2,TRUE)-(心斎橋CSB4000円[[#This Row],[キャンセル人数]]*$B$2))</f>
        <v/>
      </c>
      <c r="L20" s="63">
        <f t="shared" si="1"/>
        <v>44973</v>
      </c>
      <c r="M20" s="13"/>
      <c r="N20" s="14"/>
      <c r="O20" s="15"/>
      <c r="P20" s="15"/>
      <c r="Q2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2" t="str">
        <f>IFERROR(($M$3*心斎橋CSB3500円[[#This Row],[人数]])-心斎橋CSB3500円[[#This Row],[単価合計]]-(心斎橋CSB3500円[[#This Row],[キャンセル人数]]*$B$2),"")</f>
        <v/>
      </c>
      <c r="S2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2" t="str">
        <f>IF(心斎橋CSB3500円[[#This Row],[人数]]="","",VLOOKUP(心斎橋CSB3500円[[#This Row],[人数]],バック金額②[#All],2,TRUE))</f>
        <v/>
      </c>
    </row>
    <row r="21" spans="1:21">
      <c r="A21" s="63">
        <f t="shared" si="0"/>
        <v>44974</v>
      </c>
      <c r="B21" s="20">
        <f>IF(心斎橋CSB4000円[[#This Row],[人数]]=0,"",1)</f>
        <v>1</v>
      </c>
      <c r="C21" s="14">
        <v>0</v>
      </c>
      <c r="D21" s="15">
        <v>9</v>
      </c>
      <c r="E21" s="21">
        <f>ROUNDDOWN(心斎橋CSB4000円[[#This Row],[人数]]/8,0)</f>
        <v>1</v>
      </c>
      <c r="F21" s="42">
        <f>IF(心斎橋CSB4000円[[#This Row],[人数]]="","",IF(心斎橋CSB4000円[[#This Row],[人数]]&lt;=7,$B$1*心斎橋CSB4000円[[#This Row],[人数]],$B$1*心斎橋CSB4000円[[#This Row],[人数]]-心斎橋CSB4000円[[#This Row],[幹事無料]]))</f>
        <v>20000</v>
      </c>
      <c r="G21" s="42">
        <f>IFERROR(($B$3*心斎橋CSB4000円[[#This Row],[人数]])-心斎橋CSB4000円[[#This Row],[単価合計]]-(心斎橋CSB4000円[[#This Row],[キャンセル人数]]*$B$2),"")</f>
        <v>16000</v>
      </c>
      <c r="H21" s="42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>2500</v>
      </c>
      <c r="I21" s="15"/>
      <c r="J21" s="42">
        <f>IF(心斎橋CSB4000円[[#This Row],[人数]]="","",VLOOKUP(心斎橋CSB4000円[[#This Row],[人数]],バック金額②[#All],2,TRUE)-(心斎橋CSB4000円[[#This Row],[キャンセル人数]]*$B$2))</f>
        <v>10000</v>
      </c>
      <c r="L21" s="63">
        <f t="shared" si="1"/>
        <v>44974</v>
      </c>
      <c r="M21" s="13"/>
      <c r="N21" s="14"/>
      <c r="O21" s="15"/>
      <c r="P21" s="15"/>
      <c r="Q2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2" t="str">
        <f>IFERROR(($M$3*心斎橋CSB3500円[[#This Row],[人数]])-心斎橋CSB3500円[[#This Row],[単価合計]]-(心斎橋CSB3500円[[#This Row],[キャンセル人数]]*$B$2),"")</f>
        <v/>
      </c>
      <c r="S2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2" t="str">
        <f>IF(心斎橋CSB3500円[[#This Row],[人数]]="","",VLOOKUP(心斎橋CSB3500円[[#This Row],[人数]],バック金額②[#All],2,TRUE))</f>
        <v/>
      </c>
    </row>
    <row r="22" spans="1:21">
      <c r="A22" s="63">
        <f t="shared" si="0"/>
        <v>44975</v>
      </c>
      <c r="B22" s="20" t="str">
        <f>IF(心斎橋CSB4000円[[#This Row],[人数]]=0,"",1)</f>
        <v/>
      </c>
      <c r="C22" s="14"/>
      <c r="D22" s="15"/>
      <c r="E22" s="21">
        <f>ROUNDDOWN(心斎橋CSB4000円[[#This Row],[人数]]/8,0)</f>
        <v>0</v>
      </c>
      <c r="F2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2" t="str">
        <f>IFERROR(($B$3*心斎橋CSB4000円[[#This Row],[人数]])-心斎橋CSB4000円[[#This Row],[単価合計]]-(心斎橋CSB4000円[[#This Row],[キャンセル人数]]*$B$2),"")</f>
        <v/>
      </c>
      <c r="H2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2" t="str">
        <f>IF(心斎橋CSB4000円[[#This Row],[人数]]="","",VLOOKUP(心斎橋CSB4000円[[#This Row],[人数]],バック金額②[#All],2,TRUE)-(心斎橋CSB4000円[[#This Row],[キャンセル人数]]*$B$2))</f>
        <v/>
      </c>
      <c r="L22" s="63">
        <f t="shared" si="1"/>
        <v>44975</v>
      </c>
      <c r="M22" s="13"/>
      <c r="N22" s="14"/>
      <c r="O22" s="15"/>
      <c r="P22" s="15"/>
      <c r="Q2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2" t="str">
        <f>IFERROR(($M$3*心斎橋CSB3500円[[#This Row],[人数]])-心斎橋CSB3500円[[#This Row],[単価合計]]-(心斎橋CSB3500円[[#This Row],[キャンセル人数]]*$B$2),"")</f>
        <v/>
      </c>
      <c r="S2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2" t="str">
        <f>IF(心斎橋CSB3500円[[#This Row],[人数]]="","",VLOOKUP(心斎橋CSB3500円[[#This Row],[人数]],バック金額②[#All],2,TRUE))</f>
        <v/>
      </c>
    </row>
    <row r="23" spans="1:21">
      <c r="A23" s="63">
        <f t="shared" si="0"/>
        <v>44976</v>
      </c>
      <c r="B23" s="20" t="str">
        <f>IF(心斎橋CSB4000円[[#This Row],[人数]]=0,"",1)</f>
        <v/>
      </c>
      <c r="C23" s="14"/>
      <c r="D23" s="15"/>
      <c r="E23" s="21">
        <f>ROUNDDOWN(心斎橋CSB4000円[[#This Row],[人数]]/8,0)</f>
        <v>0</v>
      </c>
      <c r="F2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2" t="str">
        <f>IFERROR(($B$3*心斎橋CSB4000円[[#This Row],[人数]])-心斎橋CSB4000円[[#This Row],[単価合計]]-(心斎橋CSB4000円[[#This Row],[キャンセル人数]]*$B$2),"")</f>
        <v/>
      </c>
      <c r="H2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2" t="str">
        <f>IF(心斎橋CSB4000円[[#This Row],[人数]]="","",VLOOKUP(心斎橋CSB4000円[[#This Row],[人数]],バック金額②[#All],2,TRUE)-(心斎橋CSB4000円[[#This Row],[キャンセル人数]]*$B$2))</f>
        <v/>
      </c>
      <c r="L23" s="63">
        <f t="shared" si="1"/>
        <v>44976</v>
      </c>
      <c r="M23" s="13"/>
      <c r="N23" s="14"/>
      <c r="O23" s="15"/>
      <c r="P23" s="15"/>
      <c r="Q2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2" t="str">
        <f>IFERROR(($M$3*心斎橋CSB3500円[[#This Row],[人数]])-心斎橋CSB3500円[[#This Row],[単価合計]]-(心斎橋CSB3500円[[#This Row],[キャンセル人数]]*$B$2),"")</f>
        <v/>
      </c>
      <c r="S2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2" t="str">
        <f>IF(心斎橋CSB3500円[[#This Row],[人数]]="","",VLOOKUP(心斎橋CSB3500円[[#This Row],[人数]],バック金額②[#All],2,TRUE))</f>
        <v/>
      </c>
    </row>
    <row r="24" spans="1:21">
      <c r="A24" s="63">
        <f t="shared" si="0"/>
        <v>44977</v>
      </c>
      <c r="B24" s="20" t="str">
        <f>IF(心斎橋CSB4000円[[#This Row],[人数]]=0,"",1)</f>
        <v/>
      </c>
      <c r="C24" s="14"/>
      <c r="D24" s="15"/>
      <c r="E24" s="21">
        <f>ROUNDDOWN(心斎橋CSB4000円[[#This Row],[人数]]/8,0)</f>
        <v>0</v>
      </c>
      <c r="F2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2" t="str">
        <f>IFERROR(($B$3*心斎橋CSB4000円[[#This Row],[人数]])-心斎橋CSB4000円[[#This Row],[単価合計]]-(心斎橋CSB4000円[[#This Row],[キャンセル人数]]*$B$2),"")</f>
        <v/>
      </c>
      <c r="H2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2" t="str">
        <f>IF(心斎橋CSB4000円[[#This Row],[人数]]="","",VLOOKUP(心斎橋CSB4000円[[#This Row],[人数]],バック金額②[#All],2,TRUE)-(心斎橋CSB4000円[[#This Row],[キャンセル人数]]*$B$2))</f>
        <v/>
      </c>
      <c r="L24" s="63">
        <f t="shared" si="1"/>
        <v>44977</v>
      </c>
      <c r="M24" s="13"/>
      <c r="N24" s="14"/>
      <c r="O24" s="15"/>
      <c r="P24" s="15"/>
      <c r="Q2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2" t="str">
        <f>IFERROR(($M$3*心斎橋CSB3500円[[#This Row],[人数]])-心斎橋CSB3500円[[#This Row],[単価合計]]-(心斎橋CSB3500円[[#This Row],[キャンセル人数]]*$B$2),"")</f>
        <v/>
      </c>
      <c r="S2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2" t="str">
        <f>IF(心斎橋CSB3500円[[#This Row],[人数]]="","",VLOOKUP(心斎橋CSB3500円[[#This Row],[人数]],バック金額②[#All],2,TRUE))</f>
        <v/>
      </c>
    </row>
    <row r="25" spans="1:21">
      <c r="A25" s="63">
        <f t="shared" si="0"/>
        <v>44978</v>
      </c>
      <c r="B25" s="20" t="str">
        <f>IF(心斎橋CSB4000円[[#This Row],[人数]]=0,"",1)</f>
        <v/>
      </c>
      <c r="C25" s="14"/>
      <c r="D25" s="15"/>
      <c r="E25" s="21">
        <f>ROUNDDOWN(心斎橋CSB4000円[[#This Row],[人数]]/8,0)</f>
        <v>0</v>
      </c>
      <c r="F2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2" t="str">
        <f>IFERROR(($B$3*心斎橋CSB4000円[[#This Row],[人数]])-心斎橋CSB4000円[[#This Row],[単価合計]]-(心斎橋CSB4000円[[#This Row],[キャンセル人数]]*$B$2),"")</f>
        <v/>
      </c>
      <c r="H2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2" t="str">
        <f>IF(心斎橋CSB4000円[[#This Row],[人数]]="","",VLOOKUP(心斎橋CSB4000円[[#This Row],[人数]],バック金額②[#All],2,TRUE)-(心斎橋CSB4000円[[#This Row],[キャンセル人数]]*$B$2))</f>
        <v/>
      </c>
      <c r="L25" s="63">
        <f t="shared" si="1"/>
        <v>44978</v>
      </c>
      <c r="M25" s="13"/>
      <c r="N25" s="14"/>
      <c r="O25" s="15"/>
      <c r="P25" s="15"/>
      <c r="Q2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2" t="str">
        <f>IFERROR(($M$3*心斎橋CSB3500円[[#This Row],[人数]])-心斎橋CSB3500円[[#This Row],[単価合計]]-(心斎橋CSB3500円[[#This Row],[キャンセル人数]]*$B$2),"")</f>
        <v/>
      </c>
      <c r="S2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2" t="str">
        <f>IF(心斎橋CSB3500円[[#This Row],[人数]]="","",VLOOKUP(心斎橋CSB3500円[[#This Row],[人数]],バック金額②[#All],2,TRUE))</f>
        <v/>
      </c>
    </row>
    <row r="26" spans="1:21">
      <c r="A26" s="63">
        <f t="shared" si="0"/>
        <v>44979</v>
      </c>
      <c r="B26" s="20" t="str">
        <f>IF(心斎橋CSB4000円[[#This Row],[人数]]=0,"",1)</f>
        <v/>
      </c>
      <c r="C26" s="14"/>
      <c r="D26" s="15"/>
      <c r="E26" s="21">
        <f>ROUNDDOWN(心斎橋CSB4000円[[#This Row],[人数]]/8,0)</f>
        <v>0</v>
      </c>
      <c r="F2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2" t="str">
        <f>IFERROR(($B$3*心斎橋CSB4000円[[#This Row],[人数]])-心斎橋CSB4000円[[#This Row],[単価合計]]-(心斎橋CSB4000円[[#This Row],[キャンセル人数]]*$B$2),"")</f>
        <v/>
      </c>
      <c r="H2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2" t="str">
        <f>IF(心斎橋CSB4000円[[#This Row],[人数]]="","",VLOOKUP(心斎橋CSB4000円[[#This Row],[人数]],バック金額②[#All],2,TRUE)-(心斎橋CSB4000円[[#This Row],[キャンセル人数]]*$B$2))</f>
        <v/>
      </c>
      <c r="L26" s="63">
        <f t="shared" si="1"/>
        <v>44979</v>
      </c>
      <c r="M26" s="13"/>
      <c r="N26" s="14"/>
      <c r="O26" s="15"/>
      <c r="P26" s="15"/>
      <c r="Q2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2" t="str">
        <f>IFERROR(($M$3*心斎橋CSB3500円[[#This Row],[人数]])-心斎橋CSB3500円[[#This Row],[単価合計]]-(心斎橋CSB3500円[[#This Row],[キャンセル人数]]*$B$2),"")</f>
        <v/>
      </c>
      <c r="S2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2" t="str">
        <f>IF(心斎橋CSB3500円[[#This Row],[人数]]="","",VLOOKUP(心斎橋CSB3500円[[#This Row],[人数]],バック金額②[#All],2,TRUE))</f>
        <v/>
      </c>
    </row>
    <row r="27" spans="1:21">
      <c r="A27" s="63">
        <f t="shared" si="0"/>
        <v>44980</v>
      </c>
      <c r="B27" s="20" t="str">
        <f>IF(心斎橋CSB4000円[[#This Row],[人数]]=0,"",1)</f>
        <v/>
      </c>
      <c r="C27" s="14"/>
      <c r="D27" s="15"/>
      <c r="E27" s="21">
        <f>ROUNDDOWN(心斎橋CSB4000円[[#This Row],[人数]]/8,0)</f>
        <v>0</v>
      </c>
      <c r="F2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2" t="str">
        <f>IFERROR(($B$3*心斎橋CSB4000円[[#This Row],[人数]])-心斎橋CSB4000円[[#This Row],[単価合計]]-(心斎橋CSB4000円[[#This Row],[キャンセル人数]]*$B$2),"")</f>
        <v/>
      </c>
      <c r="H2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2" t="str">
        <f>IF(心斎橋CSB4000円[[#This Row],[人数]]="","",VLOOKUP(心斎橋CSB4000円[[#This Row],[人数]],バック金額②[#All],2,TRUE)-(心斎橋CSB4000円[[#This Row],[キャンセル人数]]*$B$2))</f>
        <v/>
      </c>
      <c r="L27" s="63">
        <f t="shared" si="1"/>
        <v>44980</v>
      </c>
      <c r="M27" s="13"/>
      <c r="N27" s="14"/>
      <c r="O27" s="15"/>
      <c r="P27" s="15"/>
      <c r="Q2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2" t="str">
        <f>IFERROR(($M$3*心斎橋CSB3500円[[#This Row],[人数]])-心斎橋CSB3500円[[#This Row],[単価合計]]-(心斎橋CSB3500円[[#This Row],[キャンセル人数]]*$B$2),"")</f>
        <v/>
      </c>
      <c r="S2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2" t="str">
        <f>IF(心斎橋CSB3500円[[#This Row],[人数]]="","",VLOOKUP(心斎橋CSB3500円[[#This Row],[人数]],バック金額②[#All],2,TRUE))</f>
        <v/>
      </c>
    </row>
    <row r="28" spans="1:21">
      <c r="A28" s="63">
        <f t="shared" si="0"/>
        <v>44981</v>
      </c>
      <c r="B28" s="20" t="str">
        <f>IF(心斎橋CSB4000円[[#This Row],[人数]]=0,"",1)</f>
        <v/>
      </c>
      <c r="C28" s="14"/>
      <c r="D28" s="15"/>
      <c r="E28" s="21">
        <f>ROUNDDOWN(心斎橋CSB4000円[[#This Row],[人数]]/8,0)</f>
        <v>0</v>
      </c>
      <c r="F2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2" t="str">
        <f>IFERROR(($B$3*心斎橋CSB4000円[[#This Row],[人数]])-心斎橋CSB4000円[[#This Row],[単価合計]]-(心斎橋CSB4000円[[#This Row],[キャンセル人数]]*$B$2),"")</f>
        <v/>
      </c>
      <c r="H2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2" t="str">
        <f>IF(心斎橋CSB4000円[[#This Row],[人数]]="","",VLOOKUP(心斎橋CSB4000円[[#This Row],[人数]],バック金額②[#All],2,TRUE)-(心斎橋CSB4000円[[#This Row],[キャンセル人数]]*$B$2))</f>
        <v/>
      </c>
      <c r="L28" s="63">
        <f t="shared" si="1"/>
        <v>44981</v>
      </c>
      <c r="M28" s="13"/>
      <c r="N28" s="14"/>
      <c r="O28" s="15"/>
      <c r="P28" s="15"/>
      <c r="Q2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2" t="str">
        <f>IFERROR(($M$3*心斎橋CSB3500円[[#This Row],[人数]])-心斎橋CSB3500円[[#This Row],[単価合計]]-(心斎橋CSB3500円[[#This Row],[キャンセル人数]]*$B$2),"")</f>
        <v/>
      </c>
      <c r="S2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2" t="str">
        <f>IF(心斎橋CSB3500円[[#This Row],[人数]]="","",VLOOKUP(心斎橋CSB3500円[[#This Row],[人数]],バック金額②[#All],2,TRUE))</f>
        <v/>
      </c>
    </row>
    <row r="29" spans="1:21">
      <c r="A29" s="63">
        <f t="shared" si="0"/>
        <v>44982</v>
      </c>
      <c r="B29" s="20" t="str">
        <f>IF(心斎橋CSB4000円[[#This Row],[人数]]=0,"",1)</f>
        <v/>
      </c>
      <c r="C29" s="14"/>
      <c r="D29" s="15"/>
      <c r="E29" s="21">
        <f>ROUNDDOWN(心斎橋CSB4000円[[#This Row],[人数]]/8,0)</f>
        <v>0</v>
      </c>
      <c r="F2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2" t="str">
        <f>IFERROR(($B$3*心斎橋CSB4000円[[#This Row],[人数]])-心斎橋CSB4000円[[#This Row],[単価合計]]-(心斎橋CSB4000円[[#This Row],[キャンセル人数]]*$B$2),"")</f>
        <v/>
      </c>
      <c r="H2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2" t="str">
        <f>IF(心斎橋CSB4000円[[#This Row],[人数]]="","",VLOOKUP(心斎橋CSB4000円[[#This Row],[人数]],バック金額②[#All],2,TRUE)-(心斎橋CSB4000円[[#This Row],[キャンセル人数]]*$B$2))</f>
        <v/>
      </c>
      <c r="L29" s="63">
        <f t="shared" si="1"/>
        <v>44982</v>
      </c>
      <c r="M29" s="13"/>
      <c r="N29" s="14"/>
      <c r="O29" s="15"/>
      <c r="P29" s="15"/>
      <c r="Q2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2" t="str">
        <f>IFERROR(($M$3*心斎橋CSB3500円[[#This Row],[人数]])-心斎橋CSB3500円[[#This Row],[単価合計]]-(心斎橋CSB3500円[[#This Row],[キャンセル人数]]*$B$2),"")</f>
        <v/>
      </c>
      <c r="S2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2" t="str">
        <f>IF(心斎橋CSB3500円[[#This Row],[人数]]="","",VLOOKUP(心斎橋CSB3500円[[#This Row],[人数]],バック金額②[#All],2,TRUE))</f>
        <v/>
      </c>
    </row>
    <row r="30" spans="1:21">
      <c r="A30" s="63">
        <f t="shared" si="0"/>
        <v>44983</v>
      </c>
      <c r="B30" s="20" t="str">
        <f>IF(心斎橋CSB4000円[[#This Row],[人数]]=0,"",1)</f>
        <v/>
      </c>
      <c r="C30" s="14"/>
      <c r="D30" s="15"/>
      <c r="E30" s="21">
        <f>ROUNDDOWN(心斎橋CSB4000円[[#This Row],[人数]]/8,0)</f>
        <v>0</v>
      </c>
      <c r="F3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2" t="str">
        <f>IFERROR(($B$3*心斎橋CSB4000円[[#This Row],[人数]])-心斎橋CSB4000円[[#This Row],[単価合計]]-(心斎橋CSB4000円[[#This Row],[キャンセル人数]]*$B$2),"")</f>
        <v/>
      </c>
      <c r="H3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2" t="str">
        <f>IF(心斎橋CSB4000円[[#This Row],[人数]]="","",VLOOKUP(心斎橋CSB4000円[[#This Row],[人数]],バック金額②[#All],2,TRUE)-(心斎橋CSB4000円[[#This Row],[キャンセル人数]]*$B$2))</f>
        <v/>
      </c>
      <c r="L30" s="63">
        <f t="shared" si="1"/>
        <v>44983</v>
      </c>
      <c r="M30" s="13"/>
      <c r="N30" s="14"/>
      <c r="O30" s="15"/>
      <c r="P30" s="15"/>
      <c r="Q3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2" t="str">
        <f>IFERROR(($M$3*心斎橋CSB3500円[[#This Row],[人数]])-心斎橋CSB3500円[[#This Row],[単価合計]]-(心斎橋CSB3500円[[#This Row],[キャンセル人数]]*$B$2),"")</f>
        <v/>
      </c>
      <c r="S3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2" t="str">
        <f>IF(心斎橋CSB3500円[[#This Row],[人数]]="","",VLOOKUP(心斎橋CSB3500円[[#This Row],[人数]],バック金額②[#All],2,TRUE))</f>
        <v/>
      </c>
    </row>
    <row r="31" spans="1:21">
      <c r="A31" s="63">
        <f t="shared" si="0"/>
        <v>44984</v>
      </c>
      <c r="B31" s="20" t="str">
        <f>IF(心斎橋CSB4000円[[#This Row],[人数]]=0,"",1)</f>
        <v/>
      </c>
      <c r="C31" s="14"/>
      <c r="D31" s="15"/>
      <c r="E31" s="21">
        <f>ROUNDDOWN(心斎橋CSB4000円[[#This Row],[人数]]/8,0)</f>
        <v>0</v>
      </c>
      <c r="F3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2" t="str">
        <f>IFERROR(($B$3*心斎橋CSB4000円[[#This Row],[人数]])-心斎橋CSB4000円[[#This Row],[単価合計]]-(心斎橋CSB4000円[[#This Row],[キャンセル人数]]*$B$2),"")</f>
        <v/>
      </c>
      <c r="H3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2" t="str">
        <f>IF(心斎橋CSB4000円[[#This Row],[人数]]="","",VLOOKUP(心斎橋CSB4000円[[#This Row],[人数]],バック金額②[#All],2,TRUE)-(心斎橋CSB4000円[[#This Row],[キャンセル人数]]*$B$2))</f>
        <v/>
      </c>
      <c r="L31" s="63">
        <f t="shared" si="1"/>
        <v>44984</v>
      </c>
      <c r="M31" s="13"/>
      <c r="N31" s="14"/>
      <c r="O31" s="15"/>
      <c r="P31" s="15"/>
      <c r="Q3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2" t="str">
        <f>IFERROR(($M$3*心斎橋CSB3500円[[#This Row],[人数]])-心斎橋CSB3500円[[#This Row],[単価合計]]-(心斎橋CSB3500円[[#This Row],[キャンセル人数]]*$B$2),"")</f>
        <v/>
      </c>
      <c r="S3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2" t="str">
        <f>IF(心斎橋CSB3500円[[#This Row],[人数]]="","",VLOOKUP(心斎橋CSB3500円[[#This Row],[人数]],バック金額②[#All],2,TRUE))</f>
        <v/>
      </c>
    </row>
    <row r="32" spans="1:21">
      <c r="A32" s="63">
        <f t="shared" si="0"/>
        <v>44985</v>
      </c>
      <c r="B32" s="20" t="str">
        <f>IF(心斎橋CSB4000円[[#This Row],[人数]]=0,"",1)</f>
        <v/>
      </c>
      <c r="C32" s="14"/>
      <c r="D32" s="15"/>
      <c r="E32" s="21">
        <f>ROUNDDOWN(心斎橋CSB4000円[[#This Row],[人数]]/8,0)</f>
        <v>0</v>
      </c>
      <c r="F3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2" t="str">
        <f>IFERROR(($B$3*心斎橋CSB4000円[[#This Row],[人数]])-心斎橋CSB4000円[[#This Row],[単価合計]]-(心斎橋CSB4000円[[#This Row],[キャンセル人数]]*$B$2),"")</f>
        <v/>
      </c>
      <c r="H3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2" t="str">
        <f>IF(心斎橋CSB4000円[[#This Row],[人数]]="","",VLOOKUP(心斎橋CSB4000円[[#This Row],[人数]],バック金額②[#All],2,TRUE)-(心斎橋CSB4000円[[#This Row],[キャンセル人数]]*$B$2))</f>
        <v/>
      </c>
      <c r="L32" s="63">
        <f t="shared" si="1"/>
        <v>44985</v>
      </c>
      <c r="M32" s="13"/>
      <c r="N32" s="14"/>
      <c r="O32" s="15"/>
      <c r="P32" s="15"/>
      <c r="Q3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2" t="str">
        <f>IFERROR(($M$3*心斎橋CSB3500円[[#This Row],[人数]])-心斎橋CSB3500円[[#This Row],[単価合計]]-(心斎橋CSB3500円[[#This Row],[キャンセル人数]]*$B$2),"")</f>
        <v/>
      </c>
      <c r="S3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2" t="str">
        <f>IF(心斎橋CSB3500円[[#This Row],[人数]]="","",VLOOKUP(心斎橋CSB3500円[[#This Row],[人数]],バック金額②[#All],2,TRUE))</f>
        <v/>
      </c>
    </row>
    <row r="33" spans="1:21">
      <c r="A33" s="63" t="str">
        <f t="shared" si="0"/>
        <v/>
      </c>
      <c r="B33" s="20" t="str">
        <f>IF(心斎橋CSB4000円[[#This Row],[人数]]=0,"",1)</f>
        <v/>
      </c>
      <c r="C33" s="14"/>
      <c r="D33" s="15"/>
      <c r="E33" s="21">
        <f>ROUNDDOWN(心斎橋CSB4000円[[#This Row],[人数]]/8,0)</f>
        <v>0</v>
      </c>
      <c r="F3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2" t="str">
        <f>IFERROR(($B$3*心斎橋CSB4000円[[#This Row],[人数]])-心斎橋CSB4000円[[#This Row],[単価合計]]-(心斎橋CSB4000円[[#This Row],[キャンセル人数]]*$B$2),"")</f>
        <v/>
      </c>
      <c r="H3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2" t="str">
        <f>IF(心斎橋CSB4000円[[#This Row],[人数]]="","",VLOOKUP(心斎橋CSB4000円[[#This Row],[人数]],バック金額②[#All],2,TRUE)-(心斎橋CSB4000円[[#This Row],[キャンセル人数]]*$B$2))</f>
        <v/>
      </c>
      <c r="L33" s="63" t="str">
        <f t="shared" si="1"/>
        <v/>
      </c>
      <c r="M33" s="13"/>
      <c r="N33" s="14"/>
      <c r="O33" s="15"/>
      <c r="P33" s="15"/>
      <c r="Q3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2" t="str">
        <f>IFERROR(($M$3*心斎橋CSB3500円[[#This Row],[人数]])-心斎橋CSB3500円[[#This Row],[単価合計]]-(心斎橋CSB3500円[[#This Row],[キャンセル人数]]*$B$2),"")</f>
        <v/>
      </c>
      <c r="S3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2" t="str">
        <f>IF(心斎橋CSB3500円[[#This Row],[人数]]="","",VLOOKUP(心斎橋CSB3500円[[#This Row],[人数]],バック金額②[#All],2,TRUE))</f>
        <v/>
      </c>
    </row>
    <row r="34" spans="1:21">
      <c r="A34" s="63" t="str">
        <f t="shared" si="0"/>
        <v/>
      </c>
      <c r="B34" s="20" t="str">
        <f>IF(心斎橋CSB4000円[[#This Row],[人数]]=0,"",1)</f>
        <v/>
      </c>
      <c r="C34" s="14"/>
      <c r="D34" s="15"/>
      <c r="E34" s="21">
        <f>ROUNDDOWN(心斎橋CSB4000円[[#This Row],[人数]]/8,0)</f>
        <v>0</v>
      </c>
      <c r="F3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2" t="str">
        <f>IFERROR(($B$3*心斎橋CSB4000円[[#This Row],[人数]])-心斎橋CSB4000円[[#This Row],[単価合計]]-(心斎橋CSB4000円[[#This Row],[キャンセル人数]]*$B$2),"")</f>
        <v/>
      </c>
      <c r="H3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2" t="str">
        <f>IF(心斎橋CSB4000円[[#This Row],[人数]]="","",VLOOKUP(心斎橋CSB4000円[[#This Row],[人数]],バック金額②[#All],2,TRUE)-(心斎橋CSB4000円[[#This Row],[キャンセル人数]]*$B$2))</f>
        <v/>
      </c>
      <c r="L34" s="63" t="str">
        <f t="shared" si="1"/>
        <v/>
      </c>
      <c r="M34" s="13"/>
      <c r="N34" s="14"/>
      <c r="O34" s="15"/>
      <c r="P34" s="15"/>
      <c r="Q3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2" t="str">
        <f>IFERROR(($M$3*心斎橋CSB3500円[[#This Row],[人数]])-心斎橋CSB3500円[[#This Row],[単価合計]]-(心斎橋CSB3500円[[#This Row],[キャンセル人数]]*$B$2),"")</f>
        <v/>
      </c>
      <c r="S3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2" t="str">
        <f>IF(心斎橋CSB3500円[[#This Row],[人数]]="","",VLOOKUP(心斎橋CSB3500円[[#This Row],[人数]],バック金額②[#All],2,TRUE))</f>
        <v/>
      </c>
    </row>
    <row r="35" spans="1:21">
      <c r="A35" s="63" t="str">
        <f t="shared" si="0"/>
        <v/>
      </c>
      <c r="B35" s="20" t="str">
        <f>IF(心斎橋CSB4000円[[#This Row],[人数]]=0,"",1)</f>
        <v/>
      </c>
      <c r="C35" s="18"/>
      <c r="D35" s="15"/>
      <c r="E35" s="21">
        <f>ROUNDDOWN(心斎橋CSB4000円[[#This Row],[人数]]/8,0)</f>
        <v>0</v>
      </c>
      <c r="F3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2" t="str">
        <f>IFERROR(($B$3*心斎橋CSB4000円[[#This Row],[人数]])-心斎橋CSB4000円[[#This Row],[単価合計]]-(心斎橋CSB4000円[[#This Row],[キャンセル人数]]*$B$2),"")</f>
        <v/>
      </c>
      <c r="H3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2" t="str">
        <f>IF(心斎橋CSB4000円[[#This Row],[人数]]="","",VLOOKUP(心斎橋CSB4000円[[#This Row],[人数]],バック金額②[#All],2,TRUE)-(心斎橋CSB4000円[[#This Row],[キャンセル人数]]*$B$2))</f>
        <v/>
      </c>
      <c r="L35" s="63" t="str">
        <f t="shared" si="1"/>
        <v/>
      </c>
      <c r="M35" s="17"/>
      <c r="N35" s="18"/>
      <c r="O35" s="15"/>
      <c r="P35" s="19"/>
      <c r="Q3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2" t="str">
        <f>IFERROR(($M$3*心斎橋CSB3500円[[#This Row],[人数]])-心斎橋CSB3500円[[#This Row],[単価合計]]-(心斎橋CSB3500円[[#This Row],[キャンセル人数]]*$B$2),"")</f>
        <v/>
      </c>
      <c r="S3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2" t="str">
        <f>IF(心斎橋CSB3500円[[#This Row],[人数]]="","",VLOOKUP(心斎橋CSB3500円[[#This Row],[人数]],バック金額②[#All],2,TRUE))</f>
        <v/>
      </c>
    </row>
    <row r="36" spans="1:21">
      <c r="A36" s="69" t="s">
        <v>322</v>
      </c>
      <c r="B36" s="16">
        <f>SUM(心斎橋CSB4000円[[#All],[件数]])</f>
        <v>2</v>
      </c>
      <c r="C36" s="6"/>
      <c r="D36" s="16">
        <f>SUM(心斎橋CSB4000円[[#All],[人数]])</f>
        <v>17</v>
      </c>
      <c r="E36" s="16">
        <f>SUM(心斎橋CSB4000円[[#All],[8人以上件数]])</f>
        <v>2</v>
      </c>
      <c r="F36" s="16">
        <f>SUM(心斎橋CSB4000円[[#All],[単価合計]])</f>
        <v>37500</v>
      </c>
      <c r="G36" s="16">
        <f>SUM(心斎橋CSB4000円[[#All],[ゆうき取りに行く]])-550*2</f>
        <v>29400</v>
      </c>
      <c r="H36" s="16"/>
      <c r="I36" s="16"/>
      <c r="J36" s="16">
        <f>SUM(心斎橋CSB4000円[[#All],[イベンターへ]])</f>
        <v>19000</v>
      </c>
      <c r="L36" s="69" t="s">
        <v>322</v>
      </c>
      <c r="M36" s="16">
        <f>SUM(心斎橋CSB3500円[[#All],[件数]])</f>
        <v>0</v>
      </c>
      <c r="N36" s="6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0" zoomScaleNormal="70" workbookViewId="0">
      <pane ySplit="4" topLeftCell="A5" activePane="bottomLeft" state="frozen"/>
      <selection pane="bottomLeft" activeCell="E2" sqref="E2:F2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69140625" style="8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243</v>
      </c>
      <c r="H1" s="93" t="s">
        <v>521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$B$1*($D$36-$E$36)+$B$1*($O$36-P36)</f>
        <v>15000</v>
      </c>
      <c r="H2" s="93" t="s">
        <v>563</v>
      </c>
    </row>
    <row r="3" spans="1:21">
      <c r="A3" s="46" t="s">
        <v>375</v>
      </c>
      <c r="B3" s="8">
        <v>4000</v>
      </c>
      <c r="E3" s="46"/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570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44958</v>
      </c>
      <c r="B5" s="20" t="str">
        <f>IF(北新地ファイブ4000[[#This Row],[人数]]=0,"",1)</f>
        <v/>
      </c>
      <c r="C5" s="14"/>
      <c r="D5" s="15"/>
      <c r="E5" s="21">
        <f>ROUNDDOWN(北新地ファイブ4000[[#This Row],[人数]]/8,0)</f>
        <v>0</v>
      </c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0"/>
      <c r="J5" s="16" t="str">
        <f>IF(北新地ファイブ4000[[#This Row],[人数]]="","",VLOOKUP(北新地ファイブ4000[[#This Row],[人数]],バック金額②[#All],2,TRUE))</f>
        <v/>
      </c>
      <c r="L5" s="63">
        <f>IF(DAY(DATE(名前リスト!$N$1,名前リスト!$O$1,ROW()-4))=ROW()-4,DATE(名前リスト!$N$1,名前リスト!$O$1,ROW()-4),"")</f>
        <v>44958</v>
      </c>
      <c r="M5" s="20" t="str">
        <f>IF(北新地ファイブ3500[[#This Row],[人数]]=0,"",1)</f>
        <v/>
      </c>
      <c r="N5" s="14"/>
      <c r="O5" s="15"/>
      <c r="P5" s="21">
        <f>ROUNDDOWN(北新地ファイブ3500[[#This Row],[人数]]/8,0)</f>
        <v>0</v>
      </c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0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20" t="str">
        <f>IF(北新地ファイブ4000[[#This Row],[人数]]=0,"",1)</f>
        <v/>
      </c>
      <c r="C6" s="14"/>
      <c r="D6" s="15"/>
      <c r="E6" s="21">
        <f>ROUNDDOWN(北新地ファイブ4000[[#This Row],[人数]]/8,0)</f>
        <v>0</v>
      </c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0"/>
      <c r="J6" s="16" t="str">
        <f>IF(北新地ファイブ4000[[#This Row],[人数]]="","",VLOOKUP(北新地ファイブ4000[[#This Row],[人数]],バック金額②[#All],2,TRUE))</f>
        <v/>
      </c>
      <c r="L6" s="63">
        <f>IFERROR(IF(DATE(YEAR($A$5),MONTH($A$5),DAY($A$5))=DATE(YEAR(L5),MONTH(L5),DAY(L5+1)),"",DATE(YEAR(L5),MONTH(L5),DAY(L5+1))),"")</f>
        <v>44959</v>
      </c>
      <c r="M6" s="20" t="str">
        <f>IF(北新地ファイブ3500[[#This Row],[人数]]=0,"",1)</f>
        <v/>
      </c>
      <c r="N6" s="14"/>
      <c r="O6" s="15"/>
      <c r="P6" s="21">
        <f>ROUNDDOWN(北新地ファイブ3500[[#This Row],[人数]]/8,0)</f>
        <v>0</v>
      </c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0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20" t="str">
        <f>IF(北新地ファイブ4000[[#This Row],[人数]]=0,"",1)</f>
        <v/>
      </c>
      <c r="C7" s="14"/>
      <c r="D7" s="15"/>
      <c r="E7" s="21">
        <f>ROUNDDOWN(北新地ファイブ4000[[#This Row],[人数]]/8,0)</f>
        <v>0</v>
      </c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0"/>
      <c r="J7" s="16" t="str">
        <f>IF(北新地ファイブ4000[[#This Row],[人数]]="","",VLOOKUP(北新地ファイブ4000[[#This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20" t="str">
        <f>IF(北新地ファイブ3500[[#This Row],[人数]]=0,"",1)</f>
        <v/>
      </c>
      <c r="N7" s="14"/>
      <c r="O7" s="15"/>
      <c r="P7" s="21">
        <f>ROUNDDOWN(北新地ファイブ3500[[#This Row],[人数]]/8,0)</f>
        <v>0</v>
      </c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0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3">
        <f t="shared" si="0"/>
        <v>44961</v>
      </c>
      <c r="B8" s="20" t="str">
        <f>IF(北新地ファイブ4000[[#This Row],[人数]]=0,"",1)</f>
        <v/>
      </c>
      <c r="C8" s="14"/>
      <c r="D8" s="15"/>
      <c r="E8" s="21">
        <f>ROUNDDOWN(北新地ファイブ4000[[#This Row],[人数]]/8,0)</f>
        <v>0</v>
      </c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0"/>
      <c r="J8" s="16" t="str">
        <f>IF(北新地ファイブ4000[[#This Row],[人数]]="","",VLOOKUP(北新地ファイブ4000[[#This Row],[人数]],バック金額②[#All],2,TRUE))</f>
        <v/>
      </c>
      <c r="L8" s="63">
        <f t="shared" si="1"/>
        <v>44961</v>
      </c>
      <c r="M8" s="20" t="str">
        <f>IF(北新地ファイブ3500[[#This Row],[人数]]=0,"",1)</f>
        <v/>
      </c>
      <c r="N8" s="14"/>
      <c r="O8" s="15"/>
      <c r="P8" s="21">
        <f>ROUNDDOWN(北新地ファイブ3500[[#This Row],[人数]]/8,0)</f>
        <v>0</v>
      </c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0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3">
        <f>IFERROR(IF(DATE(YEAR($A$5),MONTH($A$5),DAY($A$5))=DATE(YEAR(A8),MONTH(A8),DAY(A8+1)),"",DATE(YEAR(A8),MONTH(A8),DAY(A8+1))),"")</f>
        <v>44962</v>
      </c>
      <c r="B9" s="20" t="str">
        <f>IF(北新地ファイブ4000[[#This Row],[人数]]=0,"",1)</f>
        <v/>
      </c>
      <c r="C9" s="14"/>
      <c r="D9" s="15"/>
      <c r="E9" s="21">
        <f>ROUNDDOWN(北新地ファイブ4000[[#This Row],[人数]]/8,0)</f>
        <v>0</v>
      </c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0"/>
      <c r="J9" s="16" t="str">
        <f>IF(北新地ファイブ4000[[#This Row],[人数]]="","",VLOOKUP(北新地ファイブ4000[[#This Row],[人数]],バック金額②[#All],2,TRUE))</f>
        <v/>
      </c>
      <c r="L9" s="63">
        <f t="shared" si="1"/>
        <v>44962</v>
      </c>
      <c r="M9" s="20" t="str">
        <f>IF(北新地ファイブ3500[[#This Row],[人数]]=0,"",1)</f>
        <v/>
      </c>
      <c r="N9" s="14"/>
      <c r="O9" s="15"/>
      <c r="P9" s="21">
        <f>ROUNDDOWN(北新地ファイブ3500[[#This Row],[人数]]/8,0)</f>
        <v>0</v>
      </c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0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3">
        <f t="shared" si="0"/>
        <v>44963</v>
      </c>
      <c r="B10" s="20" t="str">
        <f>IF(北新地ファイブ4000[[#This Row],[人数]]=0,"",1)</f>
        <v/>
      </c>
      <c r="C10" s="14"/>
      <c r="D10" s="15"/>
      <c r="E10" s="21">
        <f>ROUNDDOWN(北新地ファイブ4000[[#This Row],[人数]]/8,0)</f>
        <v>0</v>
      </c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0"/>
      <c r="J10" s="16" t="str">
        <f>IF(北新地ファイブ4000[[#This Row],[人数]]="","",VLOOKUP(北新地ファイブ4000[[#This Row],[人数]],バック金額②[#All],2,TRUE))</f>
        <v/>
      </c>
      <c r="L10" s="63">
        <f t="shared" si="1"/>
        <v>44963</v>
      </c>
      <c r="M10" s="20" t="str">
        <f>IF(北新地ファイブ3500[[#This Row],[人数]]=0,"",1)</f>
        <v/>
      </c>
      <c r="N10" s="14"/>
      <c r="O10" s="15"/>
      <c r="P10" s="21">
        <f>ROUNDDOWN(北新地ファイブ3500[[#This Row],[人数]]/8,0)</f>
        <v>0</v>
      </c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0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3">
        <f t="shared" si="0"/>
        <v>44964</v>
      </c>
      <c r="B11" s="20" t="str">
        <f>IF(北新地ファイブ4000[[#This Row],[人数]]=0,"",1)</f>
        <v/>
      </c>
      <c r="C11" s="14"/>
      <c r="D11" s="15"/>
      <c r="E11" s="21">
        <f>ROUNDDOWN(北新地ファイブ4000[[#This Row],[人数]]/8,0)</f>
        <v>0</v>
      </c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0"/>
      <c r="J11" s="16" t="str">
        <f>IF(北新地ファイブ4000[[#This Row],[人数]]="","",VLOOKUP(北新地ファイブ4000[[#This Row],[人数]],バック金額②[#All],2,TRUE))</f>
        <v/>
      </c>
      <c r="L11" s="63">
        <f t="shared" si="1"/>
        <v>44964</v>
      </c>
      <c r="M11" s="20" t="str">
        <f>IF(北新地ファイブ3500[[#This Row],[人数]]=0,"",1)</f>
        <v/>
      </c>
      <c r="N11" s="14"/>
      <c r="O11" s="15"/>
      <c r="P11" s="21">
        <f>ROUNDDOWN(北新地ファイブ3500[[#This Row],[人数]]/8,0)</f>
        <v>0</v>
      </c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0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3">
        <f t="shared" si="0"/>
        <v>44965</v>
      </c>
      <c r="B12" s="20" t="str">
        <f>IF(北新地ファイブ4000[[#This Row],[人数]]=0,"",1)</f>
        <v/>
      </c>
      <c r="C12" s="14"/>
      <c r="D12" s="15"/>
      <c r="E12" s="21">
        <f>ROUNDDOWN(北新地ファイブ4000[[#This Row],[人数]]/8,0)</f>
        <v>0</v>
      </c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0"/>
      <c r="J12" s="16" t="str">
        <f>IF(北新地ファイブ4000[[#This Row],[人数]]="","",VLOOKUP(北新地ファイブ4000[[#This Row],[人数]],バック金額②[#All],2,TRUE))</f>
        <v/>
      </c>
      <c r="L12" s="63">
        <f t="shared" si="1"/>
        <v>44965</v>
      </c>
      <c r="M12" s="20" t="str">
        <f>IF(北新地ファイブ3500[[#This Row],[人数]]=0,"",1)</f>
        <v/>
      </c>
      <c r="N12" s="14"/>
      <c r="O12" s="15"/>
      <c r="P12" s="21">
        <f>ROUNDDOWN(北新地ファイブ3500[[#This Row],[人数]]/8,0)</f>
        <v>0</v>
      </c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0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3">
        <f t="shared" si="0"/>
        <v>44966</v>
      </c>
      <c r="B13" s="20" t="str">
        <f>IF(北新地ファイブ4000[[#This Row],[人数]]=0,"",1)</f>
        <v/>
      </c>
      <c r="C13" s="14"/>
      <c r="D13" s="15"/>
      <c r="E13" s="21">
        <f>ROUNDDOWN(北新地ファイブ4000[[#This Row],[人数]]/8,0)</f>
        <v>0</v>
      </c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0"/>
      <c r="J13" s="16" t="str">
        <f>IF(北新地ファイブ4000[[#This Row],[人数]]="","",VLOOKUP(北新地ファイブ4000[[#This Row],[人数]],バック金額②[#All],2,TRUE))</f>
        <v/>
      </c>
      <c r="L13" s="63">
        <f t="shared" si="1"/>
        <v>44966</v>
      </c>
      <c r="M13" s="20" t="str">
        <f>IF(北新地ファイブ3500[[#This Row],[人数]]=0,"",1)</f>
        <v/>
      </c>
      <c r="N13" s="14"/>
      <c r="O13" s="15"/>
      <c r="P13" s="21">
        <f>ROUNDDOWN(北新地ファイブ3500[[#This Row],[人数]]/8,0)</f>
        <v>0</v>
      </c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0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3">
        <f t="shared" si="0"/>
        <v>44967</v>
      </c>
      <c r="B14" s="20" t="str">
        <f>IF(北新地ファイブ4000[[#This Row],[人数]]=0,"",1)</f>
        <v/>
      </c>
      <c r="C14" s="14"/>
      <c r="D14" s="15"/>
      <c r="E14" s="21">
        <f>ROUNDDOWN(北新地ファイブ4000[[#This Row],[人数]]/8,0)</f>
        <v>0</v>
      </c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0"/>
      <c r="J14" s="16" t="str">
        <f>IF(北新地ファイブ4000[[#This Row],[人数]]="","",VLOOKUP(北新地ファイブ4000[[#This Row],[人数]],バック金額②[#All],2,TRUE))</f>
        <v/>
      </c>
      <c r="L14" s="63">
        <f t="shared" si="1"/>
        <v>44967</v>
      </c>
      <c r="M14" s="20" t="str">
        <f>IF(北新地ファイブ3500[[#This Row],[人数]]=0,"",1)</f>
        <v/>
      </c>
      <c r="N14" s="14"/>
      <c r="O14" s="15"/>
      <c r="P14" s="21">
        <f>ROUNDDOWN(北新地ファイブ3500[[#This Row],[人数]]/8,0)</f>
        <v>0</v>
      </c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0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3">
        <f t="shared" si="0"/>
        <v>44968</v>
      </c>
      <c r="B15" s="20" t="str">
        <f>IF(北新地ファイブ4000[[#This Row],[人数]]=0,"",1)</f>
        <v/>
      </c>
      <c r="C15" s="14"/>
      <c r="D15" s="15"/>
      <c r="E15" s="21">
        <f>ROUNDDOWN(北新地ファイブ4000[[#This Row],[人数]]/8,0)</f>
        <v>0</v>
      </c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0"/>
      <c r="J15" s="16" t="str">
        <f>IF(北新地ファイブ4000[[#This Row],[人数]]="","",VLOOKUP(北新地ファイブ4000[[#This Row],[人数]],バック金額②[#All],2,TRUE))</f>
        <v/>
      </c>
      <c r="L15" s="63">
        <f t="shared" si="1"/>
        <v>44968</v>
      </c>
      <c r="M15" s="20" t="str">
        <f>IF(北新地ファイブ3500[[#This Row],[人数]]=0,"",1)</f>
        <v/>
      </c>
      <c r="N15" s="14"/>
      <c r="O15" s="15"/>
      <c r="P15" s="21">
        <f>ROUNDDOWN(北新地ファイブ3500[[#This Row],[人数]]/8,0)</f>
        <v>0</v>
      </c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0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3">
        <f t="shared" si="0"/>
        <v>44969</v>
      </c>
      <c r="B16" s="20" t="str">
        <f>IF(北新地ファイブ4000[[#This Row],[人数]]=0,"",1)</f>
        <v/>
      </c>
      <c r="C16" s="53"/>
      <c r="D16" s="15"/>
      <c r="E16" s="21">
        <f>ROUNDDOWN(北新地ファイブ4000[[#This Row],[人数]]/8,0)</f>
        <v>0</v>
      </c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0"/>
      <c r="J16" s="16" t="str">
        <f>IF(北新地ファイブ4000[[#This Row],[人数]]="","",VLOOKUP(北新地ファイブ4000[[#This Row],[人数]],バック金額②[#All],2,TRUE))</f>
        <v/>
      </c>
      <c r="L16" s="63">
        <f t="shared" si="1"/>
        <v>44969</v>
      </c>
      <c r="M16" s="20" t="str">
        <f>IF(北新地ファイブ3500[[#This Row],[人数]]=0,"",1)</f>
        <v/>
      </c>
      <c r="N16" s="14"/>
      <c r="O16" s="15"/>
      <c r="P16" s="21">
        <f>ROUNDDOWN(北新地ファイブ3500[[#This Row],[人数]]/8,0)</f>
        <v>0</v>
      </c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0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3">
        <f t="shared" si="0"/>
        <v>44970</v>
      </c>
      <c r="B17" s="20" t="str">
        <f>IF(北新地ファイブ4000[[#This Row],[人数]]=0,"",1)</f>
        <v/>
      </c>
      <c r="C17" s="14"/>
      <c r="D17" s="15"/>
      <c r="E17" s="21">
        <f>ROUNDDOWN(北新地ファイブ4000[[#This Row],[人数]]/8,0)</f>
        <v>0</v>
      </c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0"/>
      <c r="J17" s="16" t="str">
        <f>IF(北新地ファイブ4000[[#This Row],[人数]]="","",VLOOKUP(北新地ファイブ4000[[#This Row],[人数]],バック金額②[#All],2,TRUE))</f>
        <v/>
      </c>
      <c r="L17" s="63">
        <f t="shared" si="1"/>
        <v>44970</v>
      </c>
      <c r="M17" s="20" t="str">
        <f>IF(北新地ファイブ3500[[#This Row],[人数]]=0,"",1)</f>
        <v/>
      </c>
      <c r="N17" s="14"/>
      <c r="O17" s="15"/>
      <c r="P17" s="21">
        <f>ROUNDDOWN(北新地ファイブ3500[[#This Row],[人数]]/8,0)</f>
        <v>0</v>
      </c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0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3">
        <f t="shared" si="0"/>
        <v>44971</v>
      </c>
      <c r="B18" s="20" t="str">
        <f>IF(北新地ファイブ4000[[#This Row],[人数]]=0,"",1)</f>
        <v/>
      </c>
      <c r="C18" s="14"/>
      <c r="D18" s="15"/>
      <c r="E18" s="21">
        <f>ROUNDDOWN(北新地ファイブ4000[[#This Row],[人数]]/8,0)</f>
        <v>0</v>
      </c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0"/>
      <c r="J18" s="16" t="str">
        <f>IF(北新地ファイブ4000[[#This Row],[人数]]="","",VLOOKUP(北新地ファイブ4000[[#This Row],[人数]],バック金額②[#All],2,TRUE))</f>
        <v/>
      </c>
      <c r="K18" s="46"/>
      <c r="L18" s="63">
        <f t="shared" si="1"/>
        <v>44971</v>
      </c>
      <c r="M18" s="20" t="str">
        <f>IF(北新地ファイブ3500[[#This Row],[人数]]=0,"",1)</f>
        <v/>
      </c>
      <c r="N18" s="14"/>
      <c r="O18" s="15"/>
      <c r="P18" s="21">
        <f>ROUNDDOWN(北新地ファイブ3500[[#This Row],[人数]]/8,0)</f>
        <v>0</v>
      </c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0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3">
        <f t="shared" si="0"/>
        <v>44972</v>
      </c>
      <c r="B19" s="20" t="str">
        <f>IF(北新地ファイブ4000[[#This Row],[人数]]=0,"",1)</f>
        <v/>
      </c>
      <c r="C19" s="14"/>
      <c r="D19" s="15"/>
      <c r="E19" s="21">
        <f>ROUNDDOWN(北新地ファイブ4000[[#This Row],[人数]]/8,0)</f>
        <v>0</v>
      </c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0"/>
      <c r="J19" s="16" t="str">
        <f>IF(北新地ファイブ4000[[#This Row],[人数]]="","",VLOOKUP(北新地ファイブ4000[[#This Row],[人数]],バック金額②[#All],2,TRUE))</f>
        <v/>
      </c>
      <c r="L19" s="63">
        <f t="shared" si="1"/>
        <v>44972</v>
      </c>
      <c r="M19" s="20" t="str">
        <f>IF(北新地ファイブ3500[[#This Row],[人数]]=0,"",1)</f>
        <v/>
      </c>
      <c r="N19" s="14"/>
      <c r="O19" s="15"/>
      <c r="P19" s="21">
        <f>ROUNDDOWN(北新地ファイブ3500[[#This Row],[人数]]/8,0)</f>
        <v>0</v>
      </c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0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3">
        <f t="shared" si="0"/>
        <v>44973</v>
      </c>
      <c r="B20" s="20" t="str">
        <f>IF(北新地ファイブ4000[[#This Row],[人数]]=0,"",1)</f>
        <v/>
      </c>
      <c r="C20" s="14"/>
      <c r="D20" s="15"/>
      <c r="E20" s="21">
        <f>ROUNDDOWN(北新地ファイブ4000[[#This Row],[人数]]/8,0)</f>
        <v>0</v>
      </c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0"/>
      <c r="J20" s="16" t="str">
        <f>IF(北新地ファイブ4000[[#This Row],[人数]]="","",VLOOKUP(北新地ファイブ4000[[#This Row],[人数]],バック金額②[#All],2,TRUE))</f>
        <v/>
      </c>
      <c r="L20" s="63">
        <f t="shared" si="1"/>
        <v>44973</v>
      </c>
      <c r="M20" s="20" t="str">
        <f>IF(北新地ファイブ3500[[#This Row],[人数]]=0,"",1)</f>
        <v/>
      </c>
      <c r="N20" s="14"/>
      <c r="O20" s="15"/>
      <c r="P20" s="21">
        <f>ROUNDDOWN(北新地ファイブ3500[[#This Row],[人数]]/8,0)</f>
        <v>0</v>
      </c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0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3">
        <f t="shared" si="0"/>
        <v>44974</v>
      </c>
      <c r="B21" s="20" t="str">
        <f>IF(北新地ファイブ4000[[#This Row],[人数]]=0,"",1)</f>
        <v/>
      </c>
      <c r="C21" s="14"/>
      <c r="D21" s="15"/>
      <c r="E21" s="21">
        <f>ROUNDDOWN(北新地ファイブ4000[[#This Row],[人数]]/8,0)</f>
        <v>0</v>
      </c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0"/>
      <c r="J21" s="16" t="str">
        <f>IF(北新地ファイブ4000[[#This Row],[人数]]="","",VLOOKUP(北新地ファイブ4000[[#This Row],[人数]],バック金額②[#All],2,TRUE))</f>
        <v/>
      </c>
      <c r="L21" s="63">
        <f t="shared" si="1"/>
        <v>44974</v>
      </c>
      <c r="M21" s="20" t="str">
        <f>IF(北新地ファイブ3500[[#This Row],[人数]]=0,"",1)</f>
        <v/>
      </c>
      <c r="N21" s="14"/>
      <c r="O21" s="15"/>
      <c r="P21" s="21">
        <f>ROUNDDOWN(北新地ファイブ3500[[#This Row],[人数]]/8,0)</f>
        <v>0</v>
      </c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0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3">
        <f t="shared" si="0"/>
        <v>44975</v>
      </c>
      <c r="B22" s="20">
        <f>IF(北新地ファイブ4000[[#This Row],[人数]]=0,"",1)</f>
        <v>1</v>
      </c>
      <c r="C22" s="14">
        <v>0</v>
      </c>
      <c r="D22" s="15">
        <v>6</v>
      </c>
      <c r="E22" s="21">
        <f>ROUNDDOWN(北新地ファイブ4000[[#This Row],[人数]]/8,0)</f>
        <v>0</v>
      </c>
      <c r="F22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15000</v>
      </c>
      <c r="G22" s="16">
        <f>IFERROR(($B$3*北新地ファイブ4000[[#This Row],[人数]])-北新地ファイブ4000[[#This Row],[単価合計]]-(北新地ファイブ4000[[#This Row],[キャンセル人数]]*$B$2),"")</f>
        <v>9000</v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0"/>
      <c r="J22" s="16">
        <f>IF(北新地ファイブ4000[[#This Row],[人数]]="","",VLOOKUP(北新地ファイブ4000[[#This Row],[人数]],バック金額②[#All],2,TRUE))</f>
        <v>6000</v>
      </c>
      <c r="L22" s="63">
        <f t="shared" si="1"/>
        <v>44975</v>
      </c>
      <c r="M22" s="20" t="str">
        <f>IF(北新地ファイブ3500[[#This Row],[人数]]=0,"",1)</f>
        <v/>
      </c>
      <c r="N22" s="14"/>
      <c r="O22" s="15"/>
      <c r="P22" s="21">
        <f>ROUNDDOWN(北新地ファイブ3500[[#This Row],[人数]]/8,0)</f>
        <v>0</v>
      </c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0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3">
        <f t="shared" si="0"/>
        <v>44976</v>
      </c>
      <c r="B23" s="20" t="str">
        <f>IF(北新地ファイブ4000[[#This Row],[人数]]=0,"",1)</f>
        <v/>
      </c>
      <c r="C23" s="14"/>
      <c r="D23" s="15"/>
      <c r="E23" s="21">
        <f>ROUNDDOWN(北新地ファイブ4000[[#This Row],[人数]]/8,0)</f>
        <v>0</v>
      </c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0"/>
      <c r="J23" s="16" t="str">
        <f>IF(北新地ファイブ4000[[#This Row],[人数]]="","",VLOOKUP(北新地ファイブ4000[[#This Row],[人数]],バック金額②[#All],2,TRUE))</f>
        <v/>
      </c>
      <c r="L23" s="63">
        <f t="shared" si="1"/>
        <v>44976</v>
      </c>
      <c r="M23" s="20" t="str">
        <f>IF(北新地ファイブ3500[[#This Row],[人数]]=0,"",1)</f>
        <v/>
      </c>
      <c r="N23" s="14"/>
      <c r="O23" s="15"/>
      <c r="P23" s="21">
        <f>ROUNDDOWN(北新地ファイブ3500[[#This Row],[人数]]/8,0)</f>
        <v>0</v>
      </c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0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3">
        <f t="shared" si="0"/>
        <v>44977</v>
      </c>
      <c r="B24" s="20" t="str">
        <f>IF(北新地ファイブ4000[[#This Row],[人数]]=0,"",1)</f>
        <v/>
      </c>
      <c r="C24" s="14"/>
      <c r="D24" s="15"/>
      <c r="E24" s="21">
        <f>ROUNDDOWN(北新地ファイブ4000[[#This Row],[人数]]/8,0)</f>
        <v>0</v>
      </c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0"/>
      <c r="J24" s="16" t="str">
        <f>IF(北新地ファイブ4000[[#This Row],[人数]]="","",VLOOKUP(北新地ファイブ4000[[#This Row],[人数]],バック金額②[#All],2,TRUE))</f>
        <v/>
      </c>
      <c r="L24" s="63">
        <f t="shared" si="1"/>
        <v>44977</v>
      </c>
      <c r="M24" s="20" t="str">
        <f>IF(北新地ファイブ3500[[#This Row],[人数]]=0,"",1)</f>
        <v/>
      </c>
      <c r="N24" s="14"/>
      <c r="O24" s="15"/>
      <c r="P24" s="21">
        <f>ROUNDDOWN(北新地ファイブ3500[[#This Row],[人数]]/8,0)</f>
        <v>0</v>
      </c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0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3">
        <f t="shared" si="0"/>
        <v>44978</v>
      </c>
      <c r="B25" s="20" t="str">
        <f>IF(北新地ファイブ4000[[#This Row],[人数]]=0,"",1)</f>
        <v/>
      </c>
      <c r="C25" s="14"/>
      <c r="D25" s="15"/>
      <c r="E25" s="21">
        <f>ROUNDDOWN(北新地ファイブ4000[[#This Row],[人数]]/8,0)</f>
        <v>0</v>
      </c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0"/>
      <c r="J25" s="16" t="str">
        <f>IF(北新地ファイブ4000[[#This Row],[人数]]="","",VLOOKUP(北新地ファイブ4000[[#This Row],[人数]],バック金額②[#All],2,TRUE))</f>
        <v/>
      </c>
      <c r="L25" s="63">
        <f t="shared" si="1"/>
        <v>44978</v>
      </c>
      <c r="M25" s="20" t="str">
        <f>IF(北新地ファイブ3500[[#This Row],[人数]]=0,"",1)</f>
        <v/>
      </c>
      <c r="N25" s="14"/>
      <c r="O25" s="15"/>
      <c r="P25" s="21">
        <f>ROUNDDOWN(北新地ファイブ3500[[#This Row],[人数]]/8,0)</f>
        <v>0</v>
      </c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0">
        <v>1</v>
      </c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3">
        <f>IFERROR(IF(DATE(YEAR($A$5),MONTH($A$5),DAY($A$5))=DATE(YEAR(A25),MONTH(A25),DAY(A25+1)),"",DATE(YEAR(A25),MONTH(A25),DAY(A25+1))),"")</f>
        <v>44979</v>
      </c>
      <c r="B26" s="20" t="str">
        <f>IF(北新地ファイブ4000[[#This Row],[人数]]=0,"",1)</f>
        <v/>
      </c>
      <c r="C26" s="14"/>
      <c r="D26" s="15"/>
      <c r="E26" s="21">
        <f>ROUNDDOWN(北新地ファイブ4000[[#This Row],[人数]]/8,0)</f>
        <v>0</v>
      </c>
      <c r="F2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6" s="16" t="str">
        <f>IFERROR(($B$3*北新地ファイブ4000[[#This Row],[人数]])-北新地ファイブ4000[[#This Row],[単価合計]]-(北新地ファイブ4000[[#This Row],[キャンセル人数]]*$B$2),"")</f>
        <v/>
      </c>
      <c r="H2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6" s="70"/>
      <c r="J26" s="16" t="str">
        <f>IF(北新地ファイブ4000[[#This Row],[人数]]="","",VLOOKUP(北新地ファイブ4000[[#This Row],[人数]],バック金額②[#All],2,TRUE))</f>
        <v/>
      </c>
      <c r="L26" s="63">
        <f t="shared" si="1"/>
        <v>44979</v>
      </c>
      <c r="M26" s="20" t="str">
        <f>IF(北新地ファイブ3500[[#This Row],[人数]]=0,"",1)</f>
        <v/>
      </c>
      <c r="N26" s="14"/>
      <c r="O26" s="15"/>
      <c r="P26" s="21">
        <f>ROUNDDOWN(北新地ファイブ3500[[#This Row],[人数]]/8,0)</f>
        <v>0</v>
      </c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0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3">
        <f t="shared" si="0"/>
        <v>44980</v>
      </c>
      <c r="B27" s="20" t="str">
        <f>IF(北新地ファイブ4000[[#This Row],[人数]]=0,"",1)</f>
        <v/>
      </c>
      <c r="C27" s="14"/>
      <c r="D27" s="15"/>
      <c r="E27" s="21">
        <f>ROUNDDOWN(北新地ファイブ4000[[#This Row],[人数]]/8,0)</f>
        <v>0</v>
      </c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0"/>
      <c r="J27" s="16" t="str">
        <f>IF(北新地ファイブ4000[[#This Row],[人数]]="","",VLOOKUP(北新地ファイブ4000[[#This Row],[人数]],バック金額②[#All],2,TRUE))</f>
        <v/>
      </c>
      <c r="L27" s="63">
        <f t="shared" si="1"/>
        <v>44980</v>
      </c>
      <c r="M27" s="20" t="str">
        <f>IF(北新地ファイブ3500[[#This Row],[人数]]=0,"",1)</f>
        <v/>
      </c>
      <c r="N27" s="14"/>
      <c r="O27" s="15"/>
      <c r="P27" s="21">
        <f>ROUNDDOWN(北新地ファイブ3500[[#This Row],[人数]]/8,0)</f>
        <v>0</v>
      </c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0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3">
        <f t="shared" si="0"/>
        <v>44981</v>
      </c>
      <c r="B28" s="20" t="str">
        <f>IF(北新地ファイブ4000[[#This Row],[人数]]=0,"",1)</f>
        <v/>
      </c>
      <c r="C28" s="14"/>
      <c r="D28" s="15"/>
      <c r="E28" s="21">
        <f>ROUNDDOWN(北新地ファイブ4000[[#This Row],[人数]]/8,0)</f>
        <v>0</v>
      </c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0"/>
      <c r="J28" s="16" t="str">
        <f>IF(北新地ファイブ4000[[#This Row],[人数]]="","",VLOOKUP(北新地ファイブ4000[[#This Row],[人数]],バック金額②[#All],2,TRUE))</f>
        <v/>
      </c>
      <c r="L28" s="63">
        <f t="shared" si="1"/>
        <v>44981</v>
      </c>
      <c r="M28" s="20" t="str">
        <f>IF(北新地ファイブ3500[[#This Row],[人数]]=0,"",1)</f>
        <v/>
      </c>
      <c r="N28" s="14"/>
      <c r="O28" s="15"/>
      <c r="P28" s="21">
        <f>ROUNDDOWN(北新地ファイブ3500[[#This Row],[人数]]/8,0)</f>
        <v>0</v>
      </c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0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3">
        <f t="shared" si="0"/>
        <v>44982</v>
      </c>
      <c r="B29" s="20" t="str">
        <f>IF(北新地ファイブ4000[[#This Row],[人数]]=0,"",1)</f>
        <v/>
      </c>
      <c r="C29" s="14"/>
      <c r="D29" s="15"/>
      <c r="E29" s="21">
        <f>ROUNDDOWN(北新地ファイブ4000[[#This Row],[人数]]/8,0)</f>
        <v>0</v>
      </c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0"/>
      <c r="J29" s="16" t="str">
        <f>IF(北新地ファイブ4000[[#This Row],[人数]]="","",VLOOKUP(北新地ファイブ4000[[#This Row],[人数]],バック金額②[#All],2,TRUE))</f>
        <v/>
      </c>
      <c r="L29" s="63">
        <f t="shared" si="1"/>
        <v>44982</v>
      </c>
      <c r="M29" s="20" t="str">
        <f>IF(北新地ファイブ3500[[#This Row],[人数]]=0,"",1)</f>
        <v/>
      </c>
      <c r="N29" s="14"/>
      <c r="O29" s="15"/>
      <c r="P29" s="21">
        <f>ROUNDDOWN(北新地ファイブ3500[[#This Row],[人数]]/8,0)</f>
        <v>0</v>
      </c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0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3">
        <f t="shared" si="0"/>
        <v>44983</v>
      </c>
      <c r="B30" s="20" t="str">
        <f>IF(北新地ファイブ4000[[#This Row],[人数]]=0,"",1)</f>
        <v/>
      </c>
      <c r="C30" s="14"/>
      <c r="D30" s="15"/>
      <c r="E30" s="21">
        <f>ROUNDDOWN(北新地ファイブ4000[[#This Row],[人数]]/8,0)</f>
        <v>0</v>
      </c>
      <c r="F3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6" t="str">
        <f>IFERROR(($B$3*北新地ファイブ4000[[#This Row],[人数]])-北新地ファイブ4000[[#This Row],[単価合計]]-(北新地ファイブ4000[[#This Row],[キャンセル人数]]*$B$2),"")</f>
        <v/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0"/>
      <c r="J30" s="16" t="str">
        <f>IF(北新地ファイブ4000[[#This Row],[人数]]="","",VLOOKUP(北新地ファイブ4000[[#This Row],[人数]],バック金額②[#All],2,TRUE))</f>
        <v/>
      </c>
      <c r="L30" s="63">
        <f t="shared" si="1"/>
        <v>44983</v>
      </c>
      <c r="M30" s="20" t="str">
        <f>IF(北新地ファイブ3500[[#This Row],[人数]]=0,"",1)</f>
        <v/>
      </c>
      <c r="N30" s="14"/>
      <c r="O30" s="15"/>
      <c r="P30" s="21">
        <f>ROUNDDOWN(北新地ファイブ3500[[#This Row],[人数]]/8,0)</f>
        <v>0</v>
      </c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0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3">
        <f t="shared" si="0"/>
        <v>44984</v>
      </c>
      <c r="B31" s="20" t="str">
        <f>IF(北新地ファイブ4000[[#This Row],[人数]]=0,"",1)</f>
        <v/>
      </c>
      <c r="C31" s="14"/>
      <c r="D31" s="15"/>
      <c r="E31" s="21">
        <f>ROUNDDOWN(北新地ファイブ4000[[#This Row],[人数]]/8,0)</f>
        <v>0</v>
      </c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0"/>
      <c r="J31" s="16" t="str">
        <f>IF(北新地ファイブ4000[[#This Row],[人数]]="","",VLOOKUP(北新地ファイブ4000[[#This Row],[人数]],バック金額②[#All],2,TRUE))</f>
        <v/>
      </c>
      <c r="L31" s="63">
        <f t="shared" si="1"/>
        <v>44984</v>
      </c>
      <c r="M31" s="20" t="str">
        <f>IF(北新地ファイブ3500[[#This Row],[人数]]=0,"",1)</f>
        <v/>
      </c>
      <c r="N31" s="14"/>
      <c r="O31" s="15"/>
      <c r="P31" s="21">
        <f>ROUNDDOWN(北新地ファイブ3500[[#This Row],[人数]]/8,0)</f>
        <v>0</v>
      </c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0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3">
        <f t="shared" si="0"/>
        <v>44985</v>
      </c>
      <c r="B32" s="20" t="str">
        <f>IF(北新地ファイブ4000[[#This Row],[人数]]=0,"",1)</f>
        <v/>
      </c>
      <c r="C32" s="14"/>
      <c r="D32" s="15"/>
      <c r="E32" s="21">
        <f>ROUNDDOWN(北新地ファイブ4000[[#This Row],[人数]]/8,0)</f>
        <v>0</v>
      </c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0"/>
      <c r="J32" s="16" t="str">
        <f>IF(北新地ファイブ4000[[#This Row],[人数]]="","",VLOOKUP(北新地ファイブ4000[[#This Row],[人数]],バック金額②[#All],2,TRUE))</f>
        <v/>
      </c>
      <c r="L32" s="63">
        <f t="shared" si="1"/>
        <v>44985</v>
      </c>
      <c r="M32" s="20" t="str">
        <f>IF(北新地ファイブ3500[[#This Row],[人数]]=0,"",1)</f>
        <v/>
      </c>
      <c r="N32" s="14"/>
      <c r="O32" s="15"/>
      <c r="P32" s="21">
        <f>ROUNDDOWN(北新地ファイブ3500[[#This Row],[人数]]/8,0)</f>
        <v>0</v>
      </c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0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3" t="str">
        <f t="shared" si="0"/>
        <v/>
      </c>
      <c r="B33" s="20" t="str">
        <f>IF(北新地ファイブ4000[[#This Row],[人数]]=0,"",1)</f>
        <v/>
      </c>
      <c r="C33" s="14"/>
      <c r="D33" s="15"/>
      <c r="E33" s="21">
        <f>ROUNDDOWN(北新地ファイブ4000[[#This Row],[人数]]/8,0)</f>
        <v>0</v>
      </c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0"/>
      <c r="J33" s="16" t="str">
        <f>IF(北新地ファイブ4000[[#This Row],[人数]]="","",VLOOKUP(北新地ファイブ4000[[#This Row],[人数]],バック金額②[#All],2,TRUE))</f>
        <v/>
      </c>
      <c r="L33" s="63" t="str">
        <f t="shared" si="1"/>
        <v/>
      </c>
      <c r="M33" s="20" t="str">
        <f>IF(北新地ファイブ3500[[#This Row],[人数]]=0,"",1)</f>
        <v/>
      </c>
      <c r="N33" s="14"/>
      <c r="O33" s="15"/>
      <c r="P33" s="21">
        <f>ROUNDDOWN(北新地ファイブ3500[[#This Row],[人数]]/8,0)</f>
        <v>0</v>
      </c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0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3" t="str">
        <f t="shared" si="0"/>
        <v/>
      </c>
      <c r="B34" s="20" t="str">
        <f>IF(北新地ファイブ4000[[#This Row],[人数]]=0,"",1)</f>
        <v/>
      </c>
      <c r="C34" s="14"/>
      <c r="D34" s="15"/>
      <c r="E34" s="21">
        <f>ROUNDDOWN(北新地ファイブ4000[[#This Row],[人数]]/8,0)</f>
        <v>0</v>
      </c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0"/>
      <c r="J34" s="16" t="str">
        <f>IF(北新地ファイブ4000[[#This Row],[人数]]="","",VLOOKUP(北新地ファイブ4000[[#This Row],[人数]],バック金額②[#All],2,TRUE))</f>
        <v/>
      </c>
      <c r="L34" s="63" t="str">
        <f t="shared" si="1"/>
        <v/>
      </c>
      <c r="M34" s="20" t="str">
        <f>IF(北新地ファイブ3500[[#This Row],[人数]]=0,"",1)</f>
        <v/>
      </c>
      <c r="N34" s="14"/>
      <c r="O34" s="15"/>
      <c r="P34" s="21">
        <f>ROUNDDOWN(北新地ファイブ3500[[#This Row],[人数]]/8,0)</f>
        <v>0</v>
      </c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0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74" t="str">
        <f t="shared" si="0"/>
        <v/>
      </c>
      <c r="B35" s="20" t="str">
        <f>IF(北新地ファイブ4000[[#This Row],[人数]]=0,"",1)</f>
        <v/>
      </c>
      <c r="C35" s="18"/>
      <c r="D35" s="19"/>
      <c r="E35" s="21">
        <f>ROUNDDOWN(北新地ファイブ4000[[#This Row],[人数]]/8,0)</f>
        <v>0</v>
      </c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0"/>
      <c r="J35" s="16" t="str">
        <f>IF(北新地ファイブ4000[[#This Row],[人数]]="","",VLOOKUP(北新地ファイブ4000[[#This Row],[人数]],バック金額②[#All],2,TRUE))</f>
        <v/>
      </c>
      <c r="L35" s="74" t="str">
        <f t="shared" si="1"/>
        <v/>
      </c>
      <c r="M35" s="20" t="str">
        <f>IF(北新地ファイブ3500[[#This Row],[人数]]=0,"",1)</f>
        <v/>
      </c>
      <c r="N35" s="18"/>
      <c r="O35" s="19"/>
      <c r="P35" s="21">
        <f>ROUNDDOWN(北新地ファイブ3500[[#This Row],[人数]]/8,0)</f>
        <v>0</v>
      </c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0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69" t="s">
        <v>322</v>
      </c>
      <c r="B36" s="16">
        <f>SUM(北新地ファイブ4000[[#All],[件数]])</f>
        <v>1</v>
      </c>
      <c r="C36" s="6"/>
      <c r="D36" s="16">
        <f>SUM(北新地ファイブ4000[[#All],[人数]])</f>
        <v>6</v>
      </c>
      <c r="E36" s="16">
        <f>SUM(北新地ファイブ4000[[#All],[8名以上件数]])</f>
        <v>0</v>
      </c>
      <c r="F36" s="16">
        <f>SUM(北新地ファイブ4000[[#All],[単価合計]])</f>
        <v>15000</v>
      </c>
      <c r="G36" s="16">
        <f>SUM(北新地ファイブ4000[[#All],[ゆうき取りに行く]])</f>
        <v>9000</v>
      </c>
      <c r="H36" s="16"/>
      <c r="I36" s="16"/>
      <c r="J36" s="16">
        <f>SUM(北新地ファイブ4000[[#All],[イベンターへ]])</f>
        <v>6000</v>
      </c>
      <c r="L36" s="6" t="s">
        <v>211</v>
      </c>
      <c r="M36" s="16">
        <f>SUM(北新地ファイブ3500[[#All],[件数]])</f>
        <v>0</v>
      </c>
      <c r="N36" s="6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244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67" t="s">
        <v>205</v>
      </c>
      <c r="M4" s="65" t="s">
        <v>206</v>
      </c>
      <c r="N4" s="66" t="s">
        <v>207</v>
      </c>
      <c r="O4" s="66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44958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3">
        <f>IF(DAY(DATE(名前リスト!$N$1,名前リスト!$O$1,ROW()-4))=ROW()-4,DATE(名前リスト!$N$1,名前リスト!$O$1,ROW()-4),"")</f>
        <v>44958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3">
        <f>IFERROR(IF(DATE(YEAR($A$5),MONTH($A$5),DAY($A$5))=DATE(YEAR(L5),MONTH(L5),DAY(L5+1)),"",DATE(YEAR(L5),MONTH(L5),DAY(L5+1))),"")</f>
        <v>44959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3">
        <f t="shared" si="1"/>
        <v>44961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3">
        <f t="shared" si="0"/>
        <v>44962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3">
        <f t="shared" si="1"/>
        <v>44962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3">
        <f t="shared" si="1"/>
        <v>44963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3">
        <f t="shared" si="0"/>
        <v>44964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3">
        <f t="shared" si="1"/>
        <v>44964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3">
        <f t="shared" si="0"/>
        <v>44965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3">
        <f t="shared" si="1"/>
        <v>44965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3">
        <f t="shared" si="0"/>
        <v>44966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3">
        <f t="shared" si="1"/>
        <v>44966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3">
        <f t="shared" si="1"/>
        <v>44967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3">
        <f t="shared" si="0"/>
        <v>44968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3">
        <f t="shared" si="1"/>
        <v>44968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3">
        <f t="shared" si="1"/>
        <v>44969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3">
        <f t="shared" si="0"/>
        <v>44970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3">
        <f t="shared" si="1"/>
        <v>44970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3">
        <f t="shared" si="1"/>
        <v>44971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3">
        <f t="shared" si="0"/>
        <v>44972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3">
        <f t="shared" si="1"/>
        <v>44972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3">
        <f t="shared" si="1"/>
        <v>44973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3">
        <f t="shared" si="0"/>
        <v>44974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3">
        <f t="shared" si="1"/>
        <v>44974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3">
        <f t="shared" si="1"/>
        <v>44975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3">
        <f t="shared" si="0"/>
        <v>44976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3">
        <f t="shared" si="1"/>
        <v>44976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3">
        <f t="shared" si="1"/>
        <v>44977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3">
        <f t="shared" si="0"/>
        <v>44978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3">
        <f t="shared" si="1"/>
        <v>44978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3">
        <f t="shared" si="1"/>
        <v>44979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3">
        <f t="shared" si="0"/>
        <v>44980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3">
        <f t="shared" si="1"/>
        <v>44980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3">
        <f t="shared" si="1"/>
        <v>44981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3">
        <f t="shared" si="0"/>
        <v>44982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3">
        <f t="shared" si="1"/>
        <v>44982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3">
        <f t="shared" si="1"/>
        <v>44983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3">
        <f t="shared" si="0"/>
        <v>44984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3">
        <f t="shared" si="1"/>
        <v>44984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3">
        <f t="shared" si="1"/>
        <v>44985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3" t="str">
        <f t="shared" si="0"/>
        <v/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3" t="str">
        <f t="shared" si="1"/>
        <v/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3" t="str">
        <f t="shared" si="1"/>
        <v/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3" t="str">
        <f t="shared" si="0"/>
        <v/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64" t="s">
        <v>322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6" t="s">
        <v>211</v>
      </c>
      <c r="M36" s="7">
        <f>SUM(梅田石狩3500[[#All],[件数]])</f>
        <v>0</v>
      </c>
      <c r="N36" s="75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C1" s="46" t="s">
        <v>245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44958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3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3">
        <f t="shared" si="1"/>
        <v>44961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3">
        <f t="shared" si="0"/>
        <v>44962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3">
        <f t="shared" si="1"/>
        <v>44962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3">
        <f t="shared" si="1"/>
        <v>44963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3">
        <f t="shared" si="0"/>
        <v>44964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3">
        <f t="shared" si="1"/>
        <v>44964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3">
        <f>IFERROR(IF(DATE(YEAR($A$5),MONTH($A$5),DAY($A$5))=DATE(YEAR(A11),MONTH(A11),DAY(A11+1)),"",DATE(YEAR(A11),MONTH(A11),DAY(A11+1))),"")</f>
        <v>44965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3">
        <f t="shared" si="1"/>
        <v>44965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3">
        <f t="shared" si="0"/>
        <v>44966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3">
        <f t="shared" si="1"/>
        <v>44966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3">
        <f t="shared" si="1"/>
        <v>44967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3">
        <f t="shared" si="0"/>
        <v>44968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3">
        <f t="shared" si="1"/>
        <v>44968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3">
        <f t="shared" si="1"/>
        <v>44969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3">
        <f t="shared" si="0"/>
        <v>44970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3">
        <f t="shared" si="1"/>
        <v>44970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3">
        <f t="shared" si="1"/>
        <v>44971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3">
        <f t="shared" si="0"/>
        <v>44972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3">
        <f t="shared" si="1"/>
        <v>44972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3">
        <f t="shared" si="1"/>
        <v>44973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3">
        <f t="shared" si="0"/>
        <v>44974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3">
        <f t="shared" si="1"/>
        <v>44974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3">
        <f t="shared" si="1"/>
        <v>44975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3">
        <f t="shared" si="0"/>
        <v>44976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3">
        <f t="shared" si="1"/>
        <v>44976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3">
        <f t="shared" si="1"/>
        <v>44977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3">
        <f t="shared" si="0"/>
        <v>44978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3">
        <f t="shared" si="1"/>
        <v>44978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3">
        <f t="shared" si="1"/>
        <v>44979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3">
        <f t="shared" si="0"/>
        <v>44980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3">
        <f t="shared" si="1"/>
        <v>44980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3">
        <f t="shared" si="1"/>
        <v>44981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3">
        <f t="shared" si="0"/>
        <v>44982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3">
        <f t="shared" si="1"/>
        <v>44982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3">
        <f t="shared" si="1"/>
        <v>44983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3">
        <f t="shared" si="0"/>
        <v>44984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3">
        <f t="shared" si="1"/>
        <v>44984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3">
        <f t="shared" si="1"/>
        <v>44985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3" t="str">
        <f>IFERROR(IF(DATE(YEAR($A$5),MONTH($A$5),DAY($A$5))=DATE(YEAR(A32),MONTH(A32),DAY(A32+1)),"",DATE(YEAR(A32),MONTH(A32),DAY(A32+1))),"")</f>
        <v/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3" t="str">
        <f t="shared" si="1"/>
        <v/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3" t="str">
        <f t="shared" si="1"/>
        <v/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6" t="s">
        <v>211</v>
      </c>
      <c r="B36" s="16">
        <f>SUM(梅田あん4000[[#All],[件数]])</f>
        <v>0</v>
      </c>
      <c r="C36" s="6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6" t="s">
        <v>211</v>
      </c>
      <c r="M36" s="16">
        <f>SUM(梅田あん3500[[#All],[件数]])</f>
        <v>0</v>
      </c>
      <c r="N36" s="6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44958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3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3">
        <f t="shared" si="1"/>
        <v>44961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3">
        <f t="shared" si="0"/>
        <v>44962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3">
        <f t="shared" si="1"/>
        <v>44962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3">
        <f t="shared" si="1"/>
        <v>44963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3">
        <f t="shared" si="0"/>
        <v>44964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3">
        <f t="shared" si="1"/>
        <v>44964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3">
        <f t="shared" si="0"/>
        <v>44965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3">
        <f t="shared" si="1"/>
        <v>44965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3">
        <f t="shared" si="0"/>
        <v>44966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3">
        <f t="shared" si="1"/>
        <v>44966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3">
        <f t="shared" si="1"/>
        <v>44967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3">
        <f t="shared" si="0"/>
        <v>44968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3">
        <f t="shared" si="1"/>
        <v>44968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3">
        <f t="shared" si="1"/>
        <v>44969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3">
        <f t="shared" si="0"/>
        <v>44970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3">
        <f t="shared" si="1"/>
        <v>44970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3">
        <f t="shared" si="1"/>
        <v>44971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3">
        <f t="shared" si="0"/>
        <v>44972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3">
        <f t="shared" si="1"/>
        <v>44972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3">
        <f t="shared" si="1"/>
        <v>44973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44974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3">
        <f t="shared" si="1"/>
        <v>44974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3">
        <f t="shared" si="1"/>
        <v>44975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3">
        <f t="shared" si="0"/>
        <v>44976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3">
        <f t="shared" si="1"/>
        <v>44976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3">
        <f t="shared" si="1"/>
        <v>44977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3">
        <f t="shared" si="0"/>
        <v>44978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3">
        <f t="shared" si="1"/>
        <v>44978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3">
        <f t="shared" si="1"/>
        <v>44979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3">
        <f t="shared" si="0"/>
        <v>44980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3">
        <f t="shared" si="1"/>
        <v>44980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3">
        <f t="shared" si="1"/>
        <v>44981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3">
        <f t="shared" si="0"/>
        <v>44982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3">
        <f t="shared" si="1"/>
        <v>44982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3">
        <f t="shared" si="1"/>
        <v>44983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3">
        <f t="shared" si="0"/>
        <v>44984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3">
        <f t="shared" si="1"/>
        <v>44984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3">
        <f t="shared" si="1"/>
        <v>44985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3" t="str">
        <f t="shared" si="0"/>
        <v/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3" t="str">
        <f t="shared" si="1"/>
        <v/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3" t="str">
        <f t="shared" si="1"/>
        <v/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6" t="s">
        <v>211</v>
      </c>
      <c r="B36" s="16">
        <f>SUM(梅田煙4000[[#All],[件数]])</f>
        <v>0</v>
      </c>
      <c r="C36" s="6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6" t="s">
        <v>211</v>
      </c>
      <c r="M36" s="16">
        <f>SUM(梅田煙3500[[#All],[件数]])</f>
        <v>0</v>
      </c>
      <c r="N36" s="6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36"/>
  <sheetViews>
    <sheetView zoomScale="70" zoomScaleNormal="70" workbookViewId="0">
      <pane ySplit="4" topLeftCell="A14" activePane="bottomLeft" state="frozen"/>
      <selection pane="bottomLeft" activeCell="E2" sqref="E2:F2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0742187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564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$B$1*($D$36-$E$36)+$B$1*($O$36-P36)</f>
        <v>55000</v>
      </c>
      <c r="L2" s="46" t="s">
        <v>497</v>
      </c>
      <c r="M2" s="8">
        <v>500</v>
      </c>
    </row>
    <row r="3" spans="1:21">
      <c r="A3" s="46" t="s">
        <v>375</v>
      </c>
      <c r="B3" s="8">
        <v>4000</v>
      </c>
      <c r="C3" s="46" t="s">
        <v>247</v>
      </c>
      <c r="L3" s="46" t="s">
        <v>375</v>
      </c>
      <c r="M3" s="8">
        <v>3500</v>
      </c>
      <c r="N3" s="46" t="s">
        <v>496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567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20" t="str">
        <f>IF(心斎橋サファリ4000[[#This Row],[人数]]=0,"",1)</f>
        <v/>
      </c>
      <c r="C5" s="14"/>
      <c r="D5" s="15"/>
      <c r="E5" s="21">
        <f>ROUNDDOWN(心斎橋サファリ4000[[#This Row],[人数]]/8,0)</f>
        <v>0</v>
      </c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Row],[8名以上件数]]*$B$1=0,"",心斎橋サファリ4000[[#This Row],[8名以上件数]]*$B$1)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28">
        <f>IF(DAY(DATE(名前リスト!$N$1,名前リスト!$O$1,ROW()-4))=ROW()-4,DATE(名前リスト!$N$1,名前リスト!$O$1,ROW()-4),"")</f>
        <v>44958</v>
      </c>
      <c r="M5" s="13" t="str">
        <f>IF(心斎橋サファリ3500[[#This Row],[人数]]=0,"",1)</f>
        <v/>
      </c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28">
        <f>IFERROR(IF(DATE(YEAR($A$5),MONTH($A$5),DAY($A$5))=DATE(YEAR(L5),MONTH(L5),DAY(L5+1)),"",DATE(YEAR(L5),MONTH(L5),DAY(L5+1))),"")</f>
        <v>44959</v>
      </c>
      <c r="B6" s="20" t="str">
        <f>IF(心斎橋サファリ4000[[#This Row],[人数]]=0,"",1)</f>
        <v/>
      </c>
      <c r="C6" s="14"/>
      <c r="D6" s="15"/>
      <c r="E6" s="21">
        <f>ROUNDDOWN(心斎橋サファリ4000[[#This Row],[人数]]/8,0)</f>
        <v>0</v>
      </c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Row],[8名以上件数]]*$B$1=0,"",心斎橋サファリ4000[[#This Row],[8名以上件数]]*$B$1)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3">
        <f>IFERROR(IF(DATE(YEAR($A$5),MONTH($A$5),DAY($A$5))=DATE(YEAR(L5),MONTH(L5),DAY(L5+1)),"",DATE(YEAR(L5),MONTH(L5),DAY(L5+1))),"")</f>
        <v>44959</v>
      </c>
      <c r="M6" s="20" t="str">
        <f>IF(心斎橋サファリ3500[[#This Row],[人数]]=0,"",1)</f>
        <v/>
      </c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28">
        <f t="shared" ref="A7:A35" si="0">IFERROR(IF(DATE(YEAR($A$5),MONTH($A$5),DAY($A$5))=DATE(YEAR(L6),MONTH(L6),DAY(L6+1)),"",DATE(YEAR(L6),MONTH(L6),DAY(L6+1))),"")</f>
        <v>44960</v>
      </c>
      <c r="B7" s="20" t="str">
        <f>IF(心斎橋サファリ4000[[#This Row],[人数]]=0,"",1)</f>
        <v/>
      </c>
      <c r="C7" s="14"/>
      <c r="D7" s="15"/>
      <c r="E7" s="21">
        <f>ROUNDDOWN(心斎橋サファリ4000[[#This Row],[人数]]/8,0)</f>
        <v>0</v>
      </c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Row],[8名以上件数]]*$B$1=0,"",心斎橋サファリ4000[[#This Row],[8名以上件数]]*$B$1)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3">
        <f t="shared" ref="L7:L35" si="1">IFERROR(IF(DATE(YEAR($A$5),MONTH($A$5),DAY($A$5))=DATE(YEAR(L6),MONTH(L6),DAY(L6+1)),"",DATE(YEAR(L6),MONTH(L6),DAY(L6+1))),"")</f>
        <v>44960</v>
      </c>
      <c r="M7" s="20" t="str">
        <f>IF(心斎橋サファリ3500[[#This Row],[人数]]=0,"",1)</f>
        <v/>
      </c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28">
        <f t="shared" si="0"/>
        <v>44961</v>
      </c>
      <c r="B8" s="20" t="str">
        <f>IF(心斎橋サファリ4000[[#This Row],[人数]]=0,"",1)</f>
        <v/>
      </c>
      <c r="C8" s="14"/>
      <c r="D8" s="15"/>
      <c r="E8" s="21">
        <f>ROUNDDOWN(心斎橋サファリ4000[[#This Row],[人数]]/8,0)</f>
        <v>0</v>
      </c>
      <c r="F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8" s="16" t="str">
        <f>IFERROR(($B$3*心斎橋サファリ4000[[#This Row],[人数]])-心斎橋サファリ4000[[#This Row],[単価合計]]-(心斎橋サファリ4000[[#This Row],[キャンセル人数]]*$B$2),"")</f>
        <v/>
      </c>
      <c r="H8" s="16" t="str">
        <f>IF(心斎橋サファリ4000[[#This Row],[8名以上件数]]*$B$1=0,"",心斎橋サファリ4000[[#This Row],[8名以上件数]]*$B$1)</f>
        <v/>
      </c>
      <c r="I8" s="15"/>
      <c r="J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8" s="63">
        <f t="shared" si="1"/>
        <v>44961</v>
      </c>
      <c r="M8" s="20" t="str">
        <f>IF(心斎橋サファリ3500[[#This Row],[人数]]=0,"",1)</f>
        <v/>
      </c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28">
        <f t="shared" si="0"/>
        <v>44962</v>
      </c>
      <c r="B9" s="20" t="str">
        <f>IF(心斎橋サファリ4000[[#This Row],[人数]]=0,"",1)</f>
        <v/>
      </c>
      <c r="C9" s="14"/>
      <c r="D9" s="15"/>
      <c r="E9" s="21">
        <f>ROUNDDOWN(心斎橋サファリ4000[[#This Row],[人数]]/8,0)</f>
        <v>0</v>
      </c>
      <c r="F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6" t="str">
        <f>IFERROR(($B$3*心斎橋サファリ4000[[#This Row],[人数]])-心斎橋サファリ4000[[#This Row],[単価合計]]-(心斎橋サファリ4000[[#This Row],[キャンセル人数]]*$B$2),"")</f>
        <v/>
      </c>
      <c r="H9" s="16" t="str">
        <f>IF(心斎橋サファリ4000[[#This Row],[8名以上件数]]*$B$1=0,"",心斎橋サファリ4000[[#This Row],[8名以上件数]]*$B$1)</f>
        <v/>
      </c>
      <c r="I9" s="115"/>
      <c r="J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3">
        <f t="shared" si="1"/>
        <v>44962</v>
      </c>
      <c r="M9" s="20" t="str">
        <f>IF(心斎橋サファリ3500[[#This Row],[人数]]=0,"",1)</f>
        <v/>
      </c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28">
        <f t="shared" si="0"/>
        <v>44963</v>
      </c>
      <c r="B10" s="20" t="str">
        <f>IF(心斎橋サファリ4000[[#This Row],[人数]]=0,"",1)</f>
        <v/>
      </c>
      <c r="C10" s="14"/>
      <c r="D10" s="15"/>
      <c r="E10" s="21">
        <f>ROUNDDOWN(心斎橋サファリ4000[[#This Row],[人数]]/8,0)</f>
        <v>0</v>
      </c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Row],[8名以上件数]]*$B$1=0,"",心斎橋サファリ4000[[#This Row],[8名以上件数]]*$B$1)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3">
        <f t="shared" si="1"/>
        <v>44963</v>
      </c>
      <c r="M10" s="20" t="str">
        <f>IF(心斎橋サファリ3500[[#This Row],[人数]]=0,"",1)</f>
        <v/>
      </c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28">
        <f t="shared" si="0"/>
        <v>44964</v>
      </c>
      <c r="B11" s="20" t="str">
        <f>IF(心斎橋サファリ4000[[#This Row],[人数]]=0,"",1)</f>
        <v/>
      </c>
      <c r="C11" s="14"/>
      <c r="D11" s="15"/>
      <c r="E11" s="21">
        <f>ROUNDDOWN(心斎橋サファリ4000[[#This Row],[人数]]/8,0)</f>
        <v>0</v>
      </c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Row],[8名以上件数]]*$B$1=0,"",心斎橋サファリ4000[[#This Row],[8名以上件数]]*$B$1)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3">
        <f t="shared" si="1"/>
        <v>44964</v>
      </c>
      <c r="M11" s="20" t="str">
        <f>IF(心斎橋サファリ3500[[#This Row],[人数]]=0,"",1)</f>
        <v/>
      </c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28">
        <f t="shared" si="0"/>
        <v>44965</v>
      </c>
      <c r="B12" s="20" t="str">
        <f>IF(心斎橋サファリ4000[[#This Row],[人数]]=0,"",1)</f>
        <v/>
      </c>
      <c r="C12" s="14"/>
      <c r="D12" s="15"/>
      <c r="E12" s="21">
        <f>ROUNDDOWN(心斎橋サファリ4000[[#This Row],[人数]]/8,0)</f>
        <v>0</v>
      </c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Row],[8名以上件数]]*$B$1=0,"",心斎橋サファリ4000[[#This Row],[8名以上件数]]*$B$1)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3">
        <f t="shared" si="1"/>
        <v>44965</v>
      </c>
      <c r="M12" s="20" t="str">
        <f>IF(心斎橋サファリ3500[[#This Row],[人数]]=0,"",1)</f>
        <v/>
      </c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28">
        <f t="shared" si="0"/>
        <v>44966</v>
      </c>
      <c r="B13" s="20" t="str">
        <f>IF(心斎橋サファリ4000[[#This Row],[人数]]=0,"",1)</f>
        <v/>
      </c>
      <c r="C13" s="49"/>
      <c r="D13" s="15"/>
      <c r="E13" s="21">
        <f>ROUNDDOWN(心斎橋サファリ4000[[#This Row],[人数]]/8,0)</f>
        <v>0</v>
      </c>
      <c r="F1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6" t="str">
        <f>IFERROR(($B$3*心斎橋サファリ4000[[#This Row],[人数]])-心斎橋サファリ4000[[#This Row],[単価合計]]-(心斎橋サファリ4000[[#This Row],[キャンセル人数]]*$B$2),"")</f>
        <v/>
      </c>
      <c r="H13" s="16" t="str">
        <f>IF(心斎橋サファリ4000[[#This Row],[8名以上件数]]*$B$1=0,"",心斎橋サファリ4000[[#This Row],[8名以上件数]]*$B$1)</f>
        <v/>
      </c>
      <c r="I13" s="15"/>
      <c r="J1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3" s="63">
        <f t="shared" si="1"/>
        <v>44966</v>
      </c>
      <c r="M13" s="20" t="str">
        <f>IF(心斎橋サファリ3500[[#This Row],[人数]]=0,"",1)</f>
        <v/>
      </c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28">
        <f t="shared" si="0"/>
        <v>44967</v>
      </c>
      <c r="B14" s="20" t="str">
        <f>IF(心斎橋サファリ4000[[#This Row],[人数]]=0,"",1)</f>
        <v/>
      </c>
      <c r="C14" s="14"/>
      <c r="D14" s="15"/>
      <c r="E14" s="21">
        <f>ROUNDDOWN(心斎橋サファリ4000[[#This Row],[人数]]/8,0)</f>
        <v>0</v>
      </c>
      <c r="F1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4" s="16" t="str">
        <f>IFERROR(($B$3*心斎橋サファリ4000[[#This Row],[人数]])-心斎橋サファリ4000[[#This Row],[単価合計]]-(心斎橋サファリ4000[[#This Row],[キャンセル人数]]*$B$2),"")</f>
        <v/>
      </c>
      <c r="H14" s="16" t="str">
        <f>IF(心斎橋サファリ4000[[#This Row],[8名以上件数]]*$B$1=0,"",心斎橋サファリ4000[[#This Row],[8名以上件数]]*$B$1)</f>
        <v/>
      </c>
      <c r="I14" s="15"/>
      <c r="J1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4" s="63">
        <f t="shared" si="1"/>
        <v>44967</v>
      </c>
      <c r="M14" s="20" t="str">
        <f>IF(心斎橋サファリ3500[[#This Row],[人数]]=0,"",1)</f>
        <v/>
      </c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28">
        <f t="shared" si="0"/>
        <v>44968</v>
      </c>
      <c r="B15" s="20" t="str">
        <f>IF(心斎橋サファリ4000[[#This Row],[人数]]=0,"",1)</f>
        <v/>
      </c>
      <c r="C15" s="14"/>
      <c r="D15" s="15"/>
      <c r="E15" s="21">
        <f>ROUNDDOWN(心斎橋サファリ4000[[#This Row],[人数]]/8,0)</f>
        <v>0</v>
      </c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Row],[8名以上件数]]*$B$1=0,"",心斎橋サファリ4000[[#This Row],[8名以上件数]]*$B$1)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3">
        <f t="shared" si="1"/>
        <v>44968</v>
      </c>
      <c r="M15" s="20" t="str">
        <f>IF(心斎橋サファリ3500[[#This Row],[人数]]=0,"",1)</f>
        <v/>
      </c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28">
        <f t="shared" si="0"/>
        <v>44969</v>
      </c>
      <c r="B16" s="20" t="str">
        <f>IF(心斎橋サファリ4000[[#This Row],[人数]]=0,"",1)</f>
        <v/>
      </c>
      <c r="C16" s="14"/>
      <c r="D16" s="15"/>
      <c r="E16" s="21">
        <f>ROUNDDOWN(心斎橋サファリ4000[[#This Row],[人数]]/8,0)</f>
        <v>0</v>
      </c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Row],[8名以上件数]]*$B$1=0,"",心斎橋サファリ4000[[#This Row],[8名以上件数]]*$B$1)</f>
        <v/>
      </c>
      <c r="I16" s="115"/>
      <c r="J1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3">
        <f t="shared" si="1"/>
        <v>44969</v>
      </c>
      <c r="M16" s="20" t="str">
        <f>IF(心斎橋サファリ3500[[#This Row],[人数]]=0,"",1)</f>
        <v/>
      </c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28">
        <f t="shared" si="0"/>
        <v>44970</v>
      </c>
      <c r="B17" s="20" t="str">
        <f>IF(心斎橋サファリ4000[[#This Row],[人数]]=0,"",1)</f>
        <v/>
      </c>
      <c r="C17" s="14"/>
      <c r="D17" s="15"/>
      <c r="E17" s="21">
        <f>ROUNDDOWN(心斎橋サファリ4000[[#This Row],[人数]]/8,0)</f>
        <v>0</v>
      </c>
      <c r="F1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6" t="str">
        <f>IFERROR(($B$3*心斎橋サファリ4000[[#This Row],[人数]])-心斎橋サファリ4000[[#This Row],[単価合計]]-(心斎橋サファリ4000[[#This Row],[キャンセル人数]]*$B$2),"")</f>
        <v/>
      </c>
      <c r="H17" s="16" t="str">
        <f>IF(心斎橋サファリ4000[[#This Row],[8名以上件数]]*$B$1=0,"",心斎橋サファリ4000[[#This Row],[8名以上件数]]*$B$1)</f>
        <v/>
      </c>
      <c r="I17" s="115"/>
      <c r="J1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3">
        <f t="shared" si="1"/>
        <v>44970</v>
      </c>
      <c r="M17" s="20" t="str">
        <f>IF(心斎橋サファリ3500[[#This Row],[人数]]=0,"",1)</f>
        <v/>
      </c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28">
        <f t="shared" si="0"/>
        <v>44971</v>
      </c>
      <c r="B18" s="20" t="str">
        <f>IF(心斎橋サファリ4000[[#This Row],[人数]]=0,"",1)</f>
        <v/>
      </c>
      <c r="C18" s="14"/>
      <c r="D18" s="15"/>
      <c r="E18" s="21">
        <f>ROUNDDOWN(心斎橋サファリ4000[[#This Row],[人数]]/8,0)</f>
        <v>0</v>
      </c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Row],[8名以上件数]]*$B$1=0,"",心斎橋サファリ4000[[#This Row],[8名以上件数]]*$B$1)</f>
        <v/>
      </c>
      <c r="I18" s="115"/>
      <c r="J1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3">
        <f t="shared" si="1"/>
        <v>44971</v>
      </c>
      <c r="M18" s="20" t="str">
        <f>IF(心斎橋サファリ3500[[#This Row],[人数]]=0,"",1)</f>
        <v/>
      </c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28">
        <f t="shared" si="0"/>
        <v>44972</v>
      </c>
      <c r="B19" s="20" t="str">
        <f>IF(心斎橋サファリ4000[[#This Row],[人数]]=0,"",1)</f>
        <v/>
      </c>
      <c r="C19" s="14"/>
      <c r="D19" s="15"/>
      <c r="E19" s="21">
        <f>ROUNDDOWN(心斎橋サファリ4000[[#This Row],[人数]]/8,0)</f>
        <v>0</v>
      </c>
      <c r="F1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9" s="16" t="str">
        <f>IFERROR(($B$3*心斎橋サファリ4000[[#This Row],[人数]])-心斎橋サファリ4000[[#This Row],[単価合計]]-(心斎橋サファリ4000[[#This Row],[キャンセル人数]]*$B$2),"")</f>
        <v/>
      </c>
      <c r="H19" s="16" t="str">
        <f>IF(心斎橋サファリ4000[[#This Row],[8名以上件数]]*$B$1=0,"",心斎橋サファリ4000[[#This Row],[8名以上件数]]*$B$1)</f>
        <v/>
      </c>
      <c r="I19" s="115"/>
      <c r="J1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9" s="63">
        <f t="shared" si="1"/>
        <v>44972</v>
      </c>
      <c r="M19" s="20" t="str">
        <f>IF(心斎橋サファリ3500[[#This Row],[人数]]=0,"",1)</f>
        <v/>
      </c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28">
        <f t="shared" si="0"/>
        <v>44973</v>
      </c>
      <c r="B20" s="20" t="str">
        <f>IF(心斎橋サファリ4000[[#This Row],[人数]]=0,"",1)</f>
        <v/>
      </c>
      <c r="C20" s="14"/>
      <c r="D20" s="15"/>
      <c r="E20" s="21">
        <f>ROUNDDOWN(心斎橋サファリ4000[[#This Row],[人数]]/8,0)</f>
        <v>0</v>
      </c>
      <c r="F2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6" t="str">
        <f>IFERROR(($B$3*心斎橋サファリ4000[[#This Row],[人数]])-心斎橋サファリ4000[[#This Row],[単価合計]]-(心斎橋サファリ4000[[#This Row],[キャンセル人数]]*$B$2),"")</f>
        <v/>
      </c>
      <c r="H20" s="16" t="str">
        <f>IF(心斎橋サファリ4000[[#This Row],[8名以上件数]]*$B$1=0,"",心斎橋サファリ4000[[#This Row],[8名以上件数]]*$B$1)</f>
        <v/>
      </c>
      <c r="I20" s="115"/>
      <c r="J20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0" s="63">
        <f t="shared" si="1"/>
        <v>44973</v>
      </c>
      <c r="M20" s="20" t="str">
        <f>IF(心斎橋サファリ3500[[#This Row],[人数]]=0,"",1)</f>
        <v/>
      </c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28">
        <f t="shared" si="0"/>
        <v>44974</v>
      </c>
      <c r="B21" s="20" t="str">
        <f>IF(心斎橋サファリ4000[[#This Row],[人数]]=0,"",1)</f>
        <v/>
      </c>
      <c r="C21" s="14"/>
      <c r="D21" s="15"/>
      <c r="E21" s="21">
        <f>ROUNDDOWN(心斎橋サファリ4000[[#This Row],[人数]]/8,0)</f>
        <v>0</v>
      </c>
      <c r="F2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1" s="16" t="str">
        <f>IFERROR(($B$3*心斎橋サファリ4000[[#This Row],[人数]])-心斎橋サファリ4000[[#This Row],[単価合計]]-(心斎橋サファリ4000[[#This Row],[キャンセル人数]]*$B$2),"")</f>
        <v/>
      </c>
      <c r="H21" s="16" t="str">
        <f>IF(心斎橋サファリ4000[[#This Row],[8名以上件数]]*$B$1=0,"",心斎橋サファリ4000[[#This Row],[8名以上件数]]*$B$1)</f>
        <v/>
      </c>
      <c r="I21" s="15"/>
      <c r="J2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1" s="63">
        <f t="shared" si="1"/>
        <v>44974</v>
      </c>
      <c r="M21" s="20" t="str">
        <f>IF(心斎橋サファリ3500[[#This Row],[人数]]=0,"",1)</f>
        <v/>
      </c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28">
        <f t="shared" si="0"/>
        <v>44975</v>
      </c>
      <c r="B22" s="20">
        <f>IF(心斎橋サファリ4000[[#This Row],[人数]]=0,"",1)</f>
        <v>1</v>
      </c>
      <c r="C22" s="14">
        <v>329</v>
      </c>
      <c r="D22" s="15">
        <v>6</v>
      </c>
      <c r="E22" s="21">
        <f>ROUNDDOWN(心斎橋サファリ4000[[#This Row],[人数]]/8,0)</f>
        <v>0</v>
      </c>
      <c r="F22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15000</v>
      </c>
      <c r="G22" s="16">
        <f>IFERROR(($B$3*心斎橋サファリ4000[[#This Row],[人数]])-心斎橋サファリ4000[[#This Row],[単価合計]]-(心斎橋サファリ4000[[#This Row],[キャンセル人数]]*$B$2),"")</f>
        <v>9000</v>
      </c>
      <c r="H22" s="16" t="str">
        <f>IF(心斎橋サファリ4000[[#This Row],[8名以上件数]]*$B$1=0,"",心斎橋サファリ4000[[#This Row],[8名以上件数]]*$B$1)</f>
        <v/>
      </c>
      <c r="I22" s="15"/>
      <c r="J22" s="16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22" s="63">
        <f t="shared" si="1"/>
        <v>44975</v>
      </c>
      <c r="M22" s="20" t="str">
        <f>IF(心斎橋サファリ3500[[#This Row],[人数]]=0,"",1)</f>
        <v/>
      </c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28">
        <f t="shared" si="0"/>
        <v>44976</v>
      </c>
      <c r="B23" s="20">
        <f>IF(心斎橋サファリ4000[[#This Row],[人数]]=0,"",1)</f>
        <v>1</v>
      </c>
      <c r="C23" s="14">
        <v>342</v>
      </c>
      <c r="D23" s="15">
        <v>12</v>
      </c>
      <c r="E23" s="21">
        <f>ROUNDDOWN(心斎橋サファリ4000[[#This Row],[人数]]/8,0)</f>
        <v>1</v>
      </c>
      <c r="F23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27500</v>
      </c>
      <c r="G23" s="16">
        <f>IFERROR(($B$3*心斎橋サファリ4000[[#This Row],[人数]])-心斎橋サファリ4000[[#This Row],[単価合計]]-(心斎橋サファリ4000[[#This Row],[キャンセル人数]]*$B$2),"")</f>
        <v>20500</v>
      </c>
      <c r="H23" s="16">
        <f>IF(心斎橋サファリ4000[[#This Row],[8名以上件数]]*$B$1=0,"",心斎橋サファリ4000[[#This Row],[8名以上件数]]*$B$1)</f>
        <v>2500</v>
      </c>
      <c r="I23" s="15"/>
      <c r="J23" s="16">
        <f>IFERROR(IF(心斎橋サファリ4000[[#This Row],[人数]]="","",VLOOKUP(心斎橋サファリ4000[[#This Row],[人数]],バック金額①[#All],2,TRUE)-(心斎橋サファリ4000[[#This Row],[キャンセル人数]]*$B$2)),"")</f>
        <v>14000</v>
      </c>
      <c r="L23" s="63">
        <f t="shared" si="1"/>
        <v>44976</v>
      </c>
      <c r="M23" s="20" t="str">
        <f>IF(心斎橋サファリ3500[[#This Row],[人数]]=0,"",1)</f>
        <v/>
      </c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28">
        <f t="shared" si="0"/>
        <v>44977</v>
      </c>
      <c r="B24" s="20" t="str">
        <f>IF(心斎橋サファリ4000[[#This Row],[人数]]=0,"",1)</f>
        <v/>
      </c>
      <c r="C24" s="14"/>
      <c r="D24" s="15"/>
      <c r="E24" s="21">
        <f>ROUNDDOWN(心斎橋サファリ4000[[#This Row],[人数]]/8,0)</f>
        <v>0</v>
      </c>
      <c r="F2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6" t="str">
        <f>IFERROR(($B$3*心斎橋サファリ4000[[#This Row],[人数]])-心斎橋サファリ4000[[#This Row],[単価合計]]-(心斎橋サファリ4000[[#This Row],[キャンセル人数]]*$B$2),"")</f>
        <v/>
      </c>
      <c r="H24" s="16" t="str">
        <f>IF(心斎橋サファリ4000[[#This Row],[8名以上件数]]*$B$1=0,"",心斎橋サファリ4000[[#This Row],[8名以上件数]]*$B$1)</f>
        <v/>
      </c>
      <c r="I24" s="15"/>
      <c r="J2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4" s="63">
        <f t="shared" si="1"/>
        <v>44977</v>
      </c>
      <c r="M24" s="20" t="str">
        <f>IF(心斎橋サファリ3500[[#This Row],[人数]]=0,"",1)</f>
        <v/>
      </c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28">
        <f t="shared" si="0"/>
        <v>44978</v>
      </c>
      <c r="B25" s="20" t="str">
        <f>IF(心斎橋サファリ4000[[#This Row],[人数]]=0,"",1)</f>
        <v/>
      </c>
      <c r="C25" s="14"/>
      <c r="D25" s="15"/>
      <c r="E25" s="21">
        <f>ROUNDDOWN(心斎橋サファリ4000[[#This Row],[人数]]/8,0)</f>
        <v>0</v>
      </c>
      <c r="F2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5" s="16" t="str">
        <f>IFERROR(($B$3*心斎橋サファリ4000[[#This Row],[人数]])-心斎橋サファリ4000[[#This Row],[単価合計]]-(心斎橋サファリ4000[[#This Row],[キャンセル人数]]*$B$2),"")</f>
        <v/>
      </c>
      <c r="H25" s="16" t="str">
        <f>IF(心斎橋サファリ4000[[#This Row],[8名以上件数]]*$B$1=0,"",心斎橋サファリ4000[[#This Row],[8名以上件数]]*$B$1)</f>
        <v/>
      </c>
      <c r="I25" s="115"/>
      <c r="J2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5" s="63">
        <f t="shared" si="1"/>
        <v>44978</v>
      </c>
      <c r="M25" s="20" t="str">
        <f>IF(心斎橋サファリ3500[[#This Row],[人数]]=0,"",1)</f>
        <v/>
      </c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28">
        <f t="shared" si="0"/>
        <v>44979</v>
      </c>
      <c r="B26" s="20" t="str">
        <f>IF(心斎橋サファリ4000[[#This Row],[人数]]=0,"",1)</f>
        <v/>
      </c>
      <c r="C26" s="14"/>
      <c r="D26" s="15"/>
      <c r="E26" s="21">
        <f>ROUNDDOWN(心斎橋サファリ4000[[#This Row],[人数]]/8,0)</f>
        <v>0</v>
      </c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Row],[8名以上件数]]*$B$1=0,"",心斎橋サファリ4000[[#This Row],[8名以上件数]]*$B$1)</f>
        <v/>
      </c>
      <c r="I26" s="115"/>
      <c r="J2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3">
        <f t="shared" si="1"/>
        <v>44979</v>
      </c>
      <c r="M26" s="20" t="str">
        <f>IF(心斎橋サファリ3500[[#This Row],[人数]]=0,"",1)</f>
        <v/>
      </c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28">
        <f t="shared" si="0"/>
        <v>44980</v>
      </c>
      <c r="B27" s="20" t="str">
        <f>IF(心斎橋サファリ4000[[#This Row],[人数]]=0,"",1)</f>
        <v/>
      </c>
      <c r="C27" s="14"/>
      <c r="D27" s="15"/>
      <c r="E27" s="21">
        <f>ROUNDDOWN(心斎橋サファリ4000[[#This Row],[人数]]/8,0)</f>
        <v>0</v>
      </c>
      <c r="F2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7" s="16" t="str">
        <f>IFERROR(($B$3*心斎橋サファリ4000[[#This Row],[人数]])-心斎橋サファリ4000[[#This Row],[単価合計]]-(心斎橋サファリ4000[[#This Row],[キャンセル人数]]*$B$2),"")</f>
        <v/>
      </c>
      <c r="H27" s="16" t="str">
        <f>IF(心斎橋サファリ4000[[#This Row],[8名以上件数]]*$B$1=0,"",心斎橋サファリ4000[[#This Row],[8名以上件数]]*$B$1)</f>
        <v/>
      </c>
      <c r="I27" s="115"/>
      <c r="J2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7" s="63">
        <f t="shared" si="1"/>
        <v>44980</v>
      </c>
      <c r="M27" s="20" t="str">
        <f>IF(心斎橋サファリ3500[[#This Row],[人数]]=0,"",1)</f>
        <v/>
      </c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28">
        <f t="shared" si="0"/>
        <v>44981</v>
      </c>
      <c r="B28" s="20" t="str">
        <f>IF(心斎橋サファリ4000[[#This Row],[人数]]=0,"",1)</f>
        <v/>
      </c>
      <c r="C28" s="14"/>
      <c r="D28" s="15"/>
      <c r="E28" s="21">
        <f>ROUNDDOWN(心斎橋サファリ4000[[#This Row],[人数]]/8,0)</f>
        <v>0</v>
      </c>
      <c r="F2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8" s="16" t="str">
        <f>IFERROR(($B$3*心斎橋サファリ4000[[#This Row],[人数]])-心斎橋サファリ4000[[#This Row],[単価合計]]-(心斎橋サファリ4000[[#This Row],[キャンセル人数]]*$B$2),"")</f>
        <v/>
      </c>
      <c r="H28" s="16" t="str">
        <f>IF(心斎橋サファリ4000[[#This Row],[8名以上件数]]*$B$1=0,"",心斎橋サファリ4000[[#This Row],[8名以上件数]]*$B$1)</f>
        <v/>
      </c>
      <c r="I28" s="115"/>
      <c r="J2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8" s="63">
        <f t="shared" si="1"/>
        <v>44981</v>
      </c>
      <c r="M28" s="20" t="str">
        <f>IF(心斎橋サファリ3500[[#This Row],[人数]]=0,"",1)</f>
        <v/>
      </c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28">
        <f t="shared" si="0"/>
        <v>44982</v>
      </c>
      <c r="B29" s="20">
        <f>IF(心斎橋サファリ4000[[#This Row],[人数]]=0,"",1)</f>
        <v>1</v>
      </c>
      <c r="C29" s="14">
        <v>329</v>
      </c>
      <c r="D29" s="15">
        <v>5</v>
      </c>
      <c r="E29" s="21">
        <f>ROUNDDOWN(心斎橋サファリ4000[[#This Row],[人数]]/8,0)</f>
        <v>0</v>
      </c>
      <c r="F29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12500</v>
      </c>
      <c r="G29" s="16">
        <f>IFERROR(($B$3*心斎橋サファリ4000[[#This Row],[人数]])-心斎橋サファリ4000[[#This Row],[単価合計]]-(心斎橋サファリ4000[[#This Row],[キャンセル人数]]*$B$2),"")</f>
        <v>6200</v>
      </c>
      <c r="H29" s="16" t="str">
        <f>IF(心斎橋サファリ4000[[#This Row],[8名以上件数]]*$B$1=0,"",心斎橋サファリ4000[[#This Row],[8名以上件数]]*$B$1)</f>
        <v/>
      </c>
      <c r="I29" s="15">
        <v>1</v>
      </c>
      <c r="J29" s="16">
        <f>IFERROR(IF(心斎橋サファリ4000[[#This Row],[人数]]="","",VLOOKUP(心斎橋サファリ4000[[#This Row],[人数]],バック金額①[#All],2,TRUE)-(心斎橋サファリ4000[[#This Row],[キャンセル人数]]*$B$2)),"")</f>
        <v>3700</v>
      </c>
      <c r="L29" s="63">
        <f t="shared" si="1"/>
        <v>44982</v>
      </c>
      <c r="M29" s="20" t="str">
        <f>IF(心斎橋サファリ3500[[#This Row],[人数]]=0,"",1)</f>
        <v/>
      </c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28">
        <f t="shared" si="0"/>
        <v>44983</v>
      </c>
      <c r="B30" s="20" t="str">
        <f>IF(心斎橋サファリ4000[[#This Row],[人数]]=0,"",1)</f>
        <v/>
      </c>
      <c r="C30" s="14"/>
      <c r="D30" s="15"/>
      <c r="E30" s="21">
        <f>ROUNDDOWN(心斎橋サファリ4000[[#This Row],[人数]]/8,0)</f>
        <v>0</v>
      </c>
      <c r="F3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6" t="str">
        <f>IF(心斎橋サファリ4000[[#This Row],[8名以上件数]]*$B$1=0,"",心斎橋サファリ4000[[#This Row],[8名以上件数]]*$B$1)</f>
        <v/>
      </c>
      <c r="I30" s="15"/>
      <c r="J3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3">
        <f t="shared" si="1"/>
        <v>44983</v>
      </c>
      <c r="M30" s="20" t="str">
        <f>IF(心斎橋サファリ3500[[#This Row],[人数]]=0,"",1)</f>
        <v/>
      </c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28">
        <f t="shared" si="0"/>
        <v>44984</v>
      </c>
      <c r="B31" s="20" t="str">
        <f>IF(心斎橋サファリ4000[[#This Row],[人数]]=0,"",1)</f>
        <v/>
      </c>
      <c r="C31" s="14"/>
      <c r="D31" s="15"/>
      <c r="E31" s="21">
        <f>ROUNDDOWN(心斎橋サファリ4000[[#This Row],[人数]]/8,0)</f>
        <v>0</v>
      </c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Row],[8名以上件数]]*$B$1=0,"",心斎橋サファリ4000[[#This Row],[8名以上件数]]*$B$1)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3">
        <f t="shared" si="1"/>
        <v>44984</v>
      </c>
      <c r="M31" s="20" t="str">
        <f>IF(心斎橋サファリ3500[[#This Row],[人数]]=0,"",1)</f>
        <v/>
      </c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28">
        <f t="shared" si="0"/>
        <v>44985</v>
      </c>
      <c r="B32" s="20" t="str">
        <f>IF(心斎橋サファリ4000[[#This Row],[人数]]=0,"",1)</f>
        <v/>
      </c>
      <c r="C32" s="14"/>
      <c r="D32" s="15"/>
      <c r="E32" s="21">
        <f>ROUNDDOWN(心斎橋サファリ4000[[#This Row],[人数]]/8,0)</f>
        <v>0</v>
      </c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Row],[8名以上件数]]*$B$1=0,"",心斎橋サファリ4000[[#This Row],[8名以上件数]]*$B$1)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3">
        <f t="shared" si="1"/>
        <v>44985</v>
      </c>
      <c r="M32" s="20" t="str">
        <f>IF(心斎橋サファリ3500[[#This Row],[人数]]=0,"",1)</f>
        <v/>
      </c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28">
        <v>44923</v>
      </c>
      <c r="B33" s="20" t="str">
        <f>IF(心斎橋サファリ4000[[#This Row],[人数]]=0,"",1)</f>
        <v/>
      </c>
      <c r="C33" s="14"/>
      <c r="D33" s="15"/>
      <c r="E33" s="21">
        <f>ROUNDDOWN(心斎橋サファリ4000[[#This Row],[人数]]/8,0)</f>
        <v>0</v>
      </c>
      <c r="F3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6" t="str">
        <f>IF(心斎橋サファリ4000[[#This Row],[8名以上件数]]*$B$1=0,"",心斎橋サファリ4000[[#This Row],[8名以上件数]]*$B$1)</f>
        <v/>
      </c>
      <c r="I33" s="115"/>
      <c r="J33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3" t="str">
        <f t="shared" si="1"/>
        <v/>
      </c>
      <c r="M33" s="20" t="str">
        <f>IF(心斎橋サファリ3500[[#This Row],[人数]]=0,"",1)</f>
        <v/>
      </c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28" t="str">
        <f t="shared" si="0"/>
        <v/>
      </c>
      <c r="B34" s="20" t="str">
        <f>IF(心斎橋サファリ4000[[#This Row],[人数]]=0,"",1)</f>
        <v/>
      </c>
      <c r="C34" s="14"/>
      <c r="D34" s="15"/>
      <c r="E34" s="21">
        <f>ROUNDDOWN(心斎橋サファリ4000[[#This Row],[人数]]/8,0)</f>
        <v>0</v>
      </c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Row],[8名以上件数]]*$B$1=0,"",心斎橋サファリ4000[[#This Row],[8名以上件数]]*$B$1)</f>
        <v/>
      </c>
      <c r="I34" s="15"/>
      <c r="J3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3" t="str">
        <f t="shared" si="1"/>
        <v/>
      </c>
      <c r="M34" s="20" t="str">
        <f>IF(心斎橋サファリ3500[[#This Row],[人数]]=0,"",1)</f>
        <v/>
      </c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28" t="str">
        <f t="shared" si="0"/>
        <v/>
      </c>
      <c r="B35" s="20" t="str">
        <f>IF(心斎橋サファリ4000[[#This Row],[人数]]=0,"",1)</f>
        <v/>
      </c>
      <c r="C35" s="14"/>
      <c r="D35" s="15"/>
      <c r="E35" s="21">
        <f>ROUNDDOWN(心斎橋サファリ4000[[#This Row],[人数]]/8,0)</f>
        <v>0</v>
      </c>
      <c r="F3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5" s="16" t="str">
        <f>IFERROR(($B$3*心斎橋サファリ4000[[#This Row],[人数]])-心斎橋サファリ4000[[#This Row],[単価合計]]-(心斎橋サファリ4000[[#This Row],[キャンセル人数]]*$B$2),"")</f>
        <v/>
      </c>
      <c r="H35" s="16" t="str">
        <f>IF(心斎橋サファリ4000[[#This Row],[8名以上件数]]*$B$1=0,"",心斎橋サファリ4000[[#This Row],[8名以上件数]]*$B$1)</f>
        <v/>
      </c>
      <c r="I35" s="15"/>
      <c r="J3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5" s="140" t="str">
        <f t="shared" si="1"/>
        <v/>
      </c>
      <c r="M35" s="20" t="str">
        <f>IF(心斎橋サファリ3500[[#This Row],[人数]]=0,"",1)</f>
        <v/>
      </c>
      <c r="N35" s="18"/>
      <c r="O35" s="19"/>
      <c r="P35" s="19"/>
      <c r="Q35" s="141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5" s="141" t="str">
        <f>IFERROR(($M$3*心斎橋サファリ3500[[#This Row],[人数]])-心斎橋サファリ3500[[#This Row],[単価合計]]-(心斎橋サファリ3500[[#This Row],[キャンセル人数]]*$B$2),"")</f>
        <v/>
      </c>
      <c r="S35" s="141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5" s="142"/>
      <c r="U35" s="141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6" spans="1:21">
      <c r="A36" s="71" t="s">
        <v>322</v>
      </c>
      <c r="B36" s="16">
        <f>SUM(心斎橋サファリ4000[[#All],[件数]])</f>
        <v>3</v>
      </c>
      <c r="C36" s="6"/>
      <c r="D36" s="16">
        <f>SUM(心斎橋サファリ4000[[#All],[人数]])</f>
        <v>23</v>
      </c>
      <c r="E36" s="16">
        <f>SUM(心斎橋サファリ4000[[#All],[8名以上件数]])</f>
        <v>1</v>
      </c>
      <c r="F36" s="16">
        <f>SUM(心斎橋サファリ4000[[#All],[単価合計]])</f>
        <v>55000</v>
      </c>
      <c r="G36" s="16">
        <f>SUM(心斎橋サファリ4000[[#All],[ゆうき取りに行く]])</f>
        <v>35700</v>
      </c>
      <c r="H36" s="16"/>
      <c r="I36" s="16"/>
      <c r="J36" s="16">
        <f>SUM(心斎橋サファリ4000[[#All],[イベンターへ]])</f>
        <v>24700</v>
      </c>
      <c r="L36" s="71" t="s">
        <v>322</v>
      </c>
      <c r="M36" s="16">
        <f>SUM(心斎橋サファリ3500[[#All],[件数]])</f>
        <v>0</v>
      </c>
      <c r="N36" s="6"/>
      <c r="O36" s="16">
        <f>SUM(心斎橋サファリ3500[[#All],[人数]])</f>
        <v>0</v>
      </c>
      <c r="P36" s="16">
        <f>SUM(心斎橋サファリ3500[[#All],[8名以上件数]])</f>
        <v>0</v>
      </c>
      <c r="Q36" s="16">
        <f>SUM(心斎橋サファリ3500[[#All],[単価合計]])</f>
        <v>0</v>
      </c>
      <c r="R36" s="16">
        <f>SUM(心斎橋サファリ3500[[#All],[ゆうき取りに行く]])</f>
        <v>0</v>
      </c>
      <c r="S36" s="16"/>
      <c r="T36" s="16"/>
      <c r="U36" s="16">
        <f>SUM(心斎橋サファリ3500[[#All],[イベンターへ]])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3515625" defaultRowHeight="20"/>
  <cols>
    <col min="1" max="1" width="21.3046875" style="8" bestFit="1" customWidth="1"/>
    <col min="2" max="2" width="6.53515625" style="8" customWidth="1"/>
    <col min="3" max="3" width="10" style="8" customWidth="1"/>
    <col min="4" max="4" width="6.53515625" style="8" customWidth="1"/>
    <col min="5" max="5" width="12.23046875" style="8" bestFit="1" customWidth="1"/>
    <col min="6" max="6" width="11.23046875" style="9" bestFit="1" customWidth="1"/>
    <col min="7" max="7" width="15.69140625" style="9" bestFit="1" customWidth="1"/>
    <col min="8" max="9" width="15.69140625" style="9" customWidth="1"/>
    <col min="10" max="10" width="13.69140625" style="9" customWidth="1"/>
    <col min="11" max="11" width="11.53515625" style="8"/>
    <col min="12" max="12" width="21.3046875" style="8" bestFit="1" customWidth="1"/>
    <col min="13" max="13" width="6.53515625" style="8" customWidth="1"/>
    <col min="14" max="14" width="10" style="8" customWidth="1"/>
    <col min="15" max="15" width="6.53515625" style="8" customWidth="1"/>
    <col min="16" max="16" width="12.23046875" style="8" bestFit="1" customWidth="1"/>
    <col min="17" max="17" width="11.2304687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248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28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3">
        <f t="shared" si="1"/>
        <v>44961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3">
        <f t="shared" si="0"/>
        <v>44962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3">
        <f t="shared" si="1"/>
        <v>44962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3">
        <f t="shared" si="1"/>
        <v>44963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3">
        <f t="shared" si="0"/>
        <v>44964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3">
        <f t="shared" si="1"/>
        <v>44964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3">
        <f t="shared" si="0"/>
        <v>44965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3">
        <f t="shared" si="1"/>
        <v>44965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3">
        <f t="shared" si="0"/>
        <v>44966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3">
        <f t="shared" si="1"/>
        <v>44966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3">
        <f t="shared" si="1"/>
        <v>44967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3">
        <f t="shared" si="0"/>
        <v>44968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3">
        <f t="shared" si="1"/>
        <v>44968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3">
        <f t="shared" si="1"/>
        <v>44969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3">
        <f t="shared" si="0"/>
        <v>44970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3">
        <f t="shared" si="1"/>
        <v>44970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3">
        <f t="shared" si="1"/>
        <v>44971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3">
        <f t="shared" si="0"/>
        <v>44972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3">
        <f t="shared" si="1"/>
        <v>44972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3">
        <f t="shared" si="1"/>
        <v>44973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3">
        <f t="shared" si="0"/>
        <v>44974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3">
        <f t="shared" si="1"/>
        <v>44974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3">
        <f t="shared" si="1"/>
        <v>44975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3">
        <f t="shared" si="0"/>
        <v>44976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3">
        <f t="shared" si="1"/>
        <v>44976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3">
        <f t="shared" si="1"/>
        <v>44977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3">
        <f t="shared" si="0"/>
        <v>44978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3">
        <f t="shared" si="1"/>
        <v>44978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3">
        <f t="shared" si="1"/>
        <v>44979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3">
        <f t="shared" si="0"/>
        <v>44980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3">
        <f t="shared" si="1"/>
        <v>44980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3">
        <f t="shared" si="1"/>
        <v>44981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3">
        <f t="shared" si="0"/>
        <v>44982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3">
        <f t="shared" si="1"/>
        <v>44982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3">
        <f t="shared" si="1"/>
        <v>44983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3">
        <f t="shared" si="0"/>
        <v>44984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3">
        <f t="shared" si="1"/>
        <v>44984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3">
        <f t="shared" si="1"/>
        <v>44985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3" t="str">
        <f t="shared" si="0"/>
        <v/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3" t="str">
        <f t="shared" si="1"/>
        <v/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3" t="str">
        <f t="shared" si="1"/>
        <v/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69" t="s">
        <v>322</v>
      </c>
      <c r="B36" s="72">
        <f>SUM(心斎橋3ebar4000円[[#All],[件数]])</f>
        <v>0</v>
      </c>
      <c r="C36" s="73"/>
      <c r="D36" s="72">
        <f>SUM(心斎橋3ebar4000円[[#All],[人数]])</f>
        <v>0</v>
      </c>
      <c r="E36" s="72">
        <f>SUM(心斎橋3ebar4000円[[#All],[Aパターン]])</f>
        <v>0</v>
      </c>
      <c r="F36" s="72">
        <f>SUM(心斎橋3ebar4000円[[#All],[単価合計]])</f>
        <v>0</v>
      </c>
      <c r="G36" s="72">
        <f>SUM(心斎橋3ebar4000円[[#All],[ゆうき取りに行く]])</f>
        <v>0</v>
      </c>
      <c r="H36" s="72"/>
      <c r="I36" s="72"/>
      <c r="J36" s="72">
        <f>SUM(心斎橋3ebar4000円[[#All],[イベンターへ]])</f>
        <v>0</v>
      </c>
      <c r="L36" s="68" t="s">
        <v>322</v>
      </c>
      <c r="M36" s="72">
        <f>SUM(心斎橋3ebar3500円[[#All],[件数]])</f>
        <v>0</v>
      </c>
      <c r="N36" s="73"/>
      <c r="O36" s="72">
        <f>SUM(心斎橋3ebar3500円[[#All],[人数]])</f>
        <v>0</v>
      </c>
      <c r="P36" s="72">
        <f>SUM(心斎橋3ebar3500円[[#All],[Aパターン]])</f>
        <v>0</v>
      </c>
      <c r="Q36" s="72">
        <f>SUM(心斎橋3ebar3500円[[#All],[単価合計]])</f>
        <v>0</v>
      </c>
      <c r="R36" s="72">
        <f>SUM(心斎橋3ebar3500円[[#All],[ゆうき取りに行く]])</f>
        <v>0</v>
      </c>
      <c r="S36" s="72"/>
      <c r="T36" s="72"/>
      <c r="U36" s="72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C12" sqref="C12:D19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4.84375" style="8" bestFit="1" customWidth="1"/>
    <col min="6" max="6" width="11.6914062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11.6914062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0</v>
      </c>
    </row>
    <row r="3" spans="1:21">
      <c r="A3" s="46" t="s">
        <v>375</v>
      </c>
      <c r="B3" s="8">
        <v>4000</v>
      </c>
      <c r="C3" s="46" t="s">
        <v>249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20" t="str">
        <f>IF(心斎橋ラプロメッサ4000円[[#This Row],[人数]]=0,"",1)</f>
        <v/>
      </c>
      <c r="C5" s="14"/>
      <c r="D5" s="15"/>
      <c r="E5" s="21">
        <f>ROUNDDOWN(心斎橋ラプロメッサ4000円[[#This Row],[人数]]/8,0)</f>
        <v>0</v>
      </c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Row],[8件以上件数]]=0,"",心斎橋ラプロメッサ4000円[[#This Row],[8件以上件数]]*$B$1)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28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20" t="str">
        <f>IF(心斎橋ラプロメッサ4000円[[#This Row],[人数]]=0,"",1)</f>
        <v/>
      </c>
      <c r="C6" s="14"/>
      <c r="D6" s="15"/>
      <c r="E6" s="21">
        <f>ROUNDDOWN(心斎橋ラプロメッサ4000円[[#This Row],[人数]]/8,0)</f>
        <v>0</v>
      </c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Row],[8件以上件数]]=0,"",心斎橋ラプロメッサ4000円[[#This Row],[8件以上件数]]*$B$1)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20" t="str">
        <f>IF(心斎橋ラプロメッサ4000円[[#This Row],[人数]]=0,"",1)</f>
        <v/>
      </c>
      <c r="C7" s="14"/>
      <c r="D7" s="15"/>
      <c r="E7" s="21">
        <f>ROUNDDOWN(心斎橋ラプロメッサ4000円[[#This Row],[人数]]/8,0)</f>
        <v>0</v>
      </c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Row],[8件以上件数]]=0,"",心斎橋ラプロメッサ4000円[[#This Row],[8件以上件数]]*$B$1)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3">
        <f t="shared" si="0"/>
        <v>44961</v>
      </c>
      <c r="B8" s="20" t="str">
        <f>IF(心斎橋ラプロメッサ4000円[[#This Row],[人数]]=0,"",1)</f>
        <v/>
      </c>
      <c r="C8" s="14"/>
      <c r="D8" s="15"/>
      <c r="E8" s="21">
        <f>ROUNDDOWN(心斎橋ラプロメッサ4000円[[#This Row],[人数]]/8,0)</f>
        <v>0</v>
      </c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Row],[8件以上件数]]=0,"",心斎橋ラプロメッサ4000円[[#This Row],[8件以上件数]]*$B$1)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3">
        <f t="shared" si="1"/>
        <v>44961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3">
        <f t="shared" si="0"/>
        <v>44962</v>
      </c>
      <c r="B9" s="20" t="str">
        <f>IF(心斎橋ラプロメッサ4000円[[#This Row],[人数]]=0,"",1)</f>
        <v/>
      </c>
      <c r="C9" s="14"/>
      <c r="D9" s="15"/>
      <c r="E9" s="21">
        <f>ROUNDDOWN(心斎橋ラプロメッサ4000円[[#This Row],[人数]]/8,0)</f>
        <v>0</v>
      </c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Row],[8件以上件数]]=0,"",心斎橋ラプロメッサ4000円[[#This Row],[8件以上件数]]*$B$1)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3">
        <f t="shared" si="1"/>
        <v>44962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3">
        <f t="shared" si="0"/>
        <v>44963</v>
      </c>
      <c r="B10" s="20" t="str">
        <f>IF(心斎橋ラプロメッサ4000円[[#This Row],[人数]]=0,"",1)</f>
        <v/>
      </c>
      <c r="C10" s="14"/>
      <c r="D10" s="15"/>
      <c r="E10" s="21">
        <f>ROUNDDOWN(心斎橋ラプロメッサ4000円[[#This Row],[人数]]/8,0)</f>
        <v>0</v>
      </c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Row],[8件以上件数]]=0,"",心斎橋ラプロメッサ4000円[[#This Row],[8件以上件数]]*$B$1)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3">
        <f t="shared" si="1"/>
        <v>44963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3">
        <f t="shared" si="0"/>
        <v>44964</v>
      </c>
      <c r="B11" s="20" t="str">
        <f>IF(心斎橋ラプロメッサ4000円[[#This Row],[人数]]=0,"",1)</f>
        <v/>
      </c>
      <c r="C11" s="14"/>
      <c r="D11" s="15"/>
      <c r="E11" s="21">
        <f>ROUNDDOWN(心斎橋ラプロメッサ4000円[[#This Row],[人数]]/8,0)</f>
        <v>0</v>
      </c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Row],[8件以上件数]]=0,"",心斎橋ラプロメッサ4000円[[#This Row],[8件以上件数]]*$B$1)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3">
        <f t="shared" si="1"/>
        <v>44964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3">
        <f t="shared" si="0"/>
        <v>44965</v>
      </c>
      <c r="B12" s="20" t="str">
        <f>IF(心斎橋ラプロメッサ4000円[[#This Row],[人数]]=0,"",1)</f>
        <v/>
      </c>
      <c r="C12" s="14"/>
      <c r="D12" s="15"/>
      <c r="E12" s="21">
        <f>ROUNDDOWN(心斎橋ラプロメッサ4000円[[#This Row],[人数]]/8,0)</f>
        <v>0</v>
      </c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Row],[8件以上件数]]=0,"",心斎橋ラプロメッサ4000円[[#This Row],[8件以上件数]]*$B$1)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3">
        <f t="shared" si="1"/>
        <v>44965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3">
        <f t="shared" si="0"/>
        <v>44966</v>
      </c>
      <c r="B13" s="20" t="str">
        <f>IF(心斎橋ラプロメッサ4000円[[#This Row],[人数]]=0,"",1)</f>
        <v/>
      </c>
      <c r="C13" s="14"/>
      <c r="D13" s="15"/>
      <c r="E13" s="21">
        <f>ROUNDDOWN(心斎橋ラプロメッサ4000円[[#This Row],[人数]]/8,0)</f>
        <v>0</v>
      </c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Row],[8件以上件数]]=0,"",心斎橋ラプロメッサ4000円[[#This Row],[8件以上件数]]*$B$1)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3">
        <f t="shared" si="1"/>
        <v>44966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3">
        <f t="shared" si="0"/>
        <v>44967</v>
      </c>
      <c r="B14" s="20" t="str">
        <f>IF(心斎橋ラプロメッサ4000円[[#This Row],[人数]]=0,"",1)</f>
        <v/>
      </c>
      <c r="C14" s="14"/>
      <c r="D14" s="15"/>
      <c r="E14" s="21">
        <f>ROUNDDOWN(心斎橋ラプロメッサ4000円[[#This Row],[人数]]/8,0)</f>
        <v>0</v>
      </c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Row],[8件以上件数]]=0,"",心斎橋ラプロメッサ4000円[[#This Row],[8件以上件数]]*$B$1)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3">
        <f t="shared" si="1"/>
        <v>44967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3">
        <f t="shared" si="0"/>
        <v>44968</v>
      </c>
      <c r="B15" s="20" t="str">
        <f>IF(心斎橋ラプロメッサ4000円[[#This Row],[人数]]=0,"",1)</f>
        <v/>
      </c>
      <c r="C15" s="14"/>
      <c r="D15" s="15"/>
      <c r="E15" s="21">
        <f>ROUNDDOWN(心斎橋ラプロメッサ4000円[[#This Row],[人数]]/8,0)</f>
        <v>0</v>
      </c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Row],[8件以上件数]]=0,"",心斎橋ラプロメッサ4000円[[#This Row],[8件以上件数]]*$B$1)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3">
        <f t="shared" si="1"/>
        <v>44968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3">
        <f t="shared" si="0"/>
        <v>44969</v>
      </c>
      <c r="B16" s="20" t="str">
        <f>IF(心斎橋ラプロメッサ4000円[[#This Row],[人数]]=0,"",1)</f>
        <v/>
      </c>
      <c r="C16" s="14"/>
      <c r="D16" s="15"/>
      <c r="E16" s="21">
        <f>ROUNDDOWN(心斎橋ラプロメッサ4000円[[#This Row],[人数]]/8,0)</f>
        <v>0</v>
      </c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Row],[8件以上件数]]=0,"",心斎橋ラプロメッサ4000円[[#This Row],[8件以上件数]]*$B$1)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3">
        <f t="shared" si="1"/>
        <v>44969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3">
        <f t="shared" si="0"/>
        <v>44970</v>
      </c>
      <c r="B17" s="20" t="str">
        <f>IF(心斎橋ラプロメッサ4000円[[#This Row],[人数]]=0,"",1)</f>
        <v/>
      </c>
      <c r="C17" s="14"/>
      <c r="D17" s="15"/>
      <c r="E17" s="21">
        <f>ROUNDDOWN(心斎橋ラプロメッサ4000円[[#This Row],[人数]]/8,0)</f>
        <v>0</v>
      </c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Row],[8件以上件数]]=0,"",心斎橋ラプロメッサ4000円[[#This Row],[8件以上件数]]*$B$1)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3">
        <f t="shared" si="1"/>
        <v>44970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3">
        <f t="shared" si="0"/>
        <v>44971</v>
      </c>
      <c r="B18" s="20" t="str">
        <f>IF(心斎橋ラプロメッサ4000円[[#This Row],[人数]]=0,"",1)</f>
        <v/>
      </c>
      <c r="C18" s="14"/>
      <c r="D18" s="15"/>
      <c r="E18" s="21">
        <f>ROUNDDOWN(心斎橋ラプロメッサ4000円[[#This Row],[人数]]/8,0)</f>
        <v>0</v>
      </c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Row],[8件以上件数]]=0,"",心斎橋ラプロメッサ4000円[[#This Row],[8件以上件数]]*$B$1)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3">
        <f t="shared" si="1"/>
        <v>44971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3">
        <f t="shared" si="0"/>
        <v>44972</v>
      </c>
      <c r="B19" s="20" t="str">
        <f>IF(心斎橋ラプロメッサ4000円[[#This Row],[人数]]=0,"",1)</f>
        <v/>
      </c>
      <c r="C19" s="14"/>
      <c r="D19" s="15"/>
      <c r="E19" s="21">
        <f>ROUNDDOWN(心斎橋ラプロメッサ4000円[[#This Row],[人数]]/8,0)</f>
        <v>0</v>
      </c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Row],[8件以上件数]]=0,"",心斎橋ラプロメッサ4000円[[#This Row],[8件以上件数]]*$B$1)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3">
        <f t="shared" si="1"/>
        <v>44972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3">
        <f t="shared" si="0"/>
        <v>44973</v>
      </c>
      <c r="B20" s="20" t="str">
        <f>IF(心斎橋ラプロメッサ4000円[[#This Row],[人数]]=0,"",1)</f>
        <v/>
      </c>
      <c r="C20" s="14"/>
      <c r="D20" s="15"/>
      <c r="E20" s="21">
        <f>ROUNDDOWN(心斎橋ラプロメッサ4000円[[#This Row],[人数]]/8,0)</f>
        <v>0</v>
      </c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Row],[8件以上件数]]=0,"",心斎橋ラプロメッサ4000円[[#This Row],[8件以上件数]]*$B$1)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3">
        <f t="shared" si="1"/>
        <v>44973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3">
        <f t="shared" si="0"/>
        <v>44974</v>
      </c>
      <c r="B21" s="20" t="str">
        <f>IF(心斎橋ラプロメッサ4000円[[#This Row],[人数]]=0,"",1)</f>
        <v/>
      </c>
      <c r="C21" s="14"/>
      <c r="D21" s="15"/>
      <c r="E21" s="21">
        <f>ROUNDDOWN(心斎橋ラプロメッサ4000円[[#This Row],[人数]]/8,0)</f>
        <v>0</v>
      </c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Row],[8件以上件数]]=0,"",心斎橋ラプロメッサ4000円[[#This Row],[8件以上件数]]*$B$1)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3">
        <f t="shared" si="1"/>
        <v>44974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3">
        <f t="shared" si="0"/>
        <v>44975</v>
      </c>
      <c r="B22" s="20" t="str">
        <f>IF(心斎橋ラプロメッサ4000円[[#This Row],[人数]]=0,"",1)</f>
        <v/>
      </c>
      <c r="C22" s="14"/>
      <c r="D22" s="15"/>
      <c r="E22" s="21">
        <f>ROUNDDOWN(心斎橋ラプロメッサ4000円[[#This Row],[人数]]/8,0)</f>
        <v>0</v>
      </c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Row],[8件以上件数]]=0,"",心斎橋ラプロメッサ4000円[[#This Row],[8件以上件数]]*$B$1)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3">
        <f t="shared" si="1"/>
        <v>44975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3">
        <f t="shared" si="0"/>
        <v>44976</v>
      </c>
      <c r="B23" s="20" t="str">
        <f>IF(心斎橋ラプロメッサ4000円[[#This Row],[人数]]=0,"",1)</f>
        <v/>
      </c>
      <c r="C23" s="14"/>
      <c r="D23" s="15"/>
      <c r="E23" s="21">
        <f>ROUNDDOWN(心斎橋ラプロメッサ4000円[[#This Row],[人数]]/8,0)</f>
        <v>0</v>
      </c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Row],[8件以上件数]]=0,"",心斎橋ラプロメッサ4000円[[#This Row],[8件以上件数]]*$B$1)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3">
        <f t="shared" si="1"/>
        <v>44976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3">
        <f t="shared" si="0"/>
        <v>44977</v>
      </c>
      <c r="B24" s="20" t="str">
        <f>IF(心斎橋ラプロメッサ4000円[[#This Row],[人数]]=0,"",1)</f>
        <v/>
      </c>
      <c r="C24" s="14"/>
      <c r="D24" s="15"/>
      <c r="E24" s="21">
        <f>ROUNDDOWN(心斎橋ラプロメッサ4000円[[#This Row],[人数]]/8,0)</f>
        <v>0</v>
      </c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Row],[8件以上件数]]=0,"",心斎橋ラプロメッサ4000円[[#This Row],[8件以上件数]]*$B$1)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3">
        <f t="shared" si="1"/>
        <v>44977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3">
        <f t="shared" si="0"/>
        <v>44978</v>
      </c>
      <c r="B25" s="20" t="str">
        <f>IF(心斎橋ラプロメッサ4000円[[#This Row],[人数]]=0,"",1)</f>
        <v/>
      </c>
      <c r="C25" s="14"/>
      <c r="D25" s="15"/>
      <c r="E25" s="21">
        <f>ROUNDDOWN(心斎橋ラプロメッサ4000円[[#This Row],[人数]]/8,0)</f>
        <v>0</v>
      </c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Row],[8件以上件数]]=0,"",心斎橋ラプロメッサ4000円[[#This Row],[8件以上件数]]*$B$1)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3">
        <f t="shared" si="1"/>
        <v>44978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3">
        <f t="shared" si="0"/>
        <v>44979</v>
      </c>
      <c r="B26" s="20" t="str">
        <f>IF(心斎橋ラプロメッサ4000円[[#This Row],[人数]]=0,"",1)</f>
        <v/>
      </c>
      <c r="C26" s="14"/>
      <c r="D26" s="15"/>
      <c r="E26" s="21">
        <f>ROUNDDOWN(心斎橋ラプロメッサ4000円[[#This Row],[人数]]/8,0)</f>
        <v>0</v>
      </c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Row],[8件以上件数]]=0,"",心斎橋ラプロメッサ4000円[[#This Row],[8件以上件数]]*$B$1)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3">
        <f t="shared" si="1"/>
        <v>44979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3">
        <f t="shared" si="0"/>
        <v>44980</v>
      </c>
      <c r="B27" s="20" t="str">
        <f>IF(心斎橋ラプロメッサ4000円[[#This Row],[人数]]=0,"",1)</f>
        <v/>
      </c>
      <c r="C27" s="14"/>
      <c r="D27" s="15"/>
      <c r="E27" s="21">
        <f>ROUNDDOWN(心斎橋ラプロメッサ4000円[[#This Row],[人数]]/8,0)</f>
        <v>0</v>
      </c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Row],[8件以上件数]]=0,"",心斎橋ラプロメッサ4000円[[#This Row],[8件以上件数]]*$B$1)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3">
        <f t="shared" si="1"/>
        <v>44980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3">
        <f t="shared" si="0"/>
        <v>44981</v>
      </c>
      <c r="B28" s="20" t="str">
        <f>IF(心斎橋ラプロメッサ4000円[[#This Row],[人数]]=0,"",1)</f>
        <v/>
      </c>
      <c r="C28" s="14"/>
      <c r="D28" s="15"/>
      <c r="E28" s="21">
        <f>ROUNDDOWN(心斎橋ラプロメッサ4000円[[#This Row],[人数]]/8,0)</f>
        <v>0</v>
      </c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Row],[8件以上件数]]=0,"",心斎橋ラプロメッサ4000円[[#This Row],[8件以上件数]]*$B$1)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3">
        <f t="shared" si="1"/>
        <v>44981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3">
        <f t="shared" si="0"/>
        <v>44982</v>
      </c>
      <c r="B29" s="20" t="str">
        <f>IF(心斎橋ラプロメッサ4000円[[#This Row],[人数]]=0,"",1)</f>
        <v/>
      </c>
      <c r="C29" s="14"/>
      <c r="D29" s="15"/>
      <c r="E29" s="21">
        <f>ROUNDDOWN(心斎橋ラプロメッサ4000円[[#This Row],[人数]]/8,0)</f>
        <v>0</v>
      </c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Row],[8件以上件数]]=0,"",心斎橋ラプロメッサ4000円[[#This Row],[8件以上件数]]*$B$1)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3">
        <f t="shared" si="1"/>
        <v>44982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3">
        <f t="shared" si="0"/>
        <v>44983</v>
      </c>
      <c r="B30" s="20" t="str">
        <f>IF(心斎橋ラプロメッサ4000円[[#This Row],[人数]]=0,"",1)</f>
        <v/>
      </c>
      <c r="C30" s="14"/>
      <c r="D30" s="15"/>
      <c r="E30" s="21">
        <f>ROUNDDOWN(心斎橋ラプロメッサ4000円[[#This Row],[人数]]/8,0)</f>
        <v>0</v>
      </c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Row],[8件以上件数]]=0,"",心斎橋ラプロメッサ4000円[[#This Row],[8件以上件数]]*$B$1)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3">
        <f t="shared" si="1"/>
        <v>44983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3">
        <f t="shared" si="0"/>
        <v>44984</v>
      </c>
      <c r="B31" s="20" t="str">
        <f>IF(心斎橋ラプロメッサ4000円[[#This Row],[人数]]=0,"",1)</f>
        <v/>
      </c>
      <c r="C31" s="14"/>
      <c r="D31" s="15"/>
      <c r="E31" s="21">
        <f>ROUNDDOWN(心斎橋ラプロメッサ4000円[[#This Row],[人数]]/8,0)</f>
        <v>0</v>
      </c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Row],[8件以上件数]]=0,"",心斎橋ラプロメッサ4000円[[#This Row],[8件以上件数]]*$B$1)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3">
        <f t="shared" si="1"/>
        <v>44984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3">
        <f t="shared" si="0"/>
        <v>44985</v>
      </c>
      <c r="B32" s="20" t="str">
        <f>IF(心斎橋ラプロメッサ4000円[[#This Row],[人数]]=0,"",1)</f>
        <v/>
      </c>
      <c r="C32" s="14"/>
      <c r="D32" s="15"/>
      <c r="E32" s="21">
        <f>ROUNDDOWN(心斎橋ラプロメッサ4000円[[#This Row],[人数]]/8,0)</f>
        <v>0</v>
      </c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Row],[8件以上件数]]=0,"",心斎橋ラプロメッサ4000円[[#This Row],[8件以上件数]]*$B$1)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3">
        <f t="shared" si="1"/>
        <v>44985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3" t="str">
        <f t="shared" si="0"/>
        <v/>
      </c>
      <c r="B33" s="20" t="str">
        <f>IF(心斎橋ラプロメッサ4000円[[#This Row],[人数]]=0,"",1)</f>
        <v/>
      </c>
      <c r="C33" s="14"/>
      <c r="D33" s="15"/>
      <c r="E33" s="21">
        <f>ROUNDDOWN(心斎橋ラプロメッサ4000円[[#This Row],[人数]]/8,0)</f>
        <v>0</v>
      </c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Row],[8件以上件数]]=0,"",心斎橋ラプロメッサ4000円[[#This Row],[8件以上件数]]*$B$1)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3" t="str">
        <f t="shared" si="1"/>
        <v/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3" t="str">
        <f t="shared" si="0"/>
        <v/>
      </c>
      <c r="B34" s="20" t="str">
        <f>IF(心斎橋ラプロメッサ4000円[[#This Row],[人数]]=0,"",1)</f>
        <v/>
      </c>
      <c r="C34" s="14"/>
      <c r="D34" s="15"/>
      <c r="E34" s="21">
        <f>ROUNDDOWN(心斎橋ラプロメッサ4000円[[#This Row],[人数]]/8,0)</f>
        <v>0</v>
      </c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Row],[8件以上件数]]=0,"",心斎橋ラプロメッサ4000円[[#This Row],[8件以上件数]]*$B$1)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3" t="str">
        <f t="shared" si="1"/>
        <v/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3" t="str">
        <f t="shared" si="0"/>
        <v/>
      </c>
      <c r="B35" s="20" t="str">
        <f>IF(心斎橋ラプロメッサ4000円[[#This Row],[人数]]=0,"",1)</f>
        <v/>
      </c>
      <c r="C35" s="18"/>
      <c r="D35" s="15"/>
      <c r="E35" s="21">
        <f>ROUNDDOWN(心斎橋ラプロメッサ4000円[[#This Row],[人数]]/8,0)</f>
        <v>0</v>
      </c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Row],[8件以上件数]]=0,"",心斎橋ラプロメッサ4000円[[#This Row],[8件以上件数]]*$B$1)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3" t="str">
        <f t="shared" si="1"/>
        <v/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69" t="s">
        <v>322</v>
      </c>
      <c r="B36" s="16">
        <f>SUM(心斎橋ラプロメッサ4000円[[#All],[件数]])</f>
        <v>0</v>
      </c>
      <c r="C36" s="6"/>
      <c r="D36" s="16">
        <f>SUM(心斎橋ラプロメッサ4000円[[#All],[人数]])</f>
        <v>0</v>
      </c>
      <c r="E36" s="16">
        <f>SUM(心斎橋ラプロメッサ4000円[[#All],[8件以上件数]])</f>
        <v>0</v>
      </c>
      <c r="F36" s="16">
        <f>SUM(心斎橋ラプロメッサ4000円[[#All],[単価合計]])</f>
        <v>0</v>
      </c>
      <c r="G36" s="16">
        <f>SUM(心斎橋ラプロメッサ4000円[[#All],[ゆうき取りに行く]])</f>
        <v>0</v>
      </c>
      <c r="H36" s="16"/>
      <c r="I36" s="16"/>
      <c r="J36" s="16">
        <f>SUM(心斎橋ラプロメッサ4000円[[#All],[イベンターへ]])</f>
        <v>0</v>
      </c>
      <c r="L36" s="71" t="s">
        <v>322</v>
      </c>
      <c r="M36" s="16">
        <f>SUM(心斎橋ラプロメッサ3500円[[#All],[件数]])</f>
        <v>0</v>
      </c>
      <c r="N36" s="6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23046875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250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28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3">
        <f t="shared" si="1"/>
        <v>44961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3">
        <f t="shared" si="0"/>
        <v>44962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3">
        <f t="shared" si="1"/>
        <v>44962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3">
        <f t="shared" si="1"/>
        <v>44963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3">
        <f t="shared" si="0"/>
        <v>44964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3">
        <f>IFERROR(IF(DATE(YEAR($A$5),MONTH($A$5),DAY($A$5))=DATE(YEAR(L10),MONTH(L10),DAY(L10+1)),"",DATE(YEAR(L10),MONTH(L10),DAY(L10+1))),"")</f>
        <v>44964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3">
        <f t="shared" si="0"/>
        <v>44965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3">
        <f t="shared" si="1"/>
        <v>44965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3">
        <f t="shared" si="0"/>
        <v>44966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3">
        <f t="shared" si="1"/>
        <v>44966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3">
        <f t="shared" si="1"/>
        <v>44967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3">
        <f t="shared" si="0"/>
        <v>44968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3">
        <f t="shared" si="1"/>
        <v>44968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3">
        <f t="shared" si="1"/>
        <v>44969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3">
        <f t="shared" si="0"/>
        <v>44970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3">
        <f t="shared" si="1"/>
        <v>44970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3">
        <f t="shared" si="1"/>
        <v>44971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3">
        <f t="shared" si="0"/>
        <v>44972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3">
        <f t="shared" si="1"/>
        <v>44972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3">
        <f t="shared" si="1"/>
        <v>44973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3">
        <f t="shared" si="0"/>
        <v>44974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3">
        <f t="shared" si="1"/>
        <v>44974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3">
        <f t="shared" si="1"/>
        <v>44975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3">
        <f t="shared" si="0"/>
        <v>44976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3">
        <f t="shared" si="1"/>
        <v>44976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3">
        <f t="shared" si="1"/>
        <v>44977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3">
        <f t="shared" si="0"/>
        <v>44978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3">
        <f t="shared" si="1"/>
        <v>44978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3">
        <f t="shared" si="1"/>
        <v>44979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3">
        <f t="shared" si="0"/>
        <v>44980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3">
        <f t="shared" si="1"/>
        <v>44980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3">
        <f t="shared" si="1"/>
        <v>44981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3">
        <f t="shared" si="0"/>
        <v>44982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3">
        <f t="shared" si="1"/>
        <v>44982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3">
        <f t="shared" si="1"/>
        <v>44983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3">
        <f t="shared" si="0"/>
        <v>44984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3">
        <f t="shared" si="1"/>
        <v>44984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3">
        <f t="shared" si="1"/>
        <v>44985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3" t="str">
        <f t="shared" si="0"/>
        <v/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3" t="str">
        <f t="shared" si="1"/>
        <v/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3" t="str">
        <f t="shared" si="1"/>
        <v/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3" t="str">
        <f t="shared" si="1"/>
        <v/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>
      <c r="A36" s="69" t="s">
        <v>322</v>
      </c>
      <c r="B36" s="16">
        <f>SUM(心斎橋MアンドM4000円[[#All],[件数]])</f>
        <v>0</v>
      </c>
      <c r="C36" s="6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71" t="s">
        <v>322</v>
      </c>
      <c r="M36" s="16">
        <f>SUM(心斎橋MアンドM3500円[[#All],[件数]])</f>
        <v>0</v>
      </c>
      <c r="N36" s="6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1.3046875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1.3046875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69140625" style="8" bestFit="1" customWidth="1"/>
    <col min="17" max="17" width="11.6914062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252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28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3">
        <f t="shared" si="1"/>
        <v>44961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3">
        <f t="shared" si="0"/>
        <v>44962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3">
        <f t="shared" si="1"/>
        <v>44962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3">
        <f t="shared" si="1"/>
        <v>44963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3">
        <f t="shared" si="0"/>
        <v>44964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3">
        <f t="shared" si="1"/>
        <v>44964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3">
        <f t="shared" si="0"/>
        <v>44965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3">
        <f t="shared" si="1"/>
        <v>44965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3">
        <f t="shared" si="0"/>
        <v>44966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3">
        <f t="shared" si="1"/>
        <v>44966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3">
        <f t="shared" si="1"/>
        <v>44967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3">
        <f t="shared" si="0"/>
        <v>44968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3">
        <f t="shared" si="1"/>
        <v>44968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3">
        <f t="shared" si="1"/>
        <v>44969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3">
        <f t="shared" si="0"/>
        <v>44970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3">
        <f t="shared" si="1"/>
        <v>44970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3">
        <f t="shared" si="1"/>
        <v>44971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3">
        <f t="shared" si="0"/>
        <v>44972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3">
        <f t="shared" si="1"/>
        <v>44972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3">
        <f t="shared" si="1"/>
        <v>44973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3">
        <f t="shared" si="0"/>
        <v>44974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3">
        <f t="shared" si="1"/>
        <v>44974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3">
        <f t="shared" si="1"/>
        <v>44975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3">
        <f t="shared" si="0"/>
        <v>44976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3">
        <f t="shared" si="1"/>
        <v>44976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3">
        <f t="shared" si="1"/>
        <v>44977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3">
        <f t="shared" si="0"/>
        <v>44978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3">
        <f t="shared" si="1"/>
        <v>44978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3">
        <f t="shared" si="1"/>
        <v>44979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3">
        <f t="shared" si="0"/>
        <v>44980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3">
        <f t="shared" si="1"/>
        <v>44980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3">
        <f t="shared" si="1"/>
        <v>44981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3">
        <f t="shared" si="0"/>
        <v>44982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3">
        <f t="shared" si="1"/>
        <v>44982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3">
        <f t="shared" si="1"/>
        <v>44983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3">
        <f t="shared" si="0"/>
        <v>44984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3">
        <f t="shared" si="1"/>
        <v>44984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3">
        <f t="shared" si="1"/>
        <v>44985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3" t="str">
        <f t="shared" si="0"/>
        <v/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3" t="str">
        <f t="shared" si="1"/>
        <v/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3" t="str">
        <f t="shared" si="1"/>
        <v/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64" t="s">
        <v>322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64" t="s">
        <v>322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5" activePane="bottomLeft" state="frozen"/>
      <selection pane="bottomLeft" activeCell="G36" sqref="G36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69140625" style="8" bestFit="1" customWidth="1"/>
    <col min="6" max="6" width="9.30468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30000</v>
      </c>
      <c r="L2" s="46" t="s">
        <v>515</v>
      </c>
      <c r="M2" s="8">
        <v>500</v>
      </c>
    </row>
    <row r="3" spans="1:21">
      <c r="A3" s="46" t="s">
        <v>375</v>
      </c>
      <c r="B3" s="8">
        <v>4000</v>
      </c>
      <c r="C3" s="46" t="s">
        <v>253</v>
      </c>
      <c r="L3" s="46" t="s">
        <v>375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20" t="str">
        <f>IF(三ノ宮多味庵4000[[#This Row],[人数]]="","",1)</f>
        <v/>
      </c>
      <c r="C5" s="14"/>
      <c r="D5" s="15"/>
      <c r="E5" s="21">
        <f>ROUNDDOWN(三ノ宮多味庵4000[[#This Row],[人数]]/8,0)</f>
        <v>0</v>
      </c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28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3">
        <f t="shared" ref="A6:A35" si="0">IFERROR(IF(DATE(YEAR($A$5),MONTH($A$5),DAY($A$5))=DATE(YEAR(A5),MONTH(A5),DAY(A5+1)),"",DATE(YEAR(A5),MONTH(A5),DAY(A5+1))),"")</f>
        <v>44959</v>
      </c>
      <c r="B6" s="20" t="str">
        <f>IF(三ノ宮多味庵4000[[#This Row],[人数]]="","",1)</f>
        <v/>
      </c>
      <c r="C6" s="14"/>
      <c r="D6" s="15"/>
      <c r="E6" s="21">
        <f>ROUNDDOWN(三ノ宮多味庵4000[[#This Row],[人数]]/8,0)</f>
        <v>0</v>
      </c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3">
        <f t="shared" ref="L6:L35" si="1"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3">
        <f t="shared" si="0"/>
        <v>44960</v>
      </c>
      <c r="B7" s="20" t="str">
        <f>IF(三ノ宮多味庵4000[[#This Row],[人数]]="","",1)</f>
        <v/>
      </c>
      <c r="C7" s="14"/>
      <c r="D7" s="15"/>
      <c r="E7" s="21">
        <f>ROUNDDOWN(三ノ宮多味庵4000[[#This Row],[人数]]/8,0)</f>
        <v>0</v>
      </c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3">
        <f t="shared" si="1"/>
        <v>44960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3">
        <f t="shared" si="0"/>
        <v>44961</v>
      </c>
      <c r="B8" s="20" t="str">
        <f>IF(三ノ宮多味庵4000[[#This Row],[人数]]="","",1)</f>
        <v/>
      </c>
      <c r="C8" s="14"/>
      <c r="D8" s="15"/>
      <c r="E8" s="21">
        <f>ROUNDDOWN(三ノ宮多味庵4000[[#This Row],[人数]]/8,0)</f>
        <v>0</v>
      </c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3">
        <f t="shared" si="1"/>
        <v>44961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3">
        <f t="shared" si="0"/>
        <v>44962</v>
      </c>
      <c r="B9" s="20" t="str">
        <f>IF(三ノ宮多味庵4000[[#This Row],[人数]]="","",1)</f>
        <v/>
      </c>
      <c r="C9" s="14"/>
      <c r="D9" s="15"/>
      <c r="E9" s="21">
        <f>ROUNDDOWN(三ノ宮多味庵4000[[#This Row],[人数]]/8,0)</f>
        <v>0</v>
      </c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3">
        <f t="shared" si="1"/>
        <v>44962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3">
        <f t="shared" si="0"/>
        <v>44963</v>
      </c>
      <c r="B10" s="20" t="str">
        <f>IF(三ノ宮多味庵4000[[#This Row],[人数]]="","",1)</f>
        <v/>
      </c>
      <c r="C10" s="14"/>
      <c r="D10" s="15"/>
      <c r="E10" s="21">
        <f>ROUNDDOWN(三ノ宮多味庵4000[[#This Row],[人数]]/8,0)</f>
        <v>0</v>
      </c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3">
        <f t="shared" si="1"/>
        <v>44963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3">
        <f t="shared" si="0"/>
        <v>44964</v>
      </c>
      <c r="B11" s="20" t="str">
        <f>IF(三ノ宮多味庵4000[[#This Row],[人数]]="","",1)</f>
        <v/>
      </c>
      <c r="C11" s="14"/>
      <c r="D11" s="15"/>
      <c r="E11" s="21">
        <f>ROUNDDOWN(三ノ宮多味庵4000[[#This Row],[人数]]/8,0)</f>
        <v>0</v>
      </c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3">
        <f t="shared" si="1"/>
        <v>44964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3">
        <f t="shared" si="0"/>
        <v>44965</v>
      </c>
      <c r="B12" s="20" t="str">
        <f>IF(三ノ宮多味庵4000[[#This Row],[人数]]="","",1)</f>
        <v/>
      </c>
      <c r="C12" s="14"/>
      <c r="D12" s="15"/>
      <c r="E12" s="21">
        <f>ROUNDDOWN(三ノ宮多味庵4000[[#This Row],[人数]]/8,0)</f>
        <v>0</v>
      </c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3">
        <f t="shared" si="1"/>
        <v>44965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3">
        <f t="shared" si="0"/>
        <v>44966</v>
      </c>
      <c r="B13" s="20" t="str">
        <f>IF(三ノ宮多味庵4000[[#This Row],[人数]]="","",1)</f>
        <v/>
      </c>
      <c r="C13" s="14"/>
      <c r="D13" s="15"/>
      <c r="E13" s="21">
        <f>ROUNDDOWN(三ノ宮多味庵4000[[#This Row],[人数]]/8,0)</f>
        <v>0</v>
      </c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3">
        <f t="shared" si="1"/>
        <v>44966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3">
        <f t="shared" si="0"/>
        <v>44967</v>
      </c>
      <c r="B14" s="20" t="str">
        <f>IF(三ノ宮多味庵4000[[#This Row],[人数]]="","",1)</f>
        <v/>
      </c>
      <c r="C14" s="14"/>
      <c r="D14" s="15"/>
      <c r="E14" s="21">
        <f>ROUNDDOWN(三ノ宮多味庵4000[[#This Row],[人数]]/8,0)</f>
        <v>0</v>
      </c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3">
        <f t="shared" si="1"/>
        <v>44967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3">
        <f t="shared" si="0"/>
        <v>44968</v>
      </c>
      <c r="B15" s="20">
        <f>IF(三ノ宮多味庵4000[[#This Row],[人数]]="","",1)</f>
        <v>1</v>
      </c>
      <c r="C15" s="14">
        <v>0</v>
      </c>
      <c r="D15" s="15">
        <v>8</v>
      </c>
      <c r="E15" s="21">
        <f>ROUNDDOWN(三ノ宮多味庵4000[[#This Row],[人数]]/8,0)</f>
        <v>1</v>
      </c>
      <c r="F15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17500</v>
      </c>
      <c r="G15" s="16">
        <f>IFERROR(($B$3*三ノ宮多味庵4000[[#This Row],[人数]])-三ノ宮多味庵4000[[#This Row],[単価合計]]-(三ノ宮多味庵4000[[#This Row],[キャンセル人数]]*$B$2),"")</f>
        <v>14500</v>
      </c>
      <c r="H15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15" s="15"/>
      <c r="J15" s="16">
        <f>IF(三ノ宮多味庵4000[[#This Row],[人数]]="","",VLOOKUP(三ノ宮多味庵4000[[#This Row],[人数]],バック金額②[#All],2,TRUE)-(三ノ宮多味庵4000[[#This Row],[キャンセル人数]]*$B$2))</f>
        <v>9000</v>
      </c>
      <c r="L15" s="63">
        <f t="shared" si="1"/>
        <v>44968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3">
        <f t="shared" si="0"/>
        <v>44969</v>
      </c>
      <c r="B16" s="20" t="str">
        <f>IF(三ノ宮多味庵4000[[#This Row],[人数]]="","",1)</f>
        <v/>
      </c>
      <c r="C16" s="14"/>
      <c r="D16" s="15"/>
      <c r="E16" s="21">
        <f>ROUNDDOWN(三ノ宮多味庵4000[[#This Row],[人数]]/8,0)</f>
        <v>0</v>
      </c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3">
        <f t="shared" si="1"/>
        <v>44969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3">
        <f t="shared" si="0"/>
        <v>44970</v>
      </c>
      <c r="B17" s="20" t="str">
        <f>IF(三ノ宮多味庵4000[[#This Row],[人数]]="","",1)</f>
        <v/>
      </c>
      <c r="C17" s="14"/>
      <c r="D17" s="15"/>
      <c r="E17" s="21">
        <f>ROUNDDOWN(三ノ宮多味庵4000[[#This Row],[人数]]/8,0)</f>
        <v>0</v>
      </c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3">
        <f t="shared" si="1"/>
        <v>44970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3">
        <f t="shared" si="0"/>
        <v>44971</v>
      </c>
      <c r="B18" s="20" t="str">
        <f>IF(三ノ宮多味庵4000[[#This Row],[人数]]="","",1)</f>
        <v/>
      </c>
      <c r="C18" s="14"/>
      <c r="D18" s="15"/>
      <c r="E18" s="21">
        <f>ROUNDDOWN(三ノ宮多味庵4000[[#This Row],[人数]]/8,0)</f>
        <v>0</v>
      </c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3">
        <f t="shared" si="1"/>
        <v>44971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3">
        <f t="shared" si="0"/>
        <v>44972</v>
      </c>
      <c r="B19" s="20" t="str">
        <f>IF(三ノ宮多味庵4000[[#This Row],[人数]]="","",1)</f>
        <v/>
      </c>
      <c r="C19" s="14"/>
      <c r="D19" s="15"/>
      <c r="E19" s="21">
        <f>ROUNDDOWN(三ノ宮多味庵4000[[#This Row],[人数]]/8,0)</f>
        <v>0</v>
      </c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3">
        <f t="shared" si="1"/>
        <v>44972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3">
        <f t="shared" si="0"/>
        <v>44973</v>
      </c>
      <c r="B20" s="20" t="str">
        <f>IF(三ノ宮多味庵4000[[#This Row],[人数]]="","",1)</f>
        <v/>
      </c>
      <c r="C20" s="14"/>
      <c r="D20" s="15"/>
      <c r="E20" s="21">
        <f>ROUNDDOWN(三ノ宮多味庵4000[[#This Row],[人数]]/8,0)</f>
        <v>0</v>
      </c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3">
        <f t="shared" si="1"/>
        <v>44973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3">
        <f t="shared" si="0"/>
        <v>44974</v>
      </c>
      <c r="B21" s="20" t="str">
        <f>IF(三ノ宮多味庵4000[[#This Row],[人数]]="","",1)</f>
        <v/>
      </c>
      <c r="C21" s="14"/>
      <c r="D21" s="15"/>
      <c r="E21" s="21">
        <f>ROUNDDOWN(三ノ宮多味庵4000[[#This Row],[人数]]/8,0)</f>
        <v>0</v>
      </c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3">
        <f t="shared" si="1"/>
        <v>44974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3">
        <f t="shared" si="0"/>
        <v>44975</v>
      </c>
      <c r="B22" s="20" t="str">
        <f>IF(三ノ宮多味庵4000[[#This Row],[人数]]="","",1)</f>
        <v/>
      </c>
      <c r="C22" s="14"/>
      <c r="D22" s="15"/>
      <c r="E22" s="21">
        <f>ROUNDDOWN(三ノ宮多味庵4000[[#This Row],[人数]]/8,0)</f>
        <v>0</v>
      </c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3">
        <f t="shared" si="1"/>
        <v>44975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3">
        <f t="shared" si="0"/>
        <v>44976</v>
      </c>
      <c r="B23" s="20" t="str">
        <f>IF(三ノ宮多味庵4000[[#This Row],[人数]]="","",1)</f>
        <v/>
      </c>
      <c r="C23" s="14"/>
      <c r="D23" s="15"/>
      <c r="E23" s="21">
        <f>ROUNDDOWN(三ノ宮多味庵4000[[#This Row],[人数]]/8,0)</f>
        <v>0</v>
      </c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3">
        <f t="shared" si="1"/>
        <v>44976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3">
        <f t="shared" si="0"/>
        <v>44977</v>
      </c>
      <c r="B24" s="20" t="str">
        <f>IF(三ノ宮多味庵4000[[#This Row],[人数]]="","",1)</f>
        <v/>
      </c>
      <c r="C24" s="14"/>
      <c r="D24" s="15"/>
      <c r="E24" s="21">
        <f>ROUNDDOWN(三ノ宮多味庵4000[[#This Row],[人数]]/8,0)</f>
        <v>0</v>
      </c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3">
        <f t="shared" si="1"/>
        <v>44977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3">
        <f t="shared" si="0"/>
        <v>44978</v>
      </c>
      <c r="B25" s="20" t="str">
        <f>IF(三ノ宮多味庵4000[[#This Row],[人数]]="","",1)</f>
        <v/>
      </c>
      <c r="C25" s="14"/>
      <c r="D25" s="15"/>
      <c r="E25" s="21">
        <f>ROUNDDOWN(三ノ宮多味庵4000[[#This Row],[人数]]/8,0)</f>
        <v>0</v>
      </c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3">
        <f t="shared" si="1"/>
        <v>44978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3">
        <f t="shared" si="0"/>
        <v>44979</v>
      </c>
      <c r="B26" s="20" t="str">
        <f>IF(三ノ宮多味庵4000[[#This Row],[人数]]="","",1)</f>
        <v/>
      </c>
      <c r="C26" s="14"/>
      <c r="D26" s="15"/>
      <c r="E26" s="21">
        <f>ROUNDDOWN(三ノ宮多味庵4000[[#This Row],[人数]]/8,0)</f>
        <v>0</v>
      </c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3">
        <f t="shared" si="1"/>
        <v>44979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3">
        <f t="shared" si="0"/>
        <v>44980</v>
      </c>
      <c r="B27" s="20">
        <f>IF(三ノ宮多味庵4000[[#This Row],[人数]]="","",1)</f>
        <v>1</v>
      </c>
      <c r="C27" s="14">
        <v>22</v>
      </c>
      <c r="D27" s="15">
        <v>5</v>
      </c>
      <c r="E27" s="21">
        <f>ROUNDDOWN(三ノ宮多味庵4000[[#This Row],[人数]]/8,0)</f>
        <v>0</v>
      </c>
      <c r="F27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12500</v>
      </c>
      <c r="G27" s="16">
        <f>IFERROR(($B$3*三ノ宮多味庵4000[[#This Row],[人数]])-三ノ宮多味庵4000[[#This Row],[単価合計]]-(三ノ宮多味庵4000[[#This Row],[キャンセル人数]]*$B$2),"")</f>
        <v>7500</v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>
        <f>IF(三ノ宮多味庵4000[[#This Row],[人数]]="","",VLOOKUP(三ノ宮多味庵4000[[#This Row],[人数]],バック金額②[#All],2,TRUE)-(三ノ宮多味庵4000[[#This Row],[キャンセル人数]]*$B$2))</f>
        <v>5000</v>
      </c>
      <c r="L27" s="63">
        <f t="shared" si="1"/>
        <v>44980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3">
        <f t="shared" si="0"/>
        <v>44981</v>
      </c>
      <c r="B28" s="20" t="str">
        <f>IF(三ノ宮多味庵4000[[#This Row],[人数]]="","",1)</f>
        <v/>
      </c>
      <c r="C28" s="14"/>
      <c r="D28" s="15"/>
      <c r="E28" s="21">
        <f>ROUNDDOWN(三ノ宮多味庵4000[[#This Row],[人数]]/8,0)</f>
        <v>0</v>
      </c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3">
        <f t="shared" si="1"/>
        <v>44981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3">
        <f t="shared" si="0"/>
        <v>44982</v>
      </c>
      <c r="B29" s="20" t="str">
        <f>IF(三ノ宮多味庵4000[[#This Row],[人数]]="","",1)</f>
        <v/>
      </c>
      <c r="C29" s="14"/>
      <c r="D29" s="15"/>
      <c r="E29" s="21">
        <f>ROUNDDOWN(三ノ宮多味庵4000[[#This Row],[人数]]/8,0)</f>
        <v>0</v>
      </c>
      <c r="F2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6" t="str">
        <f>IFERROR(($B$3*三ノ宮多味庵4000[[#This Row],[人数]])-三ノ宮多味庵4000[[#This Row],[単価合計]]-(三ノ宮多味庵4000[[#This Row],[キャンセル人数]]*$B$2),"")</f>
        <v/>
      </c>
      <c r="H2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5"/>
      <c r="J29" s="16" t="str">
        <f>IF(三ノ宮多味庵4000[[#This Row],[人数]]="","",VLOOKUP(三ノ宮多味庵4000[[#This Row],[人数]],バック金額②[#All],2,TRUE)-(三ノ宮多味庵4000[[#This Row],[キャンセル人数]]*$B$2))</f>
        <v/>
      </c>
      <c r="L29" s="63">
        <f t="shared" si="1"/>
        <v>44982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3">
        <f t="shared" si="0"/>
        <v>44983</v>
      </c>
      <c r="B30" s="20" t="str">
        <f>IF(三ノ宮多味庵4000[[#This Row],[人数]]="","",1)</f>
        <v/>
      </c>
      <c r="C30" s="14"/>
      <c r="D30" s="15"/>
      <c r="E30" s="21">
        <f>ROUNDDOWN(三ノ宮多味庵4000[[#This Row],[人数]]/8,0)</f>
        <v>0</v>
      </c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3">
        <f t="shared" si="1"/>
        <v>44983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3">
        <f t="shared" si="0"/>
        <v>44984</v>
      </c>
      <c r="B31" s="20" t="str">
        <f>IF(三ノ宮多味庵4000[[#This Row],[人数]]="","",1)</f>
        <v/>
      </c>
      <c r="C31" s="14"/>
      <c r="D31" s="15"/>
      <c r="E31" s="21">
        <f>ROUNDDOWN(三ノ宮多味庵4000[[#This Row],[人数]]/8,0)</f>
        <v>0</v>
      </c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3">
        <f t="shared" si="1"/>
        <v>44984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3">
        <f t="shared" si="0"/>
        <v>44985</v>
      </c>
      <c r="B32" s="20" t="str">
        <f>IF(三ノ宮多味庵4000[[#This Row],[人数]]="","",1)</f>
        <v/>
      </c>
      <c r="C32" s="14"/>
      <c r="D32" s="15"/>
      <c r="E32" s="21">
        <f>ROUNDDOWN(三ノ宮多味庵4000[[#This Row],[人数]]/8,0)</f>
        <v>0</v>
      </c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3">
        <f t="shared" si="1"/>
        <v>44985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3" t="str">
        <f t="shared" si="0"/>
        <v/>
      </c>
      <c r="B33" s="20" t="str">
        <f>IF(三ノ宮多味庵4000[[#This Row],[人数]]="","",1)</f>
        <v/>
      </c>
      <c r="C33" s="14"/>
      <c r="D33" s="15"/>
      <c r="E33" s="21">
        <f>ROUNDDOWN(三ノ宮多味庵4000[[#This Row],[人数]]/8,0)</f>
        <v>0</v>
      </c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3" t="str">
        <f t="shared" si="1"/>
        <v/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3" t="str">
        <f t="shared" si="0"/>
        <v/>
      </c>
      <c r="B34" s="20" t="str">
        <f>IF(三ノ宮多味庵4000[[#This Row],[人数]]="","",1)</f>
        <v/>
      </c>
      <c r="C34" s="14"/>
      <c r="D34" s="15"/>
      <c r="E34" s="21">
        <f>ROUNDDOWN(三ノ宮多味庵4000[[#This Row],[人数]]/8,0)</f>
        <v>0</v>
      </c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3" t="str">
        <f t="shared" si="1"/>
        <v/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3" t="str">
        <f t="shared" si="0"/>
        <v/>
      </c>
      <c r="B35" s="20" t="str">
        <f>IF(三ノ宮多味庵4000[[#This Row],[人数]]="","",1)</f>
        <v/>
      </c>
      <c r="C35" s="14"/>
      <c r="D35" s="15"/>
      <c r="E35" s="21">
        <f>ROUNDDOWN(三ノ宮多味庵4000[[#This Row],[人数]]/8,0)</f>
        <v>0</v>
      </c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3" t="str">
        <f t="shared" si="1"/>
        <v/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2</v>
      </c>
      <c r="C36" s="6"/>
      <c r="D36" s="7">
        <f>SUM(三ノ宮多味庵4000[[#All],[人数]])</f>
        <v>13</v>
      </c>
      <c r="E36" s="7">
        <f>SUM(三ノ宮多味庵4000[[#All],[8名以上件数]])</f>
        <v>1</v>
      </c>
      <c r="F36" s="7">
        <f>SUM(三ノ宮多味庵4000[[#All],[単価合計]])</f>
        <v>30000</v>
      </c>
      <c r="G36" s="7">
        <f>SUM(三ノ宮多味庵4000[[#All],[ゆうき取りに行く]])</f>
        <v>22000</v>
      </c>
      <c r="H36" s="7"/>
      <c r="I36" s="7"/>
      <c r="J36" s="7">
        <f>SUM(三ノ宮多味庵4000[[#All],[イベンターへ]])</f>
        <v>14000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69140625" style="8" bestFit="1" customWidth="1"/>
    <col min="6" max="6" width="11.765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69140625" style="8" bestFit="1" customWidth="1"/>
    <col min="17" max="17" width="11.765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238</v>
      </c>
      <c r="L3" s="46" t="s">
        <v>375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13"/>
      <c r="C5" s="14"/>
      <c r="D5" s="50"/>
      <c r="E5" s="50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0"/>
      <c r="J5" s="16" t="str">
        <f>IF(天王寺キャンパス4000円[[#This Row],[人数]]="","",VLOOKUP(天王寺キャンパス4000円[[#This Row],[人数]],バック金額②[#All],2,TRUE))</f>
        <v/>
      </c>
      <c r="L5" s="28">
        <f>IF(DAY(DATE(名前リスト!$N$1,名前リスト!$O$1,ROW()-4))=ROW()-4,DATE(名前リスト!$N$1,名前リスト!$O$1,ROW()-4),"")</f>
        <v>44958</v>
      </c>
      <c r="M5" s="13"/>
      <c r="N5" s="14"/>
      <c r="O5" s="50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0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50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50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3">
        <f t="shared" si="1"/>
        <v>44961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3">
        <f t="shared" si="0"/>
        <v>44962</v>
      </c>
      <c r="B9" s="13"/>
      <c r="C9" s="14"/>
      <c r="D9" s="50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3">
        <f t="shared" si="1"/>
        <v>44962</v>
      </c>
      <c r="M9" s="13"/>
      <c r="N9" s="14"/>
      <c r="O9" s="50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3">
        <f t="shared" si="1"/>
        <v>44963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3">
        <f t="shared" si="0"/>
        <v>44964</v>
      </c>
      <c r="B11" s="13"/>
      <c r="C11" s="14"/>
      <c r="D11" s="50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3">
        <f t="shared" si="1"/>
        <v>44964</v>
      </c>
      <c r="M11" s="13"/>
      <c r="N11" s="14"/>
      <c r="O11" s="50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3">
        <f t="shared" si="0"/>
        <v>44965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3">
        <f t="shared" si="1"/>
        <v>44965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3">
        <f t="shared" si="0"/>
        <v>44966</v>
      </c>
      <c r="B13" s="13"/>
      <c r="C13" s="14"/>
      <c r="D13" s="50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3">
        <f t="shared" si="1"/>
        <v>44966</v>
      </c>
      <c r="M13" s="13"/>
      <c r="N13" s="14"/>
      <c r="O13" s="50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3">
        <f t="shared" si="1"/>
        <v>44967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3">
        <f t="shared" si="0"/>
        <v>44968</v>
      </c>
      <c r="B15" s="13"/>
      <c r="C15" s="14"/>
      <c r="D15" s="50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3">
        <f t="shared" si="1"/>
        <v>44968</v>
      </c>
      <c r="M15" s="13"/>
      <c r="N15" s="14"/>
      <c r="O15" s="50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3">
        <f t="shared" si="1"/>
        <v>44969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3">
        <f t="shared" si="0"/>
        <v>44970</v>
      </c>
      <c r="B17" s="13"/>
      <c r="C17" s="14"/>
      <c r="D17" s="50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3">
        <f t="shared" si="1"/>
        <v>44970</v>
      </c>
      <c r="M17" s="13"/>
      <c r="N17" s="14"/>
      <c r="O17" s="50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3">
        <f t="shared" si="1"/>
        <v>44971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3">
        <f t="shared" si="0"/>
        <v>44972</v>
      </c>
      <c r="B19" s="13"/>
      <c r="C19" s="14"/>
      <c r="D19" s="50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3">
        <f t="shared" si="1"/>
        <v>44972</v>
      </c>
      <c r="M19" s="13"/>
      <c r="N19" s="14"/>
      <c r="O19" s="50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3">
        <f t="shared" si="1"/>
        <v>44973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3">
        <f t="shared" si="0"/>
        <v>44974</v>
      </c>
      <c r="B21" s="13"/>
      <c r="C21" s="14"/>
      <c r="D21" s="50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3">
        <f t="shared" si="1"/>
        <v>44974</v>
      </c>
      <c r="M21" s="13"/>
      <c r="N21" s="14"/>
      <c r="O21" s="50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3">
        <f t="shared" si="1"/>
        <v>44975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3">
        <f t="shared" si="0"/>
        <v>44976</v>
      </c>
      <c r="B23" s="13"/>
      <c r="C23" s="14"/>
      <c r="D23" s="50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3">
        <f t="shared" si="1"/>
        <v>44976</v>
      </c>
      <c r="M23" s="13"/>
      <c r="N23" s="14"/>
      <c r="O23" s="50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3">
        <f t="shared" si="1"/>
        <v>44977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3">
        <f t="shared" si="0"/>
        <v>44978</v>
      </c>
      <c r="B25" s="13"/>
      <c r="C25" s="14"/>
      <c r="D25" s="50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3">
        <f t="shared" si="1"/>
        <v>44978</v>
      </c>
      <c r="M25" s="13"/>
      <c r="N25" s="14"/>
      <c r="O25" s="50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3">
        <f t="shared" si="1"/>
        <v>44979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3">
        <f t="shared" si="0"/>
        <v>44980</v>
      </c>
      <c r="B27" s="13"/>
      <c r="C27" s="14"/>
      <c r="D27" s="50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3">
        <f t="shared" si="1"/>
        <v>44980</v>
      </c>
      <c r="M27" s="13"/>
      <c r="N27" s="14"/>
      <c r="O27" s="50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3">
        <f t="shared" si="1"/>
        <v>44981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3">
        <f t="shared" si="0"/>
        <v>44982</v>
      </c>
      <c r="B29" s="13"/>
      <c r="C29" s="14"/>
      <c r="D29" s="50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3">
        <f t="shared" si="1"/>
        <v>44982</v>
      </c>
      <c r="M29" s="13"/>
      <c r="N29" s="14"/>
      <c r="O29" s="50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3">
        <f t="shared" si="1"/>
        <v>44983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3">
        <f t="shared" si="0"/>
        <v>44984</v>
      </c>
      <c r="B31" s="13"/>
      <c r="C31" s="14"/>
      <c r="D31" s="50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3">
        <f t="shared" si="1"/>
        <v>44984</v>
      </c>
      <c r="M31" s="13"/>
      <c r="N31" s="14"/>
      <c r="O31" s="50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3">
        <f t="shared" si="1"/>
        <v>44985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3" t="str">
        <f t="shared" si="0"/>
        <v/>
      </c>
      <c r="B33" s="13"/>
      <c r="C33" s="14"/>
      <c r="D33" s="50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3" t="str">
        <f t="shared" si="1"/>
        <v/>
      </c>
      <c r="M33" s="13"/>
      <c r="N33" s="14"/>
      <c r="O33" s="50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3" t="str">
        <f t="shared" si="1"/>
        <v/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50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3" t="str">
        <f t="shared" si="1"/>
        <v/>
      </c>
      <c r="M35" s="17"/>
      <c r="N35" s="18"/>
      <c r="O35" s="50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64" t="s">
        <v>322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64" t="s">
        <v>322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251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13"/>
      <c r="C5" s="14"/>
      <c r="D5" s="15"/>
      <c r="E5" s="15"/>
      <c r="F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2" t="str">
        <f>IFERROR(($B$3*心斎橋CSB4000円22[[#This Row],[人数]])-心斎橋CSB4000円22[[#This Row],[単価合計]]-(心斎橋CSB4000円22[[#This Row],[キャンセル人数]]*$B$2),"")</f>
        <v/>
      </c>
      <c r="H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2" t="str">
        <f>IF(心斎橋CSB4000円22[[#This Row],[人数]]="","",VLOOKUP(心斎橋CSB4000円22[[#This Row],[人数]],バック金額②[#All],2,TRUE)-(心斎橋CSB4000円22[[#This Row],[キャンセル人数]]*$B$2))</f>
        <v/>
      </c>
      <c r="L5" s="28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2" t="str">
        <f>IFERROR(($M$3*心斎橋CSB3500円23[[#This Row],[人数]])-心斎橋CSB3500円23[[#This Row],[単価合計]]-(心斎橋CSB3500円23[[#This Row],[キャンセル人数]]*$B$2),"")</f>
        <v/>
      </c>
      <c r="S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2" t="str">
        <f>IF(心斎橋CSB3500円23[[#This Row],[人数]]="","",VLOOKUP(心斎橋CSB3500円23[[#This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2" t="str">
        <f>IFERROR(($B$3*心斎橋CSB4000円22[[#This Row],[人数]])-心斎橋CSB4000円22[[#This Row],[単価合計]]-(心斎橋CSB4000円22[[#This Row],[キャンセル人数]]*$B$2),"")</f>
        <v/>
      </c>
      <c r="H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2" t="str">
        <f>IF(心斎橋CSB4000円22[[#This Row],[人数]]="","",VLOOKUP(心斎橋CSB4000円22[[#This Row],[人数]],バック金額②[#All],2,TRUE)-(心斎橋CSB4000円22[[#This Row],[キャンセル人数]]*$B$2))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2" t="str">
        <f>IFERROR(($M$3*心斎橋CSB3500円23[[#This Row],[人数]])-心斎橋CSB3500円23[[#This Row],[単価合計]]-(心斎橋CSB3500円23[[#This Row],[キャンセル人数]]*$B$2),"")</f>
        <v/>
      </c>
      <c r="S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2" t="str">
        <f>IF(心斎橋CSB3500円23[[#This Row],[人数]]="","",VLOOKUP(心斎橋CSB3500円23[[#This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15"/>
      <c r="E7" s="15"/>
      <c r="F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2" t="str">
        <f>IFERROR(($B$3*心斎橋CSB4000円22[[#This Row],[人数]])-心斎橋CSB4000円22[[#This Row],[単価合計]]-(心斎橋CSB4000円22[[#This Row],[キャンセル人数]]*$B$2),"")</f>
        <v/>
      </c>
      <c r="H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2" t="str">
        <f>IF(心斎橋CSB4000円22[[#This Row],[人数]]="","",VLOOKUP(心斎橋CSB4000円22[[#This Row],[人数]],バック金額②[#All],2,TRUE)-(心斎橋CSB4000円22[[#This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2" t="str">
        <f>IFERROR(($M$3*心斎橋CSB3500円23[[#This Row],[人数]])-心斎橋CSB3500円23[[#This Row],[単価合計]]-(心斎橋CSB3500円23[[#This Row],[キャンセル人数]]*$B$2),"")</f>
        <v/>
      </c>
      <c r="S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2" t="str">
        <f>IF(心斎橋CSB3500円23[[#This Row],[人数]]="","",VLOOKUP(心斎橋CSB3500円23[[#This Row],[人数]],バック金額②[#All],2,TRUE))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2" t="str">
        <f>IFERROR(($B$3*心斎橋CSB4000円22[[#This Row],[人数]])-心斎橋CSB4000円22[[#This Row],[単価合計]]-(心斎橋CSB4000円22[[#This Row],[キャンセル人数]]*$B$2),"")</f>
        <v/>
      </c>
      <c r="H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2" t="str">
        <f>IF(心斎橋CSB4000円22[[#This Row],[人数]]="","",VLOOKUP(心斎橋CSB4000円22[[#This Row],[人数]],バック金額②[#All],2,TRUE)-(心斎橋CSB4000円22[[#This Row],[キャンセル人数]]*$B$2))</f>
        <v/>
      </c>
      <c r="L8" s="63">
        <f t="shared" si="1"/>
        <v>44961</v>
      </c>
      <c r="M8" s="13"/>
      <c r="N8" s="14"/>
      <c r="O8" s="15"/>
      <c r="P8" s="15"/>
      <c r="Q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2" t="str">
        <f>IFERROR(($M$3*心斎橋CSB3500円23[[#This Row],[人数]])-心斎橋CSB3500円23[[#This Row],[単価合計]]-(心斎橋CSB3500円23[[#This Row],[キャンセル人数]]*$B$2),"")</f>
        <v/>
      </c>
      <c r="S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2" t="str">
        <f>IF(心斎橋CSB3500円23[[#This Row],[人数]]="","",VLOOKUP(心斎橋CSB3500円23[[#This Row],[人数]],バック金額②[#All],2,TRUE))</f>
        <v/>
      </c>
    </row>
    <row r="9" spans="1:21">
      <c r="A9" s="63">
        <f t="shared" si="0"/>
        <v>44962</v>
      </c>
      <c r="B9" s="13"/>
      <c r="C9" s="14"/>
      <c r="D9" s="15"/>
      <c r="E9" s="15"/>
      <c r="F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2" t="str">
        <f>IFERROR(($B$3*心斎橋CSB4000円22[[#This Row],[人数]])-心斎橋CSB4000円22[[#This Row],[単価合計]]-(心斎橋CSB4000円22[[#This Row],[キャンセル人数]]*$B$2),"")</f>
        <v/>
      </c>
      <c r="H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2" t="str">
        <f>IF(心斎橋CSB4000円22[[#This Row],[人数]]="","",VLOOKUP(心斎橋CSB4000円22[[#This Row],[人数]],バック金額②[#All],2,TRUE)-(心斎橋CSB4000円22[[#This Row],[キャンセル人数]]*$B$2))</f>
        <v/>
      </c>
      <c r="L9" s="63">
        <f t="shared" si="1"/>
        <v>44962</v>
      </c>
      <c r="M9" s="13"/>
      <c r="N9" s="14"/>
      <c r="O9" s="15"/>
      <c r="P9" s="15"/>
      <c r="Q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2" t="str">
        <f>IFERROR(($M$3*心斎橋CSB3500円23[[#This Row],[人数]])-心斎橋CSB3500円23[[#This Row],[単価合計]]-(心斎橋CSB3500円23[[#This Row],[キャンセル人数]]*$B$2),"")</f>
        <v/>
      </c>
      <c r="S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2" t="str">
        <f>IF(心斎橋CSB3500円23[[#This Row],[人数]]="","",VLOOKUP(心斎橋CSB3500円23[[#This Row],[人数]],バック金額②[#All],2,TRUE))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2" t="str">
        <f>IFERROR(($B$3*心斎橋CSB4000円22[[#This Row],[人数]])-心斎橋CSB4000円22[[#This Row],[単価合計]]-(心斎橋CSB4000円22[[#This Row],[キャンセル人数]]*$B$2),"")</f>
        <v/>
      </c>
      <c r="H1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2" t="str">
        <f>IF(心斎橋CSB4000円22[[#This Row],[人数]]="","",VLOOKUP(心斎橋CSB4000円22[[#This Row],[人数]],バック金額②[#All],2,TRUE)-(心斎橋CSB4000円22[[#This Row],[キャンセル人数]]*$B$2))</f>
        <v/>
      </c>
      <c r="L10" s="63">
        <f t="shared" si="1"/>
        <v>44963</v>
      </c>
      <c r="M10" s="13"/>
      <c r="N10" s="14"/>
      <c r="O10" s="15"/>
      <c r="P10" s="15"/>
      <c r="Q1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2" t="str">
        <f>IFERROR(($M$3*心斎橋CSB3500円23[[#This Row],[人数]])-心斎橋CSB3500円23[[#This Row],[単価合計]]-(心斎橋CSB3500円23[[#This Row],[キャンセル人数]]*$B$2),"")</f>
        <v/>
      </c>
      <c r="S1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2" t="str">
        <f>IF(心斎橋CSB3500円23[[#This Row],[人数]]="","",VLOOKUP(心斎橋CSB3500円23[[#This Row],[人数]],バック金額②[#All],2,TRUE))</f>
        <v/>
      </c>
    </row>
    <row r="11" spans="1:21">
      <c r="A11" s="63">
        <f t="shared" si="0"/>
        <v>44964</v>
      </c>
      <c r="B11" s="13"/>
      <c r="C11" s="14"/>
      <c r="D11" s="15"/>
      <c r="E11" s="15"/>
      <c r="F1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2" t="str">
        <f>IFERROR(($B$3*心斎橋CSB4000円22[[#This Row],[人数]])-心斎橋CSB4000円22[[#This Row],[単価合計]]-(心斎橋CSB4000円22[[#This Row],[キャンセル人数]]*$B$2),"")</f>
        <v/>
      </c>
      <c r="H1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2" t="str">
        <f>IF(心斎橋CSB4000円22[[#This Row],[人数]]="","",VLOOKUP(心斎橋CSB4000円22[[#This Row],[人数]],バック金額②[#All],2,TRUE)-(心斎橋CSB4000円22[[#This Row],[キャンセル人数]]*$B$2))</f>
        <v/>
      </c>
      <c r="L11" s="63">
        <f t="shared" si="1"/>
        <v>44964</v>
      </c>
      <c r="M11" s="13"/>
      <c r="N11" s="14"/>
      <c r="O11" s="15"/>
      <c r="P11" s="15"/>
      <c r="Q1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2" t="str">
        <f>IFERROR(($M$3*心斎橋CSB3500円23[[#This Row],[人数]])-心斎橋CSB3500円23[[#This Row],[単価合計]]-(心斎橋CSB3500円23[[#This Row],[キャンセル人数]]*$B$2),"")</f>
        <v/>
      </c>
      <c r="S1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2" t="str">
        <f>IF(心斎橋CSB3500円23[[#This Row],[人数]]="","",VLOOKUP(心斎橋CSB3500円23[[#This Row],[人数]],バック金額②[#All],2,TRUE))</f>
        <v/>
      </c>
    </row>
    <row r="12" spans="1:21">
      <c r="A12" s="63">
        <f t="shared" si="0"/>
        <v>44965</v>
      </c>
      <c r="B12" s="13"/>
      <c r="C12" s="14"/>
      <c r="D12" s="15"/>
      <c r="E12" s="15"/>
      <c r="F1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2" t="str">
        <f>IFERROR(($B$3*心斎橋CSB4000円22[[#This Row],[人数]])-心斎橋CSB4000円22[[#This Row],[単価合計]]-(心斎橋CSB4000円22[[#This Row],[キャンセル人数]]*$B$2),"")</f>
        <v/>
      </c>
      <c r="H1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2" t="str">
        <f>IF(心斎橋CSB4000円22[[#This Row],[人数]]="","",VLOOKUP(心斎橋CSB4000円22[[#This Row],[人数]],バック金額②[#All],2,TRUE)-(心斎橋CSB4000円22[[#This Row],[キャンセル人数]]*$B$2))</f>
        <v/>
      </c>
      <c r="L12" s="63">
        <f t="shared" si="1"/>
        <v>44965</v>
      </c>
      <c r="M12" s="13"/>
      <c r="N12" s="14"/>
      <c r="O12" s="15"/>
      <c r="P12" s="15"/>
      <c r="Q1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2" t="str">
        <f>IFERROR(($M$3*心斎橋CSB3500円23[[#This Row],[人数]])-心斎橋CSB3500円23[[#This Row],[単価合計]]-(心斎橋CSB3500円23[[#This Row],[キャンセル人数]]*$B$2),"")</f>
        <v/>
      </c>
      <c r="S1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2" t="str">
        <f>IF(心斎橋CSB3500円23[[#This Row],[人数]]="","",VLOOKUP(心斎橋CSB3500円23[[#This Row],[人数]],バック金額②[#All],2,TRUE))</f>
        <v/>
      </c>
    </row>
    <row r="13" spans="1:21">
      <c r="A13" s="63">
        <f t="shared" si="0"/>
        <v>44966</v>
      </c>
      <c r="B13" s="13"/>
      <c r="C13" s="14"/>
      <c r="D13" s="15"/>
      <c r="E13" s="15"/>
      <c r="F1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2" t="str">
        <f>IFERROR(($B$3*心斎橋CSB4000円22[[#This Row],[人数]])-心斎橋CSB4000円22[[#This Row],[単価合計]]-(心斎橋CSB4000円22[[#This Row],[キャンセル人数]]*$B$2),"")</f>
        <v/>
      </c>
      <c r="H1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2" t="str">
        <f>IF(心斎橋CSB4000円22[[#This Row],[人数]]="","",VLOOKUP(心斎橋CSB4000円22[[#This Row],[人数]],バック金額②[#All],2,TRUE)-(心斎橋CSB4000円22[[#This Row],[キャンセル人数]]*$B$2))</f>
        <v/>
      </c>
      <c r="L13" s="63">
        <f t="shared" si="1"/>
        <v>44966</v>
      </c>
      <c r="M13" s="13"/>
      <c r="N13" s="14"/>
      <c r="O13" s="15"/>
      <c r="P13" s="15"/>
      <c r="Q1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2" t="str">
        <f>IFERROR(($M$3*心斎橋CSB3500円23[[#This Row],[人数]])-心斎橋CSB3500円23[[#This Row],[単価合計]]-(心斎橋CSB3500円23[[#This Row],[キャンセル人数]]*$B$2),"")</f>
        <v/>
      </c>
      <c r="S1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2" t="str">
        <f>IF(心斎橋CSB3500円23[[#This Row],[人数]]="","",VLOOKUP(心斎橋CSB3500円23[[#This Row],[人数]],バック金額②[#All],2,TRUE))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2" t="str">
        <f>IFERROR(($B$3*心斎橋CSB4000円22[[#This Row],[人数]])-心斎橋CSB4000円22[[#This Row],[単価合計]]-(心斎橋CSB4000円22[[#This Row],[キャンセル人数]]*$B$2),"")</f>
        <v/>
      </c>
      <c r="H1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2" t="str">
        <f>IF(心斎橋CSB4000円22[[#This Row],[人数]]="","",VLOOKUP(心斎橋CSB4000円22[[#This Row],[人数]],バック金額②[#All],2,TRUE)-(心斎橋CSB4000円22[[#This Row],[キャンセル人数]]*$B$2))</f>
        <v/>
      </c>
      <c r="L14" s="63">
        <f t="shared" si="1"/>
        <v>44967</v>
      </c>
      <c r="M14" s="13"/>
      <c r="N14" s="14"/>
      <c r="O14" s="15"/>
      <c r="P14" s="15"/>
      <c r="Q1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2" t="str">
        <f>IFERROR(($M$3*心斎橋CSB3500円23[[#This Row],[人数]])-心斎橋CSB3500円23[[#This Row],[単価合計]]-(心斎橋CSB3500円23[[#This Row],[キャンセル人数]]*$B$2),"")</f>
        <v/>
      </c>
      <c r="S1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2" t="str">
        <f>IF(心斎橋CSB3500円23[[#This Row],[人数]]="","",VLOOKUP(心斎橋CSB3500円23[[#This Row],[人数]],バック金額②[#All],2,TRUE))</f>
        <v/>
      </c>
    </row>
    <row r="15" spans="1:21">
      <c r="A15" s="63">
        <f t="shared" si="0"/>
        <v>44968</v>
      </c>
      <c r="B15" s="13"/>
      <c r="C15" s="14"/>
      <c r="D15" s="15"/>
      <c r="E15" s="15"/>
      <c r="F1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2" t="str">
        <f>IFERROR(($B$3*心斎橋CSB4000円22[[#This Row],[人数]])-心斎橋CSB4000円22[[#This Row],[単価合計]]-(心斎橋CSB4000円22[[#This Row],[キャンセル人数]]*$B$2),"")</f>
        <v/>
      </c>
      <c r="H1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2" t="str">
        <f>IF(心斎橋CSB4000円22[[#This Row],[人数]]="","",VLOOKUP(心斎橋CSB4000円22[[#This Row],[人数]],バック金額②[#All],2,TRUE)-(心斎橋CSB4000円22[[#This Row],[キャンセル人数]]*$B$2))</f>
        <v/>
      </c>
      <c r="L15" s="63">
        <f t="shared" si="1"/>
        <v>44968</v>
      </c>
      <c r="M15" s="13"/>
      <c r="N15" s="14"/>
      <c r="O15" s="15"/>
      <c r="P15" s="15"/>
      <c r="Q1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2" t="str">
        <f>IFERROR(($M$3*心斎橋CSB3500円23[[#This Row],[人数]])-心斎橋CSB3500円23[[#This Row],[単価合計]]-(心斎橋CSB3500円23[[#This Row],[キャンセル人数]]*$B$2),"")</f>
        <v/>
      </c>
      <c r="S1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2" t="str">
        <f>IF(心斎橋CSB3500円23[[#This Row],[人数]]="","",VLOOKUP(心斎橋CSB3500円23[[#This Row],[人数]],バック金額②[#All],2,TRUE))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2" t="str">
        <f>IFERROR(($B$3*心斎橋CSB4000円22[[#This Row],[人数]])-心斎橋CSB4000円22[[#This Row],[単価合計]]-(心斎橋CSB4000円22[[#This Row],[キャンセル人数]]*$B$2),"")</f>
        <v/>
      </c>
      <c r="H1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2" t="str">
        <f>IF(心斎橋CSB4000円22[[#This Row],[人数]]="","",VLOOKUP(心斎橋CSB4000円22[[#This Row],[人数]],バック金額②[#All],2,TRUE)-(心斎橋CSB4000円22[[#This Row],[キャンセル人数]]*$B$2))</f>
        <v/>
      </c>
      <c r="L16" s="63">
        <f t="shared" si="1"/>
        <v>44969</v>
      </c>
      <c r="M16" s="13"/>
      <c r="N16" s="14"/>
      <c r="O16" s="15"/>
      <c r="P16" s="15"/>
      <c r="Q1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2" t="str">
        <f>IFERROR(($M$3*心斎橋CSB3500円23[[#This Row],[人数]])-心斎橋CSB3500円23[[#This Row],[単価合計]]-(心斎橋CSB3500円23[[#This Row],[キャンセル人数]]*$B$2),"")</f>
        <v/>
      </c>
      <c r="S1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2" t="str">
        <f>IF(心斎橋CSB3500円23[[#This Row],[人数]]="","",VLOOKUP(心斎橋CSB3500円23[[#This Row],[人数]],バック金額②[#All],2,TRUE))</f>
        <v/>
      </c>
    </row>
    <row r="17" spans="1:21">
      <c r="A17" s="63">
        <f t="shared" si="0"/>
        <v>44970</v>
      </c>
      <c r="B17" s="13"/>
      <c r="C17" s="14"/>
      <c r="D17" s="15"/>
      <c r="E17" s="15"/>
      <c r="F1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2" t="str">
        <f>IFERROR(($B$3*心斎橋CSB4000円22[[#This Row],[人数]])-心斎橋CSB4000円22[[#This Row],[単価合計]]-(心斎橋CSB4000円22[[#This Row],[キャンセル人数]]*$B$2),"")</f>
        <v/>
      </c>
      <c r="H1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2" t="str">
        <f>IF(心斎橋CSB4000円22[[#This Row],[人数]]="","",VLOOKUP(心斎橋CSB4000円22[[#This Row],[人数]],バック金額②[#All],2,TRUE)-(心斎橋CSB4000円22[[#This Row],[キャンセル人数]]*$B$2))</f>
        <v/>
      </c>
      <c r="L17" s="63">
        <f t="shared" si="1"/>
        <v>44970</v>
      </c>
      <c r="M17" s="13"/>
      <c r="N17" s="14"/>
      <c r="O17" s="15"/>
      <c r="P17" s="15"/>
      <c r="Q1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2" t="str">
        <f>IFERROR(($M$3*心斎橋CSB3500円23[[#This Row],[人数]])-心斎橋CSB3500円23[[#This Row],[単価合計]]-(心斎橋CSB3500円23[[#This Row],[キャンセル人数]]*$B$2),"")</f>
        <v/>
      </c>
      <c r="S1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2" t="str">
        <f>IF(心斎橋CSB3500円23[[#This Row],[人数]]="","",VLOOKUP(心斎橋CSB3500円23[[#This Row],[人数]],バック金額②[#All],2,TRUE))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2" t="str">
        <f>IFERROR(($B$3*心斎橋CSB4000円22[[#This Row],[人数]])-心斎橋CSB4000円22[[#This Row],[単価合計]]-(心斎橋CSB4000円22[[#This Row],[キャンセル人数]]*$B$2),"")</f>
        <v/>
      </c>
      <c r="H1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2" t="str">
        <f>IF(心斎橋CSB4000円22[[#This Row],[人数]]="","",VLOOKUP(心斎橋CSB4000円22[[#This Row],[人数]],バック金額②[#All],2,TRUE)-(心斎橋CSB4000円22[[#This Row],[キャンセル人数]]*$B$2))</f>
        <v/>
      </c>
      <c r="L18" s="63">
        <f t="shared" si="1"/>
        <v>44971</v>
      </c>
      <c r="M18" s="13"/>
      <c r="N18" s="14"/>
      <c r="O18" s="15"/>
      <c r="P18" s="15"/>
      <c r="Q1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2" t="str">
        <f>IFERROR(($M$3*心斎橋CSB3500円23[[#This Row],[人数]])-心斎橋CSB3500円23[[#This Row],[単価合計]]-(心斎橋CSB3500円23[[#This Row],[キャンセル人数]]*$B$2),"")</f>
        <v/>
      </c>
      <c r="S1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2" t="str">
        <f>IF(心斎橋CSB3500円23[[#This Row],[人数]]="","",VLOOKUP(心斎橋CSB3500円23[[#This Row],[人数]],バック金額②[#All],2,TRUE))</f>
        <v/>
      </c>
    </row>
    <row r="19" spans="1:21">
      <c r="A19" s="63">
        <f t="shared" si="0"/>
        <v>44972</v>
      </c>
      <c r="B19" s="13"/>
      <c r="C19" s="14"/>
      <c r="D19" s="15"/>
      <c r="E19" s="15"/>
      <c r="F1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2" t="str">
        <f>IFERROR(($B$3*心斎橋CSB4000円22[[#This Row],[人数]])-心斎橋CSB4000円22[[#This Row],[単価合計]]-(心斎橋CSB4000円22[[#This Row],[キャンセル人数]]*$B$2),"")</f>
        <v/>
      </c>
      <c r="H1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2" t="str">
        <f>IF(心斎橋CSB4000円22[[#This Row],[人数]]="","",VLOOKUP(心斎橋CSB4000円22[[#This Row],[人数]],バック金額②[#All],2,TRUE)-(心斎橋CSB4000円22[[#This Row],[キャンセル人数]]*$B$2))</f>
        <v/>
      </c>
      <c r="L19" s="63">
        <f t="shared" si="1"/>
        <v>44972</v>
      </c>
      <c r="M19" s="13"/>
      <c r="N19" s="14"/>
      <c r="O19" s="15"/>
      <c r="P19" s="15"/>
      <c r="Q1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2" t="str">
        <f>IFERROR(($M$3*心斎橋CSB3500円23[[#This Row],[人数]])-心斎橋CSB3500円23[[#This Row],[単価合計]]-(心斎橋CSB3500円23[[#This Row],[キャンセル人数]]*$B$2),"")</f>
        <v/>
      </c>
      <c r="S1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2" t="str">
        <f>IF(心斎橋CSB3500円23[[#This Row],[人数]]="","",VLOOKUP(心斎橋CSB3500円23[[#This Row],[人数]],バック金額②[#All],2,TRUE))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2" t="str">
        <f>IFERROR(($B$3*心斎橋CSB4000円22[[#This Row],[人数]])-心斎橋CSB4000円22[[#This Row],[単価合計]]-(心斎橋CSB4000円22[[#This Row],[キャンセル人数]]*$B$2),"")</f>
        <v/>
      </c>
      <c r="H2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2" t="str">
        <f>IF(心斎橋CSB4000円22[[#This Row],[人数]]="","",VLOOKUP(心斎橋CSB4000円22[[#This Row],[人数]],バック金額②[#All],2,TRUE)-(心斎橋CSB4000円22[[#This Row],[キャンセル人数]]*$B$2))</f>
        <v/>
      </c>
      <c r="L20" s="63">
        <f t="shared" si="1"/>
        <v>44973</v>
      </c>
      <c r="M20" s="13"/>
      <c r="N20" s="14"/>
      <c r="O20" s="15"/>
      <c r="P20" s="15"/>
      <c r="Q2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2" t="str">
        <f>IFERROR(($M$3*心斎橋CSB3500円23[[#This Row],[人数]])-心斎橋CSB3500円23[[#This Row],[単価合計]]-(心斎橋CSB3500円23[[#This Row],[キャンセル人数]]*$B$2),"")</f>
        <v/>
      </c>
      <c r="S2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2" t="str">
        <f>IF(心斎橋CSB3500円23[[#This Row],[人数]]="","",VLOOKUP(心斎橋CSB3500円23[[#This Row],[人数]],バック金額②[#All],2,TRUE))</f>
        <v/>
      </c>
    </row>
    <row r="21" spans="1:21">
      <c r="A21" s="63">
        <f t="shared" si="0"/>
        <v>44974</v>
      </c>
      <c r="B21" s="13"/>
      <c r="C21" s="14"/>
      <c r="D21" s="15"/>
      <c r="E21" s="15"/>
      <c r="F2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2" t="str">
        <f>IFERROR(($B$3*心斎橋CSB4000円22[[#This Row],[人数]])-心斎橋CSB4000円22[[#This Row],[単価合計]]-(心斎橋CSB4000円22[[#This Row],[キャンセル人数]]*$B$2),"")</f>
        <v/>
      </c>
      <c r="H2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2" t="str">
        <f>IF(心斎橋CSB4000円22[[#This Row],[人数]]="","",VLOOKUP(心斎橋CSB4000円22[[#This Row],[人数]],バック金額②[#All],2,TRUE)-(心斎橋CSB4000円22[[#This Row],[キャンセル人数]]*$B$2))</f>
        <v/>
      </c>
      <c r="L21" s="63">
        <f t="shared" si="1"/>
        <v>44974</v>
      </c>
      <c r="M21" s="13"/>
      <c r="N21" s="14"/>
      <c r="O21" s="15"/>
      <c r="P21" s="15"/>
      <c r="Q2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2" t="str">
        <f>IFERROR(($M$3*心斎橋CSB3500円23[[#This Row],[人数]])-心斎橋CSB3500円23[[#This Row],[単価合計]]-(心斎橋CSB3500円23[[#This Row],[キャンセル人数]]*$B$2),"")</f>
        <v/>
      </c>
      <c r="S2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2" t="str">
        <f>IF(心斎橋CSB3500円23[[#This Row],[人数]]="","",VLOOKUP(心斎橋CSB3500円23[[#This Row],[人数]],バック金額②[#All],2,TRUE))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2" t="str">
        <f>IFERROR(($B$3*心斎橋CSB4000円22[[#This Row],[人数]])-心斎橋CSB4000円22[[#This Row],[単価合計]]-(心斎橋CSB4000円22[[#This Row],[キャンセル人数]]*$B$2),"")</f>
        <v/>
      </c>
      <c r="H2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2" t="str">
        <f>IF(心斎橋CSB4000円22[[#This Row],[人数]]="","",VLOOKUP(心斎橋CSB4000円22[[#This Row],[人数]],バック金額②[#All],2,TRUE)-(心斎橋CSB4000円22[[#This Row],[キャンセル人数]]*$B$2))</f>
        <v/>
      </c>
      <c r="L22" s="63">
        <f t="shared" si="1"/>
        <v>44975</v>
      </c>
      <c r="M22" s="13"/>
      <c r="N22" s="14"/>
      <c r="O22" s="15"/>
      <c r="P22" s="15"/>
      <c r="Q2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2" t="str">
        <f>IFERROR(($M$3*心斎橋CSB3500円23[[#This Row],[人数]])-心斎橋CSB3500円23[[#This Row],[単価合計]]-(心斎橋CSB3500円23[[#This Row],[キャンセル人数]]*$B$2),"")</f>
        <v/>
      </c>
      <c r="S2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2" t="str">
        <f>IF(心斎橋CSB3500円23[[#This Row],[人数]]="","",VLOOKUP(心斎橋CSB3500円23[[#This Row],[人数]],バック金額②[#All],2,TRUE))</f>
        <v/>
      </c>
    </row>
    <row r="23" spans="1:21">
      <c r="A23" s="63">
        <f t="shared" si="0"/>
        <v>44976</v>
      </c>
      <c r="B23" s="13"/>
      <c r="C23" s="14"/>
      <c r="D23" s="15"/>
      <c r="E23" s="15"/>
      <c r="F2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2" t="str">
        <f>IFERROR(($B$3*心斎橋CSB4000円22[[#This Row],[人数]])-心斎橋CSB4000円22[[#This Row],[単価合計]]-(心斎橋CSB4000円22[[#This Row],[キャンセル人数]]*$B$2),"")</f>
        <v/>
      </c>
      <c r="H2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2" t="str">
        <f>IF(心斎橋CSB4000円22[[#This Row],[人数]]="","",VLOOKUP(心斎橋CSB4000円22[[#This Row],[人数]],バック金額②[#All],2,TRUE)-(心斎橋CSB4000円22[[#This Row],[キャンセル人数]]*$B$2))</f>
        <v/>
      </c>
      <c r="L23" s="63">
        <f t="shared" si="1"/>
        <v>44976</v>
      </c>
      <c r="M23" s="13"/>
      <c r="N23" s="14"/>
      <c r="O23" s="15"/>
      <c r="P23" s="15"/>
      <c r="Q2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2" t="str">
        <f>IFERROR(($M$3*心斎橋CSB3500円23[[#This Row],[人数]])-心斎橋CSB3500円23[[#This Row],[単価合計]]-(心斎橋CSB3500円23[[#This Row],[キャンセル人数]]*$B$2),"")</f>
        <v/>
      </c>
      <c r="S2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2" t="str">
        <f>IF(心斎橋CSB3500円23[[#This Row],[人数]]="","",VLOOKUP(心斎橋CSB3500円23[[#This Row],[人数]],バック金額②[#All],2,TRUE))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2" t="str">
        <f>IFERROR(($B$3*心斎橋CSB4000円22[[#This Row],[人数]])-心斎橋CSB4000円22[[#This Row],[単価合計]]-(心斎橋CSB4000円22[[#This Row],[キャンセル人数]]*$B$2),"")</f>
        <v/>
      </c>
      <c r="H2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2" t="str">
        <f>IF(心斎橋CSB4000円22[[#This Row],[人数]]="","",VLOOKUP(心斎橋CSB4000円22[[#This Row],[人数]],バック金額②[#All],2,TRUE)-(心斎橋CSB4000円22[[#This Row],[キャンセル人数]]*$B$2))</f>
        <v/>
      </c>
      <c r="L24" s="63">
        <f t="shared" si="1"/>
        <v>44977</v>
      </c>
      <c r="M24" s="13"/>
      <c r="N24" s="14"/>
      <c r="O24" s="15"/>
      <c r="P24" s="15"/>
      <c r="Q2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2" t="str">
        <f>IFERROR(($M$3*心斎橋CSB3500円23[[#This Row],[人数]])-心斎橋CSB3500円23[[#This Row],[単価合計]]-(心斎橋CSB3500円23[[#This Row],[キャンセル人数]]*$B$2),"")</f>
        <v/>
      </c>
      <c r="S2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2" t="str">
        <f>IF(心斎橋CSB3500円23[[#This Row],[人数]]="","",VLOOKUP(心斎橋CSB3500円23[[#This Row],[人数]],バック金額②[#All],2,TRUE))</f>
        <v/>
      </c>
    </row>
    <row r="25" spans="1:21">
      <c r="A25" s="63">
        <f t="shared" si="0"/>
        <v>44978</v>
      </c>
      <c r="B25" s="13"/>
      <c r="C25" s="14"/>
      <c r="D25" s="15"/>
      <c r="E25" s="15"/>
      <c r="F2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2" t="str">
        <f>IFERROR(($B$3*心斎橋CSB4000円22[[#This Row],[人数]])-心斎橋CSB4000円22[[#This Row],[単価合計]]-(心斎橋CSB4000円22[[#This Row],[キャンセル人数]]*$B$2),"")</f>
        <v/>
      </c>
      <c r="H2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2" t="str">
        <f>IF(心斎橋CSB4000円22[[#This Row],[人数]]="","",VLOOKUP(心斎橋CSB4000円22[[#This Row],[人数]],バック金額②[#All],2,TRUE)-(心斎橋CSB4000円22[[#This Row],[キャンセル人数]]*$B$2))</f>
        <v/>
      </c>
      <c r="L25" s="63">
        <f t="shared" si="1"/>
        <v>44978</v>
      </c>
      <c r="M25" s="13"/>
      <c r="N25" s="14"/>
      <c r="O25" s="15"/>
      <c r="P25" s="15"/>
      <c r="Q2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2" t="str">
        <f>IFERROR(($M$3*心斎橋CSB3500円23[[#This Row],[人数]])-心斎橋CSB3500円23[[#This Row],[単価合計]]-(心斎橋CSB3500円23[[#This Row],[キャンセル人数]]*$B$2),"")</f>
        <v/>
      </c>
      <c r="S2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2" t="str">
        <f>IF(心斎橋CSB3500円23[[#This Row],[人数]]="","",VLOOKUP(心斎橋CSB3500円23[[#This Row],[人数]],バック金額②[#All],2,TRUE))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2" t="str">
        <f>IFERROR(($B$3*心斎橋CSB4000円22[[#This Row],[人数]])-心斎橋CSB4000円22[[#This Row],[単価合計]]-(心斎橋CSB4000円22[[#This Row],[キャンセル人数]]*$B$2),"")</f>
        <v/>
      </c>
      <c r="H2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2" t="str">
        <f>IF(心斎橋CSB4000円22[[#This Row],[人数]]="","",VLOOKUP(心斎橋CSB4000円22[[#This Row],[人数]],バック金額②[#All],2,TRUE)-(心斎橋CSB4000円22[[#This Row],[キャンセル人数]]*$B$2))</f>
        <v/>
      </c>
      <c r="L26" s="63">
        <f t="shared" si="1"/>
        <v>44979</v>
      </c>
      <c r="M26" s="13"/>
      <c r="N26" s="14"/>
      <c r="O26" s="15"/>
      <c r="P26" s="15"/>
      <c r="Q2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2" t="str">
        <f>IFERROR(($M$3*心斎橋CSB3500円23[[#This Row],[人数]])-心斎橋CSB3500円23[[#This Row],[単価合計]]-(心斎橋CSB3500円23[[#This Row],[キャンセル人数]]*$B$2),"")</f>
        <v/>
      </c>
      <c r="S2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2" t="str">
        <f>IF(心斎橋CSB3500円23[[#This Row],[人数]]="","",VLOOKUP(心斎橋CSB3500円23[[#This Row],[人数]],バック金額②[#All],2,TRUE))</f>
        <v/>
      </c>
    </row>
    <row r="27" spans="1:21">
      <c r="A27" s="63">
        <f t="shared" si="0"/>
        <v>44980</v>
      </c>
      <c r="B27" s="13"/>
      <c r="C27" s="14"/>
      <c r="D27" s="15"/>
      <c r="E27" s="15"/>
      <c r="F2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2" t="str">
        <f>IFERROR(($B$3*心斎橋CSB4000円22[[#This Row],[人数]])-心斎橋CSB4000円22[[#This Row],[単価合計]]-(心斎橋CSB4000円22[[#This Row],[キャンセル人数]]*$B$2),"")</f>
        <v/>
      </c>
      <c r="H2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2" t="str">
        <f>IF(心斎橋CSB4000円22[[#This Row],[人数]]="","",VLOOKUP(心斎橋CSB4000円22[[#This Row],[人数]],バック金額②[#All],2,TRUE)-(心斎橋CSB4000円22[[#This Row],[キャンセル人数]]*$B$2))</f>
        <v/>
      </c>
      <c r="L27" s="63">
        <f t="shared" si="1"/>
        <v>44980</v>
      </c>
      <c r="M27" s="13"/>
      <c r="N27" s="14"/>
      <c r="O27" s="15"/>
      <c r="P27" s="15"/>
      <c r="Q2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2" t="str">
        <f>IFERROR(($M$3*心斎橋CSB3500円23[[#This Row],[人数]])-心斎橋CSB3500円23[[#This Row],[単価合計]]-(心斎橋CSB3500円23[[#This Row],[キャンセル人数]]*$B$2),"")</f>
        <v/>
      </c>
      <c r="S2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2" t="str">
        <f>IF(心斎橋CSB3500円23[[#This Row],[人数]]="","",VLOOKUP(心斎橋CSB3500円23[[#This Row],[人数]],バック金額②[#All],2,TRUE))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2" t="str">
        <f>IFERROR(($B$3*心斎橋CSB4000円22[[#This Row],[人数]])-心斎橋CSB4000円22[[#This Row],[単価合計]]-(心斎橋CSB4000円22[[#This Row],[キャンセル人数]]*$B$2),"")</f>
        <v/>
      </c>
      <c r="H2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2" t="str">
        <f>IF(心斎橋CSB4000円22[[#This Row],[人数]]="","",VLOOKUP(心斎橋CSB4000円22[[#This Row],[人数]],バック金額②[#All],2,TRUE)-(心斎橋CSB4000円22[[#This Row],[キャンセル人数]]*$B$2))</f>
        <v/>
      </c>
      <c r="L28" s="63">
        <f t="shared" si="1"/>
        <v>44981</v>
      </c>
      <c r="M28" s="13"/>
      <c r="N28" s="14"/>
      <c r="O28" s="15"/>
      <c r="P28" s="15"/>
      <c r="Q2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2" t="str">
        <f>IFERROR(($M$3*心斎橋CSB3500円23[[#This Row],[人数]])-心斎橋CSB3500円23[[#This Row],[単価合計]]-(心斎橋CSB3500円23[[#This Row],[キャンセル人数]]*$B$2),"")</f>
        <v/>
      </c>
      <c r="S2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2" t="str">
        <f>IF(心斎橋CSB3500円23[[#This Row],[人数]]="","",VLOOKUP(心斎橋CSB3500円23[[#This Row],[人数]],バック金額②[#All],2,TRUE))</f>
        <v/>
      </c>
    </row>
    <row r="29" spans="1:21">
      <c r="A29" s="63">
        <f t="shared" si="0"/>
        <v>44982</v>
      </c>
      <c r="B29" s="13"/>
      <c r="C29" s="14"/>
      <c r="D29" s="15"/>
      <c r="E29" s="15"/>
      <c r="F2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2" t="str">
        <f>IFERROR(($B$3*心斎橋CSB4000円22[[#This Row],[人数]])-心斎橋CSB4000円22[[#This Row],[単価合計]]-(心斎橋CSB4000円22[[#This Row],[キャンセル人数]]*$B$2),"")</f>
        <v/>
      </c>
      <c r="H2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2" t="str">
        <f>IF(心斎橋CSB4000円22[[#This Row],[人数]]="","",VLOOKUP(心斎橋CSB4000円22[[#This Row],[人数]],バック金額②[#All],2,TRUE)-(心斎橋CSB4000円22[[#This Row],[キャンセル人数]]*$B$2))</f>
        <v/>
      </c>
      <c r="L29" s="63">
        <f t="shared" si="1"/>
        <v>44982</v>
      </c>
      <c r="M29" s="13"/>
      <c r="N29" s="14"/>
      <c r="O29" s="15"/>
      <c r="P29" s="15"/>
      <c r="Q2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2" t="str">
        <f>IFERROR(($M$3*心斎橋CSB3500円23[[#This Row],[人数]])-心斎橋CSB3500円23[[#This Row],[単価合計]]-(心斎橋CSB3500円23[[#This Row],[キャンセル人数]]*$B$2),"")</f>
        <v/>
      </c>
      <c r="S2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2" t="str">
        <f>IF(心斎橋CSB3500円23[[#This Row],[人数]]="","",VLOOKUP(心斎橋CSB3500円23[[#This Row],[人数]],バック金額②[#All],2,TRUE))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2" t="str">
        <f>IFERROR(($B$3*心斎橋CSB4000円22[[#This Row],[人数]])-心斎橋CSB4000円22[[#This Row],[単価合計]]-(心斎橋CSB4000円22[[#This Row],[キャンセル人数]]*$B$2),"")</f>
        <v/>
      </c>
      <c r="H3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2" t="str">
        <f>IF(心斎橋CSB4000円22[[#This Row],[人数]]="","",VLOOKUP(心斎橋CSB4000円22[[#This Row],[人数]],バック金額②[#All],2,TRUE)-(心斎橋CSB4000円22[[#This Row],[キャンセル人数]]*$B$2))</f>
        <v/>
      </c>
      <c r="L30" s="63">
        <f t="shared" si="1"/>
        <v>44983</v>
      </c>
      <c r="M30" s="13"/>
      <c r="N30" s="14"/>
      <c r="O30" s="15"/>
      <c r="P30" s="15"/>
      <c r="Q3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2" t="str">
        <f>IFERROR(($M$3*心斎橋CSB3500円23[[#This Row],[人数]])-心斎橋CSB3500円23[[#This Row],[単価合計]]-(心斎橋CSB3500円23[[#This Row],[キャンセル人数]]*$B$2),"")</f>
        <v/>
      </c>
      <c r="S3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2" t="str">
        <f>IF(心斎橋CSB3500円23[[#This Row],[人数]]="","",VLOOKUP(心斎橋CSB3500円23[[#This Row],[人数]],バック金額②[#All],2,TRUE))</f>
        <v/>
      </c>
    </row>
    <row r="31" spans="1:21">
      <c r="A31" s="63">
        <f t="shared" si="0"/>
        <v>44984</v>
      </c>
      <c r="B31" s="13"/>
      <c r="C31" s="14"/>
      <c r="D31" s="15"/>
      <c r="E31" s="15"/>
      <c r="F3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2" t="str">
        <f>IFERROR(($B$3*心斎橋CSB4000円22[[#This Row],[人数]])-心斎橋CSB4000円22[[#This Row],[単価合計]]-(心斎橋CSB4000円22[[#This Row],[キャンセル人数]]*$B$2),"")</f>
        <v/>
      </c>
      <c r="H3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2" t="str">
        <f>IF(心斎橋CSB4000円22[[#This Row],[人数]]="","",VLOOKUP(心斎橋CSB4000円22[[#This Row],[人数]],バック金額②[#All],2,TRUE)-(心斎橋CSB4000円22[[#This Row],[キャンセル人数]]*$B$2))</f>
        <v/>
      </c>
      <c r="L31" s="63">
        <f t="shared" si="1"/>
        <v>44984</v>
      </c>
      <c r="M31" s="13"/>
      <c r="N31" s="14"/>
      <c r="O31" s="15"/>
      <c r="P31" s="15"/>
      <c r="Q3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2" t="str">
        <f>IFERROR(($M$3*心斎橋CSB3500円23[[#This Row],[人数]])-心斎橋CSB3500円23[[#This Row],[単価合計]]-(心斎橋CSB3500円23[[#This Row],[キャンセル人数]]*$B$2),"")</f>
        <v/>
      </c>
      <c r="S3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2" t="str">
        <f>IF(心斎橋CSB3500円23[[#This Row],[人数]]="","",VLOOKUP(心斎橋CSB3500円23[[#This Row],[人数]],バック金額②[#All],2,TRUE))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2" t="str">
        <f>IFERROR(($B$3*心斎橋CSB4000円22[[#This Row],[人数]])-心斎橋CSB4000円22[[#This Row],[単価合計]]-(心斎橋CSB4000円22[[#This Row],[キャンセル人数]]*$B$2),"")</f>
        <v/>
      </c>
      <c r="H3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2" t="str">
        <f>IF(心斎橋CSB4000円22[[#This Row],[人数]]="","",VLOOKUP(心斎橋CSB4000円22[[#This Row],[人数]],バック金額②[#All],2,TRUE)-(心斎橋CSB4000円22[[#This Row],[キャンセル人数]]*$B$2))</f>
        <v/>
      </c>
      <c r="L32" s="63">
        <f t="shared" si="1"/>
        <v>44985</v>
      </c>
      <c r="M32" s="13"/>
      <c r="N32" s="14"/>
      <c r="O32" s="15"/>
      <c r="P32" s="15"/>
      <c r="Q3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2" t="str">
        <f>IFERROR(($M$3*心斎橋CSB3500円23[[#This Row],[人数]])-心斎橋CSB3500円23[[#This Row],[単価合計]]-(心斎橋CSB3500円23[[#This Row],[キャンセル人数]]*$B$2),"")</f>
        <v/>
      </c>
      <c r="S3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2" t="str">
        <f>IF(心斎橋CSB3500円23[[#This Row],[人数]]="","",VLOOKUP(心斎橋CSB3500円23[[#This Row],[人数]],バック金額②[#All],2,TRUE))</f>
        <v/>
      </c>
    </row>
    <row r="33" spans="1:21">
      <c r="A33" s="63" t="str">
        <f t="shared" si="0"/>
        <v/>
      </c>
      <c r="B33" s="13"/>
      <c r="C33" s="14"/>
      <c r="D33" s="15"/>
      <c r="E33" s="15"/>
      <c r="F3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2" t="str">
        <f>IFERROR(($B$3*心斎橋CSB4000円22[[#This Row],[人数]])-心斎橋CSB4000円22[[#This Row],[単価合計]]-(心斎橋CSB4000円22[[#This Row],[キャンセル人数]]*$B$2),"")</f>
        <v/>
      </c>
      <c r="H3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2" t="str">
        <f>IF(心斎橋CSB4000円22[[#This Row],[人数]]="","",VLOOKUP(心斎橋CSB4000円22[[#This Row],[人数]],バック金額②[#All],2,TRUE)-(心斎橋CSB4000円22[[#This Row],[キャンセル人数]]*$B$2))</f>
        <v/>
      </c>
      <c r="L33" s="63" t="str">
        <f t="shared" si="1"/>
        <v/>
      </c>
      <c r="M33" s="13"/>
      <c r="N33" s="14"/>
      <c r="O33" s="15"/>
      <c r="P33" s="15"/>
      <c r="Q3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2" t="str">
        <f>IFERROR(($M$3*心斎橋CSB3500円23[[#This Row],[人数]])-心斎橋CSB3500円23[[#This Row],[単価合計]]-(心斎橋CSB3500円23[[#This Row],[キャンセル人数]]*$B$2),"")</f>
        <v/>
      </c>
      <c r="S3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2" t="str">
        <f>IF(心斎橋CSB3500円23[[#This Row],[人数]]="","",VLOOKUP(心斎橋CSB3500円23[[#This Row],[人数]],バック金額②[#All],2,TRUE))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2" t="str">
        <f>IFERROR(($B$3*心斎橋CSB4000円22[[#This Row],[人数]])-心斎橋CSB4000円22[[#This Row],[単価合計]]-(心斎橋CSB4000円22[[#This Row],[キャンセル人数]]*$B$2),"")</f>
        <v/>
      </c>
      <c r="H3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2" t="str">
        <f>IF(心斎橋CSB4000円22[[#This Row],[人数]]="","",VLOOKUP(心斎橋CSB4000円22[[#This Row],[人数]],バック金額②[#All],2,TRUE)-(心斎橋CSB4000円22[[#This Row],[キャンセル人数]]*$B$2))</f>
        <v/>
      </c>
      <c r="L34" s="63" t="str">
        <f t="shared" si="1"/>
        <v/>
      </c>
      <c r="M34" s="13"/>
      <c r="N34" s="14"/>
      <c r="O34" s="15"/>
      <c r="P34" s="15"/>
      <c r="Q3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2" t="str">
        <f>IFERROR(($M$3*心斎橋CSB3500円23[[#This Row],[人数]])-心斎橋CSB3500円23[[#This Row],[単価合計]]-(心斎橋CSB3500円23[[#This Row],[キャンセル人数]]*$B$2),"")</f>
        <v/>
      </c>
      <c r="S3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2" t="str">
        <f>IF(心斎橋CSB3500円23[[#This Row],[人数]]="","",VLOOKUP(心斎橋CSB3500円23[[#This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5"/>
      <c r="E35" s="19"/>
      <c r="F3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2" t="str">
        <f>IFERROR(($B$3*心斎橋CSB4000円22[[#This Row],[人数]])-心斎橋CSB4000円22[[#This Row],[単価合計]]-(心斎橋CSB4000円22[[#This Row],[キャンセル人数]]*$B$2),"")</f>
        <v/>
      </c>
      <c r="H3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2" t="str">
        <f>IF(心斎橋CSB4000円22[[#This Row],[人数]]="","",VLOOKUP(心斎橋CSB4000円22[[#This Row],[人数]],バック金額②[#All],2,TRUE)-(心斎橋CSB4000円22[[#This Row],[キャンセル人数]]*$B$2))</f>
        <v/>
      </c>
      <c r="L35" s="63" t="str">
        <f t="shared" si="1"/>
        <v/>
      </c>
      <c r="M35" s="17"/>
      <c r="N35" s="18"/>
      <c r="O35" s="15"/>
      <c r="P35" s="19"/>
      <c r="Q3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2" t="str">
        <f>IFERROR(($M$3*心斎橋CSB3500円23[[#This Row],[人数]])-心斎橋CSB3500円23[[#This Row],[単価合計]]-(心斎橋CSB3500円23[[#This Row],[キャンセル人数]]*$B$2),"")</f>
        <v/>
      </c>
      <c r="S3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2" t="str">
        <f>IF(心斎橋CSB3500円23[[#This Row],[人数]]="","",VLOOKUP(心斎橋CSB3500円23[[#This Row],[人数]],バック金額②[#All],2,TRUE))</f>
        <v/>
      </c>
    </row>
    <row r="36" spans="1:21">
      <c r="A36" s="69" t="s">
        <v>322</v>
      </c>
      <c r="B36" s="16">
        <f>SUM(心斎橋CSB4000円22[[#All],[件数]])</f>
        <v>0</v>
      </c>
      <c r="C36" s="6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69" t="s">
        <v>322</v>
      </c>
      <c r="M36" s="16">
        <f>SUM(心斎橋CSB3500円23[[#All],[件数]])</f>
        <v>0</v>
      </c>
      <c r="N36" s="6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84375" style="8" bestFit="1" customWidth="1"/>
    <col min="6" max="6" width="12.30468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84375" style="8" bestFit="1" customWidth="1"/>
    <col min="17" max="17" width="12.30468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254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28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3">
        <f t="shared" si="1"/>
        <v>44961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3">
        <f t="shared" si="0"/>
        <v>44962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3">
        <f t="shared" si="1"/>
        <v>44962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3">
        <f t="shared" si="1"/>
        <v>44963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3">
        <f t="shared" si="0"/>
        <v>44964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3">
        <f t="shared" si="1"/>
        <v>44964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3">
        <f t="shared" si="0"/>
        <v>44965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3">
        <f t="shared" si="1"/>
        <v>44965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3">
        <f t="shared" si="0"/>
        <v>44966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3">
        <f t="shared" si="1"/>
        <v>44966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3">
        <f t="shared" si="1"/>
        <v>44967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3">
        <f t="shared" si="0"/>
        <v>44968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3">
        <f t="shared" si="1"/>
        <v>44968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3">
        <f t="shared" si="1"/>
        <v>44969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3">
        <f t="shared" si="0"/>
        <v>44970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3">
        <f t="shared" si="1"/>
        <v>44970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3">
        <f t="shared" si="1"/>
        <v>44971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3">
        <f t="shared" si="0"/>
        <v>44972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3">
        <f t="shared" si="1"/>
        <v>44972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3">
        <f t="shared" si="1"/>
        <v>44973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3">
        <f t="shared" si="0"/>
        <v>44974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3">
        <f t="shared" si="1"/>
        <v>44974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3">
        <f t="shared" si="1"/>
        <v>44975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3">
        <f t="shared" si="0"/>
        <v>44976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3">
        <f t="shared" si="1"/>
        <v>44976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3">
        <f t="shared" si="1"/>
        <v>44977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3">
        <f t="shared" si="0"/>
        <v>44978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3">
        <f t="shared" si="1"/>
        <v>44978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3">
        <f t="shared" si="1"/>
        <v>44979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3">
        <f t="shared" si="0"/>
        <v>44980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3">
        <f t="shared" si="1"/>
        <v>44980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3">
        <f t="shared" si="1"/>
        <v>44981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3">
        <f t="shared" si="0"/>
        <v>44982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3">
        <f t="shared" si="1"/>
        <v>44982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3">
        <f t="shared" si="1"/>
        <v>44983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3">
        <f t="shared" si="0"/>
        <v>44984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3">
        <f t="shared" si="1"/>
        <v>44984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3">
        <f t="shared" si="1"/>
        <v>44985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3" t="str">
        <f t="shared" si="0"/>
        <v/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3" t="str">
        <f t="shared" si="1"/>
        <v/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3" t="str">
        <f t="shared" si="1"/>
        <v/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64" t="s">
        <v>322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64" t="s">
        <v>322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3046875" style="8" customWidth="1"/>
    <col min="4" max="4" width="6.3046875" style="8" customWidth="1"/>
    <col min="5" max="5" width="12.765625" style="8" bestFit="1" customWidth="1"/>
    <col min="6" max="6" width="11.843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3046875" style="8" customWidth="1"/>
    <col min="15" max="15" width="6.3046875" style="8" customWidth="1"/>
    <col min="16" max="16" width="12.765625" style="8" bestFit="1" customWidth="1"/>
    <col min="17" max="17" width="11.07421875" style="9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28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3">
        <f t="shared" si="1"/>
        <v>44961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3">
        <f t="shared" si="0"/>
        <v>44962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3">
        <f t="shared" si="1"/>
        <v>44962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3">
        <f t="shared" si="1"/>
        <v>44963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3">
        <f t="shared" si="0"/>
        <v>44964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3">
        <f t="shared" si="1"/>
        <v>44964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3">
        <f t="shared" si="0"/>
        <v>44965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3">
        <f t="shared" si="1"/>
        <v>44965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3">
        <f t="shared" si="0"/>
        <v>44966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3">
        <f t="shared" si="1"/>
        <v>44966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3">
        <f t="shared" si="1"/>
        <v>44967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3">
        <f t="shared" si="0"/>
        <v>44968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3">
        <f t="shared" si="1"/>
        <v>44968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3">
        <f t="shared" si="1"/>
        <v>44969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3">
        <f t="shared" si="0"/>
        <v>44970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3">
        <f t="shared" si="1"/>
        <v>44970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3">
        <f t="shared" si="1"/>
        <v>44971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3">
        <f t="shared" si="0"/>
        <v>44972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3">
        <f t="shared" si="1"/>
        <v>44972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3">
        <f t="shared" si="1"/>
        <v>44973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3">
        <f t="shared" si="0"/>
        <v>44974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3">
        <f t="shared" si="1"/>
        <v>44974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3">
        <f t="shared" si="1"/>
        <v>44975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3">
        <f t="shared" si="0"/>
        <v>44976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3">
        <f t="shared" si="1"/>
        <v>44976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3">
        <f t="shared" si="1"/>
        <v>44977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3">
        <f t="shared" si="0"/>
        <v>44978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3">
        <f t="shared" si="1"/>
        <v>44978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3">
        <f t="shared" si="1"/>
        <v>44979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3">
        <f t="shared" si="0"/>
        <v>44980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3">
        <f t="shared" si="1"/>
        <v>44980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3">
        <f t="shared" si="1"/>
        <v>44981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3">
        <f t="shared" si="0"/>
        <v>44982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3">
        <f t="shared" si="1"/>
        <v>44982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3">
        <f t="shared" si="1"/>
        <v>44983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3">
        <f t="shared" si="0"/>
        <v>44984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3">
        <f t="shared" si="1"/>
        <v>44984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3">
        <f t="shared" si="1"/>
        <v>44985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3" t="str">
        <f t="shared" si="0"/>
        <v/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3" t="str">
        <f t="shared" si="1"/>
        <v/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3" t="str">
        <f t="shared" si="1"/>
        <v/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64" t="s">
        <v>322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64" t="s">
        <v>322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843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257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28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3">
        <f t="shared" si="1"/>
        <v>44961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3">
        <f t="shared" si="0"/>
        <v>44962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3">
        <f t="shared" si="1"/>
        <v>44962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3">
        <f t="shared" si="1"/>
        <v>44963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3">
        <f t="shared" si="0"/>
        <v>44964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3">
        <f t="shared" si="1"/>
        <v>44964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3">
        <f t="shared" si="0"/>
        <v>44965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3">
        <f t="shared" si="1"/>
        <v>44965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3">
        <f t="shared" si="0"/>
        <v>44966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3">
        <f t="shared" si="1"/>
        <v>44966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3">
        <f t="shared" si="1"/>
        <v>44967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3">
        <f t="shared" si="0"/>
        <v>44968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3">
        <f t="shared" si="1"/>
        <v>44968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3">
        <f t="shared" si="1"/>
        <v>44969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3">
        <f t="shared" si="0"/>
        <v>44970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3">
        <f t="shared" si="1"/>
        <v>44970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3">
        <f t="shared" si="1"/>
        <v>44971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3">
        <f t="shared" si="0"/>
        <v>44972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3">
        <f t="shared" si="1"/>
        <v>44972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3">
        <f t="shared" si="1"/>
        <v>44973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3">
        <f t="shared" si="0"/>
        <v>44974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3">
        <f t="shared" si="1"/>
        <v>44974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3">
        <f t="shared" si="1"/>
        <v>44975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3">
        <f t="shared" si="0"/>
        <v>44976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3">
        <f t="shared" si="1"/>
        <v>44976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3">
        <f t="shared" si="1"/>
        <v>44977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3">
        <f t="shared" si="0"/>
        <v>44978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3">
        <f t="shared" si="1"/>
        <v>44978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3">
        <f t="shared" si="1"/>
        <v>44979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3">
        <f t="shared" si="0"/>
        <v>44980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3">
        <f t="shared" si="1"/>
        <v>44980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3">
        <f t="shared" si="1"/>
        <v>44981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3">
        <f t="shared" si="0"/>
        <v>44982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3">
        <f t="shared" si="1"/>
        <v>44982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3">
        <f t="shared" si="1"/>
        <v>44983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3">
        <f t="shared" si="0"/>
        <v>44984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3">
        <f t="shared" si="1"/>
        <v>44984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3">
        <f t="shared" si="1"/>
        <v>44985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3" t="str">
        <f t="shared" si="0"/>
        <v/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3" t="str">
        <f t="shared" si="1"/>
        <v/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3" t="str">
        <f t="shared" si="1"/>
        <v/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64" t="s">
        <v>322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64" t="s">
        <v>322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69140625" style="8" bestFit="1" customWidth="1"/>
    <col min="6" max="6" width="12.3046875" style="9" bestFit="1" customWidth="1"/>
    <col min="7" max="7" width="19.84375" style="9" customWidth="1"/>
    <col min="8" max="8" width="12.84375" style="9" customWidth="1"/>
    <col min="9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69140625" style="8" customWidth="1"/>
    <col min="14" max="14" width="17.3046875" style="8" customWidth="1"/>
    <col min="15" max="15" width="6.69140625" style="8" customWidth="1"/>
    <col min="16" max="16" width="13.69140625" style="8" bestFit="1" customWidth="1"/>
    <col min="17" max="17" width="12.3046875" style="9" bestFit="1" customWidth="1"/>
    <col min="18" max="18" width="17.4609375" style="9" customWidth="1"/>
    <col min="19" max="19" width="12.3046875" style="9" bestFit="1" customWidth="1"/>
    <col min="20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28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3">
        <f t="shared" si="1"/>
        <v>44961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3">
        <f t="shared" si="0"/>
        <v>44962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3">
        <f t="shared" si="1"/>
        <v>44962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3">
        <f t="shared" si="1"/>
        <v>44963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3">
        <f t="shared" si="0"/>
        <v>44964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3">
        <f t="shared" si="1"/>
        <v>44964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3">
        <f t="shared" si="0"/>
        <v>44965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3">
        <f t="shared" si="1"/>
        <v>44965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3">
        <f t="shared" si="0"/>
        <v>44966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3">
        <f t="shared" si="1"/>
        <v>44966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3">
        <f t="shared" si="1"/>
        <v>44967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3">
        <f t="shared" si="0"/>
        <v>44968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3">
        <f t="shared" si="1"/>
        <v>44968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3">
        <f t="shared" si="1"/>
        <v>44969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3">
        <f t="shared" si="0"/>
        <v>44970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3">
        <f t="shared" si="1"/>
        <v>44970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3">
        <f t="shared" si="1"/>
        <v>44971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3">
        <f t="shared" si="0"/>
        <v>44972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3">
        <f t="shared" si="1"/>
        <v>44972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3">
        <f t="shared" si="1"/>
        <v>44973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3">
        <f t="shared" si="0"/>
        <v>44974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3">
        <f t="shared" si="1"/>
        <v>44974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3">
        <f t="shared" si="1"/>
        <v>44975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3">
        <f t="shared" si="0"/>
        <v>44976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3">
        <f t="shared" si="1"/>
        <v>44976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3">
        <f t="shared" si="1"/>
        <v>44977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3">
        <f t="shared" si="0"/>
        <v>44978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3">
        <f t="shared" si="1"/>
        <v>44978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3">
        <f t="shared" si="1"/>
        <v>44979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3">
        <f t="shared" si="0"/>
        <v>44980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3">
        <f t="shared" si="1"/>
        <v>44980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3">
        <f t="shared" si="1"/>
        <v>44981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3">
        <f t="shared" si="0"/>
        <v>44982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3">
        <f t="shared" si="1"/>
        <v>44982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3">
        <f t="shared" si="1"/>
        <v>44983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3">
        <f t="shared" si="0"/>
        <v>44984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3">
        <f t="shared" si="1"/>
        <v>44984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3">
        <f t="shared" si="1"/>
        <v>44985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3" t="str">
        <f t="shared" si="0"/>
        <v/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3" t="str">
        <f t="shared" si="1"/>
        <v/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3" t="str">
        <f t="shared" si="1"/>
        <v/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64" t="s">
        <v>322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64" t="s">
        <v>322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H21" sqref="H21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510</v>
      </c>
    </row>
    <row r="2" spans="1:21">
      <c r="A2" s="46" t="s">
        <v>371</v>
      </c>
      <c r="B2" s="8">
        <v>1100</v>
      </c>
    </row>
    <row r="3" spans="1:21">
      <c r="A3" s="46" t="s">
        <v>375</v>
      </c>
      <c r="B3" s="8">
        <v>4000</v>
      </c>
      <c r="C3" s="46" t="s">
        <v>565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571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571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44958</v>
      </c>
      <c r="B5" s="20" t="str">
        <f>IF(梅田ここから4000[[#This Row],[人数]]=0,"",1)</f>
        <v/>
      </c>
      <c r="C5" s="14"/>
      <c r="D5" s="15"/>
      <c r="E5" s="21">
        <f>ROUNDDOWN(梅田ここから4000[[#This Row],[人数]]/8,0)</f>
        <v>0</v>
      </c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3">
        <f>IF(DAY(DATE(名前リスト!$N$1,名前リスト!$O$1,ROW()-4))=ROW()-4,DATE(名前リスト!$N$1,名前リスト!$O$1,ROW()-4),"")</f>
        <v>44958</v>
      </c>
      <c r="M5" s="20" t="str">
        <f>IF(梅田ここから3500[[#This Row],[人数]]=0,"",1)</f>
        <v/>
      </c>
      <c r="N5" s="14"/>
      <c r="O5" s="15"/>
      <c r="P5" s="21">
        <f>ROUNDDOWN(梅田ここから3500[[#This Row],[人数]]/8,0)</f>
        <v>0</v>
      </c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20" t="str">
        <f>IF(梅田ここから4000[[#This Row],[人数]]=0,"",1)</f>
        <v/>
      </c>
      <c r="C6" s="14"/>
      <c r="D6" s="15"/>
      <c r="E6" s="21">
        <f>ROUNDDOWN(梅田ここから4000[[#This Row],[人数]]/8,0)</f>
        <v>0</v>
      </c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3">
        <f>IFERROR(IF(DATE(YEAR($A$5),MONTH($A$5),DAY($A$5))=DATE(YEAR(L5),MONTH(L5),DAY(L5+1)),"",DATE(YEAR(L5),MONTH(L5),DAY(L5+1))),"")</f>
        <v>44959</v>
      </c>
      <c r="M6" s="20" t="str">
        <f>IF(梅田ここから3500[[#This Row],[人数]]=0,"",1)</f>
        <v/>
      </c>
      <c r="N6" s="14"/>
      <c r="O6" s="15"/>
      <c r="P6" s="21">
        <f>ROUNDDOWN(梅田ここから3500[[#This Row],[人数]]/8,0)</f>
        <v>0</v>
      </c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20" t="str">
        <f>IF(梅田ここから4000[[#This Row],[人数]]=0,"",1)</f>
        <v/>
      </c>
      <c r="C7" s="14"/>
      <c r="D7" s="15"/>
      <c r="E7" s="21">
        <f>ROUNDDOWN(梅田ここから4000[[#This Row],[人数]]/8,0)</f>
        <v>0</v>
      </c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20" t="str">
        <f>IF(梅田ここから3500[[#This Row],[人数]]=0,"",1)</f>
        <v/>
      </c>
      <c r="N7" s="14"/>
      <c r="O7" s="15"/>
      <c r="P7" s="21">
        <f>ROUNDDOWN(梅田ここから3500[[#This Row],[人数]]/8,0)</f>
        <v>0</v>
      </c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3">
        <f t="shared" si="0"/>
        <v>44961</v>
      </c>
      <c r="B8" s="20" t="str">
        <f>IF(梅田ここから4000[[#This Row],[人数]]=0,"",1)</f>
        <v/>
      </c>
      <c r="C8" s="14"/>
      <c r="D8" s="15"/>
      <c r="E8" s="21">
        <f>ROUNDDOWN(梅田ここから4000[[#This Row],[人数]]/8,0)</f>
        <v>0</v>
      </c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3">
        <f t="shared" si="1"/>
        <v>44961</v>
      </c>
      <c r="M8" s="20" t="str">
        <f>IF(梅田ここから3500[[#This Row],[人数]]=0,"",1)</f>
        <v/>
      </c>
      <c r="N8" s="14"/>
      <c r="O8" s="15"/>
      <c r="P8" s="21">
        <f>ROUNDDOWN(梅田ここから3500[[#This Row],[人数]]/8,0)</f>
        <v>0</v>
      </c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3">
        <f t="shared" si="0"/>
        <v>44962</v>
      </c>
      <c r="B9" s="20" t="str">
        <f>IF(梅田ここから4000[[#This Row],[人数]]=0,"",1)</f>
        <v/>
      </c>
      <c r="C9" s="14"/>
      <c r="D9" s="15"/>
      <c r="E9" s="21">
        <f>ROUNDDOWN(梅田ここから4000[[#This Row],[人数]]/8,0)</f>
        <v>0</v>
      </c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3">
        <f t="shared" si="1"/>
        <v>44962</v>
      </c>
      <c r="M9" s="20" t="str">
        <f>IF(梅田ここから3500[[#This Row],[人数]]=0,"",1)</f>
        <v/>
      </c>
      <c r="N9" s="14"/>
      <c r="O9" s="15"/>
      <c r="P9" s="21">
        <f>ROUNDDOWN(梅田ここから3500[[#This Row],[人数]]/8,0)</f>
        <v>0</v>
      </c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3">
        <f t="shared" si="0"/>
        <v>44963</v>
      </c>
      <c r="B10" s="20" t="str">
        <f>IF(梅田ここから4000[[#This Row],[人数]]=0,"",1)</f>
        <v/>
      </c>
      <c r="C10" s="14"/>
      <c r="D10" s="15"/>
      <c r="E10" s="21">
        <f>ROUNDDOWN(梅田ここから4000[[#This Row],[人数]]/8,0)</f>
        <v>0</v>
      </c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3">
        <f t="shared" si="1"/>
        <v>44963</v>
      </c>
      <c r="M10" s="20" t="str">
        <f>IF(梅田ここから3500[[#This Row],[人数]]=0,"",1)</f>
        <v/>
      </c>
      <c r="N10" s="14"/>
      <c r="O10" s="15"/>
      <c r="P10" s="21">
        <f>ROUNDDOWN(梅田ここから3500[[#This Row],[人数]]/8,0)</f>
        <v>0</v>
      </c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3">
        <f t="shared" si="0"/>
        <v>44964</v>
      </c>
      <c r="B11" s="20" t="str">
        <f>IF(梅田ここから4000[[#This Row],[人数]]=0,"",1)</f>
        <v/>
      </c>
      <c r="C11" s="14"/>
      <c r="D11" s="15"/>
      <c r="E11" s="21">
        <f>ROUNDDOWN(梅田ここから4000[[#This Row],[人数]]/8,0)</f>
        <v>0</v>
      </c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3">
        <f t="shared" si="1"/>
        <v>44964</v>
      </c>
      <c r="M11" s="20" t="str">
        <f>IF(梅田ここから3500[[#This Row],[人数]]=0,"",1)</f>
        <v/>
      </c>
      <c r="N11" s="14"/>
      <c r="O11" s="15"/>
      <c r="P11" s="21">
        <f>ROUNDDOWN(梅田ここから3500[[#This Row],[人数]]/8,0)</f>
        <v>0</v>
      </c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3">
        <f t="shared" si="0"/>
        <v>44965</v>
      </c>
      <c r="B12" s="20" t="str">
        <f>IF(梅田ここから4000[[#This Row],[人数]]=0,"",1)</f>
        <v/>
      </c>
      <c r="C12" s="14"/>
      <c r="D12" s="15"/>
      <c r="E12" s="21">
        <f>ROUNDDOWN(梅田ここから4000[[#This Row],[人数]]/8,0)</f>
        <v>0</v>
      </c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3">
        <f t="shared" si="1"/>
        <v>44965</v>
      </c>
      <c r="M12" s="20" t="str">
        <f>IF(梅田ここから3500[[#This Row],[人数]]=0,"",1)</f>
        <v/>
      </c>
      <c r="N12" s="14"/>
      <c r="O12" s="15"/>
      <c r="P12" s="21">
        <f>ROUNDDOWN(梅田ここから3500[[#This Row],[人数]]/8,0)</f>
        <v>0</v>
      </c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3">
        <f t="shared" si="0"/>
        <v>44966</v>
      </c>
      <c r="B13" s="20" t="str">
        <f>IF(梅田ここから4000[[#This Row],[人数]]=0,"",1)</f>
        <v/>
      </c>
      <c r="C13" s="14"/>
      <c r="D13" s="15"/>
      <c r="E13" s="21">
        <f>ROUNDDOWN(梅田ここから4000[[#This Row],[人数]]/8,0)</f>
        <v>0</v>
      </c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3">
        <f t="shared" si="1"/>
        <v>44966</v>
      </c>
      <c r="M13" s="20" t="str">
        <f>IF(梅田ここから3500[[#This Row],[人数]]=0,"",1)</f>
        <v/>
      </c>
      <c r="N13" s="14"/>
      <c r="O13" s="15"/>
      <c r="P13" s="21">
        <f>ROUNDDOWN(梅田ここから3500[[#This Row],[人数]]/8,0)</f>
        <v>0</v>
      </c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3">
        <f t="shared" si="0"/>
        <v>44967</v>
      </c>
      <c r="B14" s="20" t="str">
        <f>IF(梅田ここから4000[[#This Row],[人数]]=0,"",1)</f>
        <v/>
      </c>
      <c r="C14" s="14"/>
      <c r="D14" s="15"/>
      <c r="E14" s="21">
        <f>ROUNDDOWN(梅田ここから4000[[#This Row],[人数]]/8,0)</f>
        <v>0</v>
      </c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3">
        <f t="shared" si="1"/>
        <v>44967</v>
      </c>
      <c r="M14" s="20" t="str">
        <f>IF(梅田ここから3500[[#This Row],[人数]]=0,"",1)</f>
        <v/>
      </c>
      <c r="N14" s="14"/>
      <c r="O14" s="15"/>
      <c r="P14" s="21">
        <f>ROUNDDOWN(梅田ここから3500[[#This Row],[人数]]/8,0)</f>
        <v>0</v>
      </c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3">
        <f t="shared" si="0"/>
        <v>44968</v>
      </c>
      <c r="B15" s="20" t="str">
        <f>IF(梅田ここから4000[[#This Row],[人数]]=0,"",1)</f>
        <v/>
      </c>
      <c r="C15" s="14"/>
      <c r="D15" s="15"/>
      <c r="E15" s="21">
        <f>ROUNDDOWN(梅田ここから4000[[#This Row],[人数]]/8,0)</f>
        <v>0</v>
      </c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3">
        <f t="shared" si="1"/>
        <v>44968</v>
      </c>
      <c r="M15" s="20" t="str">
        <f>IF(梅田ここから3500[[#This Row],[人数]]=0,"",1)</f>
        <v/>
      </c>
      <c r="N15" s="14"/>
      <c r="O15" s="15"/>
      <c r="P15" s="21">
        <f>ROUNDDOWN(梅田ここから3500[[#This Row],[人数]]/8,0)</f>
        <v>0</v>
      </c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3">
        <f t="shared" si="0"/>
        <v>44969</v>
      </c>
      <c r="B16" s="20" t="str">
        <f>IF(梅田ここから4000[[#This Row],[人数]]=0,"",1)</f>
        <v/>
      </c>
      <c r="C16" s="14"/>
      <c r="D16" s="15"/>
      <c r="E16" s="21">
        <f>ROUNDDOWN(梅田ここから4000[[#This Row],[人数]]/8,0)</f>
        <v>0</v>
      </c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3">
        <f t="shared" si="1"/>
        <v>44969</v>
      </c>
      <c r="M16" s="20" t="str">
        <f>IF(梅田ここから3500[[#This Row],[人数]]=0,"",1)</f>
        <v/>
      </c>
      <c r="N16" s="14"/>
      <c r="O16" s="15"/>
      <c r="P16" s="21">
        <f>ROUNDDOWN(梅田ここから3500[[#This Row],[人数]]/8,0)</f>
        <v>0</v>
      </c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3">
        <f t="shared" si="0"/>
        <v>44970</v>
      </c>
      <c r="B17" s="20" t="str">
        <f>IF(梅田ここから4000[[#This Row],[人数]]=0,"",1)</f>
        <v/>
      </c>
      <c r="C17" s="14"/>
      <c r="D17" s="15"/>
      <c r="E17" s="21">
        <f>ROUNDDOWN(梅田ここから4000[[#This Row],[人数]]/8,0)</f>
        <v>0</v>
      </c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3">
        <f t="shared" si="1"/>
        <v>44970</v>
      </c>
      <c r="M17" s="20" t="str">
        <f>IF(梅田ここから3500[[#This Row],[人数]]=0,"",1)</f>
        <v/>
      </c>
      <c r="N17" s="14"/>
      <c r="O17" s="15"/>
      <c r="P17" s="21">
        <f>ROUNDDOWN(梅田ここから3500[[#This Row],[人数]]/8,0)</f>
        <v>0</v>
      </c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3">
        <f t="shared" si="0"/>
        <v>44971</v>
      </c>
      <c r="B18" s="20" t="str">
        <f>IF(梅田ここから4000[[#This Row],[人数]]=0,"",1)</f>
        <v/>
      </c>
      <c r="C18" s="14"/>
      <c r="D18" s="15"/>
      <c r="E18" s="21">
        <f>ROUNDDOWN(梅田ここから4000[[#This Row],[人数]]/8,0)</f>
        <v>0</v>
      </c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3">
        <f t="shared" si="1"/>
        <v>44971</v>
      </c>
      <c r="M18" s="20" t="str">
        <f>IF(梅田ここから3500[[#This Row],[人数]]=0,"",1)</f>
        <v/>
      </c>
      <c r="N18" s="14"/>
      <c r="O18" s="15"/>
      <c r="P18" s="21">
        <f>ROUNDDOWN(梅田ここから3500[[#This Row],[人数]]/8,0)</f>
        <v>0</v>
      </c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3">
        <f t="shared" si="0"/>
        <v>44972</v>
      </c>
      <c r="B19" s="20" t="str">
        <f>IF(梅田ここから4000[[#This Row],[人数]]=0,"",1)</f>
        <v/>
      </c>
      <c r="C19" s="14"/>
      <c r="D19" s="15"/>
      <c r="E19" s="21">
        <f>ROUNDDOWN(梅田ここから4000[[#This Row],[人数]]/8,0)</f>
        <v>0</v>
      </c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3">
        <f t="shared" si="1"/>
        <v>44972</v>
      </c>
      <c r="M19" s="20" t="str">
        <f>IF(梅田ここから3500[[#This Row],[人数]]=0,"",1)</f>
        <v/>
      </c>
      <c r="N19" s="14"/>
      <c r="O19" s="15"/>
      <c r="P19" s="21">
        <f>ROUNDDOWN(梅田ここから3500[[#This Row],[人数]]/8,0)</f>
        <v>0</v>
      </c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3">
        <f t="shared" si="0"/>
        <v>44973</v>
      </c>
      <c r="B20" s="20" t="str">
        <f>IF(梅田ここから4000[[#This Row],[人数]]=0,"",1)</f>
        <v/>
      </c>
      <c r="C20" s="14"/>
      <c r="D20" s="15"/>
      <c r="E20" s="21">
        <f>ROUNDDOWN(梅田ここから4000[[#This Row],[人数]]/8,0)</f>
        <v>0</v>
      </c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3">
        <f t="shared" si="1"/>
        <v>44973</v>
      </c>
      <c r="M20" s="20" t="str">
        <f>IF(梅田ここから3500[[#This Row],[人数]]=0,"",1)</f>
        <v/>
      </c>
      <c r="N20" s="14"/>
      <c r="O20" s="15"/>
      <c r="P20" s="21">
        <f>ROUNDDOWN(梅田ここから3500[[#This Row],[人数]]/8,0)</f>
        <v>0</v>
      </c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44974</v>
      </c>
      <c r="B21" s="20" t="str">
        <f>IF(梅田ここから4000[[#This Row],[人数]]=0,"",1)</f>
        <v/>
      </c>
      <c r="C21" s="14"/>
      <c r="D21" s="15"/>
      <c r="E21" s="21">
        <f>ROUNDDOWN(梅田ここから4000[[#This Row],[人数]]/8,0)</f>
        <v>0</v>
      </c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3">
        <f t="shared" si="1"/>
        <v>44974</v>
      </c>
      <c r="M21" s="20" t="str">
        <f>IF(梅田ここから3500[[#This Row],[人数]]=0,"",1)</f>
        <v/>
      </c>
      <c r="N21" s="14"/>
      <c r="O21" s="15"/>
      <c r="P21" s="21">
        <f>ROUNDDOWN(梅田ここから3500[[#This Row],[人数]]/8,0)</f>
        <v>0</v>
      </c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44975</v>
      </c>
      <c r="B22" s="20" t="str">
        <f>IF(梅田ここから4000[[#This Row],[人数]]=0,"",1)</f>
        <v/>
      </c>
      <c r="C22" s="14"/>
      <c r="D22" s="15"/>
      <c r="E22" s="21">
        <f>ROUNDDOWN(梅田ここから4000[[#This Row],[人数]]/8,0)</f>
        <v>0</v>
      </c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3">
        <f t="shared" si="1"/>
        <v>44975</v>
      </c>
      <c r="M22" s="20" t="str">
        <f>IF(梅田ここから3500[[#This Row],[人数]]=0,"",1)</f>
        <v/>
      </c>
      <c r="N22" s="14"/>
      <c r="O22" s="15"/>
      <c r="P22" s="21">
        <f>ROUNDDOWN(梅田ここから3500[[#This Row],[人数]]/8,0)</f>
        <v>0</v>
      </c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3">
        <f t="shared" si="0"/>
        <v>44976</v>
      </c>
      <c r="B23" s="20" t="str">
        <f>IF(梅田ここから4000[[#This Row],[人数]]=0,"",1)</f>
        <v/>
      </c>
      <c r="C23" s="14"/>
      <c r="D23" s="15"/>
      <c r="E23" s="21">
        <f>ROUNDDOWN(梅田ここから4000[[#This Row],[人数]]/8,0)</f>
        <v>0</v>
      </c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3">
        <f t="shared" si="1"/>
        <v>44976</v>
      </c>
      <c r="M23" s="20" t="str">
        <f>IF(梅田ここから3500[[#This Row],[人数]]=0,"",1)</f>
        <v/>
      </c>
      <c r="N23" s="14"/>
      <c r="O23" s="15"/>
      <c r="P23" s="21">
        <f>ROUNDDOWN(梅田ここから3500[[#This Row],[人数]]/8,0)</f>
        <v>0</v>
      </c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3">
        <f t="shared" si="0"/>
        <v>44977</v>
      </c>
      <c r="B24" s="20" t="str">
        <f>IF(梅田ここから4000[[#This Row],[人数]]=0,"",1)</f>
        <v/>
      </c>
      <c r="C24" s="14"/>
      <c r="D24" s="15"/>
      <c r="E24" s="21">
        <f>ROUNDDOWN(梅田ここから4000[[#This Row],[人数]]/8,0)</f>
        <v>0</v>
      </c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3">
        <f t="shared" si="1"/>
        <v>44977</v>
      </c>
      <c r="M24" s="20" t="str">
        <f>IF(梅田ここから3500[[#This Row],[人数]]=0,"",1)</f>
        <v/>
      </c>
      <c r="N24" s="14"/>
      <c r="O24" s="15"/>
      <c r="P24" s="21">
        <f>ROUNDDOWN(梅田ここから3500[[#This Row],[人数]]/8,0)</f>
        <v>0</v>
      </c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3">
        <f t="shared" si="0"/>
        <v>44978</v>
      </c>
      <c r="B25" s="20" t="str">
        <f>IF(梅田ここから4000[[#This Row],[人数]]=0,"",1)</f>
        <v/>
      </c>
      <c r="C25" s="14"/>
      <c r="D25" s="15"/>
      <c r="E25" s="21">
        <f>ROUNDDOWN(梅田ここから4000[[#This Row],[人数]]/8,0)</f>
        <v>0</v>
      </c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3">
        <f t="shared" si="1"/>
        <v>44978</v>
      </c>
      <c r="M25" s="20" t="str">
        <f>IF(梅田ここから3500[[#This Row],[人数]]=0,"",1)</f>
        <v/>
      </c>
      <c r="N25" s="14"/>
      <c r="O25" s="15"/>
      <c r="P25" s="21">
        <f>ROUNDDOWN(梅田ここから3500[[#This Row],[人数]]/8,0)</f>
        <v>0</v>
      </c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3">
        <f t="shared" si="0"/>
        <v>44979</v>
      </c>
      <c r="B26" s="20" t="str">
        <f>IF(梅田ここから4000[[#This Row],[人数]]=0,"",1)</f>
        <v/>
      </c>
      <c r="C26" s="14"/>
      <c r="D26" s="15"/>
      <c r="E26" s="21">
        <f>ROUNDDOWN(梅田ここから4000[[#This Row],[人数]]/8,0)</f>
        <v>0</v>
      </c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3">
        <f t="shared" si="1"/>
        <v>44979</v>
      </c>
      <c r="M26" s="20" t="str">
        <f>IF(梅田ここから3500[[#This Row],[人数]]=0,"",1)</f>
        <v/>
      </c>
      <c r="N26" s="14"/>
      <c r="O26" s="15"/>
      <c r="P26" s="21">
        <f>ROUNDDOWN(梅田ここから3500[[#This Row],[人数]]/8,0)</f>
        <v>0</v>
      </c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3">
        <f t="shared" si="0"/>
        <v>44980</v>
      </c>
      <c r="B27" s="20" t="str">
        <f>IF(梅田ここから4000[[#This Row],[人数]]=0,"",1)</f>
        <v/>
      </c>
      <c r="C27" s="14"/>
      <c r="D27" s="15"/>
      <c r="E27" s="21">
        <f>ROUNDDOWN(梅田ここから4000[[#This Row],[人数]]/8,0)</f>
        <v>0</v>
      </c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3">
        <f t="shared" si="1"/>
        <v>44980</v>
      </c>
      <c r="M27" s="20" t="str">
        <f>IF(梅田ここから3500[[#This Row],[人数]]=0,"",1)</f>
        <v/>
      </c>
      <c r="N27" s="14"/>
      <c r="O27" s="15"/>
      <c r="P27" s="21">
        <f>ROUNDDOWN(梅田ここから3500[[#This Row],[人数]]/8,0)</f>
        <v>0</v>
      </c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3">
        <f t="shared" si="0"/>
        <v>44981</v>
      </c>
      <c r="B28" s="20" t="str">
        <f>IF(梅田ここから4000[[#This Row],[人数]]=0,"",1)</f>
        <v/>
      </c>
      <c r="C28" s="14"/>
      <c r="D28" s="15"/>
      <c r="E28" s="21">
        <f>ROUNDDOWN(梅田ここから4000[[#This Row],[人数]]/8,0)</f>
        <v>0</v>
      </c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3">
        <f t="shared" si="1"/>
        <v>44981</v>
      </c>
      <c r="M28" s="20" t="str">
        <f>IF(梅田ここから3500[[#This Row],[人数]]=0,"",1)</f>
        <v/>
      </c>
      <c r="N28" s="14"/>
      <c r="O28" s="15"/>
      <c r="P28" s="21">
        <f>ROUNDDOWN(梅田ここから3500[[#This Row],[人数]]/8,0)</f>
        <v>0</v>
      </c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3">
        <f t="shared" si="0"/>
        <v>44982</v>
      </c>
      <c r="B29" s="20" t="str">
        <f>IF(梅田ここから4000[[#This Row],[人数]]=0,"",1)</f>
        <v/>
      </c>
      <c r="C29" s="14"/>
      <c r="D29" s="15"/>
      <c r="E29" s="21">
        <f>ROUNDDOWN(梅田ここから4000[[#This Row],[人数]]/8,0)</f>
        <v>0</v>
      </c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3">
        <f t="shared" si="1"/>
        <v>44982</v>
      </c>
      <c r="M29" s="20" t="str">
        <f>IF(梅田ここから3500[[#This Row],[人数]]=0,"",1)</f>
        <v/>
      </c>
      <c r="N29" s="14"/>
      <c r="O29" s="15"/>
      <c r="P29" s="21">
        <f>ROUNDDOWN(梅田ここから3500[[#This Row],[人数]]/8,0)</f>
        <v>0</v>
      </c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3">
        <f t="shared" si="0"/>
        <v>44983</v>
      </c>
      <c r="B30" s="20" t="str">
        <f>IF(梅田ここから4000[[#This Row],[人数]]=0,"",1)</f>
        <v/>
      </c>
      <c r="C30" s="14"/>
      <c r="D30" s="15"/>
      <c r="E30" s="21">
        <f>ROUNDDOWN(梅田ここから4000[[#This Row],[人数]]/8,0)</f>
        <v>0</v>
      </c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3">
        <f t="shared" si="1"/>
        <v>44983</v>
      </c>
      <c r="M30" s="20" t="str">
        <f>IF(梅田ここから3500[[#This Row],[人数]]=0,"",1)</f>
        <v/>
      </c>
      <c r="N30" s="14"/>
      <c r="O30" s="15"/>
      <c r="P30" s="21">
        <f>ROUNDDOWN(梅田ここから3500[[#This Row],[人数]]/8,0)</f>
        <v>0</v>
      </c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3">
        <f t="shared" si="0"/>
        <v>44984</v>
      </c>
      <c r="B31" s="20" t="str">
        <f>IF(梅田ここから4000[[#This Row],[人数]]=0,"",1)</f>
        <v/>
      </c>
      <c r="C31" s="14"/>
      <c r="D31" s="15"/>
      <c r="E31" s="21">
        <f>ROUNDDOWN(梅田ここから4000[[#This Row],[人数]]/8,0)</f>
        <v>0</v>
      </c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3">
        <f t="shared" si="1"/>
        <v>44984</v>
      </c>
      <c r="M31" s="20" t="str">
        <f>IF(梅田ここから3500[[#This Row],[人数]]=0,"",1)</f>
        <v/>
      </c>
      <c r="N31" s="14"/>
      <c r="O31" s="15"/>
      <c r="P31" s="21">
        <f>ROUNDDOWN(梅田ここから3500[[#This Row],[人数]]/8,0)</f>
        <v>0</v>
      </c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3">
        <f t="shared" si="0"/>
        <v>44985</v>
      </c>
      <c r="B32" s="20" t="str">
        <f>IF(梅田ここから4000[[#This Row],[人数]]=0,"",1)</f>
        <v/>
      </c>
      <c r="C32" s="14"/>
      <c r="D32" s="15"/>
      <c r="E32" s="21">
        <f>ROUNDDOWN(梅田ここから4000[[#This Row],[人数]]/8,0)</f>
        <v>0</v>
      </c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3">
        <f t="shared" si="1"/>
        <v>44985</v>
      </c>
      <c r="M32" s="20" t="str">
        <f>IF(梅田ここから3500[[#This Row],[人数]]=0,"",1)</f>
        <v/>
      </c>
      <c r="N32" s="14"/>
      <c r="O32" s="15"/>
      <c r="P32" s="21">
        <f>ROUNDDOWN(梅田ここから3500[[#This Row],[人数]]/8,0)</f>
        <v>0</v>
      </c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3" t="str">
        <f t="shared" si="0"/>
        <v/>
      </c>
      <c r="B33" s="20" t="str">
        <f>IF(梅田ここから4000[[#This Row],[人数]]=0,"",1)</f>
        <v/>
      </c>
      <c r="C33" s="14"/>
      <c r="D33" s="15"/>
      <c r="E33" s="21">
        <f>ROUNDDOWN(梅田ここから4000[[#This Row],[人数]]/8,0)</f>
        <v>0</v>
      </c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3" t="str">
        <f t="shared" si="1"/>
        <v/>
      </c>
      <c r="M33" s="20" t="str">
        <f>IF(梅田ここから3500[[#This Row],[人数]]=0,"",1)</f>
        <v/>
      </c>
      <c r="N33" s="14"/>
      <c r="O33" s="15"/>
      <c r="P33" s="21">
        <f>ROUNDDOWN(梅田ここから3500[[#This Row],[人数]]/8,0)</f>
        <v>0</v>
      </c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3" t="str">
        <f t="shared" si="0"/>
        <v/>
      </c>
      <c r="B34" s="20" t="str">
        <f>IF(梅田ここから4000[[#This Row],[人数]]=0,"",1)</f>
        <v/>
      </c>
      <c r="C34" s="14"/>
      <c r="D34" s="15"/>
      <c r="E34" s="21">
        <f>ROUNDDOWN(梅田ここから4000[[#This Row],[人数]]/8,0)</f>
        <v>0</v>
      </c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3" t="str">
        <f t="shared" si="1"/>
        <v/>
      </c>
      <c r="M34" s="20" t="str">
        <f>IF(梅田ここから3500[[#This Row],[人数]]=0,"",1)</f>
        <v/>
      </c>
      <c r="N34" s="14"/>
      <c r="O34" s="15"/>
      <c r="P34" s="21">
        <f>ROUNDDOWN(梅田ここから3500[[#This Row],[人数]]/8,0)</f>
        <v>0</v>
      </c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74" t="str">
        <f t="shared" si="0"/>
        <v/>
      </c>
      <c r="B35" s="20" t="str">
        <f>IF(梅田ここから4000[[#This Row],[人数]]=0,"",1)</f>
        <v/>
      </c>
      <c r="C35" s="18"/>
      <c r="D35" s="19"/>
      <c r="E35" s="21">
        <f>ROUNDDOWN(梅田ここから4000[[#This Row],[人数]]/8,0)</f>
        <v>0</v>
      </c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74" t="str">
        <f t="shared" si="1"/>
        <v/>
      </c>
      <c r="M35" s="20" t="str">
        <f>IF(梅田ここから3500[[#This Row],[人数]]=0,"",1)</f>
        <v/>
      </c>
      <c r="N35" s="18"/>
      <c r="O35" s="19"/>
      <c r="P35" s="21">
        <f>ROUNDDOWN(梅田ここから3500[[#This Row],[人数]]/8,0)</f>
        <v>0</v>
      </c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69" t="s">
        <v>322</v>
      </c>
      <c r="B36" s="16">
        <f>SUM(梅田ここから4000[[#All],[件数]])</f>
        <v>0</v>
      </c>
      <c r="C36" s="6"/>
      <c r="D36" s="16">
        <f>SUM(梅田ここから4000[[#All],[人数]])</f>
        <v>0</v>
      </c>
      <c r="E36" s="16">
        <f>SUM(梅田ここから4000[[#All],[8件以上件数]])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6" t="s">
        <v>211</v>
      </c>
      <c r="M36" s="16">
        <f>SUM(梅田ここから3500[[#All],[件数]])</f>
        <v>0</v>
      </c>
      <c r="N36" s="6"/>
      <c r="O36" s="16">
        <f>SUM(梅田ここから3500[[#All],[人数]])</f>
        <v>0</v>
      </c>
      <c r="P36" s="16">
        <f>SUM(梅田ここから3500[[#All],[8件以上件数]])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zoomScale="70" zoomScaleNormal="70" workbookViewId="0">
      <pane ySplit="4" topLeftCell="A5" activePane="bottomLeft" state="frozen"/>
      <selection pane="bottomLeft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4.84375" style="8" bestFit="1" customWidth="1"/>
    <col min="6" max="6" width="11.6914062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G1" s="93" t="s">
        <v>541</v>
      </c>
    </row>
    <row r="2" spans="1:21">
      <c r="A2" s="46" t="s">
        <v>371</v>
      </c>
      <c r="B2" s="8">
        <v>1300</v>
      </c>
      <c r="G2" s="93" t="s">
        <v>542</v>
      </c>
    </row>
    <row r="3" spans="1:21">
      <c r="A3" s="46" t="s">
        <v>375</v>
      </c>
      <c r="B3" s="8">
        <v>4000</v>
      </c>
      <c r="C3" s="46" t="s">
        <v>518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568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20" t="str">
        <f>IF(三ノ宮Barさんかく4000[[#This Row],[人数]]=0,"",1)</f>
        <v/>
      </c>
      <c r="C5" s="14"/>
      <c r="D5" s="15"/>
      <c r="E5" s="21">
        <f>ROUNDDOWN(三ノ宮Barさんかく4000[[#This Row],[人数]]/8,0)</f>
        <v>0</v>
      </c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28">
        <f>IF(DAY(DATE(名前リスト!$N$1,名前リスト!$O$1,ROW()-4))=ROW()-4,DATE(名前リスト!$N$1,名前リスト!$O$1,ROW()-4),"")</f>
        <v>44958</v>
      </c>
      <c r="M5" s="20" t="str">
        <f>IF(三ノ宮Barさんかく3500[[#This Row],[人数]]=0,"",1)</f>
        <v/>
      </c>
      <c r="N5" s="14"/>
      <c r="O5" s="15"/>
      <c r="P5" s="21">
        <f>ROUNDDOWN(三ノ宮Barさんかく3500[[#This Row],[人数]]/8,0)</f>
        <v>0</v>
      </c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20" t="str">
        <f>IF(三ノ宮Barさんかく4000[[#This Row],[人数]]=0,"",1)</f>
        <v/>
      </c>
      <c r="C6" s="14"/>
      <c r="D6" s="15"/>
      <c r="E6" s="21">
        <f>ROUNDDOWN(三ノ宮Barさんかく4000[[#This Row],[人数]]/8,0)</f>
        <v>0</v>
      </c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3">
        <f>IFERROR(IF(DATE(YEAR($A$5),MONTH($A$5),DAY($A$5))=DATE(YEAR(L5),MONTH(L5),DAY(L5+1)),"",DATE(YEAR(L5),MONTH(L5),DAY(L5+1))),"")</f>
        <v>44959</v>
      </c>
      <c r="M6" s="20" t="str">
        <f>IF(三ノ宮Barさんかく3500[[#This Row],[人数]]=0,"",1)</f>
        <v/>
      </c>
      <c r="N6" s="14"/>
      <c r="O6" s="15"/>
      <c r="P6" s="21">
        <f>ROUNDDOWN(三ノ宮Barさんかく3500[[#This Row],[人数]]/8,0)</f>
        <v>0</v>
      </c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20" t="str">
        <f>IF(三ノ宮Barさんかく4000[[#This Row],[人数]]=0,"",1)</f>
        <v/>
      </c>
      <c r="C7" s="14"/>
      <c r="D7" s="15"/>
      <c r="E7" s="21">
        <f>ROUNDDOWN(三ノ宮Barさんかく4000[[#This Row],[人数]]/8,0)</f>
        <v>0</v>
      </c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20" t="str">
        <f>IF(三ノ宮Barさんかく3500[[#This Row],[人数]]=0,"",1)</f>
        <v/>
      </c>
      <c r="N7" s="14"/>
      <c r="O7" s="15"/>
      <c r="P7" s="21">
        <f>ROUNDDOWN(三ノ宮Barさんかく3500[[#This Row],[人数]]/8,0)</f>
        <v>0</v>
      </c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3">
        <f t="shared" si="0"/>
        <v>44961</v>
      </c>
      <c r="B8" s="20" t="str">
        <f>IF(三ノ宮Barさんかく4000[[#This Row],[人数]]=0,"",1)</f>
        <v/>
      </c>
      <c r="C8" s="14"/>
      <c r="D8" s="15"/>
      <c r="E8" s="21">
        <f>ROUNDDOWN(三ノ宮Barさんかく4000[[#This Row],[人数]]/8,0)</f>
        <v>0</v>
      </c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3">
        <f t="shared" si="1"/>
        <v>44961</v>
      </c>
      <c r="M8" s="20" t="str">
        <f>IF(三ノ宮Barさんかく3500[[#This Row],[人数]]=0,"",1)</f>
        <v/>
      </c>
      <c r="N8" s="14"/>
      <c r="O8" s="15"/>
      <c r="P8" s="21">
        <f>ROUNDDOWN(三ノ宮Barさんかく3500[[#This Row],[人数]]/8,0)</f>
        <v>0</v>
      </c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3">
        <f t="shared" si="0"/>
        <v>44962</v>
      </c>
      <c r="B9" s="20" t="str">
        <f>IF(三ノ宮Barさんかく4000[[#This Row],[人数]]=0,"",1)</f>
        <v/>
      </c>
      <c r="C9" s="14"/>
      <c r="D9" s="15"/>
      <c r="E9" s="21">
        <f>ROUNDDOWN(三ノ宮Barさんかく4000[[#This Row],[人数]]/8,0)</f>
        <v>0</v>
      </c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3">
        <f t="shared" si="1"/>
        <v>44962</v>
      </c>
      <c r="M9" s="20" t="str">
        <f>IF(三ノ宮Barさんかく3500[[#This Row],[人数]]=0,"",1)</f>
        <v/>
      </c>
      <c r="N9" s="14"/>
      <c r="O9" s="15"/>
      <c r="P9" s="21">
        <f>ROUNDDOWN(三ノ宮Barさんかく3500[[#This Row],[人数]]/8,0)</f>
        <v>0</v>
      </c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3">
        <f t="shared" si="0"/>
        <v>44963</v>
      </c>
      <c r="B10" s="20" t="str">
        <f>IF(三ノ宮Barさんかく4000[[#This Row],[人数]]=0,"",1)</f>
        <v/>
      </c>
      <c r="C10" s="14"/>
      <c r="D10" s="15"/>
      <c r="E10" s="21">
        <f>ROUNDDOWN(三ノ宮Barさんかく4000[[#This Row],[人数]]/8,0)</f>
        <v>0</v>
      </c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3">
        <f t="shared" si="1"/>
        <v>44963</v>
      </c>
      <c r="M10" s="20" t="str">
        <f>IF(三ノ宮Barさんかく3500[[#This Row],[人数]]=0,"",1)</f>
        <v/>
      </c>
      <c r="N10" s="14"/>
      <c r="O10" s="15"/>
      <c r="P10" s="21">
        <f>ROUNDDOWN(三ノ宮Barさんかく3500[[#This Row],[人数]]/8,0)</f>
        <v>0</v>
      </c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3">
        <f t="shared" si="0"/>
        <v>44964</v>
      </c>
      <c r="B11" s="20" t="str">
        <f>IF(三ノ宮Barさんかく4000[[#This Row],[人数]]=0,"",1)</f>
        <v/>
      </c>
      <c r="C11" s="14"/>
      <c r="D11" s="15"/>
      <c r="E11" s="21">
        <f>ROUNDDOWN(三ノ宮Barさんかく4000[[#This Row],[人数]]/8,0)</f>
        <v>0</v>
      </c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3">
        <f t="shared" si="1"/>
        <v>44964</v>
      </c>
      <c r="M11" s="20" t="str">
        <f>IF(三ノ宮Barさんかく3500[[#This Row],[人数]]=0,"",1)</f>
        <v/>
      </c>
      <c r="N11" s="14"/>
      <c r="O11" s="15"/>
      <c r="P11" s="21">
        <f>ROUNDDOWN(三ノ宮Barさんかく3500[[#This Row],[人数]]/8,0)</f>
        <v>0</v>
      </c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3">
        <f t="shared" si="0"/>
        <v>44965</v>
      </c>
      <c r="B12" s="20" t="str">
        <f>IF(三ノ宮Barさんかく4000[[#This Row],[人数]]=0,"",1)</f>
        <v/>
      </c>
      <c r="C12" s="14"/>
      <c r="D12" s="15"/>
      <c r="E12" s="21">
        <f>ROUNDDOWN(三ノ宮Barさんかく4000[[#This Row],[人数]]/8,0)</f>
        <v>0</v>
      </c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3">
        <f t="shared" si="1"/>
        <v>44965</v>
      </c>
      <c r="M12" s="20" t="str">
        <f>IF(三ノ宮Barさんかく3500[[#This Row],[人数]]=0,"",1)</f>
        <v/>
      </c>
      <c r="N12" s="14"/>
      <c r="O12" s="15"/>
      <c r="P12" s="21">
        <f>ROUNDDOWN(三ノ宮Barさんかく3500[[#This Row],[人数]]/8,0)</f>
        <v>0</v>
      </c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3">
        <f t="shared" si="0"/>
        <v>44966</v>
      </c>
      <c r="B13" s="20" t="str">
        <f>IF(三ノ宮Barさんかく4000[[#This Row],[人数]]=0,"",1)</f>
        <v/>
      </c>
      <c r="C13" s="14"/>
      <c r="D13" s="15"/>
      <c r="E13" s="21">
        <f>ROUNDDOWN(三ノ宮Barさんかく4000[[#This Row],[人数]]/8,0)</f>
        <v>0</v>
      </c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3">
        <f t="shared" si="1"/>
        <v>44966</v>
      </c>
      <c r="M13" s="20" t="str">
        <f>IF(三ノ宮Barさんかく3500[[#This Row],[人数]]=0,"",1)</f>
        <v/>
      </c>
      <c r="N13" s="14"/>
      <c r="O13" s="15"/>
      <c r="P13" s="21">
        <f>ROUNDDOWN(三ノ宮Barさんかく3500[[#This Row],[人数]]/8,0)</f>
        <v>0</v>
      </c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3">
        <f t="shared" si="0"/>
        <v>44967</v>
      </c>
      <c r="B14" s="20" t="str">
        <f>IF(三ノ宮Barさんかく4000[[#This Row],[人数]]=0,"",1)</f>
        <v/>
      </c>
      <c r="C14" s="14"/>
      <c r="D14" s="15"/>
      <c r="E14" s="21">
        <f>ROUNDDOWN(三ノ宮Barさんかく4000[[#This Row],[人数]]/8,0)</f>
        <v>0</v>
      </c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3">
        <f t="shared" si="1"/>
        <v>44967</v>
      </c>
      <c r="M14" s="20" t="str">
        <f>IF(三ノ宮Barさんかく3500[[#This Row],[人数]]=0,"",1)</f>
        <v/>
      </c>
      <c r="N14" s="14"/>
      <c r="O14" s="15"/>
      <c r="P14" s="21">
        <f>ROUNDDOWN(三ノ宮Barさんかく3500[[#This Row],[人数]]/8,0)</f>
        <v>0</v>
      </c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3">
        <f t="shared" si="0"/>
        <v>44968</v>
      </c>
      <c r="B15" s="20" t="str">
        <f>IF(三ノ宮Barさんかく4000[[#This Row],[人数]]=0,"",1)</f>
        <v/>
      </c>
      <c r="C15" s="14"/>
      <c r="D15" s="15"/>
      <c r="E15" s="21">
        <f>ROUNDDOWN(三ノ宮Barさんかく4000[[#This Row],[人数]]/8,0)</f>
        <v>0</v>
      </c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3">
        <f t="shared" si="1"/>
        <v>44968</v>
      </c>
      <c r="M15" s="20" t="str">
        <f>IF(三ノ宮Barさんかく3500[[#This Row],[人数]]=0,"",1)</f>
        <v/>
      </c>
      <c r="N15" s="14"/>
      <c r="O15" s="15"/>
      <c r="P15" s="21">
        <f>ROUNDDOWN(三ノ宮Barさんかく3500[[#This Row],[人数]]/8,0)</f>
        <v>0</v>
      </c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3">
        <f t="shared" si="0"/>
        <v>44969</v>
      </c>
      <c r="B16" s="20" t="str">
        <f>IF(三ノ宮Barさんかく4000[[#This Row],[人数]]=0,"",1)</f>
        <v/>
      </c>
      <c r="C16" s="14"/>
      <c r="D16" s="15"/>
      <c r="E16" s="21">
        <f>ROUNDDOWN(三ノ宮Barさんかく4000[[#This Row],[人数]]/8,0)</f>
        <v>0</v>
      </c>
      <c r="F1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6" s="16" t="str">
        <f>IFERROR(($B$3*三ノ宮Barさんかく4000[[#This Row],[人数]])-三ノ宮Barさんかく4000[[#This Row],[単価合計]]-(三ノ宮Barさんかく4000[[#This Row],[キャンセル人数]]*$B$2),"")</f>
        <v/>
      </c>
      <c r="H1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6" s="15"/>
      <c r="J16" s="16" t="str">
        <f>IF(三ノ宮Barさんかく4000[[#This Row],[人数]]="","",VLOOKUP(三ノ宮Barさんかく4000[[#This Row],[人数]],バック金額②[#All],2,TRUE))</f>
        <v/>
      </c>
      <c r="L16" s="63">
        <f t="shared" si="1"/>
        <v>44969</v>
      </c>
      <c r="M16" s="20" t="str">
        <f>IF(三ノ宮Barさんかく3500[[#This Row],[人数]]=0,"",1)</f>
        <v/>
      </c>
      <c r="N16" s="14"/>
      <c r="O16" s="15"/>
      <c r="P16" s="21">
        <f>ROUNDDOWN(三ノ宮Barさんかく3500[[#This Row],[人数]]/8,0)</f>
        <v>0</v>
      </c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3">
        <f t="shared" si="0"/>
        <v>44970</v>
      </c>
      <c r="B17" s="20" t="str">
        <f>IF(三ノ宮Barさんかく4000[[#This Row],[人数]]=0,"",1)</f>
        <v/>
      </c>
      <c r="C17" s="14"/>
      <c r="D17" s="15"/>
      <c r="E17" s="21">
        <f>ROUNDDOWN(三ノ宮Barさんかく4000[[#This Row],[人数]]/8,0)</f>
        <v>0</v>
      </c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3">
        <f t="shared" si="1"/>
        <v>44970</v>
      </c>
      <c r="M17" s="20" t="str">
        <f>IF(三ノ宮Barさんかく3500[[#This Row],[人数]]=0,"",1)</f>
        <v/>
      </c>
      <c r="N17" s="14"/>
      <c r="O17" s="15"/>
      <c r="P17" s="21">
        <f>ROUNDDOWN(三ノ宮Barさんかく3500[[#This Row],[人数]]/8,0)</f>
        <v>0</v>
      </c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3">
        <f t="shared" si="0"/>
        <v>44971</v>
      </c>
      <c r="B18" s="20" t="str">
        <f>IF(三ノ宮Barさんかく4000[[#This Row],[人数]]=0,"",1)</f>
        <v/>
      </c>
      <c r="C18" s="14"/>
      <c r="D18" s="15"/>
      <c r="E18" s="21">
        <f>ROUNDDOWN(三ノ宮Barさんかく4000[[#This Row],[人数]]/8,0)</f>
        <v>0</v>
      </c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3">
        <f t="shared" si="1"/>
        <v>44971</v>
      </c>
      <c r="M18" s="20" t="str">
        <f>IF(三ノ宮Barさんかく3500[[#This Row],[人数]]=0,"",1)</f>
        <v/>
      </c>
      <c r="N18" s="14"/>
      <c r="O18" s="15"/>
      <c r="P18" s="21">
        <f>ROUNDDOWN(三ノ宮Barさんかく3500[[#This Row],[人数]]/8,0)</f>
        <v>0</v>
      </c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3">
        <f t="shared" si="0"/>
        <v>44972</v>
      </c>
      <c r="B19" s="20">
        <f>IF(三ノ宮Barさんかく4000[[#This Row],[人数]]=0,"",1)</f>
        <v>1</v>
      </c>
      <c r="C19" s="14">
        <v>0</v>
      </c>
      <c r="D19" s="15">
        <v>12</v>
      </c>
      <c r="E19" s="21">
        <f>ROUNDDOWN(三ノ宮Barさんかく4000[[#This Row],[人数]]/8,0)</f>
        <v>1</v>
      </c>
      <c r="F19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27500</v>
      </c>
      <c r="G19" s="16">
        <f>IFERROR(($B$3*三ノ宮Barさんかく4000[[#This Row],[人数]])-三ノ宮Barさんかく4000[[#This Row],[単価合計]]-(三ノ宮Barさんかく4000[[#This Row],[キャンセル人数]]*$B$2),"")</f>
        <v>20500</v>
      </c>
      <c r="H19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19" s="15"/>
      <c r="J19" s="16">
        <f>IF(三ノ宮Barさんかく4000[[#This Row],[人数]]="","",VLOOKUP(三ノ宮Barさんかく4000[[#This Row],[人数]],バック金額②[#All],2,TRUE))</f>
        <v>13000</v>
      </c>
      <c r="L19" s="63">
        <f t="shared" si="1"/>
        <v>44972</v>
      </c>
      <c r="M19" s="20" t="str">
        <f>IF(三ノ宮Barさんかく3500[[#This Row],[人数]]=0,"",1)</f>
        <v/>
      </c>
      <c r="N19" s="14"/>
      <c r="O19" s="15"/>
      <c r="P19" s="21">
        <f>ROUNDDOWN(三ノ宮Barさんかく3500[[#This Row],[人数]]/8,0)</f>
        <v>0</v>
      </c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3">
        <f t="shared" si="0"/>
        <v>44973</v>
      </c>
      <c r="B20" s="20" t="str">
        <f>IF(三ノ宮Barさんかく4000[[#This Row],[人数]]=0,"",1)</f>
        <v/>
      </c>
      <c r="C20" s="14"/>
      <c r="D20" s="15"/>
      <c r="E20" s="21">
        <f>ROUNDDOWN(三ノ宮Barさんかく4000[[#This Row],[人数]]/8,0)</f>
        <v>0</v>
      </c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3">
        <f t="shared" si="1"/>
        <v>44973</v>
      </c>
      <c r="M20" s="20" t="str">
        <f>IF(三ノ宮Barさんかく3500[[#This Row],[人数]]=0,"",1)</f>
        <v/>
      </c>
      <c r="N20" s="14"/>
      <c r="O20" s="15"/>
      <c r="P20" s="21">
        <f>ROUNDDOWN(三ノ宮Barさんかく3500[[#This Row],[人数]]/8,0)</f>
        <v>0</v>
      </c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3">
        <f t="shared" si="0"/>
        <v>44974</v>
      </c>
      <c r="B21" s="20">
        <f>IF(三ノ宮Barさんかく4000[[#This Row],[人数]]=0,"",1)</f>
        <v>1</v>
      </c>
      <c r="C21" s="14">
        <v>0</v>
      </c>
      <c r="D21" s="15">
        <v>8</v>
      </c>
      <c r="E21" s="21">
        <f>ROUNDDOWN(三ノ宮Barさんかく4000[[#This Row],[人数]]/8,0)</f>
        <v>1</v>
      </c>
      <c r="F21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21" s="16">
        <f>IFERROR(($B$3*三ノ宮Barさんかく4000[[#This Row],[人数]])-三ノ宮Barさんかく4000[[#This Row],[単価合計]]-(三ノ宮Barさんかく4000[[#This Row],[キャンセル人数]]*$B$2),"")</f>
        <v>14500</v>
      </c>
      <c r="H21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21" s="15"/>
      <c r="J21" s="16">
        <f>IF(三ノ宮Barさんかく4000[[#This Row],[人数]]="","",VLOOKUP(三ノ宮Barさんかく4000[[#This Row],[人数]],バック金額②[#All],2,TRUE))</f>
        <v>9000</v>
      </c>
      <c r="L21" s="63">
        <f t="shared" si="1"/>
        <v>44974</v>
      </c>
      <c r="M21" s="20" t="str">
        <f>IF(三ノ宮Barさんかく3500[[#This Row],[人数]]=0,"",1)</f>
        <v/>
      </c>
      <c r="N21" s="14"/>
      <c r="O21" s="15"/>
      <c r="P21" s="21">
        <f>ROUNDDOWN(三ノ宮Barさんかく3500[[#This Row],[人数]]/8,0)</f>
        <v>0</v>
      </c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3">
        <f t="shared" si="0"/>
        <v>44975</v>
      </c>
      <c r="B22" s="20" t="str">
        <f>IF(三ノ宮Barさんかく4000[[#This Row],[人数]]=0,"",1)</f>
        <v/>
      </c>
      <c r="C22" s="14"/>
      <c r="D22" s="15"/>
      <c r="E22" s="21">
        <f>ROUNDDOWN(三ノ宮Barさんかく4000[[#This Row],[人数]]/8,0)</f>
        <v>0</v>
      </c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3">
        <f t="shared" si="1"/>
        <v>44975</v>
      </c>
      <c r="M22" s="20" t="str">
        <f>IF(三ノ宮Barさんかく3500[[#This Row],[人数]]=0,"",1)</f>
        <v/>
      </c>
      <c r="N22" s="14"/>
      <c r="O22" s="15"/>
      <c r="P22" s="21">
        <f>ROUNDDOWN(三ノ宮Barさんかく3500[[#This Row],[人数]]/8,0)</f>
        <v>0</v>
      </c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3">
        <f t="shared" si="0"/>
        <v>44976</v>
      </c>
      <c r="B23" s="20" t="str">
        <f>IF(三ノ宮Barさんかく4000[[#This Row],[人数]]=0,"",1)</f>
        <v/>
      </c>
      <c r="C23" s="14"/>
      <c r="D23" s="15"/>
      <c r="E23" s="21">
        <f>ROUNDDOWN(三ノ宮Barさんかく4000[[#This Row],[人数]]/8,0)</f>
        <v>0</v>
      </c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3">
        <f t="shared" si="1"/>
        <v>44976</v>
      </c>
      <c r="M23" s="20" t="str">
        <f>IF(三ノ宮Barさんかく3500[[#This Row],[人数]]=0,"",1)</f>
        <v/>
      </c>
      <c r="N23" s="14"/>
      <c r="O23" s="15"/>
      <c r="P23" s="21">
        <f>ROUNDDOWN(三ノ宮Barさんかく3500[[#This Row],[人数]]/8,0)</f>
        <v>0</v>
      </c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3">
        <f t="shared" si="0"/>
        <v>44977</v>
      </c>
      <c r="B24" s="20" t="str">
        <f>IF(三ノ宮Barさんかく4000[[#This Row],[人数]]=0,"",1)</f>
        <v/>
      </c>
      <c r="C24" s="14"/>
      <c r="D24" s="15"/>
      <c r="E24" s="21">
        <f>ROUNDDOWN(三ノ宮Barさんかく4000[[#This Row],[人数]]/8,0)</f>
        <v>0</v>
      </c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3">
        <f t="shared" si="1"/>
        <v>44977</v>
      </c>
      <c r="M24" s="20" t="str">
        <f>IF(三ノ宮Barさんかく3500[[#This Row],[人数]]=0,"",1)</f>
        <v/>
      </c>
      <c r="N24" s="14"/>
      <c r="O24" s="15"/>
      <c r="P24" s="21">
        <f>ROUNDDOWN(三ノ宮Barさんかく3500[[#This Row],[人数]]/8,0)</f>
        <v>0</v>
      </c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3">
        <f t="shared" si="0"/>
        <v>44978</v>
      </c>
      <c r="B25" s="20" t="str">
        <f>IF(三ノ宮Barさんかく4000[[#This Row],[人数]]=0,"",1)</f>
        <v/>
      </c>
      <c r="C25" s="14"/>
      <c r="D25" s="15"/>
      <c r="E25" s="21">
        <f>ROUNDDOWN(三ノ宮Barさんかく4000[[#This Row],[人数]]/8,0)</f>
        <v>0</v>
      </c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3">
        <f t="shared" si="1"/>
        <v>44978</v>
      </c>
      <c r="M25" s="20" t="str">
        <f>IF(三ノ宮Barさんかく3500[[#This Row],[人数]]=0,"",1)</f>
        <v/>
      </c>
      <c r="N25" s="14"/>
      <c r="O25" s="15"/>
      <c r="P25" s="21">
        <f>ROUNDDOWN(三ノ宮Barさんかく3500[[#This Row],[人数]]/8,0)</f>
        <v>0</v>
      </c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3">
        <f t="shared" si="0"/>
        <v>44979</v>
      </c>
      <c r="B26" s="20" t="str">
        <f>IF(三ノ宮Barさんかく4000[[#This Row],[人数]]=0,"",1)</f>
        <v/>
      </c>
      <c r="C26" s="14"/>
      <c r="D26" s="15"/>
      <c r="E26" s="21">
        <f>ROUNDDOWN(三ノ宮Barさんかく4000[[#This Row],[人数]]/8,0)</f>
        <v>0</v>
      </c>
      <c r="F2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6" s="16" t="str">
        <f>IFERROR(($B$3*三ノ宮Barさんかく4000[[#This Row],[人数]])-三ノ宮Barさんかく4000[[#This Row],[単価合計]]-(三ノ宮Barさんかく4000[[#This Row],[キャンセル人数]]*$B$2),"")</f>
        <v/>
      </c>
      <c r="H2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6" s="15"/>
      <c r="J26" s="16" t="str">
        <f>IF(三ノ宮Barさんかく4000[[#This Row],[人数]]="","",VLOOKUP(三ノ宮Barさんかく4000[[#This Row],[人数]],バック金額②[#All],2,TRUE))</f>
        <v/>
      </c>
      <c r="L26" s="63">
        <f t="shared" si="1"/>
        <v>44979</v>
      </c>
      <c r="M26" s="20" t="str">
        <f>IF(三ノ宮Barさんかく3500[[#This Row],[人数]]=0,"",1)</f>
        <v/>
      </c>
      <c r="N26" s="14"/>
      <c r="O26" s="15"/>
      <c r="P26" s="21">
        <f>ROUNDDOWN(三ノ宮Barさんかく3500[[#This Row],[人数]]/8,0)</f>
        <v>0</v>
      </c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3">
        <f t="shared" si="0"/>
        <v>44980</v>
      </c>
      <c r="B27" s="20" t="str">
        <f>IF(三ノ宮Barさんかく4000[[#This Row],[人数]]=0,"",1)</f>
        <v/>
      </c>
      <c r="C27" s="14"/>
      <c r="D27" s="15"/>
      <c r="E27" s="21">
        <f>ROUNDDOWN(三ノ宮Barさんかく4000[[#This Row],[人数]]/8,0)</f>
        <v>0</v>
      </c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3">
        <f t="shared" si="1"/>
        <v>44980</v>
      </c>
      <c r="M27" s="20" t="str">
        <f>IF(三ノ宮Barさんかく3500[[#This Row],[人数]]=0,"",1)</f>
        <v/>
      </c>
      <c r="N27" s="14"/>
      <c r="O27" s="15"/>
      <c r="P27" s="21">
        <f>ROUNDDOWN(三ノ宮Barさんかく3500[[#This Row],[人数]]/8,0)</f>
        <v>0</v>
      </c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3">
        <f t="shared" si="0"/>
        <v>44981</v>
      </c>
      <c r="B28" s="20" t="str">
        <f>IF(三ノ宮Barさんかく4000[[#This Row],[人数]]=0,"",1)</f>
        <v/>
      </c>
      <c r="C28" s="14"/>
      <c r="D28" s="15"/>
      <c r="E28" s="21">
        <f>ROUNDDOWN(三ノ宮Barさんかく4000[[#This Row],[人数]]/8,0)</f>
        <v>0</v>
      </c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3">
        <f t="shared" si="1"/>
        <v>44981</v>
      </c>
      <c r="M28" s="20" t="str">
        <f>IF(三ノ宮Barさんかく3500[[#This Row],[人数]]=0,"",1)</f>
        <v/>
      </c>
      <c r="N28" s="14"/>
      <c r="O28" s="15"/>
      <c r="P28" s="21">
        <f>ROUNDDOWN(三ノ宮Barさんかく3500[[#This Row],[人数]]/8,0)</f>
        <v>0</v>
      </c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3">
        <f t="shared" si="0"/>
        <v>44982</v>
      </c>
      <c r="B29" s="20" t="str">
        <f>IF(三ノ宮Barさんかく4000[[#This Row],[人数]]=0,"",1)</f>
        <v/>
      </c>
      <c r="C29" s="14"/>
      <c r="D29" s="15"/>
      <c r="E29" s="21">
        <f>ROUNDDOWN(三ノ宮Barさんかく4000[[#This Row],[人数]]/8,0)</f>
        <v>0</v>
      </c>
      <c r="F2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9" s="16" t="str">
        <f>IFERROR(($B$3*三ノ宮Barさんかく4000[[#This Row],[人数]])-三ノ宮Barさんかく4000[[#This Row],[単価合計]]-(三ノ宮Barさんかく4000[[#This Row],[キャンセル人数]]*$B$2),"")</f>
        <v/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 t="str">
        <f>IF(三ノ宮Barさんかく4000[[#This Row],[人数]]="","",VLOOKUP(三ノ宮Barさんかく4000[[#This Row],[人数]],バック金額②[#All],2,TRUE))</f>
        <v/>
      </c>
      <c r="L29" s="63">
        <f t="shared" si="1"/>
        <v>44982</v>
      </c>
      <c r="M29" s="20" t="str">
        <f>IF(三ノ宮Barさんかく3500[[#This Row],[人数]]=0,"",1)</f>
        <v/>
      </c>
      <c r="N29" s="14"/>
      <c r="O29" s="15"/>
      <c r="P29" s="21">
        <f>ROUNDDOWN(三ノ宮Barさんかく3500[[#This Row],[人数]]/8,0)</f>
        <v>0</v>
      </c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3">
        <f t="shared" si="0"/>
        <v>44983</v>
      </c>
      <c r="B30" s="20" t="str">
        <f>IF(三ノ宮Barさんかく4000[[#This Row],[人数]]=0,"",1)</f>
        <v/>
      </c>
      <c r="C30" s="14"/>
      <c r="D30" s="15"/>
      <c r="E30" s="21">
        <f>ROUNDDOWN(三ノ宮Barさんかく4000[[#This Row],[人数]]/8,0)</f>
        <v>0</v>
      </c>
      <c r="F3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0" s="16" t="str">
        <f>IFERROR(($B$3*三ノ宮Barさんかく4000[[#This Row],[人数]])-三ノ宮Barさんかく4000[[#This Row],[単価合計]]-(三ノ宮Barさんかく4000[[#This Row],[キャンセル人数]]*$B$2),"")</f>
        <v/>
      </c>
      <c r="H3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0" s="15"/>
      <c r="J30" s="16" t="str">
        <f>IF(三ノ宮Barさんかく4000[[#This Row],[人数]]="","",VLOOKUP(三ノ宮Barさんかく4000[[#This Row],[人数]],バック金額②[#All],2,TRUE))</f>
        <v/>
      </c>
      <c r="L30" s="63">
        <f t="shared" si="1"/>
        <v>44983</v>
      </c>
      <c r="M30" s="20" t="str">
        <f>IF(三ノ宮Barさんかく3500[[#This Row],[人数]]=0,"",1)</f>
        <v/>
      </c>
      <c r="N30" s="14"/>
      <c r="O30" s="15"/>
      <c r="P30" s="21">
        <f>ROUNDDOWN(三ノ宮Barさんかく3500[[#This Row],[人数]]/8,0)</f>
        <v>0</v>
      </c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3">
        <f t="shared" si="0"/>
        <v>44984</v>
      </c>
      <c r="B31" s="20" t="str">
        <f>IF(三ノ宮Barさんかく4000[[#This Row],[人数]]=0,"",1)</f>
        <v/>
      </c>
      <c r="C31" s="14"/>
      <c r="D31" s="15"/>
      <c r="E31" s="21">
        <f>ROUNDDOWN(三ノ宮Barさんかく4000[[#This Row],[人数]]/8,0)</f>
        <v>0</v>
      </c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3">
        <f t="shared" si="1"/>
        <v>44984</v>
      </c>
      <c r="M31" s="20" t="str">
        <f>IF(三ノ宮Barさんかく3500[[#This Row],[人数]]=0,"",1)</f>
        <v/>
      </c>
      <c r="N31" s="14"/>
      <c r="O31" s="15"/>
      <c r="P31" s="21">
        <f>ROUNDDOWN(三ノ宮Barさんかく3500[[#This Row],[人数]]/8,0)</f>
        <v>0</v>
      </c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3">
        <f t="shared" si="0"/>
        <v>44985</v>
      </c>
      <c r="B32" s="20" t="str">
        <f>IF(三ノ宮Barさんかく4000[[#This Row],[人数]]=0,"",1)</f>
        <v/>
      </c>
      <c r="C32" s="14"/>
      <c r="D32" s="15"/>
      <c r="E32" s="21">
        <f>ROUNDDOWN(三ノ宮Barさんかく4000[[#This Row],[人数]]/8,0)</f>
        <v>0</v>
      </c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3">
        <f t="shared" si="1"/>
        <v>44985</v>
      </c>
      <c r="M32" s="20" t="str">
        <f>IF(三ノ宮Barさんかく3500[[#This Row],[人数]]=0,"",1)</f>
        <v/>
      </c>
      <c r="N32" s="14"/>
      <c r="O32" s="15"/>
      <c r="P32" s="21">
        <f>ROUNDDOWN(三ノ宮Barさんかく3500[[#This Row],[人数]]/8,0)</f>
        <v>0</v>
      </c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3" t="str">
        <f t="shared" si="0"/>
        <v/>
      </c>
      <c r="B33" s="20" t="str">
        <f>IF(三ノ宮Barさんかく4000[[#This Row],[人数]]=0,"",1)</f>
        <v/>
      </c>
      <c r="C33" s="14"/>
      <c r="D33" s="15"/>
      <c r="E33" s="21">
        <f>ROUNDDOWN(三ノ宮Barさんかく4000[[#This Row],[人数]]/8,0)</f>
        <v>0</v>
      </c>
      <c r="F3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3" s="16" t="str">
        <f>IFERROR(($B$3*三ノ宮Barさんかく4000[[#This Row],[人数]])-三ノ宮Barさんかく4000[[#This Row],[単価合計]]-(三ノ宮Barさんかく4000[[#This Row],[キャンセル人数]]*$B$2),"")</f>
        <v/>
      </c>
      <c r="H3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3" s="15"/>
      <c r="J33" s="16" t="str">
        <f>IF(三ノ宮Barさんかく4000[[#This Row],[人数]]="","",VLOOKUP(三ノ宮Barさんかく4000[[#This Row],[人数]],バック金額②[#All],2,TRUE))</f>
        <v/>
      </c>
      <c r="L33" s="63" t="str">
        <f t="shared" si="1"/>
        <v/>
      </c>
      <c r="M33" s="20" t="str">
        <f>IF(三ノ宮Barさんかく3500[[#This Row],[人数]]=0,"",1)</f>
        <v/>
      </c>
      <c r="N33" s="14"/>
      <c r="O33" s="15"/>
      <c r="P33" s="21">
        <f>ROUNDDOWN(三ノ宮Barさんかく3500[[#This Row],[人数]]/8,0)</f>
        <v>0</v>
      </c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3" t="str">
        <f t="shared" si="0"/>
        <v/>
      </c>
      <c r="B34" s="20" t="str">
        <f>IF(三ノ宮Barさんかく4000[[#This Row],[人数]]=0,"",1)</f>
        <v/>
      </c>
      <c r="C34" s="14"/>
      <c r="D34" s="15"/>
      <c r="E34" s="21">
        <f>ROUNDDOWN(三ノ宮Barさんかく4000[[#This Row],[人数]]/8,0)</f>
        <v>0</v>
      </c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3" t="str">
        <f t="shared" si="1"/>
        <v/>
      </c>
      <c r="M34" s="20" t="str">
        <f>IF(三ノ宮Barさんかく3500[[#This Row],[人数]]=0,"",1)</f>
        <v/>
      </c>
      <c r="N34" s="14"/>
      <c r="O34" s="15"/>
      <c r="P34" s="21">
        <f>ROUNDDOWN(三ノ宮Barさんかく3500[[#This Row],[人数]]/8,0)</f>
        <v>0</v>
      </c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3" t="str">
        <f t="shared" si="0"/>
        <v/>
      </c>
      <c r="B35" s="20" t="str">
        <f>IF(三ノ宮Barさんかく4000[[#This Row],[人数]]=0,"",1)</f>
        <v/>
      </c>
      <c r="C35" s="18"/>
      <c r="D35" s="19"/>
      <c r="E35" s="21">
        <f>ROUNDDOWN(三ノ宮Barさんかく4000[[#This Row],[人数]]/8,0)</f>
        <v>0</v>
      </c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3" t="str">
        <f t="shared" si="1"/>
        <v/>
      </c>
      <c r="M35" s="20" t="str">
        <f>IF(三ノ宮Barさんかく3500[[#This Row],[人数]]=0,"",1)</f>
        <v/>
      </c>
      <c r="N35" s="18"/>
      <c r="O35" s="19"/>
      <c r="P35" s="21">
        <f>ROUNDDOWN(三ノ宮Barさんかく3500[[#This Row],[人数]]/8,0)</f>
        <v>0</v>
      </c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64" t="s">
        <v>322</v>
      </c>
      <c r="B36" s="7">
        <f>SUM(三ノ宮Barさんかく4000[[#All],[件数]])</f>
        <v>2</v>
      </c>
      <c r="C36" s="6"/>
      <c r="D36" s="7">
        <f>SUM(三ノ宮Barさんかく4000[[#All],[人数]])</f>
        <v>20</v>
      </c>
      <c r="E36" s="7">
        <f>SUM(三ノ宮Barさんかく4000[[#All],[8件以上件数]])</f>
        <v>2</v>
      </c>
      <c r="F36" s="7">
        <f>SUM(三ノ宮Barさんかく4000[[#All],[単価合計]])</f>
        <v>45000</v>
      </c>
      <c r="G36" s="7">
        <f>SUM(三ノ宮Barさんかく4000[[#All],[ゆうき取りに行く]])</f>
        <v>35000</v>
      </c>
      <c r="H36" s="7"/>
      <c r="I36" s="7"/>
      <c r="J36" s="7">
        <f>SUM(三ノ宮Barさんかく4000[[#All],[イベンターへ]])</f>
        <v>22000</v>
      </c>
      <c r="L36" s="64" t="s">
        <v>322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SUM(三ノ宮Barさんかく3500[[#All],[8件以上件数]])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07421875" style="8" bestFit="1" customWidth="1"/>
    <col min="6" max="6" width="9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53515625" style="8" customWidth="1"/>
    <col min="14" max="14" width="17.53515625" style="8" customWidth="1"/>
    <col min="15" max="15" width="6.53515625" style="8" customWidth="1"/>
    <col min="16" max="16" width="13.07421875" style="8" bestFit="1" customWidth="1"/>
    <col min="17" max="17" width="9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28">
        <f>IF(DAY(DATE(名前リスト!$N$1,名前リスト!$O$1,ROW()-4))=ROW()-4,DATE(名前リスト!$N$1,名前リスト!$O$1,ROW()-4),"")</f>
        <v>44958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3">
        <f>IFERROR(IF(DATE(YEAR($A$5),MONTH($A$5),DAY($A$5))=DATE(YEAR(L5),MONTH(L5),DAY(L5+1)),"",DATE(YEAR(L5),MONTH(L5),DAY(L5+1))),"")</f>
        <v>44959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3">
        <f t="shared" si="0"/>
        <v>44961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3">
        <f t="shared" si="1"/>
        <v>44961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3">
        <f t="shared" si="0"/>
        <v>44962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3">
        <f t="shared" si="1"/>
        <v>44962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3">
        <f t="shared" si="0"/>
        <v>44963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3">
        <f t="shared" si="1"/>
        <v>44963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3">
        <f t="shared" si="0"/>
        <v>44964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3">
        <f t="shared" si="1"/>
        <v>44964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3">
        <f t="shared" si="0"/>
        <v>44965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3">
        <f t="shared" si="1"/>
        <v>44965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3">
        <f t="shared" si="0"/>
        <v>44966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3">
        <f t="shared" si="1"/>
        <v>44966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3">
        <f t="shared" si="0"/>
        <v>44967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3">
        <f t="shared" si="1"/>
        <v>44967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3">
        <f t="shared" si="0"/>
        <v>44968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3">
        <f t="shared" si="1"/>
        <v>44968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3">
        <f t="shared" si="0"/>
        <v>44969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3">
        <f t="shared" si="1"/>
        <v>44969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3">
        <f t="shared" si="0"/>
        <v>44970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3">
        <f t="shared" si="1"/>
        <v>44970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3">
        <f t="shared" si="0"/>
        <v>44971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3">
        <f t="shared" si="1"/>
        <v>44971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3">
        <f t="shared" si="0"/>
        <v>44972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3">
        <f t="shared" si="1"/>
        <v>44972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3">
        <f t="shared" si="0"/>
        <v>44973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3">
        <f t="shared" si="1"/>
        <v>44973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3">
        <f t="shared" si="0"/>
        <v>44974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3">
        <f t="shared" si="1"/>
        <v>44974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3">
        <f t="shared" si="0"/>
        <v>44975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3">
        <f t="shared" si="1"/>
        <v>44975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3">
        <f t="shared" si="0"/>
        <v>44976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3">
        <f t="shared" si="1"/>
        <v>44976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3">
        <f t="shared" si="0"/>
        <v>44977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3">
        <f t="shared" si="1"/>
        <v>44977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3">
        <f t="shared" si="0"/>
        <v>44978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3">
        <f t="shared" si="1"/>
        <v>44978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3">
        <f t="shared" si="0"/>
        <v>44979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3">
        <f t="shared" si="1"/>
        <v>44979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3">
        <f t="shared" si="0"/>
        <v>44980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3">
        <f t="shared" si="1"/>
        <v>44980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3">
        <f t="shared" si="0"/>
        <v>44981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3">
        <f t="shared" si="1"/>
        <v>44981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3">
        <f t="shared" si="0"/>
        <v>44982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3">
        <f t="shared" si="1"/>
        <v>44982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3">
        <f t="shared" si="0"/>
        <v>44983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3">
        <f t="shared" si="1"/>
        <v>44983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3">
        <f t="shared" si="0"/>
        <v>44984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3">
        <f t="shared" si="1"/>
        <v>44984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3">
        <f t="shared" si="0"/>
        <v>44985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3">
        <f t="shared" si="1"/>
        <v>44985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3" t="str">
        <f t="shared" si="0"/>
        <v/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3" t="str">
        <f t="shared" si="1"/>
        <v/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3" t="str">
        <f t="shared" si="0"/>
        <v/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3" t="str">
        <f t="shared" si="1"/>
        <v/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64" t="s">
        <v>322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64" t="s">
        <v>322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L26" sqref="L26"/>
    </sheetView>
  </sheetViews>
  <sheetFormatPr defaultColWidth="10.69140625" defaultRowHeight="20"/>
  <cols>
    <col min="1" max="1" width="20.69140625" style="29" bestFit="1" customWidth="1"/>
    <col min="2" max="2" width="5.53515625" style="29" customWidth="1"/>
    <col min="3" max="3" width="15.69140625" style="29" bestFit="1" customWidth="1"/>
    <col min="4" max="4" width="8.3046875" style="29" bestFit="1" customWidth="1"/>
    <col min="5" max="5" width="13.23046875" style="29" bestFit="1" customWidth="1"/>
    <col min="6" max="6" width="12" style="30" bestFit="1" customWidth="1"/>
    <col min="7" max="7" width="15.69140625" style="30" bestFit="1" customWidth="1"/>
    <col min="8" max="9" width="15.69140625" style="30" customWidth="1"/>
    <col min="10" max="10" width="12" style="30" bestFit="1" customWidth="1"/>
    <col min="11" max="11" width="10.69140625" style="29"/>
    <col min="12" max="12" width="20.69140625" style="29" bestFit="1" customWidth="1"/>
    <col min="13" max="13" width="6.3046875" style="29" customWidth="1"/>
    <col min="14" max="14" width="16.53515625" style="29" customWidth="1"/>
    <col min="15" max="15" width="6.3046875" style="29" customWidth="1"/>
    <col min="16" max="16" width="13.23046875" style="29" bestFit="1" customWidth="1"/>
    <col min="17" max="17" width="11.4609375" style="30" bestFit="1" customWidth="1"/>
    <col min="18" max="18" width="15.69140625" style="30" bestFit="1" customWidth="1"/>
    <col min="19" max="20" width="15.69140625" style="30" customWidth="1"/>
    <col min="21" max="21" width="12" style="30" bestFit="1" customWidth="1"/>
    <col min="22" max="16384" width="10.69140625" style="29"/>
  </cols>
  <sheetData>
    <row r="1" spans="1:21">
      <c r="A1" s="46" t="s">
        <v>370</v>
      </c>
      <c r="B1" s="8">
        <v>2500</v>
      </c>
      <c r="K1" s="29" t="s">
        <v>509</v>
      </c>
    </row>
    <row r="2" spans="1:21">
      <c r="A2" s="46" t="s">
        <v>371</v>
      </c>
      <c r="B2" s="8">
        <v>1300</v>
      </c>
      <c r="L2" s="29" t="s">
        <v>514</v>
      </c>
      <c r="M2" s="29">
        <v>500</v>
      </c>
    </row>
    <row r="3" spans="1:21">
      <c r="A3" s="46" t="s">
        <v>375</v>
      </c>
      <c r="B3" s="8">
        <v>4000</v>
      </c>
      <c r="C3" s="29" t="s">
        <v>259</v>
      </c>
      <c r="L3" s="46" t="s">
        <v>375</v>
      </c>
      <c r="M3" s="8">
        <v>3500</v>
      </c>
    </row>
    <row r="4" spans="1:21">
      <c r="A4" s="32" t="s">
        <v>205</v>
      </c>
      <c r="B4" s="32" t="s">
        <v>206</v>
      </c>
      <c r="C4" s="31" t="s">
        <v>207</v>
      </c>
      <c r="D4" s="33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32" t="s">
        <v>205</v>
      </c>
      <c r="M4" s="35" t="s">
        <v>206</v>
      </c>
      <c r="N4" s="36" t="s">
        <v>207</v>
      </c>
      <c r="O4" s="37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44958</v>
      </c>
      <c r="B5" s="39"/>
      <c r="C5" s="40"/>
      <c r="D5" s="41"/>
      <c r="E5" s="41"/>
      <c r="F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2" t="str">
        <f>IFERROR(($B$3*京都A554000円[[#This Row],[人数]])-京都A554000円[[#This Row],[単価合計]]-(京都A554000円[[#This Row],[キャンセル人数]]*$B$2),"")</f>
        <v/>
      </c>
      <c r="H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1"/>
      <c r="J5" s="42" t="str">
        <f>IF(京都A554000円[[#This Row],[人数]]="","",VLOOKUP(京都A554000円[[#This Row],[人数]],バック金額①[#All],2,TRUE)-(京都A554000円[[#This Row],[キャンセル人数]]*$B$2))</f>
        <v/>
      </c>
      <c r="L5" s="38">
        <f>IF(DAY(DATE(名前リスト!$N$1,名前リスト!$O$1,ROW()-4))=ROW()-4,DATE(名前リスト!$N$1,名前リスト!$O$1,ROW()-4),"")</f>
        <v>44958</v>
      </c>
      <c r="M5" s="39"/>
      <c r="N5" s="40"/>
      <c r="O5" s="41"/>
      <c r="P5" s="41"/>
      <c r="Q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2" t="str">
        <f>IFERROR(($M$3*京都A553500円[[#This Row],[人数]])-京都A553500円[[#This Row],[単価合計]]-(京都A553500円[[#This Row],[キャンセル人数]]*$B$2),"")</f>
        <v/>
      </c>
      <c r="S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1"/>
      <c r="U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3">
        <f>IFERROR(IF(DATE(YEAR($A$5),MONTH($A$5),DAY($A$5))=DATE(YEAR(A5),MONTH(A5),DAY(A5+1)),"",DATE(YEAR(A5),MONTH(A5),DAY(A5+1))),"")</f>
        <v>44959</v>
      </c>
      <c r="B6" s="39"/>
      <c r="C6" s="40"/>
      <c r="D6" s="41"/>
      <c r="E6" s="41"/>
      <c r="F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2" t="str">
        <f>IFERROR(($B$3*京都A554000円[[#This Row],[人数]])-京都A554000円[[#This Row],[単価合計]]-(京都A554000円[[#This Row],[キャンセル人数]]*$B$2),"")</f>
        <v/>
      </c>
      <c r="H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1"/>
      <c r="J6" s="42" t="str">
        <f>IF(京都A554000円[[#This Row],[人数]]="","",VLOOKUP(京都A554000円[[#This Row],[人数]],バック金額①[#All],2,TRUE)-(京都A554000円[[#This Row],[キャンセル人数]]*$B$2))</f>
        <v/>
      </c>
      <c r="L6" s="63">
        <f>IFERROR(IF(DATE(YEAR($A$5),MONTH($A$5),DAY($A$5))=DATE(YEAR(L5),MONTH(L5),DAY(L5+1)),"",DATE(YEAR(L5),MONTH(L5),DAY(L5+1))),"")</f>
        <v>44959</v>
      </c>
      <c r="M6" s="39"/>
      <c r="N6" s="40"/>
      <c r="O6" s="41"/>
      <c r="P6" s="41"/>
      <c r="Q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2" t="str">
        <f>IFERROR(($M$3*京都A553500円[[#This Row],[人数]])-京都A553500円[[#This Row],[単価合計]]-(京都A553500円[[#This Row],[キャンセル人数]]*$B$2),"")</f>
        <v/>
      </c>
      <c r="S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1"/>
      <c r="U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44960</v>
      </c>
      <c r="B7" s="39"/>
      <c r="C7" s="40"/>
      <c r="D7" s="41"/>
      <c r="E7" s="41"/>
      <c r="F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2" t="str">
        <f>IFERROR(($B$3*京都A554000円[[#This Row],[人数]])-京都A554000円[[#This Row],[単価合計]]-(京都A554000円[[#This Row],[キャンセル人数]]*$B$2),"")</f>
        <v/>
      </c>
      <c r="H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1"/>
      <c r="J7" s="42" t="str">
        <f>IF(京都A554000円[[#This Row],[人数]]="","",VLOOKUP(京都A554000円[[#This Row],[人数]],バック金額①[#All],2,TRUE)-(京都A554000円[[#This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44960</v>
      </c>
      <c r="M7" s="39"/>
      <c r="N7" s="40"/>
      <c r="O7" s="41"/>
      <c r="P7" s="41"/>
      <c r="Q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2" t="str">
        <f>IFERROR(($M$3*京都A553500円[[#This Row],[人数]])-京都A553500円[[#This Row],[単価合計]]-(京都A553500円[[#This Row],[キャンセル人数]]*$B$2),"")</f>
        <v/>
      </c>
      <c r="S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1"/>
      <c r="U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3">
        <f t="shared" si="0"/>
        <v>44961</v>
      </c>
      <c r="B8" s="39"/>
      <c r="C8" s="40"/>
      <c r="D8" s="41"/>
      <c r="E8" s="41"/>
      <c r="F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2" t="str">
        <f>IFERROR(($B$3*京都A554000円[[#This Row],[人数]])-京都A554000円[[#This Row],[単価合計]]-(京都A554000円[[#This Row],[キャンセル人数]]*$B$2),"")</f>
        <v/>
      </c>
      <c r="H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1"/>
      <c r="J8" s="42" t="str">
        <f>IF(京都A554000円[[#This Row],[人数]]="","",VLOOKUP(京都A554000円[[#This Row],[人数]],バック金額①[#All],2,TRUE)-(京都A554000円[[#This Row],[キャンセル人数]]*$B$2))</f>
        <v/>
      </c>
      <c r="L8" s="63">
        <f t="shared" si="1"/>
        <v>44961</v>
      </c>
      <c r="M8" s="39"/>
      <c r="N8" s="40"/>
      <c r="O8" s="41"/>
      <c r="P8" s="41"/>
      <c r="Q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2" t="str">
        <f>IFERROR(($M$3*京都A553500円[[#This Row],[人数]])-京都A553500円[[#This Row],[単価合計]]-(京都A553500円[[#This Row],[キャンセル人数]]*$B$2),"")</f>
        <v/>
      </c>
      <c r="S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1"/>
      <c r="U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3">
        <f t="shared" si="0"/>
        <v>44962</v>
      </c>
      <c r="B9" s="39"/>
      <c r="C9" s="40"/>
      <c r="D9" s="41"/>
      <c r="E9" s="41"/>
      <c r="F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2" t="str">
        <f>IFERROR(($B$3*京都A554000円[[#This Row],[人数]])-京都A554000円[[#This Row],[単価合計]]-(京都A554000円[[#This Row],[キャンセル人数]]*$B$2),"")</f>
        <v/>
      </c>
      <c r="H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1"/>
      <c r="J9" s="42" t="str">
        <f>IF(京都A554000円[[#This Row],[人数]]="","",VLOOKUP(京都A554000円[[#This Row],[人数]],バック金額①[#All],2,TRUE)-(京都A554000円[[#This Row],[キャンセル人数]]*$B$2))</f>
        <v/>
      </c>
      <c r="L9" s="63">
        <f t="shared" si="1"/>
        <v>44962</v>
      </c>
      <c r="M9" s="39"/>
      <c r="N9" s="40"/>
      <c r="O9" s="41"/>
      <c r="P9" s="41"/>
      <c r="Q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2" t="str">
        <f>IFERROR(($M$3*京都A553500円[[#This Row],[人数]])-京都A553500円[[#This Row],[単価合計]]-(京都A553500円[[#This Row],[キャンセル人数]]*$B$2),"")</f>
        <v/>
      </c>
      <c r="S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1"/>
      <c r="U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3">
        <f t="shared" si="0"/>
        <v>44963</v>
      </c>
      <c r="B10" s="39"/>
      <c r="C10" s="40"/>
      <c r="D10" s="41"/>
      <c r="E10" s="41"/>
      <c r="F1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2" t="str">
        <f>IFERROR(($B$3*京都A554000円[[#This Row],[人数]])-京都A554000円[[#This Row],[単価合計]]-(京都A554000円[[#This Row],[キャンセル人数]]*$B$2),"")</f>
        <v/>
      </c>
      <c r="H1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1"/>
      <c r="J10" s="42" t="str">
        <f>IF(京都A554000円[[#This Row],[人数]]="","",VLOOKUP(京都A554000円[[#This Row],[人数]],バック金額①[#All],2,TRUE)-(京都A554000円[[#This Row],[キャンセル人数]]*$B$2))</f>
        <v/>
      </c>
      <c r="L10" s="63">
        <f t="shared" si="1"/>
        <v>44963</v>
      </c>
      <c r="M10" s="39"/>
      <c r="N10" s="40"/>
      <c r="O10" s="41"/>
      <c r="P10" s="41"/>
      <c r="Q1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2" t="str">
        <f>IFERROR(($M$3*京都A553500円[[#This Row],[人数]])-京都A553500円[[#This Row],[単価合計]]-(京都A553500円[[#This Row],[キャンセル人数]]*$B$2),"")</f>
        <v/>
      </c>
      <c r="S1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1"/>
      <c r="U1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3">
        <f t="shared" si="0"/>
        <v>44964</v>
      </c>
      <c r="B11" s="39"/>
      <c r="C11" s="40"/>
      <c r="D11" s="41"/>
      <c r="E11" s="41"/>
      <c r="F1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2" t="str">
        <f>IFERROR(($B$3*京都A554000円[[#This Row],[人数]])-京都A554000円[[#This Row],[単価合計]]-(京都A554000円[[#This Row],[キャンセル人数]]*$B$2),"")</f>
        <v/>
      </c>
      <c r="H1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1"/>
      <c r="J11" s="42" t="str">
        <f>IF(京都A554000円[[#This Row],[人数]]="","",VLOOKUP(京都A554000円[[#This Row],[人数]],バック金額①[#All],2,TRUE)-(京都A554000円[[#This Row],[キャンセル人数]]*$B$2))</f>
        <v/>
      </c>
      <c r="L11" s="63">
        <f t="shared" si="1"/>
        <v>44964</v>
      </c>
      <c r="M11" s="39"/>
      <c r="N11" s="40"/>
      <c r="O11" s="41"/>
      <c r="P11" s="41"/>
      <c r="Q1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2" t="str">
        <f>IFERROR(($M$3*京都A553500円[[#This Row],[人数]])-京都A553500円[[#This Row],[単価合計]]-(京都A553500円[[#This Row],[キャンセル人数]]*$B$2),"")</f>
        <v/>
      </c>
      <c r="S1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1"/>
      <c r="U1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3">
        <f t="shared" si="0"/>
        <v>44965</v>
      </c>
      <c r="B12" s="39"/>
      <c r="C12" s="40"/>
      <c r="D12" s="41"/>
      <c r="E12" s="41"/>
      <c r="F1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2" t="str">
        <f>IFERROR(($B$3*京都A554000円[[#This Row],[人数]])-京都A554000円[[#This Row],[単価合計]]-(京都A554000円[[#This Row],[キャンセル人数]]*$B$2),"")</f>
        <v/>
      </c>
      <c r="H1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1"/>
      <c r="J12" s="42" t="str">
        <f>IF(京都A554000円[[#This Row],[人数]]="","",VLOOKUP(京都A554000円[[#This Row],[人数]],バック金額①[#All],2,TRUE)-(京都A554000円[[#This Row],[キャンセル人数]]*$B$2))</f>
        <v/>
      </c>
      <c r="L12" s="63">
        <f t="shared" si="1"/>
        <v>44965</v>
      </c>
      <c r="M12" s="39"/>
      <c r="N12" s="40"/>
      <c r="O12" s="41"/>
      <c r="P12" s="41"/>
      <c r="Q1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2" t="str">
        <f>IFERROR(($M$3*京都A553500円[[#This Row],[人数]])-京都A553500円[[#This Row],[単価合計]]-(京都A553500円[[#This Row],[キャンセル人数]]*$B$2),"")</f>
        <v/>
      </c>
      <c r="S1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1"/>
      <c r="U1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3">
        <f t="shared" si="0"/>
        <v>44966</v>
      </c>
      <c r="B13" s="39"/>
      <c r="C13" s="40"/>
      <c r="D13" s="41"/>
      <c r="E13" s="41"/>
      <c r="F1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2" t="str">
        <f>IFERROR(($B$3*京都A554000円[[#This Row],[人数]])-京都A554000円[[#This Row],[単価合計]]-(京都A554000円[[#This Row],[キャンセル人数]]*$B$2),"")</f>
        <v/>
      </c>
      <c r="H1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1"/>
      <c r="J13" s="42" t="str">
        <f>IF(京都A554000円[[#This Row],[人数]]="","",VLOOKUP(京都A554000円[[#This Row],[人数]],バック金額①[#All],2,TRUE)-(京都A554000円[[#This Row],[キャンセル人数]]*$B$2))</f>
        <v/>
      </c>
      <c r="L13" s="63">
        <f t="shared" si="1"/>
        <v>44966</v>
      </c>
      <c r="M13" s="39"/>
      <c r="N13" s="40"/>
      <c r="O13" s="41"/>
      <c r="P13" s="41"/>
      <c r="Q1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2" t="str">
        <f>IFERROR(($M$3*京都A553500円[[#This Row],[人数]])-京都A553500円[[#This Row],[単価合計]]-(京都A553500円[[#This Row],[キャンセル人数]]*$B$2),"")</f>
        <v/>
      </c>
      <c r="S1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1"/>
      <c r="U1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3">
        <f t="shared" si="0"/>
        <v>44967</v>
      </c>
      <c r="B14" s="39"/>
      <c r="C14" s="40"/>
      <c r="D14" s="41"/>
      <c r="E14" s="41"/>
      <c r="F1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2" t="str">
        <f>IFERROR(($B$3*京都A554000円[[#This Row],[人数]])-京都A554000円[[#This Row],[単価合計]]-(京都A554000円[[#This Row],[キャンセル人数]]*$B$2),"")</f>
        <v/>
      </c>
      <c r="H1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1"/>
      <c r="J14" s="42" t="str">
        <f>IF(京都A554000円[[#This Row],[人数]]="","",VLOOKUP(京都A554000円[[#This Row],[人数]],バック金額①[#All],2,TRUE)-(京都A554000円[[#This Row],[キャンセル人数]]*$B$2))</f>
        <v/>
      </c>
      <c r="L14" s="63">
        <f t="shared" si="1"/>
        <v>44967</v>
      </c>
      <c r="M14" s="39"/>
      <c r="N14" s="40"/>
      <c r="O14" s="41"/>
      <c r="P14" s="41"/>
      <c r="Q1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2" t="str">
        <f>IFERROR(($M$3*京都A553500円[[#This Row],[人数]])-京都A553500円[[#This Row],[単価合計]]-(京都A553500円[[#This Row],[キャンセル人数]]*$B$2),"")</f>
        <v/>
      </c>
      <c r="S1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1"/>
      <c r="U1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3">
        <f t="shared" si="0"/>
        <v>44968</v>
      </c>
      <c r="B15" s="39"/>
      <c r="C15" s="40"/>
      <c r="D15" s="41"/>
      <c r="E15" s="41"/>
      <c r="F1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2" t="str">
        <f>IFERROR(($B$3*京都A554000円[[#This Row],[人数]])-京都A554000円[[#This Row],[単価合計]]-(京都A554000円[[#This Row],[キャンセル人数]]*$B$2),"")</f>
        <v/>
      </c>
      <c r="H1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1"/>
      <c r="J15" s="42" t="str">
        <f>IF(京都A554000円[[#This Row],[人数]]="","",VLOOKUP(京都A554000円[[#This Row],[人数]],バック金額①[#All],2,TRUE)-(京都A554000円[[#This Row],[キャンセル人数]]*$B$2))</f>
        <v/>
      </c>
      <c r="L15" s="63">
        <f t="shared" si="1"/>
        <v>44968</v>
      </c>
      <c r="M15" s="39"/>
      <c r="N15" s="40"/>
      <c r="O15" s="41"/>
      <c r="P15" s="41"/>
      <c r="Q1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2" t="str">
        <f>IFERROR(($M$3*京都A553500円[[#This Row],[人数]])-京都A553500円[[#This Row],[単価合計]]-(京都A553500円[[#This Row],[キャンセル人数]]*$B$2),"")</f>
        <v/>
      </c>
      <c r="S1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1"/>
      <c r="U1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3">
        <f t="shared" si="0"/>
        <v>44969</v>
      </c>
      <c r="B16" s="39"/>
      <c r="C16" s="40"/>
      <c r="D16" s="41"/>
      <c r="E16" s="41"/>
      <c r="F1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2" t="str">
        <f>IFERROR(($B$3*京都A554000円[[#This Row],[人数]])-京都A554000円[[#This Row],[単価合計]]-(京都A554000円[[#This Row],[キャンセル人数]]*$B$2),"")</f>
        <v/>
      </c>
      <c r="H1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1"/>
      <c r="J16" s="42" t="str">
        <f>IF(京都A554000円[[#This Row],[人数]]="","",VLOOKUP(京都A554000円[[#This Row],[人数]],バック金額①[#All],2,TRUE)-(京都A554000円[[#This Row],[キャンセル人数]]*$B$2))</f>
        <v/>
      </c>
      <c r="L16" s="63">
        <f t="shared" si="1"/>
        <v>44969</v>
      </c>
      <c r="M16" s="39"/>
      <c r="N16" s="40"/>
      <c r="O16" s="41"/>
      <c r="P16" s="41"/>
      <c r="Q1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2" t="str">
        <f>IFERROR(($M$3*京都A553500円[[#This Row],[人数]])-京都A553500円[[#This Row],[単価合計]]-(京都A553500円[[#This Row],[キャンセル人数]]*$B$2),"")</f>
        <v/>
      </c>
      <c r="S1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1"/>
      <c r="U1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3">
        <f t="shared" si="0"/>
        <v>44970</v>
      </c>
      <c r="B17" s="39"/>
      <c r="C17" s="40"/>
      <c r="D17" s="41"/>
      <c r="E17" s="41"/>
      <c r="F1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2" t="str">
        <f>IFERROR(($B$3*京都A554000円[[#This Row],[人数]])-京都A554000円[[#This Row],[単価合計]]-(京都A554000円[[#This Row],[キャンセル人数]]*$B$2),"")</f>
        <v/>
      </c>
      <c r="H1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1"/>
      <c r="J17" s="42" t="str">
        <f>IF(京都A554000円[[#This Row],[人数]]="","",VLOOKUP(京都A554000円[[#This Row],[人数]],バック金額①[#All],2,TRUE)-(京都A554000円[[#This Row],[キャンセル人数]]*$B$2))</f>
        <v/>
      </c>
      <c r="L17" s="63">
        <f t="shared" si="1"/>
        <v>44970</v>
      </c>
      <c r="M17" s="39"/>
      <c r="N17" s="40"/>
      <c r="O17" s="41"/>
      <c r="P17" s="41"/>
      <c r="Q1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2" t="str">
        <f>IFERROR(($M$3*京都A553500円[[#This Row],[人数]])-京都A553500円[[#This Row],[単価合計]]-(京都A553500円[[#This Row],[キャンセル人数]]*$B$2),"")</f>
        <v/>
      </c>
      <c r="S1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1"/>
      <c r="U1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3">
        <f t="shared" si="0"/>
        <v>44971</v>
      </c>
      <c r="B18" s="39"/>
      <c r="C18" s="40"/>
      <c r="D18" s="41"/>
      <c r="E18" s="41"/>
      <c r="F1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2" t="str">
        <f>IFERROR(($B$3*京都A554000円[[#This Row],[人数]])-京都A554000円[[#This Row],[単価合計]]-(京都A554000円[[#This Row],[キャンセル人数]]*$B$2),"")</f>
        <v/>
      </c>
      <c r="H1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1"/>
      <c r="J18" s="42" t="str">
        <f>IF(京都A554000円[[#This Row],[人数]]="","",VLOOKUP(京都A554000円[[#This Row],[人数]],バック金額①[#All],2,TRUE)-(京都A554000円[[#This Row],[キャンセル人数]]*$B$2))</f>
        <v/>
      </c>
      <c r="L18" s="63">
        <f t="shared" si="1"/>
        <v>44971</v>
      </c>
      <c r="M18" s="39"/>
      <c r="N18" s="40"/>
      <c r="O18" s="41"/>
      <c r="P18" s="41"/>
      <c r="Q1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2" t="str">
        <f>IFERROR(($M$3*京都A553500円[[#This Row],[人数]])-京都A553500円[[#This Row],[単価合計]]-(京都A553500円[[#This Row],[キャンセル人数]]*$B$2),"")</f>
        <v/>
      </c>
      <c r="S1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1"/>
      <c r="U1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3">
        <f t="shared" si="0"/>
        <v>44972</v>
      </c>
      <c r="B19" s="39"/>
      <c r="C19" s="40"/>
      <c r="D19" s="41"/>
      <c r="E19" s="41"/>
      <c r="F1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2" t="str">
        <f>IFERROR(($B$3*京都A554000円[[#This Row],[人数]])-京都A554000円[[#This Row],[単価合計]]-(京都A554000円[[#This Row],[キャンセル人数]]*$B$2),"")</f>
        <v/>
      </c>
      <c r="H1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1"/>
      <c r="J19" s="42" t="str">
        <f>IF(京都A554000円[[#This Row],[人数]]="","",VLOOKUP(京都A554000円[[#This Row],[人数]],バック金額①[#All],2,TRUE)-(京都A554000円[[#This Row],[キャンセル人数]]*$B$2))</f>
        <v/>
      </c>
      <c r="L19" s="63">
        <f t="shared" si="1"/>
        <v>44972</v>
      </c>
      <c r="M19" s="39"/>
      <c r="N19" s="40"/>
      <c r="O19" s="41"/>
      <c r="P19" s="41"/>
      <c r="Q1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2" t="str">
        <f>IFERROR(($M$3*京都A553500円[[#This Row],[人数]])-京都A553500円[[#This Row],[単価合計]]-(京都A553500円[[#This Row],[キャンセル人数]]*$B$2),"")</f>
        <v/>
      </c>
      <c r="S1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1"/>
      <c r="U1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3">
        <f t="shared" si="0"/>
        <v>44973</v>
      </c>
      <c r="B20" s="39"/>
      <c r="C20" s="40"/>
      <c r="D20" s="41"/>
      <c r="E20" s="41"/>
      <c r="F2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2" t="str">
        <f>IFERROR(($B$3*京都A554000円[[#This Row],[人数]])-京都A554000円[[#This Row],[単価合計]]-(京都A554000円[[#This Row],[キャンセル人数]]*$B$2),"")</f>
        <v/>
      </c>
      <c r="H2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1"/>
      <c r="J20" s="42" t="str">
        <f>IF(京都A554000円[[#This Row],[人数]]="","",VLOOKUP(京都A554000円[[#This Row],[人数]],バック金額①[#All],2,TRUE)-(京都A554000円[[#This Row],[キャンセル人数]]*$B$2))</f>
        <v/>
      </c>
      <c r="L20" s="63">
        <f t="shared" si="1"/>
        <v>44973</v>
      </c>
      <c r="M20" s="39"/>
      <c r="N20" s="40"/>
      <c r="O20" s="41"/>
      <c r="P20" s="41"/>
      <c r="Q2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2" t="str">
        <f>IFERROR(($M$3*京都A553500円[[#This Row],[人数]])-京都A553500円[[#This Row],[単価合計]]-(京都A553500円[[#This Row],[キャンセル人数]]*$B$2),"")</f>
        <v/>
      </c>
      <c r="S2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1"/>
      <c r="U2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3">
        <f t="shared" si="0"/>
        <v>44974</v>
      </c>
      <c r="B21" s="39"/>
      <c r="C21" s="40"/>
      <c r="D21" s="41"/>
      <c r="E21" s="41"/>
      <c r="F2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2" t="str">
        <f>IFERROR(($B$3*京都A554000円[[#This Row],[人数]])-京都A554000円[[#This Row],[単価合計]]-(京都A554000円[[#This Row],[キャンセル人数]]*$B$2),"")</f>
        <v/>
      </c>
      <c r="H2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1"/>
      <c r="J21" s="42" t="str">
        <f>IF(京都A554000円[[#This Row],[人数]]="","",VLOOKUP(京都A554000円[[#This Row],[人数]],バック金額①[#All],2,TRUE)-(京都A554000円[[#This Row],[キャンセル人数]]*$B$2))</f>
        <v/>
      </c>
      <c r="L21" s="63">
        <f t="shared" si="1"/>
        <v>44974</v>
      </c>
      <c r="M21" s="39"/>
      <c r="N21" s="40"/>
      <c r="O21" s="41"/>
      <c r="P21" s="41"/>
      <c r="Q2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2" t="str">
        <f>IFERROR(($M$3*京都A553500円[[#This Row],[人数]])-京都A553500円[[#This Row],[単価合計]]-(京都A553500円[[#This Row],[キャンセル人数]]*$B$2),"")</f>
        <v/>
      </c>
      <c r="S2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1"/>
      <c r="U2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3">
        <f t="shared" si="0"/>
        <v>44975</v>
      </c>
      <c r="B22" s="39"/>
      <c r="C22" s="40"/>
      <c r="D22" s="41"/>
      <c r="E22" s="41"/>
      <c r="F2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2" t="str">
        <f>IFERROR(($B$3*京都A554000円[[#This Row],[人数]])-京都A554000円[[#This Row],[単価合計]]-(京都A554000円[[#This Row],[キャンセル人数]]*$B$2),"")</f>
        <v/>
      </c>
      <c r="H2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1"/>
      <c r="J22" s="42" t="str">
        <f>IF(京都A554000円[[#This Row],[人数]]="","",VLOOKUP(京都A554000円[[#This Row],[人数]],バック金額①[#All],2,TRUE)-(京都A554000円[[#This Row],[キャンセル人数]]*$B$2))</f>
        <v/>
      </c>
      <c r="L22" s="63">
        <f t="shared" si="1"/>
        <v>44975</v>
      </c>
      <c r="M22" s="39"/>
      <c r="N22" s="40"/>
      <c r="O22" s="41"/>
      <c r="P22" s="41"/>
      <c r="Q2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2" t="str">
        <f>IFERROR(($M$3*京都A553500円[[#This Row],[人数]])-京都A553500円[[#This Row],[単価合計]]-(京都A553500円[[#This Row],[キャンセル人数]]*$B$2),"")</f>
        <v/>
      </c>
      <c r="S2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1"/>
      <c r="U2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3">
        <f t="shared" si="0"/>
        <v>44976</v>
      </c>
      <c r="B23" s="39"/>
      <c r="C23" s="40"/>
      <c r="D23" s="41"/>
      <c r="E23" s="41"/>
      <c r="F2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2" t="str">
        <f>IFERROR(($B$3*京都A554000円[[#This Row],[人数]])-京都A554000円[[#This Row],[単価合計]]-(京都A554000円[[#This Row],[キャンセル人数]]*$B$2),"")</f>
        <v/>
      </c>
      <c r="H2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1"/>
      <c r="J23" s="42" t="str">
        <f>IF(京都A554000円[[#This Row],[人数]]="","",VLOOKUP(京都A554000円[[#This Row],[人数]],バック金額①[#All],2,TRUE)-(京都A554000円[[#This Row],[キャンセル人数]]*$B$2))</f>
        <v/>
      </c>
      <c r="L23" s="63">
        <f t="shared" si="1"/>
        <v>44976</v>
      </c>
      <c r="M23" s="39"/>
      <c r="N23" s="40"/>
      <c r="O23" s="41"/>
      <c r="P23" s="41"/>
      <c r="Q2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2" t="str">
        <f>IFERROR(($M$3*京都A553500円[[#This Row],[人数]])-京都A553500円[[#This Row],[単価合計]]-(京都A553500円[[#This Row],[キャンセル人数]]*$B$2),"")</f>
        <v/>
      </c>
      <c r="S2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1"/>
      <c r="U2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3">
        <f t="shared" si="0"/>
        <v>44977</v>
      </c>
      <c r="B24" s="39"/>
      <c r="C24" s="40"/>
      <c r="D24" s="41"/>
      <c r="E24" s="41"/>
      <c r="F2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2" t="str">
        <f>IFERROR(($B$3*京都A554000円[[#This Row],[人数]])-京都A554000円[[#This Row],[単価合計]]-(京都A554000円[[#This Row],[キャンセル人数]]*$B$2),"")</f>
        <v/>
      </c>
      <c r="H2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1"/>
      <c r="J24" s="42" t="str">
        <f>IF(京都A554000円[[#This Row],[人数]]="","",VLOOKUP(京都A554000円[[#This Row],[人数]],バック金額①[#All],2,TRUE)-(京都A554000円[[#This Row],[キャンセル人数]]*$B$2))</f>
        <v/>
      </c>
      <c r="L24" s="63">
        <f t="shared" si="1"/>
        <v>44977</v>
      </c>
      <c r="M24" s="39"/>
      <c r="N24" s="40"/>
      <c r="O24" s="41"/>
      <c r="P24" s="41"/>
      <c r="Q2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2" t="str">
        <f>IFERROR(($M$3*京都A553500円[[#This Row],[人数]])-京都A553500円[[#This Row],[単価合計]]-(京都A553500円[[#This Row],[キャンセル人数]]*$B$2),"")</f>
        <v/>
      </c>
      <c r="S2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1"/>
      <c r="U2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3">
        <f t="shared" si="0"/>
        <v>44978</v>
      </c>
      <c r="B25" s="39"/>
      <c r="C25" s="40"/>
      <c r="D25" s="41"/>
      <c r="E25" s="41"/>
      <c r="F2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2" t="str">
        <f>IFERROR(($B$3*京都A554000円[[#This Row],[人数]])-京都A554000円[[#This Row],[単価合計]]-(京都A554000円[[#This Row],[キャンセル人数]]*$B$2),"")</f>
        <v/>
      </c>
      <c r="H2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1"/>
      <c r="J25" s="42" t="str">
        <f>IF(京都A554000円[[#This Row],[人数]]="","",VLOOKUP(京都A554000円[[#This Row],[人数]],バック金額①[#All],2,TRUE)-(京都A554000円[[#This Row],[キャンセル人数]]*$B$2))</f>
        <v/>
      </c>
      <c r="L25" s="63">
        <f t="shared" si="1"/>
        <v>44978</v>
      </c>
      <c r="M25" s="39"/>
      <c r="N25" s="40"/>
      <c r="O25" s="41"/>
      <c r="P25" s="41"/>
      <c r="Q2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2" t="str">
        <f>IFERROR(($M$3*京都A553500円[[#This Row],[人数]])-京都A553500円[[#This Row],[単価合計]]-(京都A553500円[[#This Row],[キャンセル人数]]*$B$2),"")</f>
        <v/>
      </c>
      <c r="S2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1"/>
      <c r="U2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3">
        <f t="shared" si="0"/>
        <v>44979</v>
      </c>
      <c r="B26" s="39"/>
      <c r="C26" s="40"/>
      <c r="D26" s="41"/>
      <c r="E26" s="41"/>
      <c r="F2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2" t="str">
        <f>IFERROR(($B$3*京都A554000円[[#This Row],[人数]])-京都A554000円[[#This Row],[単価合計]]-(京都A554000円[[#This Row],[キャンセル人数]]*$B$2),"")</f>
        <v/>
      </c>
      <c r="H2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1"/>
      <c r="J26" s="42" t="str">
        <f>IF(京都A554000円[[#This Row],[人数]]="","",VLOOKUP(京都A554000円[[#This Row],[人数]],バック金額①[#All],2,TRUE)-(京都A554000円[[#This Row],[キャンセル人数]]*$B$2))</f>
        <v/>
      </c>
      <c r="L26" s="63">
        <f t="shared" si="1"/>
        <v>44979</v>
      </c>
      <c r="M26" s="39"/>
      <c r="N26" s="40"/>
      <c r="O26" s="41"/>
      <c r="P26" s="41"/>
      <c r="Q2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2" t="str">
        <f>IFERROR(($M$3*京都A553500円[[#This Row],[人数]])-京都A553500円[[#This Row],[単価合計]]-(京都A553500円[[#This Row],[キャンセル人数]]*$B$2),"")</f>
        <v/>
      </c>
      <c r="S2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1"/>
      <c r="U2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3">
        <f t="shared" si="0"/>
        <v>44980</v>
      </c>
      <c r="B27" s="39"/>
      <c r="C27" s="40"/>
      <c r="D27" s="41"/>
      <c r="E27" s="41"/>
      <c r="F2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2" t="str">
        <f>IFERROR(($B$3*京都A554000円[[#This Row],[人数]])-京都A554000円[[#This Row],[単価合計]]-(京都A554000円[[#This Row],[キャンセル人数]]*$B$2),"")</f>
        <v/>
      </c>
      <c r="H2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1"/>
      <c r="J27" s="42" t="str">
        <f>IF(京都A554000円[[#This Row],[人数]]="","",VLOOKUP(京都A554000円[[#This Row],[人数]],バック金額①[#All],2,TRUE)-(京都A554000円[[#This Row],[キャンセル人数]]*$B$2))</f>
        <v/>
      </c>
      <c r="L27" s="63">
        <f t="shared" si="1"/>
        <v>44980</v>
      </c>
      <c r="M27" s="39"/>
      <c r="N27" s="40"/>
      <c r="O27" s="41"/>
      <c r="P27" s="41"/>
      <c r="Q2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2" t="str">
        <f>IFERROR(($M$3*京都A553500円[[#This Row],[人数]])-京都A553500円[[#This Row],[単価合計]]-(京都A553500円[[#This Row],[キャンセル人数]]*$B$2),"")</f>
        <v/>
      </c>
      <c r="S2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1"/>
      <c r="U2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3">
        <f t="shared" si="0"/>
        <v>44981</v>
      </c>
      <c r="B28" s="39"/>
      <c r="C28" s="40"/>
      <c r="D28" s="41"/>
      <c r="E28" s="41"/>
      <c r="F2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2" t="str">
        <f>IFERROR(($B$3*京都A554000円[[#This Row],[人数]])-京都A554000円[[#This Row],[単価合計]]-(京都A554000円[[#This Row],[キャンセル人数]]*$B$2),"")</f>
        <v/>
      </c>
      <c r="H2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1"/>
      <c r="J28" s="42" t="str">
        <f>IF(京都A554000円[[#This Row],[人数]]="","",VLOOKUP(京都A554000円[[#This Row],[人数]],バック金額①[#All],2,TRUE)-(京都A554000円[[#This Row],[キャンセル人数]]*$B$2))</f>
        <v/>
      </c>
      <c r="L28" s="63">
        <f t="shared" si="1"/>
        <v>44981</v>
      </c>
      <c r="M28" s="39"/>
      <c r="N28" s="40"/>
      <c r="O28" s="41"/>
      <c r="P28" s="41"/>
      <c r="Q2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2" t="str">
        <f>IFERROR(($M$3*京都A553500円[[#This Row],[人数]])-京都A553500円[[#This Row],[単価合計]]-(京都A553500円[[#This Row],[キャンセル人数]]*$B$2),"")</f>
        <v/>
      </c>
      <c r="S2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1"/>
      <c r="U2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3">
        <f t="shared" si="0"/>
        <v>44982</v>
      </c>
      <c r="B29" s="39"/>
      <c r="C29" s="40"/>
      <c r="D29" s="41"/>
      <c r="E29" s="41"/>
      <c r="F2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2" t="str">
        <f>IFERROR(($B$3*京都A554000円[[#This Row],[人数]])-京都A554000円[[#This Row],[単価合計]]-(京都A554000円[[#This Row],[キャンセル人数]]*$B$2),"")</f>
        <v/>
      </c>
      <c r="H2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1"/>
      <c r="J29" s="42" t="str">
        <f>IF(京都A554000円[[#This Row],[人数]]="","",VLOOKUP(京都A554000円[[#This Row],[人数]],バック金額①[#All],2,TRUE)-(京都A554000円[[#This Row],[キャンセル人数]]*$B$2))</f>
        <v/>
      </c>
      <c r="L29" s="63">
        <f t="shared" si="1"/>
        <v>44982</v>
      </c>
      <c r="M29" s="39"/>
      <c r="N29" s="40"/>
      <c r="O29" s="41"/>
      <c r="P29" s="41"/>
      <c r="Q2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2" t="str">
        <f>IFERROR(($M$3*京都A553500円[[#This Row],[人数]])-京都A553500円[[#This Row],[単価合計]]-(京都A553500円[[#This Row],[キャンセル人数]]*$B$2),"")</f>
        <v/>
      </c>
      <c r="S2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1"/>
      <c r="U2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3">
        <f t="shared" si="0"/>
        <v>44983</v>
      </c>
      <c r="B30" s="39"/>
      <c r="C30" s="40"/>
      <c r="D30" s="41"/>
      <c r="E30" s="41"/>
      <c r="F3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2" t="str">
        <f>IFERROR(($B$3*京都A554000円[[#This Row],[人数]])-京都A554000円[[#This Row],[単価合計]]-(京都A554000円[[#This Row],[キャンセル人数]]*$B$2),"")</f>
        <v/>
      </c>
      <c r="H3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1"/>
      <c r="J30" s="42" t="str">
        <f>IF(京都A554000円[[#This Row],[人数]]="","",VLOOKUP(京都A554000円[[#This Row],[人数]],バック金額①[#All],2,TRUE)-(京都A554000円[[#This Row],[キャンセル人数]]*$B$2))</f>
        <v/>
      </c>
      <c r="L30" s="63">
        <f t="shared" si="1"/>
        <v>44983</v>
      </c>
      <c r="M30" s="39"/>
      <c r="N30" s="40"/>
      <c r="O30" s="41"/>
      <c r="P30" s="41"/>
      <c r="Q3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2" t="str">
        <f>IFERROR(($M$3*京都A553500円[[#This Row],[人数]])-京都A553500円[[#This Row],[単価合計]]-(京都A553500円[[#This Row],[キャンセル人数]]*$B$2),"")</f>
        <v/>
      </c>
      <c r="S3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1"/>
      <c r="U3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3">
        <f t="shared" si="0"/>
        <v>44984</v>
      </c>
      <c r="B31" s="39"/>
      <c r="C31" s="40"/>
      <c r="D31" s="41"/>
      <c r="E31" s="41"/>
      <c r="F3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2" t="str">
        <f>IFERROR(($B$3*京都A554000円[[#This Row],[人数]])-京都A554000円[[#This Row],[単価合計]]-(京都A554000円[[#This Row],[キャンセル人数]]*$B$2),"")</f>
        <v/>
      </c>
      <c r="H3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1"/>
      <c r="J31" s="42" t="str">
        <f>IF(京都A554000円[[#This Row],[人数]]="","",VLOOKUP(京都A554000円[[#This Row],[人数]],バック金額①[#All],2,TRUE)-(京都A554000円[[#This Row],[キャンセル人数]]*$B$2))</f>
        <v/>
      </c>
      <c r="L31" s="63">
        <f t="shared" si="1"/>
        <v>44984</v>
      </c>
      <c r="M31" s="39"/>
      <c r="N31" s="40"/>
      <c r="O31" s="41"/>
      <c r="P31" s="41"/>
      <c r="Q3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2" t="str">
        <f>IFERROR(($M$3*京都A553500円[[#This Row],[人数]])-京都A553500円[[#This Row],[単価合計]]-(京都A553500円[[#This Row],[キャンセル人数]]*$B$2),"")</f>
        <v/>
      </c>
      <c r="S3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1"/>
      <c r="U3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3">
        <f t="shared" si="0"/>
        <v>44985</v>
      </c>
      <c r="B32" s="39"/>
      <c r="C32" s="40"/>
      <c r="D32" s="41"/>
      <c r="E32" s="41"/>
      <c r="F3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2" t="str">
        <f>IFERROR(($B$3*京都A554000円[[#This Row],[人数]])-京都A554000円[[#This Row],[単価合計]]-(京都A554000円[[#This Row],[キャンセル人数]]*$B$2),"")</f>
        <v/>
      </c>
      <c r="H3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1"/>
      <c r="J32" s="42" t="str">
        <f>IF(京都A554000円[[#This Row],[人数]]="","",VLOOKUP(京都A554000円[[#This Row],[人数]],バック金額①[#All],2,TRUE)-(京都A554000円[[#This Row],[キャンセル人数]]*$B$2))</f>
        <v/>
      </c>
      <c r="L32" s="63">
        <f t="shared" si="1"/>
        <v>44985</v>
      </c>
      <c r="M32" s="39"/>
      <c r="N32" s="40"/>
      <c r="O32" s="41"/>
      <c r="P32" s="41"/>
      <c r="Q3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2" t="str">
        <f>IFERROR(($M$3*京都A553500円[[#This Row],[人数]])-京都A553500円[[#This Row],[単価合計]]-(京都A553500円[[#This Row],[キャンセル人数]]*$B$2),"")</f>
        <v/>
      </c>
      <c r="S3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1"/>
      <c r="U3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3" t="str">
        <f t="shared" si="0"/>
        <v/>
      </c>
      <c r="B33" s="39"/>
      <c r="C33" s="40"/>
      <c r="D33" s="41"/>
      <c r="E33" s="41"/>
      <c r="F3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2" t="str">
        <f>IFERROR(($B$3*京都A554000円[[#This Row],[人数]])-京都A554000円[[#This Row],[単価合計]]-(京都A554000円[[#This Row],[キャンセル人数]]*$B$2),"")</f>
        <v/>
      </c>
      <c r="H3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1"/>
      <c r="J33" s="42" t="str">
        <f>IF(京都A554000円[[#This Row],[人数]]="","",VLOOKUP(京都A554000円[[#This Row],[人数]],バック金額①[#All],2,TRUE)-(京都A554000円[[#This Row],[キャンセル人数]]*$B$2))</f>
        <v/>
      </c>
      <c r="L33" s="63" t="str">
        <f t="shared" si="1"/>
        <v/>
      </c>
      <c r="M33" s="39"/>
      <c r="N33" s="40"/>
      <c r="O33" s="41"/>
      <c r="P33" s="41"/>
      <c r="Q3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2" t="str">
        <f>IFERROR(($M$3*京都A553500円[[#This Row],[人数]])-京都A553500円[[#This Row],[単価合計]]-(京都A553500円[[#This Row],[キャンセル人数]]*$B$2),"")</f>
        <v/>
      </c>
      <c r="S3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1"/>
      <c r="U3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3" t="str">
        <f t="shared" si="0"/>
        <v/>
      </c>
      <c r="B34" s="39"/>
      <c r="C34" s="40"/>
      <c r="D34" s="41"/>
      <c r="E34" s="41"/>
      <c r="F3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2" t="str">
        <f>IFERROR(($B$3*京都A554000円[[#This Row],[人数]])-京都A554000円[[#This Row],[単価合計]]-(京都A554000円[[#This Row],[キャンセル人数]]*$B$2),"")</f>
        <v/>
      </c>
      <c r="H3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1"/>
      <c r="J34" s="42" t="str">
        <f>IF(京都A554000円[[#This Row],[人数]]="","",VLOOKUP(京都A554000円[[#This Row],[人数]],バック金額①[#All],2,TRUE)-(京都A554000円[[#This Row],[キャンセル人数]]*$B$2))</f>
        <v/>
      </c>
      <c r="L34" s="63" t="str">
        <f t="shared" si="1"/>
        <v/>
      </c>
      <c r="M34" s="39"/>
      <c r="N34" s="40"/>
      <c r="O34" s="41"/>
      <c r="P34" s="41"/>
      <c r="Q3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2" t="str">
        <f>IFERROR(($M$3*京都A553500円[[#This Row],[人数]])-京都A553500円[[#This Row],[単価合計]]-(京都A553500円[[#This Row],[キャンセル人数]]*$B$2),"")</f>
        <v/>
      </c>
      <c r="S3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1"/>
      <c r="U3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3" t="str">
        <f t="shared" si="0"/>
        <v/>
      </c>
      <c r="B35" s="39"/>
      <c r="C35" s="40"/>
      <c r="D35" s="41"/>
      <c r="E35" s="41"/>
      <c r="F3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2" t="str">
        <f>IFERROR(($B$3*京都A554000円[[#This Row],[人数]])-京都A554000円[[#This Row],[単価合計]]-(京都A554000円[[#This Row],[キャンセル人数]]*$B$2),"")</f>
        <v/>
      </c>
      <c r="H3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1"/>
      <c r="J35" s="42" t="str">
        <f>IF(京都A554000円[[#This Row],[人数]]="","",VLOOKUP(京都A554000円[[#This Row],[人数]],バック金額①[#All],2,TRUE)-(京都A554000円[[#This Row],[キャンセル人数]]*$B$2))</f>
        <v/>
      </c>
      <c r="L35" s="63" t="str">
        <f t="shared" si="1"/>
        <v/>
      </c>
      <c r="M35" s="43"/>
      <c r="N35" s="44"/>
      <c r="O35" s="45"/>
      <c r="P35" s="45"/>
      <c r="Q3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2" t="str">
        <f>IFERROR(($M$3*京都A553500円[[#This Row],[人数]])-京都A553500円[[#This Row],[単価合計]]-(京都A553500円[[#This Row],[キャンセル人数]]*$B$2),"")</f>
        <v/>
      </c>
      <c r="S3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1"/>
      <c r="U3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1" t="s">
        <v>211</v>
      </c>
      <c r="B36" s="34">
        <f>SUM(京都A554000円[[#All],[件数]])</f>
        <v>0</v>
      </c>
      <c r="C36" s="34"/>
      <c r="D36" s="34">
        <f>SUM(京都A554000円[[#All],[人数]])</f>
        <v>0</v>
      </c>
      <c r="E36" s="34">
        <f>SUM(京都A554000円[[#All],[Aパターン]])</f>
        <v>0</v>
      </c>
      <c r="F36" s="34">
        <f>SUM(京都A554000円[[#All],[単価合計]])</f>
        <v>0</v>
      </c>
      <c r="G36" s="34">
        <f>SUM(京都A554000円[[#All],[ゆうき取りに行く]])</f>
        <v>0</v>
      </c>
      <c r="H36" s="34"/>
      <c r="I36" s="34"/>
      <c r="J36" s="34">
        <f>SUM(京都A554000円[[#All],[イベンターへ]])</f>
        <v>0</v>
      </c>
      <c r="L36" s="31" t="s">
        <v>211</v>
      </c>
      <c r="M36" s="34">
        <f>SUM(京都A553500円[[#All],[件数]])</f>
        <v>0</v>
      </c>
      <c r="N36" s="34"/>
      <c r="O36" s="34">
        <f>SUM(京都A553500円[[#All],[人数]])</f>
        <v>0</v>
      </c>
      <c r="P36" s="34">
        <f>SUM(京都A553500円[[#All],[Aパターン]])</f>
        <v>0</v>
      </c>
      <c r="Q36" s="34">
        <f>SUM(京都A553500円[[#All],[単価合計]])</f>
        <v>0</v>
      </c>
      <c r="R36" s="34">
        <f>SUM(京都A553500円[[#All],[ゆうき取りに行く]])</f>
        <v>0</v>
      </c>
      <c r="S36" s="34"/>
      <c r="T36" s="34"/>
      <c r="U36" s="34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32</vt:i4>
      </vt:variant>
      <vt:variant>
        <vt:lpstr>名前付き一覧</vt:lpstr>
      </vt:variant>
      <vt:variant>
        <vt:i4>1</vt:i4>
      </vt:variant>
    </vt:vector>
  </HeadingPairs>
  <TitlesOfParts>
    <vt:vector size="33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②（北新地）エルソル</vt:lpstr>
      <vt:lpstr>②（北新地）ファイブ</vt:lpstr>
      <vt:lpstr>②（う）石狩</vt:lpstr>
      <vt:lpstr>②（う）あん</vt:lpstr>
      <vt:lpstr>②（う）煙</vt:lpstr>
      <vt:lpstr>①（し）サファリ</vt:lpstr>
      <vt:lpstr>①（し）3e BAR</vt:lpstr>
      <vt:lpstr>②（し）ラプロメッサ</vt:lpstr>
      <vt:lpstr>②（し）M &amp;M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②（さ）肉バルしょうじ</vt:lpstr>
      <vt:lpstr>②（さ）きさらぎ</vt:lpstr>
      <vt:lpstr>（さ）HAKU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2023-03-02T08:26:32Z</dcterms:modified>
</cp:coreProperties>
</file>