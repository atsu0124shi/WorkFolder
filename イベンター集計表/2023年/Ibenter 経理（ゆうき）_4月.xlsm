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Folder\イベンター集計表\2023年\"/>
    </mc:Choice>
  </mc:AlternateContent>
  <xr:revisionPtr revIDLastSave="0" documentId="13_ncr:1_{DC1BDE9A-FED1-432B-B6DC-911E7F308D25}" xr6:coauthVersionLast="47" xr6:coauthVersionMax="47" xr10:uidLastSave="{00000000-0000-0000-0000-000000000000}"/>
  <bookViews>
    <workbookView xWindow="-120" yWindow="-120" windowWidth="29040" windowHeight="15720" firstSheet="11" activeTab="30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state="hidden" r:id="rId9"/>
    <sheet name="①（堀江）aiai" sheetId="37" state="hidden" r:id="rId10"/>
    <sheet name="②（堀江）ファイブ" sheetId="38" state="hidden" r:id="rId11"/>
    <sheet name="②（北新地）エルソル" sheetId="49" r:id="rId12"/>
    <sheet name="②（北新地）ファイブ" sheetId="39" r:id="rId13"/>
    <sheet name="②（う）石狩" sheetId="40" state="hidden" r:id="rId14"/>
    <sheet name="②（う）あん" sheetId="41" state="hidden" r:id="rId15"/>
    <sheet name="②（う）煙" sheetId="42" state="hidden" r:id="rId16"/>
    <sheet name="（難波）TSUBAKI" sheetId="78" r:id="rId17"/>
    <sheet name="①（し）サファリ" sheetId="43" r:id="rId18"/>
    <sheet name="①（し）3e BAR" sheetId="45" state="hidden" r:id="rId19"/>
    <sheet name="②（し）ラプロメッサ" sheetId="46" state="hidden" r:id="rId20"/>
    <sheet name="②（し）M &amp;M" sheetId="48" state="hidden" r:id="rId21"/>
    <sheet name="②（な）煙" sheetId="50" state="hidden" r:id="rId22"/>
    <sheet name="②（さ）多味庵" sheetId="51" r:id="rId23"/>
    <sheet name="②（て）キャンパス" sheetId="52" state="hidden" r:id="rId24"/>
    <sheet name="②（て）CSB" sheetId="77" state="hidden" r:id="rId25"/>
    <sheet name="②（さ）琥珀の泉" sheetId="53" state="hidden" r:id="rId26"/>
    <sheet name="②（さ）旬家" sheetId="54" state="hidden" r:id="rId27"/>
    <sheet name="②（さ）肉バルしょうじ" sheetId="56" state="hidden" r:id="rId28"/>
    <sheet name="②（さ）きさらぎ" sheetId="55" state="hidden" r:id="rId29"/>
    <sheet name="（さ）HAKU" sheetId="62" r:id="rId30"/>
    <sheet name="②（さ）Bar さんかく" sheetId="76" r:id="rId31"/>
    <sheet name="①（き）パンプキ" sheetId="57" state="hidden" r:id="rId32"/>
    <sheet name="(き)a55" sheetId="61" state="hidden" r:id="rId33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</workbook>
</file>

<file path=xl/calcChain.xml><?xml version="1.0" encoding="utf-8"?>
<calcChain xmlns="http://schemas.openxmlformats.org/spreadsheetml/2006/main">
  <c r="F39" i="43" l="1"/>
  <c r="A5" i="43"/>
  <c r="G6" i="78"/>
  <c r="G7" i="78"/>
  <c r="G8" i="78"/>
  <c r="G9" i="78"/>
  <c r="G10" i="78"/>
  <c r="G11" i="78"/>
  <c r="G12" i="78"/>
  <c r="G13" i="78"/>
  <c r="G14" i="78"/>
  <c r="G15" i="78"/>
  <c r="G16" i="78"/>
  <c r="G17" i="78"/>
  <c r="G18" i="78"/>
  <c r="G21" i="78"/>
  <c r="G22" i="78"/>
  <c r="G23" i="78"/>
  <c r="G24" i="78"/>
  <c r="G25" i="78"/>
  <c r="G26" i="78"/>
  <c r="G27" i="78"/>
  <c r="G28" i="78"/>
  <c r="G29" i="78"/>
  <c r="G30" i="78"/>
  <c r="G31" i="78"/>
  <c r="G32" i="78"/>
  <c r="G33" i="78"/>
  <c r="G34" i="78"/>
  <c r="G35" i="78"/>
  <c r="A22" i="43"/>
  <c r="B22" i="43"/>
  <c r="E22" i="43"/>
  <c r="H22" i="43" s="1"/>
  <c r="F22" i="43" s="1"/>
  <c r="G22" i="43" s="1"/>
  <c r="J22" i="43"/>
  <c r="O36" i="78"/>
  <c r="D36" i="78"/>
  <c r="U35" i="78"/>
  <c r="S35" i="78"/>
  <c r="Q35" i="78"/>
  <c r="R35" i="78" s="1"/>
  <c r="P35" i="78"/>
  <c r="M35" i="78"/>
  <c r="J35" i="78"/>
  <c r="H35" i="78"/>
  <c r="F35" i="78"/>
  <c r="E35" i="78"/>
  <c r="B35" i="78"/>
  <c r="U34" i="78"/>
  <c r="S34" i="78"/>
  <c r="Q34" i="78"/>
  <c r="R34" i="78" s="1"/>
  <c r="P34" i="78"/>
  <c r="M34" i="78"/>
  <c r="J34" i="78"/>
  <c r="H34" i="78"/>
  <c r="F34" i="78"/>
  <c r="E34" i="78"/>
  <c r="B34" i="78"/>
  <c r="U33" i="78"/>
  <c r="S33" i="78"/>
  <c r="Q33" i="78"/>
  <c r="R33" i="78" s="1"/>
  <c r="P33" i="78"/>
  <c r="M33" i="78"/>
  <c r="J33" i="78"/>
  <c r="H33" i="78"/>
  <c r="F33" i="78"/>
  <c r="E33" i="78"/>
  <c r="B33" i="78"/>
  <c r="U32" i="78"/>
  <c r="S32" i="78"/>
  <c r="Q32" i="78"/>
  <c r="R32" i="78" s="1"/>
  <c r="P32" i="78"/>
  <c r="M32" i="78"/>
  <c r="J32" i="78"/>
  <c r="H32" i="78"/>
  <c r="F32" i="78"/>
  <c r="E32" i="78"/>
  <c r="B32" i="78"/>
  <c r="U31" i="78"/>
  <c r="S31" i="78"/>
  <c r="Q31" i="78"/>
  <c r="R31" i="78" s="1"/>
  <c r="P31" i="78"/>
  <c r="M31" i="78"/>
  <c r="J31" i="78"/>
  <c r="H31" i="78"/>
  <c r="F31" i="78"/>
  <c r="E31" i="78"/>
  <c r="B31" i="78"/>
  <c r="U30" i="78"/>
  <c r="S30" i="78"/>
  <c r="Q30" i="78"/>
  <c r="R30" i="78" s="1"/>
  <c r="P30" i="78"/>
  <c r="M30" i="78"/>
  <c r="J30" i="78"/>
  <c r="H30" i="78"/>
  <c r="F30" i="78"/>
  <c r="E30" i="78"/>
  <c r="B30" i="78"/>
  <c r="U29" i="78"/>
  <c r="S29" i="78"/>
  <c r="Q29" i="78"/>
  <c r="R29" i="78" s="1"/>
  <c r="P29" i="78"/>
  <c r="M29" i="78"/>
  <c r="J29" i="78"/>
  <c r="H29" i="78"/>
  <c r="F29" i="78"/>
  <c r="E29" i="78"/>
  <c r="B29" i="78"/>
  <c r="U28" i="78"/>
  <c r="S28" i="78"/>
  <c r="Q28" i="78"/>
  <c r="R28" i="78" s="1"/>
  <c r="P28" i="78"/>
  <c r="M28" i="78"/>
  <c r="J28" i="78"/>
  <c r="H28" i="78"/>
  <c r="F28" i="78"/>
  <c r="E28" i="78"/>
  <c r="B28" i="78"/>
  <c r="U27" i="78"/>
  <c r="S27" i="78"/>
  <c r="Q27" i="78"/>
  <c r="R27" i="78" s="1"/>
  <c r="P27" i="78"/>
  <c r="M27" i="78"/>
  <c r="J27" i="78"/>
  <c r="H27" i="78"/>
  <c r="F27" i="78"/>
  <c r="E27" i="78"/>
  <c r="B27" i="78"/>
  <c r="U26" i="78"/>
  <c r="S26" i="78"/>
  <c r="Q26" i="78"/>
  <c r="R26" i="78" s="1"/>
  <c r="P26" i="78"/>
  <c r="M26" i="78"/>
  <c r="J26" i="78"/>
  <c r="H26" i="78"/>
  <c r="F26" i="78"/>
  <c r="E26" i="78"/>
  <c r="B26" i="78"/>
  <c r="U25" i="78"/>
  <c r="S25" i="78"/>
  <c r="Q25" i="78"/>
  <c r="R25" i="78" s="1"/>
  <c r="P25" i="78"/>
  <c r="M25" i="78"/>
  <c r="J25" i="78"/>
  <c r="H25" i="78"/>
  <c r="F25" i="78"/>
  <c r="E25" i="78"/>
  <c r="B25" i="78"/>
  <c r="U24" i="78"/>
  <c r="S24" i="78"/>
  <c r="Q24" i="78"/>
  <c r="R24" i="78" s="1"/>
  <c r="P24" i="78"/>
  <c r="M24" i="78"/>
  <c r="J24" i="78"/>
  <c r="H24" i="78"/>
  <c r="F24" i="78"/>
  <c r="E24" i="78"/>
  <c r="B24" i="78"/>
  <c r="U23" i="78"/>
  <c r="S23" i="78"/>
  <c r="Q23" i="78"/>
  <c r="R23" i="78" s="1"/>
  <c r="P23" i="78"/>
  <c r="M23" i="78"/>
  <c r="J23" i="78"/>
  <c r="H23" i="78"/>
  <c r="F23" i="78"/>
  <c r="E23" i="78"/>
  <c r="B23" i="78"/>
  <c r="U22" i="78"/>
  <c r="S22" i="78"/>
  <c r="Q22" i="78"/>
  <c r="R22" i="78" s="1"/>
  <c r="P22" i="78"/>
  <c r="M22" i="78"/>
  <c r="J22" i="78"/>
  <c r="H22" i="78"/>
  <c r="F22" i="78"/>
  <c r="E22" i="78"/>
  <c r="B22" i="78"/>
  <c r="U21" i="78"/>
  <c r="S21" i="78"/>
  <c r="Q21" i="78"/>
  <c r="R21" i="78" s="1"/>
  <c r="P21" i="78"/>
  <c r="M21" i="78"/>
  <c r="J21" i="78"/>
  <c r="H21" i="78"/>
  <c r="F21" i="78"/>
  <c r="E21" i="78"/>
  <c r="B21" i="78"/>
  <c r="U20" i="78"/>
  <c r="S20" i="78"/>
  <c r="Q20" i="78"/>
  <c r="R20" i="78" s="1"/>
  <c r="P20" i="78"/>
  <c r="M20" i="78"/>
  <c r="J20" i="78"/>
  <c r="H20" i="78"/>
  <c r="F20" i="78"/>
  <c r="G20" i="78" s="1"/>
  <c r="E20" i="78"/>
  <c r="B20" i="78"/>
  <c r="U19" i="78"/>
  <c r="S19" i="78"/>
  <c r="Q19" i="78"/>
  <c r="R19" i="78" s="1"/>
  <c r="P19" i="78"/>
  <c r="M19" i="78"/>
  <c r="J19" i="78"/>
  <c r="H19" i="78"/>
  <c r="F19" i="78"/>
  <c r="G19" i="78" s="1"/>
  <c r="E19" i="78"/>
  <c r="B19" i="78"/>
  <c r="U18" i="78"/>
  <c r="S18" i="78"/>
  <c r="Q18" i="78"/>
  <c r="R18" i="78" s="1"/>
  <c r="P18" i="78"/>
  <c r="M18" i="78"/>
  <c r="J18" i="78"/>
  <c r="H18" i="78"/>
  <c r="F18" i="78"/>
  <c r="E18" i="78"/>
  <c r="B18" i="78"/>
  <c r="U17" i="78"/>
  <c r="S17" i="78"/>
  <c r="Q17" i="78"/>
  <c r="R17" i="78" s="1"/>
  <c r="P17" i="78"/>
  <c r="M17" i="78"/>
  <c r="J17" i="78"/>
  <c r="H17" i="78"/>
  <c r="F17" i="78"/>
  <c r="E17" i="78"/>
  <c r="B17" i="78"/>
  <c r="U16" i="78"/>
  <c r="S16" i="78"/>
  <c r="Q16" i="78"/>
  <c r="R16" i="78" s="1"/>
  <c r="P16" i="78"/>
  <c r="M16" i="78"/>
  <c r="J16" i="78"/>
  <c r="H16" i="78"/>
  <c r="F16" i="78"/>
  <c r="E16" i="78"/>
  <c r="B16" i="78"/>
  <c r="U15" i="78"/>
  <c r="S15" i="78"/>
  <c r="Q15" i="78"/>
  <c r="R15" i="78" s="1"/>
  <c r="P15" i="78"/>
  <c r="M15" i="78"/>
  <c r="J15" i="78"/>
  <c r="H15" i="78"/>
  <c r="F15" i="78"/>
  <c r="E15" i="78"/>
  <c r="B15" i="78"/>
  <c r="U14" i="78"/>
  <c r="S14" i="78"/>
  <c r="Q14" i="78"/>
  <c r="R14" i="78" s="1"/>
  <c r="P14" i="78"/>
  <c r="M14" i="78"/>
  <c r="J14" i="78"/>
  <c r="H14" i="78"/>
  <c r="F14" i="78"/>
  <c r="E14" i="78"/>
  <c r="B14" i="78"/>
  <c r="U13" i="78"/>
  <c r="S13" i="78"/>
  <c r="Q13" i="78"/>
  <c r="R13" i="78" s="1"/>
  <c r="P13" i="78"/>
  <c r="M13" i="78"/>
  <c r="J13" i="78"/>
  <c r="H13" i="78"/>
  <c r="F13" i="78"/>
  <c r="E13" i="78"/>
  <c r="B13" i="78"/>
  <c r="U12" i="78"/>
  <c r="S12" i="78"/>
  <c r="Q12" i="78"/>
  <c r="R12" i="78" s="1"/>
  <c r="P12" i="78"/>
  <c r="M12" i="78"/>
  <c r="J12" i="78"/>
  <c r="H12" i="78"/>
  <c r="F12" i="78"/>
  <c r="E12" i="78"/>
  <c r="B12" i="78"/>
  <c r="U11" i="78"/>
  <c r="S11" i="78"/>
  <c r="Q11" i="78"/>
  <c r="R11" i="78" s="1"/>
  <c r="P11" i="78"/>
  <c r="M11" i="78"/>
  <c r="J11" i="78"/>
  <c r="H11" i="78"/>
  <c r="F11" i="78"/>
  <c r="E11" i="78"/>
  <c r="B11" i="78"/>
  <c r="U10" i="78"/>
  <c r="S10" i="78"/>
  <c r="Q10" i="78"/>
  <c r="R10" i="78" s="1"/>
  <c r="P10" i="78"/>
  <c r="M10" i="78"/>
  <c r="J10" i="78"/>
  <c r="H10" i="78"/>
  <c r="F10" i="78"/>
  <c r="E10" i="78"/>
  <c r="B10" i="78"/>
  <c r="U9" i="78"/>
  <c r="S9" i="78"/>
  <c r="Q9" i="78"/>
  <c r="R9" i="78" s="1"/>
  <c r="P9" i="78"/>
  <c r="M9" i="78"/>
  <c r="J9" i="78"/>
  <c r="H9" i="78"/>
  <c r="F9" i="78" s="1"/>
  <c r="E9" i="78"/>
  <c r="B9" i="78"/>
  <c r="U8" i="78"/>
  <c r="S8" i="78"/>
  <c r="Q8" i="78"/>
  <c r="R8" i="78" s="1"/>
  <c r="P8" i="78"/>
  <c r="M8" i="78"/>
  <c r="J8" i="78"/>
  <c r="H8" i="78"/>
  <c r="F8" i="78"/>
  <c r="E8" i="78"/>
  <c r="B8" i="78"/>
  <c r="U7" i="78"/>
  <c r="S7" i="78"/>
  <c r="Q7" i="78"/>
  <c r="R7" i="78" s="1"/>
  <c r="P7" i="78"/>
  <c r="M7" i="78"/>
  <c r="J7" i="78"/>
  <c r="H7" i="78"/>
  <c r="F7" i="78"/>
  <c r="E7" i="78"/>
  <c r="B7" i="78"/>
  <c r="U6" i="78"/>
  <c r="S6" i="78"/>
  <c r="Q6" i="78"/>
  <c r="R6" i="78" s="1"/>
  <c r="P6" i="78"/>
  <c r="M6" i="78"/>
  <c r="J6" i="78"/>
  <c r="H6" i="78"/>
  <c r="F6" i="78"/>
  <c r="E6" i="78"/>
  <c r="B6" i="78"/>
  <c r="U5" i="78"/>
  <c r="U36" i="78" s="1"/>
  <c r="S5" i="78"/>
  <c r="Q5" i="78"/>
  <c r="R5" i="78" s="1"/>
  <c r="P5" i="78"/>
  <c r="P36" i="78" s="1"/>
  <c r="M5" i="78"/>
  <c r="M36" i="78" s="1"/>
  <c r="L5" i="78"/>
  <c r="J5" i="78"/>
  <c r="H5" i="78"/>
  <c r="F5" i="78"/>
  <c r="E5" i="78"/>
  <c r="B5" i="78"/>
  <c r="A5" i="78"/>
  <c r="P35" i="76"/>
  <c r="P34" i="76"/>
  <c r="P33" i="76"/>
  <c r="P32" i="76"/>
  <c r="P31" i="76"/>
  <c r="P30" i="76"/>
  <c r="P29" i="76"/>
  <c r="P28" i="76"/>
  <c r="P27" i="76"/>
  <c r="P26" i="76"/>
  <c r="P25" i="76"/>
  <c r="P24" i="76"/>
  <c r="P23" i="76"/>
  <c r="P22" i="76"/>
  <c r="P21" i="76"/>
  <c r="P20" i="76"/>
  <c r="P19" i="76"/>
  <c r="P18" i="76"/>
  <c r="P17" i="76"/>
  <c r="P16" i="76"/>
  <c r="P15" i="76"/>
  <c r="P14" i="76"/>
  <c r="P13" i="76"/>
  <c r="P12" i="76"/>
  <c r="P11" i="76"/>
  <c r="P10" i="76"/>
  <c r="P9" i="76"/>
  <c r="P8" i="76"/>
  <c r="P7" i="76"/>
  <c r="P6" i="76"/>
  <c r="P5" i="76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P35" i="62"/>
  <c r="P34" i="62"/>
  <c r="P33" i="62"/>
  <c r="P32" i="62"/>
  <c r="P31" i="62"/>
  <c r="P30" i="62"/>
  <c r="P29" i="62"/>
  <c r="P28" i="62"/>
  <c r="P27" i="62"/>
  <c r="P26" i="62"/>
  <c r="P25" i="62"/>
  <c r="P24" i="62"/>
  <c r="P23" i="62"/>
  <c r="P22" i="62"/>
  <c r="P21" i="62"/>
  <c r="P20" i="62"/>
  <c r="P19" i="62"/>
  <c r="P18" i="62"/>
  <c r="P17" i="62"/>
  <c r="P16" i="62"/>
  <c r="P15" i="62"/>
  <c r="P14" i="62"/>
  <c r="P13" i="62"/>
  <c r="P12" i="62"/>
  <c r="P11" i="62"/>
  <c r="P10" i="62"/>
  <c r="P9" i="62"/>
  <c r="P8" i="62"/>
  <c r="P7" i="62"/>
  <c r="P6" i="62"/>
  <c r="P5" i="62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P35" i="39"/>
  <c r="P34" i="39"/>
  <c r="P33" i="39"/>
  <c r="P32" i="39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M35" i="39"/>
  <c r="M34" i="39"/>
  <c r="M33" i="39"/>
  <c r="M32" i="39"/>
  <c r="M31" i="39"/>
  <c r="M30" i="39"/>
  <c r="M29" i="39"/>
  <c r="M28" i="39"/>
  <c r="M27" i="39"/>
  <c r="M26" i="39"/>
  <c r="M25" i="39"/>
  <c r="M24" i="39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F36" i="78" l="1"/>
  <c r="R36" i="78"/>
  <c r="B36" i="78"/>
  <c r="E36" i="78"/>
  <c r="F2" i="78" s="1"/>
  <c r="J36" i="78"/>
  <c r="L6" i="78"/>
  <c r="L7" i="78" s="1"/>
  <c r="L8" i="78" s="1"/>
  <c r="L9" i="78" s="1"/>
  <c r="L10" i="78" s="1"/>
  <c r="L11" i="78" s="1"/>
  <c r="L12" i="78" s="1"/>
  <c r="L13" i="78" s="1"/>
  <c r="L14" i="78" s="1"/>
  <c r="L15" i="78" s="1"/>
  <c r="L16" i="78" s="1"/>
  <c r="L17" i="78" s="1"/>
  <c r="L18" i="78" s="1"/>
  <c r="L19" i="78" s="1"/>
  <c r="L20" i="78" s="1"/>
  <c r="L21" i="78" s="1"/>
  <c r="L22" i="78" s="1"/>
  <c r="L23" i="78" s="1"/>
  <c r="L24" i="78" s="1"/>
  <c r="L25" i="78" s="1"/>
  <c r="L26" i="78" s="1"/>
  <c r="L27" i="78" s="1"/>
  <c r="L28" i="78" s="1"/>
  <c r="L29" i="78" s="1"/>
  <c r="L30" i="78" s="1"/>
  <c r="L31" i="78" s="1"/>
  <c r="L32" i="78" s="1"/>
  <c r="L33" i="78" s="1"/>
  <c r="L34" i="78" s="1"/>
  <c r="L35" i="78" s="1"/>
  <c r="A6" i="78"/>
  <c r="A7" i="78" s="1"/>
  <c r="A8" i="78" s="1"/>
  <c r="A9" i="78" s="1"/>
  <c r="A10" i="78" s="1"/>
  <c r="A11" i="78" s="1"/>
  <c r="A12" i="78" s="1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Q36" i="78"/>
  <c r="G5" i="78"/>
  <c r="G36" i="78" s="1"/>
  <c r="B29" i="76"/>
  <c r="B30" i="76"/>
  <c r="B31" i="76"/>
  <c r="B32" i="76"/>
  <c r="B33" i="76"/>
  <c r="B34" i="76"/>
  <c r="B35" i="76"/>
  <c r="B25" i="76"/>
  <c r="B26" i="76"/>
  <c r="B27" i="76"/>
  <c r="B28" i="76"/>
  <c r="B6" i="76"/>
  <c r="B7" i="76"/>
  <c r="B8" i="76"/>
  <c r="B9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5" i="76"/>
  <c r="B6" i="62"/>
  <c r="B7" i="62"/>
  <c r="B8" i="62"/>
  <c r="B9" i="62"/>
  <c r="B10" i="62"/>
  <c r="B11" i="62"/>
  <c r="B12" i="62"/>
  <c r="B13" i="62"/>
  <c r="B14" i="62"/>
  <c r="B15" i="62"/>
  <c r="B16" i="62"/>
  <c r="B17" i="62"/>
  <c r="B18" i="62"/>
  <c r="B19" i="62"/>
  <c r="B20" i="62"/>
  <c r="B21" i="62"/>
  <c r="B22" i="62"/>
  <c r="B23" i="62"/>
  <c r="B24" i="62"/>
  <c r="B25" i="62"/>
  <c r="B26" i="62"/>
  <c r="B27" i="62"/>
  <c r="B28" i="62"/>
  <c r="B29" i="62"/>
  <c r="B30" i="62"/>
  <c r="B31" i="62"/>
  <c r="B32" i="62"/>
  <c r="B33" i="62"/>
  <c r="B34" i="62"/>
  <c r="B35" i="62"/>
  <c r="B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5" i="62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5" i="35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5" i="4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5" i="39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5" i="43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B30" i="46"/>
  <c r="B31" i="46"/>
  <c r="B32" i="46"/>
  <c r="B33" i="46"/>
  <c r="B34" i="46"/>
  <c r="B35" i="46"/>
  <c r="B5" i="46"/>
  <c r="B6" i="51"/>
  <c r="B7" i="51"/>
  <c r="B8" i="5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5" i="51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19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5" i="39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5" i="35"/>
  <c r="E33" i="49"/>
  <c r="E34" i="49"/>
  <c r="E35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6" i="49"/>
  <c r="E7" i="49"/>
  <c r="E8" i="49"/>
  <c r="E9" i="49"/>
  <c r="E10" i="49"/>
  <c r="E11" i="49"/>
  <c r="E12" i="49"/>
  <c r="E13" i="49"/>
  <c r="E5" i="49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5" i="76"/>
  <c r="H11" i="46"/>
  <c r="H27" i="46"/>
  <c r="H32" i="46"/>
  <c r="H5" i="46"/>
  <c r="E6" i="46"/>
  <c r="H6" i="46" s="1"/>
  <c r="E7" i="46"/>
  <c r="H7" i="46" s="1"/>
  <c r="E8" i="46"/>
  <c r="H8" i="46" s="1"/>
  <c r="E9" i="46"/>
  <c r="H9" i="46" s="1"/>
  <c r="E10" i="46"/>
  <c r="H10" i="46" s="1"/>
  <c r="E11" i="46"/>
  <c r="E12" i="46"/>
  <c r="H12" i="46" s="1"/>
  <c r="E13" i="46"/>
  <c r="H13" i="46" s="1"/>
  <c r="E14" i="46"/>
  <c r="H14" i="46" s="1"/>
  <c r="E15" i="46"/>
  <c r="H15" i="46" s="1"/>
  <c r="E16" i="46"/>
  <c r="H16" i="46" s="1"/>
  <c r="E17" i="46"/>
  <c r="H17" i="46" s="1"/>
  <c r="E18" i="46"/>
  <c r="H18" i="46" s="1"/>
  <c r="E19" i="46"/>
  <c r="H19" i="46" s="1"/>
  <c r="E20" i="46"/>
  <c r="H20" i="46" s="1"/>
  <c r="E21" i="46"/>
  <c r="H21" i="46" s="1"/>
  <c r="E22" i="46"/>
  <c r="H22" i="46" s="1"/>
  <c r="E23" i="46"/>
  <c r="H23" i="46" s="1"/>
  <c r="E24" i="46"/>
  <c r="H24" i="46" s="1"/>
  <c r="E25" i="46"/>
  <c r="H25" i="46" s="1"/>
  <c r="E26" i="46"/>
  <c r="H26" i="46" s="1"/>
  <c r="E27" i="46"/>
  <c r="E28" i="46"/>
  <c r="H28" i="46" s="1"/>
  <c r="E29" i="46"/>
  <c r="H29" i="46" s="1"/>
  <c r="E30" i="46"/>
  <c r="H30" i="46" s="1"/>
  <c r="E31" i="46"/>
  <c r="H31" i="46" s="1"/>
  <c r="E32" i="46"/>
  <c r="E33" i="46"/>
  <c r="H33" i="46" s="1"/>
  <c r="E34" i="46"/>
  <c r="H34" i="46" s="1"/>
  <c r="E35" i="46"/>
  <c r="H35" i="46" s="1"/>
  <c r="E5" i="46"/>
  <c r="E6" i="43"/>
  <c r="H6" i="43" s="1"/>
  <c r="F6" i="43" s="1"/>
  <c r="G6" i="43" s="1"/>
  <c r="E7" i="43"/>
  <c r="H7" i="43" s="1"/>
  <c r="F7" i="43" s="1"/>
  <c r="G7" i="43" s="1"/>
  <c r="E8" i="43"/>
  <c r="H8" i="43" s="1"/>
  <c r="F8" i="43" s="1"/>
  <c r="G8" i="43" s="1"/>
  <c r="E9" i="43"/>
  <c r="H9" i="43" s="1"/>
  <c r="E10" i="43"/>
  <c r="H10" i="43" s="1"/>
  <c r="E11" i="43"/>
  <c r="H11" i="43" s="1"/>
  <c r="E12" i="43"/>
  <c r="H12" i="43" s="1"/>
  <c r="E13" i="43"/>
  <c r="H13" i="43" s="1"/>
  <c r="F13" i="43" s="1"/>
  <c r="G13" i="43" s="1"/>
  <c r="E14" i="43"/>
  <c r="H14" i="43" s="1"/>
  <c r="F14" i="43" s="1"/>
  <c r="G14" i="43" s="1"/>
  <c r="E15" i="43"/>
  <c r="H15" i="43" s="1"/>
  <c r="E16" i="43"/>
  <c r="H16" i="43" s="1"/>
  <c r="E17" i="43"/>
  <c r="H17" i="43" s="1"/>
  <c r="F17" i="43" s="1"/>
  <c r="G17" i="43" s="1"/>
  <c r="E18" i="43"/>
  <c r="H18" i="43" s="1"/>
  <c r="F18" i="43" s="1"/>
  <c r="G18" i="43" s="1"/>
  <c r="E19" i="43"/>
  <c r="H19" i="43" s="1"/>
  <c r="F19" i="43" s="1"/>
  <c r="G19" i="43" s="1"/>
  <c r="E20" i="43"/>
  <c r="H20" i="43" s="1"/>
  <c r="E21" i="43"/>
  <c r="H21" i="43" s="1"/>
  <c r="F21" i="43" s="1"/>
  <c r="G21" i="43" s="1"/>
  <c r="E23" i="43"/>
  <c r="H23" i="43" s="1"/>
  <c r="E24" i="43"/>
  <c r="H24" i="43" s="1"/>
  <c r="E25" i="43"/>
  <c r="H25" i="43" s="1"/>
  <c r="F25" i="43" s="1"/>
  <c r="G25" i="43" s="1"/>
  <c r="E26" i="43"/>
  <c r="H26" i="43" s="1"/>
  <c r="E27" i="43"/>
  <c r="H27" i="43" s="1"/>
  <c r="E28" i="43"/>
  <c r="H28" i="43" s="1"/>
  <c r="E29" i="43"/>
  <c r="H29" i="43" s="1"/>
  <c r="E30" i="43"/>
  <c r="H30" i="43" s="1"/>
  <c r="E31" i="43"/>
  <c r="H31" i="43" s="1"/>
  <c r="E32" i="43"/>
  <c r="H32" i="43" s="1"/>
  <c r="E33" i="43"/>
  <c r="H33" i="43" s="1"/>
  <c r="E34" i="43"/>
  <c r="H34" i="43" s="1"/>
  <c r="F34" i="43" s="1"/>
  <c r="G34" i="43" s="1"/>
  <c r="E35" i="43"/>
  <c r="H35" i="43" s="1"/>
  <c r="E36" i="43"/>
  <c r="H36" i="43" s="1"/>
  <c r="E5" i="43"/>
  <c r="H5" i="43" s="1"/>
  <c r="F9" i="43"/>
  <c r="G9" i="43" s="1"/>
  <c r="F10" i="43"/>
  <c r="G10" i="43" s="1"/>
  <c r="F11" i="43"/>
  <c r="G11" i="43" s="1"/>
  <c r="F12" i="43"/>
  <c r="G12" i="43"/>
  <c r="F15" i="43"/>
  <c r="G15" i="43" s="1"/>
  <c r="F16" i="43"/>
  <c r="G16" i="43" s="1"/>
  <c r="F20" i="43"/>
  <c r="G20" i="43" s="1"/>
  <c r="F23" i="43"/>
  <c r="G23" i="43" s="1"/>
  <c r="F24" i="43"/>
  <c r="G24" i="43" s="1"/>
  <c r="F26" i="43"/>
  <c r="G26" i="43" s="1"/>
  <c r="F27" i="43"/>
  <c r="G27" i="43" s="1"/>
  <c r="F28" i="43"/>
  <c r="G28" i="43" s="1"/>
  <c r="F29" i="43"/>
  <c r="G29" i="43" s="1"/>
  <c r="F30" i="43"/>
  <c r="G30" i="43" s="1"/>
  <c r="F31" i="43"/>
  <c r="G31" i="43" s="1"/>
  <c r="F32" i="43"/>
  <c r="G32" i="43" s="1"/>
  <c r="F33" i="43"/>
  <c r="G33" i="43" s="1"/>
  <c r="F35" i="43"/>
  <c r="G35" i="43" s="1"/>
  <c r="F36" i="43"/>
  <c r="G36" i="43" s="1"/>
  <c r="F27" i="39" l="1"/>
  <c r="G27" i="39" s="1"/>
  <c r="J29" i="43"/>
  <c r="J28" i="43"/>
  <c r="J20" i="43"/>
  <c r="U35" i="43"/>
  <c r="S35" i="43"/>
  <c r="Q35" i="43"/>
  <c r="R35" i="43" s="1"/>
  <c r="J17" i="43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 s="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J34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J27" i="43"/>
  <c r="D37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G18" i="51" s="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3" i="43"/>
  <c r="J24" i="43"/>
  <c r="J25" i="43"/>
  <c r="J26" i="43"/>
  <c r="J30" i="43"/>
  <c r="J31" i="43"/>
  <c r="J32" i="43"/>
  <c r="J33" i="43"/>
  <c r="J35" i="43"/>
  <c r="J36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7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7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2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I21" i="35" s="1"/>
  <c r="B22" i="35"/>
  <c r="B23" i="35"/>
  <c r="I23" i="35" s="1"/>
  <c r="B24" i="35"/>
  <c r="I24" i="35" s="1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 s="1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F35" i="46"/>
  <c r="G35" i="46" s="1"/>
  <c r="F34" i="46"/>
  <c r="G34" i="46" s="1"/>
  <c r="F33" i="46"/>
  <c r="G33" i="46" s="1"/>
  <c r="F32" i="46"/>
  <c r="G32" i="46" s="1"/>
  <c r="F31" i="46"/>
  <c r="G31" i="46" s="1"/>
  <c r="F30" i="46"/>
  <c r="G30" i="46" s="1"/>
  <c r="F29" i="46"/>
  <c r="G29" i="46" s="1"/>
  <c r="F28" i="46"/>
  <c r="G28" i="46" s="1"/>
  <c r="F27" i="46"/>
  <c r="G27" i="46" s="1"/>
  <c r="F26" i="46"/>
  <c r="G26" i="46" s="1"/>
  <c r="F25" i="46"/>
  <c r="G25" i="46" s="1"/>
  <c r="F24" i="46"/>
  <c r="G24" i="46" s="1"/>
  <c r="F23" i="46"/>
  <c r="G23" i="46" s="1"/>
  <c r="F22" i="46"/>
  <c r="G22" i="46" s="1"/>
  <c r="F21" i="46"/>
  <c r="G21" i="46" s="1"/>
  <c r="F20" i="46"/>
  <c r="G20" i="46" s="1"/>
  <c r="F19" i="46"/>
  <c r="G19" i="46" s="1"/>
  <c r="F18" i="46"/>
  <c r="G18" i="46" s="1"/>
  <c r="F17" i="46"/>
  <c r="G17" i="46" s="1"/>
  <c r="F16" i="46"/>
  <c r="G16" i="46" s="1"/>
  <c r="F15" i="46"/>
  <c r="G15" i="46" s="1"/>
  <c r="F14" i="46"/>
  <c r="G14" i="46" s="1"/>
  <c r="F13" i="46"/>
  <c r="G13" i="46" s="1"/>
  <c r="F12" i="46"/>
  <c r="G12" i="46" s="1"/>
  <c r="F11" i="46"/>
  <c r="G11" i="46" s="1"/>
  <c r="F10" i="46"/>
  <c r="G10" i="46" s="1"/>
  <c r="F9" i="46"/>
  <c r="G9" i="46" s="1"/>
  <c r="F8" i="46"/>
  <c r="G8" i="46" s="1"/>
  <c r="F7" i="46"/>
  <c r="G7" i="46" s="1"/>
  <c r="F6" i="46"/>
  <c r="G6" i="46" s="1"/>
  <c r="S5" i="46"/>
  <c r="Q5" i="46"/>
  <c r="R5" i="46" s="1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H29" i="62"/>
  <c r="F29" i="62" s="1"/>
  <c r="G29" i="62" s="1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6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31" i="43" l="1"/>
  <c r="A29" i="43"/>
  <c r="A27" i="43"/>
  <c r="A25" i="43"/>
  <c r="A35" i="43"/>
  <c r="A23" i="43"/>
  <c r="A20" i="43"/>
  <c r="A18" i="43"/>
  <c r="A16" i="43"/>
  <c r="A14" i="43"/>
  <c r="A12" i="43"/>
  <c r="A10" i="43"/>
  <c r="A8" i="43"/>
  <c r="A33" i="43"/>
  <c r="A32" i="43"/>
  <c r="A30" i="43"/>
  <c r="A26" i="43"/>
  <c r="A24" i="43"/>
  <c r="A21" i="43"/>
  <c r="A19" i="43"/>
  <c r="A17" i="43"/>
  <c r="A15" i="43"/>
  <c r="A13" i="43"/>
  <c r="A11" i="43"/>
  <c r="A9" i="43"/>
  <c r="A7" i="43"/>
  <c r="L35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F2" i="43" s="1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F2" i="39" s="1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F2" i="49" s="1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7" i="43"/>
  <c r="J37" i="43"/>
  <c r="G37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<sst xmlns="http://schemas.openxmlformats.org/spreadsheetml/2006/main" count="1442" uniqueCount="578">
  <si>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</si>
  <si>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</si>
  <si>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</si>
  <si>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</si>
  <si>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</si>
  <si>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</si>
  <si>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</si>
  <si>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</si>
  <si>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</si>
  <si>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</si>
  <si>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</si>
  <si>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</si>
  <si>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</si>
  <si>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</si>
  <si>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</si>
  <si>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</si>
  <si>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</si>
  <si>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</si>
  <si>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</si>
  <si>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</si>
  <si>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</si>
  <si>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</si>
  <si>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</si>
  <si>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</si>
  <si>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</si>
  <si>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</si>
  <si>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</si>
  <si>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</si>
  <si>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</si>
  <si>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</si>
  <si>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</si>
  <si>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</si>
  <si>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</si>
  <si>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</si>
  <si>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</si>
  <si>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</si>
  <si>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</si>
  <si>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</si>
  <si>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</si>
  <si>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</si>
  <si>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</si>
  <si>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</si>
  <si>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</si>
  <si>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</si>
  <si>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</si>
  <si>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</si>
  <si>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</si>
  <si>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</si>
  <si>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</si>
  <si>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</si>
  <si>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</si>
  <si>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</si>
  <si>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</si>
  <si>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</si>
  <si>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</si>
  <si>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</si>
  <si>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</si>
  <si>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</si>
  <si>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</si>
  <si>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</si>
  <si>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</si>
  <si>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</si>
  <si>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</si>
  <si>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</si>
  <si>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</si>
  <si>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</si>
  <si>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</si>
  <si>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</si>
  <si>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</si>
  <si>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</si>
  <si>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</si>
  <si>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</si>
  <si>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</si>
  <si>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</si>
  <si>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</si>
  <si>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</si>
  <si>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</si>
  <si>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</si>
  <si>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</si>
  <si>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</si>
  <si>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</si>
  <si>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</si>
  <si>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</si>
  <si>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</si>
  <si>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</si>
  <si>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</si>
  <si>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</si>
  <si>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</si>
  <si>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</si>
  <si>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</si>
  <si>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</si>
  <si>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</si>
  <si>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</si>
  <si>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</si>
  <si>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</si>
  <si>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</si>
  <si>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</si>
  <si>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</si>
  <si>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</si>
  <si>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</si>
  <si>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</si>
  <si>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</si>
  <si>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</si>
  <si>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</si>
  <si>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</si>
  <si>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</si>
  <si>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</si>
  <si>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</si>
  <si>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</si>
  <si>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</si>
  <si>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</si>
  <si>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</si>
  <si>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</si>
  <si>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</si>
  <si>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</si>
  <si>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</si>
  <si>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</si>
  <si>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</si>
  <si>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</si>
  <si>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</si>
  <si>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</si>
  <si>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</si>
  <si>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</si>
  <si>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</si>
  <si>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</si>
  <si>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</si>
  <si>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</si>
  <si>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</si>
  <si>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</si>
  <si>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</si>
  <si>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</si>
  <si>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</si>
  <si>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</si>
  <si>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</si>
  <si>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</si>
  <si>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</si>
  <si>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</si>
  <si>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</si>
  <si>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</si>
  <si>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</si>
  <si>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</si>
  <si>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</si>
  <si>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</si>
  <si>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</si>
  <si>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</si>
  <si>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</si>
  <si>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</si>
  <si>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</si>
  <si>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</si>
  <si>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</si>
  <si>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</si>
  <si>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</si>
  <si>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</si>
  <si>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</si>
  <si>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</si>
  <si>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</si>
  <si>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</si>
  <si>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</si>
  <si>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</si>
  <si>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</si>
  <si>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</si>
  <si>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</si>
  <si>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</si>
  <si>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</si>
  <si>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</si>
  <si>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</si>
  <si>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</si>
  <si>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</si>
  <si>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</si>
  <si>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</si>
  <si>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</si>
  <si>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</si>
  <si>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</si>
  <si>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</si>
  <si>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</si>
  <si>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</si>
  <si>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</si>
  <si>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</si>
  <si>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</si>
  <si>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</si>
  <si>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</si>
  <si>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</si>
  <si>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</si>
  <si>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</si>
  <si>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</si>
  <si>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</si>
  <si>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</si>
  <si>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</si>
  <si>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</si>
  <si>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</si>
  <si>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</si>
  <si>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</si>
  <si>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</si>
  <si>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</si>
  <si>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</si>
  <si>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</si>
  <si>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</si>
  <si>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</si>
  <si>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</si>
  <si>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</si>
  <si>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</si>
  <si>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</si>
  <si>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</si>
  <si>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</si>
  <si>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</si>
  <si>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</si>
  <si>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</si>
  <si>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</si>
  <si>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</si>
  <si>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</si>
  <si>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</si>
  <si>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</si>
  <si>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</si>
  <si>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</si>
  <si>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</si>
  <si>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</si>
  <si>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</si>
  <si>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</si>
  <si>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</si>
  <si>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</si>
  <si>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</si>
  <si>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</si>
  <si>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</si>
  <si>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</si>
  <si>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</si>
  <si>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</si>
  <si>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</si>
  <si>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</si>
  <si>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</si>
  <si>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</si>
  <si>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</si>
  <si>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</si>
  <si>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</si>
  <si>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</si>
  <si>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</si>
  <si>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</si>
  <si>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</si>
  <si>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</si>
  <si>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</si>
  <si>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</si>
  <si>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</si>
  <si>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</si>
  <si>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</si>
  <si>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</si>
  <si>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</si>
  <si>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</si>
  <si>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</si>
  <si>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</si>
  <si>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</si>
  <si>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</si>
  <si>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</si>
  <si>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</si>
  <si>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</si>
  <si>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</si>
  <si>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</si>
  <si>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</si>
  <si>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</si>
  <si>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</si>
  <si>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</si>
  <si>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</si>
  <si>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</si>
  <si>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</si>
  <si>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</si>
  <si>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</si>
  <si>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</si>
  <si>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</si>
  <si>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</si>
  <si>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</si>
  <si>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</si>
  <si>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</si>
  <si>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</si>
  <si>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</si>
  <si>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</si>
  <si>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</si>
  <si>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</si>
  <si>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</si>
  <si>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</si>
  <si>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</si>
  <si>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</si>
  <si>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</si>
  <si>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</si>
  <si>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</si>
  <si>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</si>
  <si>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</si>
  <si>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</si>
  <si>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</si>
  <si>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</si>
  <si>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</si>
  <si>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</si>
  <si>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</si>
  <si>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</si>
  <si>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</si>
  <si>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</si>
  <si>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</si>
  <si>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</si>
  <si>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</si>
  <si>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</si>
  <si>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</si>
  <si>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</si>
  <si>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</si>
  <si>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</si>
  <si>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</si>
  <si>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</si>
  <si>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</si>
  <si>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</si>
  <si>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</si>
  <si>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</si>
  <si>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</si>
  <si>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</si>
  <si>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</si>
  <si>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</si>
  <si>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</si>
  <si>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</si>
  <si>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</si>
  <si>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</si>
  <si>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</si>
  <si>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</si>
  <si>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</si>
  <si>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</si>
  <si>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</si>
  <si>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</si>
  <si>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</si>
  <si>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</si>
  <si>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</si>
  <si>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</si>
  <si>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</si>
  <si>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</si>
  <si>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</si>
  <si>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</si>
  <si>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</si>
  <si>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</si>
  <si>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</si>
  <si>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</si>
  <si>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</si>
  <si>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</si>
  <si>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</si>
  <si>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</si>
  <si>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</si>
  <si>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</si>
  <si>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</si>
  <si>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</si>
  <si>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</si>
  <si>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</si>
  <si>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</si>
  <si>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</si>
  <si>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</si>
  <si>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</si>
  <si>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</si>
  <si>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</si>
  <si>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</si>
  <si>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</si>
  <si>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</si>
  <si>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</si>
  <si>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</si>
  <si>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</si>
  <si>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</si>
  <si>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</si>
  <si>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</si>
  <si>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</si>
  <si>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</si>
  <si>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</si>
  <si>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</si>
  <si>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</si>
  <si>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</si>
  <si>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</si>
  <si>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</si>
  <si>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</si>
  <si>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</si>
  <si>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</si>
  <si>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</si>
  <si>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</si>
  <si>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</si>
  <si>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</si>
  <si>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</si>
  <si>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</si>
  <si>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</si>
  <si>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</si>
  <si>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</si>
  <si>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</si>
  <si>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</si>
  <si>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</si>
  <si>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</si>
  <si>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</si>
  <si>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</si>
  <si>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</si>
  <si>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</si>
  <si>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</si>
  <si>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</si>
  <si>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</si>
  <si>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</si>
  <si>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</si>
  <si>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</si>
  <si>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</si>
  <si>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</si>
  <si>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</si>
  <si>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</si>
  <si>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</si>
  <si>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</si>
  <si>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</si>
  <si>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</si>
  <si>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</si>
  <si>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</si>
  <si>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</si>
  <si>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</si>
  <si>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</si>
  <si>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</si>
  <si>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</si>
  <si>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</si>
  <si>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</si>
  <si>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</si>
  <si>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</si>
  <si>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</si>
  <si>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</si>
  <si>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</si>
  <si>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</si>
  <si>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</si>
  <si>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</si>
  <si>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</si>
  <si>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</si>
  <si>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</si>
  <si>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</si>
  <si>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</si>
  <si>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</si>
  <si>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</si>
  <si>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</si>
  <si>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</si>
  <si>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</si>
  <si>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</si>
  <si>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</si>
  <si>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</si>
  <si>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</si>
  <si>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</si>
  <si>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</si>
  <si>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</si>
  <si>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</si>
  <si>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</si>
  <si>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</si>
  <si>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</si>
  <si>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</si>
  <si>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</si>
  <si>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</si>
  <si>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</si>
  <si>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</si>
  <si>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</si>
  <si>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</si>
  <si>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</si>
  <si>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</si>
  <si>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</si>
  <si>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</si>
  <si>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</si>
  <si>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</si>
  <si>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</si>
  <si>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</si>
  <si>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</si>
  <si>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</si>
  <si>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</si>
  <si>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</si>
  <si>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</si>
  <si>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</si>
  <si>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</si>
  <si>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</si>
  <si>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</si>
  <si>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</si>
  <si>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</si>
  <si>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</si>
  <si>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</si>
  <si>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</si>
  <si>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</si>
  <si>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</si>
  <si>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</si>
  <si>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</si>
  <si>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</si>
  <si>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</si>
  <si>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</si>
  <si>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</si>
  <si>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</si>
  <si>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</si>
  <si>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</si>
  <si>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</si>
  <si>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</si>
  <si>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</si>
  <si>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</si>
  <si>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</si>
  <si>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</si>
  <si>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</si>
  <si>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</si>
  <si>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</si>
  <si>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</si>
  <si>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</si>
  <si>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</si>
  <si>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</si>
  <si>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</si>
  <si>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</si>
  <si>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</si>
  <si>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</si>
  <si>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</si>
  <si>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</si>
  <si>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</si>
  <si>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</si>
  <si>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</si>
  <si>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</si>
  <si>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</si>
  <si>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</si>
  <si>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</si>
  <si>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</si>
  <si>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</si>
  <si>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</si>
  <si>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</si>
  <si>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</si>
  <si>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</si>
  <si>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</si>
  <si>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</si>
  <si>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</si>
  <si>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</si>
  <si>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</si>
  <si>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</si>
  <si>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</si>
  <si>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</si>
  <si>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</si>
  <si>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</si>
  <si>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</si>
  <si>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</si>
  <si>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</si>
  <si>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</si>
  <si>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</si>
  <si>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</si>
  <si>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</si>
  <si>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</si>
  <si>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</si>
  <si>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</si>
  <si>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</si>
  <si>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</si>
  <si>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</si>
  <si>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</si>
  <si>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</si>
  <si>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</si>
  <si>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</si>
  <si>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</si>
  <si>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</si>
  <si>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</si>
  <si>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</si>
  <si>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</si>
  <si>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</si>
  <si>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</si>
  <si>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</si>
  <si>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</si>
  <si>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</si>
  <si>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</si>
  <si>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</si>
  <si>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</si>
  <si>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</si>
  <si>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</si>
  <si>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</si>
  <si>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</si>
  <si>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</si>
  <si>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</si>
  <si>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</si>
  <si>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</si>
  <si>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</si>
  <si>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</si>
  <si>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</si>
  <si>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</si>
  <si>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</si>
  <si>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</si>
  <si>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</si>
  <si>
    <t>三宮　HAKU</t>
    <rPh sb="0" eb="2">
      <t>サンノミヤ</t>
    </rPh>
    <phoneticPr fontId="2"/>
  </si>
  <si>
    <t>北新地　エルソル</t>
    <rPh sb="0" eb="3">
      <t>キタシンチ</t>
    </rPh>
    <phoneticPr fontId="2"/>
  </si>
  <si>
    <t>8名以上件数</t>
    <rPh sb="1" eb="2">
      <t>メイ</t>
    </rPh>
    <rPh sb="2" eb="4">
      <t>イジョウ</t>
    </rPh>
    <rPh sb="4" eb="6">
      <t>ケンスウ</t>
    </rPh>
    <phoneticPr fontId="2"/>
  </si>
  <si>
    <t>8件以上件数</t>
    <rPh sb="1" eb="2">
      <t>ケン</t>
    </rPh>
    <rPh sb="2" eb="4">
      <t>イジョウ</t>
    </rPh>
    <rPh sb="4" eb="6">
      <t>ケンスウ</t>
    </rPh>
    <phoneticPr fontId="2"/>
  </si>
  <si>
    <t>8人以上件数</t>
    <rPh sb="1" eb="2">
      <t>ニン</t>
    </rPh>
    <rPh sb="2" eb="4">
      <t>イジョウ</t>
    </rPh>
    <rPh sb="4" eb="6">
      <t>ケンスウ</t>
    </rPh>
    <phoneticPr fontId="2"/>
  </si>
  <si>
    <t>8名以上件数</t>
    <rPh sb="1" eb="4">
      <t>メイイジョウ</t>
    </rPh>
    <rPh sb="4" eb="6">
      <t>ケンスウ</t>
    </rPh>
    <phoneticPr fontId="2"/>
  </si>
  <si>
    <t>8件以上件数</t>
    <phoneticPr fontId="2"/>
  </si>
  <si>
    <t>難波　TSUBAKI</t>
    <rPh sb="0" eb="2">
      <t>ナンバ</t>
    </rPh>
    <phoneticPr fontId="2"/>
  </si>
  <si>
    <t>シャンパン1本</t>
    <rPh sb="6" eb="7">
      <t>ポン</t>
    </rPh>
    <phoneticPr fontId="2"/>
  </si>
  <si>
    <t>4/1から幹事無料制度はなし</t>
    <rPh sb="5" eb="7">
      <t>カンジ</t>
    </rPh>
    <rPh sb="7" eb="11">
      <t>ムリョウセイド</t>
    </rPh>
    <phoneticPr fontId="2"/>
  </si>
  <si>
    <t>単価は+200円なので2200円になる</t>
    <rPh sb="0" eb="2">
      <t>タンカ</t>
    </rPh>
    <rPh sb="7" eb="8">
      <t>エン</t>
    </rPh>
    <rPh sb="15" eb="16">
      <t>エン</t>
    </rPh>
    <phoneticPr fontId="2"/>
  </si>
  <si>
    <t>IF([@人数]=0,"",IF(AND((NOT([@曜日]="金")),(NOT([@曜日]="土"))),IF([@人数]&lt;=7,"",IF([@人数]&lt;=15,$B$1,IF([@人数]&lt;=23,$B$1*2,IF([@人数]&lt;=31,$B$1*3,IF([@人数]&lt;=39,$B$1*4,""))))),0))</t>
    <phoneticPr fontId="2"/>
  </si>
  <si>
    <t>領収書記載金額</t>
    <rPh sb="0" eb="3">
      <t>リョウシュウショ</t>
    </rPh>
    <rPh sb="3" eb="5">
      <t>キサイ</t>
    </rPh>
    <rPh sb="5" eb="7">
      <t>キンガク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</si>
</sst>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52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38" fontId="7" fillId="0" borderId="13" xfId="2" applyFont="1" applyFill="1" applyBorder="1">
      <alignment vertical="center"/>
    </xf>
    <xf numFmtId="56" fontId="4" fillId="0" borderId="0" xfId="1" applyNumberFormat="1">
      <alignment vertical="center"/>
    </xf>
    <xf numFmtId="14" fontId="0" fillId="0" borderId="0" xfId="2" applyNumberFormat="1" applyFont="1">
      <alignment vertical="center"/>
    </xf>
    <xf numFmtId="38" fontId="4" fillId="0" borderId="0" xfId="6" applyFo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56" fontId="1" fillId="0" borderId="0" xfId="1" applyNumberFormat="1" applyFont="1">
      <alignment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82"/>
      <tableStyleElement type="firstRowStripe" dxfId="881"/>
      <tableStyleElement type="secondRowStripe" dxfId="880"/>
    </tableStyle>
    <tableStyle name="各店舗件数-style" pivot="0" count="3" xr9:uid="{00000000-0011-0000-FFFF-FFFF01000000}">
      <tableStyleElement type="headerRow" dxfId="879"/>
      <tableStyleElement type="firstRowStripe" dxfId="878"/>
      <tableStyleElement type="secondRowStripe" dxfId="877"/>
    </tableStyle>
    <tableStyle name="店舗名集-style" pivot="0" count="3" xr9:uid="{00000000-0011-0000-FFFF-FFFF02000000}">
      <tableStyleElement type="headerRow" dxfId="876"/>
      <tableStyleElement type="firstRowStripe" dxfId="875"/>
      <tableStyleElement type="secondRowStripe" dxfId="8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10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4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B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C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D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E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F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73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72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71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70"/>
    <tableColumn id="11" xr3:uid="{D07885CD-345A-41E3-8854-9D6C28ABE6D8}" name="Bパターン" dataDxfId="869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68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67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66" headerRowBorderDxfId="865" tableBorderDxfId="864" totalsRowBorderDxfId="863">
  <autoFilter ref="A2:C15" xr:uid="{AB2EB2CF-299B-4598-990D-D745775F2350}"/>
  <tableColumns count="3">
    <tableColumn id="1" xr3:uid="{CB412B2B-5596-4A33-AD3C-88415E3CE5A1}" name="管理番号" dataDxfId="862"/>
    <tableColumn id="2" xr3:uid="{9A7B09FC-E8EF-4F7A-A624-EB9B76267B13}" name="B件数" dataDxfId="861"/>
    <tableColumn id="3" xr3:uid="{637D4B54-0388-4C03-B793-68763C5D9D72}" name="バック合計金額" dataDxfId="860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59" tableBorderDxfId="858" totalsRowBorderDxfId="857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56" totalsRowDxfId="855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54" totalsRowDxfId="853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52" totalsRowDxfId="851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50" totalsRowDxfId="849" dataCellStyle="標準 2">
      <calculatedColumnFormula>IF(SUM(E2:XFD2)=0,"",SUM(E2:XFD2))</calculatedColumnFormula>
    </tableColumn>
    <tableColumn id="5" xr3:uid="{802613F8-2CBB-4F45-AAE8-34F38D6DECCD}" name="キャンプ" dataDxfId="848" totalsRowDxfId="847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46" totalsRowDxfId="845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44" totalsRowDxfId="843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42" totalsRowDxfId="841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40" totalsRowDxfId="839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38" totalsRowDxfId="837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36" totalsRowDxfId="835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34" totalsRowDxfId="833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32" totalsRowDxfId="831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30" totalsRowDxfId="829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28" totalsRowDxfId="827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26" totalsRowDxfId="825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824" totalsRowDxfId="823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822" totalsRowDxfId="821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820" totalsRowDxfId="819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818" totalsRowDxfId="817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816" totalsRowDxfId="815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814" totalsRowDxfId="813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812" totalsRowDxfId="811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810" totalsRowDxfId="809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808" totalsRowDxfId="807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806" totalsRowDxfId="805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804" totalsRowDxfId="803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802" totalsRowDxfId="801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800" totalsRowDxfId="797" headerRowBorderDxfId="799" tableBorderDxfId="798" totalsRowBorderDxfId="796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95" totalsRowDxfId="794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93" totalsRowDxfId="792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91" totalsRowDxfId="790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89" totalsRowDxfId="788" dataCellStyle="標準 2">
      <calculatedColumnFormula>IF(SUM(E2:XFD2)=0,"",SUM(E2:XFD2))</calculatedColumnFormula>
    </tableColumn>
    <tableColumn id="5" xr3:uid="{F3F9E92F-DBE9-4C91-A3D6-1FC8488B488D}" name="キャンプ" dataDxfId="787" totalsRowDxfId="786" dataCellStyle="桁区切り 2">
      <calculatedColumnFormula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85" totalsRowDxfId="784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83" totalsRowDxfId="782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81" totalsRowDxfId="780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79" totalsRowDxfId="778" dataCellStyle="桁区切り 2">
      <calculatedColumnFormula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77" totalsRowDxfId="776" dataCellStyle="桁区切り 2">
      <calculatedColumnFormula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calculatedColumnFormula>
    </tableColumn>
    <tableColumn id="15" xr3:uid="{F301EE54-C810-4048-8F07-AFF2CA67B0C0}" name="石狩" dataDxfId="775" totalsRowDxfId="774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73" totalsRowDxfId="772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71" totalsRowDxfId="770" dataCellStyle="桁区切り 2">
      <calculatedColumnFormula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calculatedColumnFormula>
    </tableColumn>
    <tableColumn id="16" xr3:uid="{62400C4B-74FA-40CA-A2EA-F6B8D29C4FA4}" name="3e BAR" dataDxfId="769" totalsRowDxfId="768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67" totalsRowDxfId="766" dataCellStyle="桁区切り 2">
      <calculatedColumnFormula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65" totalsRowDxfId="764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63" totalsRowDxfId="762" dataCellStyle="桁区切り 2">
      <calculatedColumnFormula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61" totalsRowDxfId="760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59" totalsRowDxfId="758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57" totalsRowDxfId="756" dataCellStyle="桁区切り 2">
      <calculatedColumnFormula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55" totalsRowDxfId="754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53" totalsRowDxfId="752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51" totalsRowDxfId="750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49" totalsRowDxfId="748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47" totalsRowDxfId="746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45" totalsRowDxfId="744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43" totalsRowDxfId="742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41" totalsRowDxfId="740" dataCellStyle="標準 2">
      <calculatedColumnFormula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39" tableBorderDxfId="738" totalsRowBorderDxfId="737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36" totalsRowDxfId="735" dataCellStyle="標準 2">
      <totalsRowFormula>名前リスト[[#This Row],[管理番号]]</totalsRowFormula>
    </tableColumn>
    <tableColumn id="2" xr3:uid="{E00F0DDB-8B63-4E1E-B01B-7BE68F79A001}" name="LINE名" dataDxfId="734" totalsRowDxfId="733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32" totalsRowDxfId="731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30" totalsRowDxfId="729" dataCellStyle="標準 2">
      <calculatedColumnFormula>IF(SUM(E2:XFD2)=0,"",SUM(E2:XFD2))</calculatedColumnFormula>
    </tableColumn>
    <tableColumn id="5" xr3:uid="{4A102B82-2720-4325-8037-0E5518D460F7}" name="キャンプ" dataDxfId="728" totalsRowDxfId="727" dataCellStyle="桁区切り 2"/>
    <tableColumn id="6" xr3:uid="{9C26370B-D29B-41B4-8909-F547A75A1753}" name="パンプキン" dataDxfId="726" totalsRowDxfId="725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724" totalsRowDxfId="723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722" totalsRowDxfId="721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720" totalsRowDxfId="719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718" totalsRowDxfId="717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716" totalsRowDxfId="715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714" totalsRowDxfId="713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712" totalsRowDxfId="711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710" totalsRowDxfId="709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708" totalsRowDxfId="707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706" totalsRowDxfId="705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704" totalsRowDxfId="703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702" totalsRowDxfId="701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700" totalsRowDxfId="699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98" totalsRowDxfId="697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96" totalsRowDxfId="695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94" totalsRowDxfId="693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92" totalsRowDxfId="691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90" totalsRowDxfId="689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88" totalsRowDxfId="687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86" totalsRowDxfId="685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84" totalsRowDxfId="683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82" totalsRowDxfId="681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80" tableBorderDxfId="679" totalsRowBorderDxfId="678">
  <autoFilter ref="A4:K35" xr:uid="{1C819D62-6B3E-FF4E-B390-0F457A3E12CA}"/>
  <tableColumns count="11">
    <tableColumn id="5" xr3:uid="{0AF8CF28-69E4-4707-A8E2-BA8FAAE40241}" name="日付" dataDxfId="677"/>
    <tableColumn id="11" xr3:uid="{53E4264F-ECDA-4F8C-A073-3A349CF30892}" name="曜日" dataDxfId="676">
      <calculatedColumnFormula>TEXT(DATE(名前リスト!$N$1,名前リスト!$O$1,ROW()-4),"aaa")</calculatedColumnFormula>
    </tableColumn>
    <tableColumn id="1" xr3:uid="{54EF7B02-B46E-B449-8BC6-8AE73D296814}" name="件数" dataDxfId="675">
      <calculatedColumnFormula>IF(梅田キャンプ4000[[#This Row],[人数]]=0,"",1)</calculatedColumnFormula>
    </tableColumn>
    <tableColumn id="2" xr3:uid="{F598C703-5ACC-5E4E-AEDA-02A6A3FCF484}" name="イベンター予約名" dataDxfId="674"/>
    <tableColumn id="3" xr3:uid="{C0EE1808-3110-1C40-8D7C-5526EFFF07A5}" name="人数" dataDxfId="673"/>
    <tableColumn id="4" xr3:uid="{985FA722-FC50-438E-8B5B-A12627543BAA}" name="8名以上件数" dataDxfId="672" dataCellStyle="標準 2">
      <calculatedColumnFormula>ROUNDDOWN(梅田キャンプ4000[[#This Row],[人数]]/8,0)</calculatedColumnFormula>
    </tableColumn>
    <tableColumn id="6" xr3:uid="{5958ACCD-BACA-4C11-BE88-96B71C8857EB}" name="単価合計" dataDxfId="671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70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69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68" dataCellStyle="桁区切り 2"/>
    <tableColumn id="8" xr3:uid="{58D5C86F-F9D6-48F5-9C2E-05153EBDE039}" name="イベンターへ" dataDxfId="667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66" tableBorderDxfId="665" totalsRowBorderDxfId="664">
  <autoFilter ref="N4:X35" xr:uid="{A57C9AC2-FAEA-414A-8B7A-12BE15CF477A}"/>
  <tableColumns count="11">
    <tableColumn id="5" xr3:uid="{E8E3E8AD-D130-4D59-887F-D5E507E98DB1}" name="日付" dataDxfId="663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62">
      <calculatedColumnFormula>TEXT(DATE(名前リスト!$N$1,名前リスト!$O$1,ROW()-4),"aaa")</calculatedColumnFormula>
    </tableColumn>
    <tableColumn id="1" xr3:uid="{C0F1D673-B511-4B44-A484-A4BB499D78B8}" name="件数" dataDxfId="661"/>
    <tableColumn id="2" xr3:uid="{C94A4F89-4012-A449-9569-C4413BBE2B7E}" name="イベンター予約名" dataDxfId="660"/>
    <tableColumn id="3" xr3:uid="{B07AB96B-BAFF-5E49-8839-20C6E628EF2A}" name="人数" dataDxfId="659"/>
    <tableColumn id="10" xr3:uid="{40E201B1-4362-4411-A900-D1C1C6B9DCF6}" name="Aパターン" dataDxfId="658" dataCellStyle="標準 2"/>
    <tableColumn id="6" xr3:uid="{6DB5BF60-8A57-4E1A-9E7C-A80611B203DB}" name="単価合計" dataDxfId="657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56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55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54" dataCellStyle="桁区切り 2"/>
    <tableColumn id="8" xr3:uid="{92E3588D-686A-4D42-A1F2-40A5DD760394}" name="イベンターへ" dataDxfId="653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52" tableBorderDxfId="651" totalsRowBorderDxfId="650">
  <autoFilter ref="A4:J35" xr:uid="{AC98DDB4-C99F-804D-8BB2-05BACB46A2B6}"/>
  <tableColumns count="10">
    <tableColumn id="4" xr3:uid="{34159E48-3150-4D24-ACB5-C536C0DCD0B2}" name="日付" dataDxfId="649"/>
    <tableColumn id="1" xr3:uid="{85FF0C8C-1EE4-1143-B6E9-EE4764778A88}" name="件数" dataDxfId="648"/>
    <tableColumn id="2" xr3:uid="{E3E95BD7-4AEF-174A-9AE9-DED974BB4C02}" name="イベンター予約名" dataDxfId="647"/>
    <tableColumn id="3" xr3:uid="{1103A459-F480-7148-B304-A43C04DC809E}" name="人数" dataDxfId="646"/>
    <tableColumn id="8" xr3:uid="{ACA56ADB-02D5-4294-B38E-385A8A7E2744}" name="Aパターン" dataDxfId="645" dataCellStyle="標準 2"/>
    <tableColumn id="5" xr3:uid="{C0A03C70-B519-4312-B11D-572A3B67E99F}" name="単価合計" dataDxfId="644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43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42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41" dataCellStyle="桁区切り 2"/>
    <tableColumn id="7" xr3:uid="{ECA27F94-51C3-4E96-90EC-7A345F4909E3}" name="イベンターへ" dataDxfId="640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39" tableBorderDxfId="638" totalsRowBorderDxfId="637">
  <autoFilter ref="L4:U35" xr:uid="{3E57F02E-592A-3348-A18A-D5DD432C963B}"/>
  <tableColumns count="10">
    <tableColumn id="4" xr3:uid="{D473D240-9DE6-425E-AB65-4311D496F778}" name="日付" dataDxfId="636"/>
    <tableColumn id="1" xr3:uid="{55538ED1-D224-3145-A903-F1CC95B58C65}" name="件数" dataDxfId="635"/>
    <tableColumn id="2" xr3:uid="{ACA63795-775C-934B-96A5-B00F83841BEA}" name="イベンター予約名" dataDxfId="634"/>
    <tableColumn id="3" xr3:uid="{86E14928-98E4-C841-8D34-F7AE7446A904}" name="人数" dataDxfId="633"/>
    <tableColumn id="8" xr3:uid="{C1843680-C7F5-41FF-9AB9-5D4368D03C9E}" name="Aパターン" dataDxfId="632" dataCellStyle="標準 2"/>
    <tableColumn id="5" xr3:uid="{08630C1F-BB61-4382-B9DC-70F7A4054F05}" name="単価合計" dataDxfId="631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30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29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28" dataCellStyle="桁区切り 2"/>
    <tableColumn id="7" xr3:uid="{EB388A81-07F0-406A-9417-7A9CB7892D21}" name="イベンターへ" dataDxfId="627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26" tableBorderDxfId="625" totalsRowBorderDxfId="624">
  <autoFilter ref="A4:J35" xr:uid="{D374D742-2137-914C-8A19-F9253E8E1D5A}"/>
  <tableColumns count="10">
    <tableColumn id="4" xr3:uid="{537C21FC-009E-420E-846B-37D142E1F85D}" name="日付" dataDxfId="623"/>
    <tableColumn id="1" xr3:uid="{E3332CAE-9C9A-2A45-9DD8-E91B4F8689DA}" name="件数" dataDxfId="622"/>
    <tableColumn id="2" xr3:uid="{AC0B30D4-9965-514F-BD99-9729C95979A0}" name="イベンター予約名" dataDxfId="621"/>
    <tableColumn id="3" xr3:uid="{8CDE216A-E62A-614B-8E9F-15837328291A}" name="人数" dataDxfId="620"/>
    <tableColumn id="8" xr3:uid="{D9D0C3C8-9692-4051-9F55-EF48DDB1A1CF}" name="Aパターン" dataDxfId="619" dataCellStyle="標準 2"/>
    <tableColumn id="5" xr3:uid="{35DF3688-E833-4755-B4C5-C93B0FAEC171}" name="単価合計" dataDxfId="618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617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616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615" dataCellStyle="桁区切り 2"/>
    <tableColumn id="7" xr3:uid="{EB7D622C-E99D-4141-8517-F76B3D59789D}" name="イベンターへ" dataDxfId="614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613" tableBorderDxfId="612" totalsRowBorderDxfId="611">
  <autoFilter ref="L4:U35" xr:uid="{09AE8972-D540-2448-B01B-ED78C26BF16D}"/>
  <tableColumns count="10">
    <tableColumn id="4" xr3:uid="{603E23F2-CE6F-4F9F-A797-396A87DC2289}" name="日付" dataDxfId="610"/>
    <tableColumn id="1" xr3:uid="{3A4F7611-5722-FF4F-B199-AA231B3A17EC}" name="件数" dataDxfId="609"/>
    <tableColumn id="2" xr3:uid="{A8821E48-1ABD-8D49-A94A-979D81E0B49F}" name="イベンター予約名" dataDxfId="608"/>
    <tableColumn id="3" xr3:uid="{39BF6BE9-32C3-9646-B9DB-1DD72A4107ED}" name="人数" dataDxfId="607"/>
    <tableColumn id="8" xr3:uid="{42D479C9-5DC7-441B-A555-7C01991BBA8D}" name="Aパターン" dataDxfId="606" dataCellStyle="標準 2"/>
    <tableColumn id="5" xr3:uid="{5B7CCB84-B31A-42EE-893A-02CA29F84619}" name="単価合計" dataDxfId="605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604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603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602" dataCellStyle="桁区切り 2"/>
    <tableColumn id="7" xr3:uid="{8A0235B5-2634-4CC0-92ED-AD05C3B2D786}" name="イベンターへ" dataDxfId="601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600" tableBorderDxfId="599" totalsRowBorderDxfId="598">
  <autoFilter ref="A4:J35" xr:uid="{F886D309-6A5A-1849-A5C8-3E7A055EE878}"/>
  <tableColumns count="10">
    <tableColumn id="4" xr3:uid="{26E6BD57-11D5-4C91-B375-CC2F95DD23BB}" name="日付" dataDxfId="597"/>
    <tableColumn id="1" xr3:uid="{85C80E7D-DD82-144F-97E9-B3282EC8BCA3}" name="件数" dataDxfId="596"/>
    <tableColumn id="2" xr3:uid="{93E54C17-3669-E140-9AE2-83E7530D7729}" name="イベンター予約名" dataDxfId="595"/>
    <tableColumn id="3" xr3:uid="{B090F4C7-C475-C749-A5B1-CB07D4A1B09C}" name="人数" dataDxfId="594"/>
    <tableColumn id="8" xr3:uid="{CDEE4284-EC61-4EDA-B6DF-010AF2EB11F2}" name="Aパターン" dataDxfId="593" dataCellStyle="標準 2"/>
    <tableColumn id="5" xr3:uid="{08BF85E1-8911-41C9-A2DB-DAEC19E54656}" name="単価合計" dataDxfId="592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91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90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89" dataCellStyle="桁区切り 2"/>
    <tableColumn id="7" xr3:uid="{D90A7B18-5E9E-434A-BD0E-0F99BDF60D9D}" name="イベンターへ" dataDxfId="588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87" tableBorderDxfId="586" totalsRowBorderDxfId="585">
  <autoFilter ref="L4:U35" xr:uid="{104AD32B-319A-1748-B7BE-15AC6E98306B}"/>
  <tableColumns count="10">
    <tableColumn id="4" xr3:uid="{B66F2EA9-607C-4365-B5E8-6521D84E0FED}" name="日付" dataDxfId="584"/>
    <tableColumn id="1" xr3:uid="{A5C57821-4C45-EA4D-9E4F-0AF31FB0F087}" name="件数" dataDxfId="583"/>
    <tableColumn id="2" xr3:uid="{E67936AC-4568-E24D-B97D-436815ABB093}" name="イベンター予約名" dataDxfId="582"/>
    <tableColumn id="3" xr3:uid="{DAA653DB-A781-CF44-996A-2DFA1866C0B9}" name="人数" dataDxfId="581"/>
    <tableColumn id="8" xr3:uid="{CC473835-9FB8-431C-A3DA-BEBC015666D2}" name="Aパターン" dataDxfId="580" dataCellStyle="標準 2"/>
    <tableColumn id="5" xr3:uid="{3A485FE8-792E-4295-88B0-B232926D468A}" name="単価合計" dataDxfId="579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78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77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76" dataCellStyle="桁区切り 2"/>
    <tableColumn id="7" xr3:uid="{74F9D3B1-2CC2-481E-941D-C3F40FC33D4B}" name="イベンターへ" dataDxfId="575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574" tableBorderDxfId="573" totalsRowBorderDxfId="572">
  <autoFilter ref="A4:J35" xr:uid="{42414338-E444-BB4D-BA80-49E4335CE2E2}"/>
  <tableColumns count="10">
    <tableColumn id="4" xr3:uid="{22E9A47A-F49D-467F-9DDA-31903DA500BE}" name="日付" dataDxfId="571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570">
      <calculatedColumnFormula>IF(心斎橋CSB4000円[[#This Row],[人数]]=0,"",1)</calculatedColumnFormula>
    </tableColumn>
    <tableColumn id="2" xr3:uid="{4BF66E7A-3B30-654B-A605-CCFBAC441848}" name="予約番号" dataDxfId="569"/>
    <tableColumn id="3" xr3:uid="{2C188A72-23C9-FE41-BDD6-A823AAD0BFCB}" name="人数" dataDxfId="568"/>
    <tableColumn id="8" xr3:uid="{60288A73-20D5-4508-BE42-4FB47F58B012}" name="8人以上件数" dataDxfId="567" dataCellStyle="標準 2">
      <calculatedColumnFormula>ROUNDDOWN(心斎橋CSB4000円[[#This Row],[人数]]/8,0)</calculatedColumnFormula>
    </tableColumn>
    <tableColumn id="5" xr3:uid="{F486775F-119A-42CF-9FD1-63801B9DFF2B}" name="単価合計" dataDxfId="566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565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564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563" dataCellStyle="標準 2"/>
    <tableColumn id="7" xr3:uid="{0BFF34ED-9F1A-4E4E-AC9C-74E571CDBEFA}" name="イベンターへ" dataDxfId="562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561" tableBorderDxfId="560" totalsRowBorderDxfId="559">
  <autoFilter ref="L4:U35" xr:uid="{F7A875AA-1543-644B-A9EF-2AB1CA39FE70}"/>
  <tableColumns count="10">
    <tableColumn id="4" xr3:uid="{E2F695D9-AEDE-482A-BC81-27B8F984826B}" name="日付" dataDxfId="558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557"/>
    <tableColumn id="2" xr3:uid="{029B344B-D744-5D49-A8AA-E3B34531FF96}" name="予約番号" dataDxfId="556"/>
    <tableColumn id="3" xr3:uid="{3339AAB1-64BA-BB4A-9CF5-BAC2D7B2A670}" name="人数" dataDxfId="555" dataCellStyle="標準 2"/>
    <tableColumn id="8" xr3:uid="{B88186CA-9360-4AB3-A122-4EBC448D3C09}" name="Aパターン" dataDxfId="554" dataCellStyle="標準 2"/>
    <tableColumn id="5" xr3:uid="{0C483613-2F19-402E-AA51-597E5B731E02}" name="単価合計" dataDxfId="553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552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551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550" dataCellStyle="標準 2"/>
    <tableColumn id="7" xr3:uid="{511083DE-4120-44B0-A791-95FBE68F9FA7}" name="イベンターへ" dataDxfId="549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>
      <calculatedColumnFormula>IF(北新地ファイブ4000[[#This Row],[人数]]=0,"",1)</calculatedColumnFormula>
    </tableColumn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8名以上件数" dataDxfId="541" dataCellStyle="標準 2">
      <calculatedColumnFormula>ROUNDDOWN(北新地ファイブ4000[[#This Row],[人数]]/8,0)</calculatedColumnFormula>
    </tableColumn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>
      <calculatedColumnFormula>ROUNDDOWN(北新地ファイブ3500[[#This Row],[人数]]/8,0)</calculatedColumnFormula>
    </tableColumn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522" tableBorderDxfId="521" totalsRowBorderDxfId="520">
  <autoFilter ref="A4:J35" xr:uid="{62F91FF4-4080-3340-9AC5-2ACE07372ADD}"/>
  <tableColumns count="10">
    <tableColumn id="4" xr3:uid="{59080236-4147-48EC-BBE2-E097A0F415BD}" name="日付" dataDxfId="519"/>
    <tableColumn id="1" xr3:uid="{76486FA3-7CA0-4042-818C-98D89F0D5D6E}" name="件数" dataDxfId="518"/>
    <tableColumn id="2" xr3:uid="{5C245712-E27B-784C-A2D2-013B21C874B9}" name="イベンター予約名" dataDxfId="517"/>
    <tableColumn id="3" xr3:uid="{AE27A717-DE0D-A64B-B4CD-CAA7124396D3}" name="人数" dataDxfId="516"/>
    <tableColumn id="8" xr3:uid="{3F9E1689-4B3F-4F6D-95EB-59EA0B8BCB8E}" name="Aパターン" dataDxfId="515" dataCellStyle="標準 2"/>
    <tableColumn id="5" xr3:uid="{525A36E8-9969-4B35-A41D-F0185BE1A7D0}" name="単価合計" dataDxfId="514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513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512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511" dataCellStyle="標準 2"/>
    <tableColumn id="7" xr3:uid="{739C578D-FC4F-4332-B3F7-04004EB5D8D9}" name="イベンターへ" dataDxfId="510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509" tableBorderDxfId="508">
  <autoFilter ref="L4:U35" xr:uid="{6DFA22B9-8EB7-9248-B298-2B750038B558}"/>
  <tableColumns count="10">
    <tableColumn id="4" xr3:uid="{1CC7A160-665B-4A7C-8710-521F938A25BB}" name="日付" dataDxfId="507"/>
    <tableColumn id="1" xr3:uid="{D944B779-B01F-804B-9FE9-E4BBC9EE5233}" name="件数" dataDxfId="506"/>
    <tableColumn id="2" xr3:uid="{C522888F-4439-224E-8E3A-FD5C24E7F550}" name="イベンター予約名" dataDxfId="505"/>
    <tableColumn id="3" xr3:uid="{F4B2F804-28BE-6E45-B358-D8D05624D08D}" name="人数" dataDxfId="504"/>
    <tableColumn id="8" xr3:uid="{7CD520DA-C40B-40C1-B401-B84F7A65F851}" name="Aパターン" dataDxfId="503" dataCellStyle="標準 2"/>
    <tableColumn id="5" xr3:uid="{FFBE462F-F79A-4BA9-AFF0-03F1CA32712B}" name="単価合計" dataDxfId="502" dataCellStyle="桁区切り 2"/>
    <tableColumn id="6" xr3:uid="{0518D18A-597A-4542-B6B3-62EC6FD89DB3}" name="ゆうき取りに行く" dataDxfId="501" dataCellStyle="桁区切り 2"/>
    <tableColumn id="10" xr3:uid="{8A059EF9-A372-4642-95DB-A8F04A5D5959}" name="幹事無料" dataDxfId="500" dataCellStyle="桁区切り 2"/>
    <tableColumn id="9" xr3:uid="{5CA35A16-BAEC-4C28-9702-F279B99C231D}" name="キャンセル人数" dataDxfId="499" dataCellStyle="標準 2"/>
    <tableColumn id="7" xr3:uid="{6560018D-D3BB-4848-A2CD-0F2658B91111}" name="イベンターへ" dataDxfId="498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97" tableBorderDxfId="496" totalsRowBorderDxfId="495">
  <autoFilter ref="A4:J35" xr:uid="{2E201B2B-C135-5348-9EF7-19824F81D136}"/>
  <tableColumns count="10">
    <tableColumn id="4" xr3:uid="{9C28E968-A8FC-4FD2-8BF8-7271E0DACFDA}" name="日付" dataDxfId="494"/>
    <tableColumn id="1" xr3:uid="{867279B2-DDE4-0C40-A0F7-F1BC84924F86}" name="件数" dataDxfId="493"/>
    <tableColumn id="2" xr3:uid="{A446E765-2680-0243-A935-9B28EAA04D7C}" name="イベンター予約名" dataDxfId="492"/>
    <tableColumn id="3" xr3:uid="{06C26C8D-C7F6-1741-9FC5-55E8B9C04C91}" name="人数" dataDxfId="491"/>
    <tableColumn id="8" xr3:uid="{1BA33673-8FCB-47C9-B15C-5C45FCFFB05A}" name="Aパターン" dataDxfId="490" dataCellStyle="標準 2"/>
    <tableColumn id="5" xr3:uid="{E54D90D7-A9E0-4B90-B748-CFA78122A511}" name="単価合計" dataDxfId="489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88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87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86" dataCellStyle="標準 2"/>
    <tableColumn id="7" xr3:uid="{498AED04-AA20-4C81-9CF8-EB065D78F2B1}" name="イベンターへ" dataDxfId="485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84" tableBorderDxfId="483" totalsRowBorderDxfId="482">
  <autoFilter ref="L4:U35" xr:uid="{941FBA15-8A12-044C-B1B0-BA95DB5FAD42}"/>
  <tableColumns count="10">
    <tableColumn id="4" xr3:uid="{6FDC9B73-DA77-4AC6-8498-2FB7EE71DA9C}" name="日付" dataDxfId="481"/>
    <tableColumn id="1" xr3:uid="{8B64C0EC-A67A-E547-BA0D-AA44A8E7159F}" name="件数" dataDxfId="480"/>
    <tableColumn id="2" xr3:uid="{1985FCC0-46E4-5F49-B86D-27734FF65863}" name="イベンター予約名" dataDxfId="479"/>
    <tableColumn id="3" xr3:uid="{7CE50DC2-E143-B049-AD86-8006E4FC28D6}" name="人数" dataDxfId="478"/>
    <tableColumn id="8" xr3:uid="{DA377476-3B23-4E1A-81BD-A1BD27D3AF98}" name="Aパターン" dataDxfId="477" dataCellStyle="標準 2"/>
    <tableColumn id="5" xr3:uid="{FD5300DD-3769-4E9C-B182-A32ED38712C2}" name="単価合計" dataDxfId="476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75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74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73" dataCellStyle="標準 2"/>
    <tableColumn id="7" xr3:uid="{B9F7B0F8-56B7-45A0-AF8F-C8086E386158}" name="イベンターへ" dataDxfId="472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71" tableBorderDxfId="470" totalsRowBorderDxfId="469">
  <autoFilter ref="A4:J35" xr:uid="{31C78C54-9AB8-3E41-B7AF-1EDCC6B28865}"/>
  <tableColumns count="10">
    <tableColumn id="4" xr3:uid="{82B95FC2-3580-48F9-80ED-4E20F631BA08}" name="日付" dataDxfId="468"/>
    <tableColumn id="1" xr3:uid="{4474DA7D-149D-AA4D-9461-242257564874}" name="件数" dataDxfId="467"/>
    <tableColumn id="2" xr3:uid="{5C3933B7-00B1-8F44-A744-EE77351A07F7}" name="イベンター予約名" dataDxfId="466"/>
    <tableColumn id="3" xr3:uid="{6C0722B2-9D46-244A-9583-70823AE91301}" name="人数" dataDxfId="465"/>
    <tableColumn id="8" xr3:uid="{6E63496D-D51C-4E7F-BA0A-63F99F4CE249}" name="Aパターン" dataDxfId="464" dataCellStyle="標準 2"/>
    <tableColumn id="5" xr3:uid="{0E755931-CA26-4ACD-B510-9E17EBB5BEB2}" name="単価合計" dataDxfId="463" dataCellStyle="桁区切り 2"/>
    <tableColumn id="6" xr3:uid="{EBC3BFA3-1284-40C1-8AEE-A6417E21C313}" name="ゆうき取りに行く" dataDxfId="462" dataCellStyle="桁区切り 2"/>
    <tableColumn id="10" xr3:uid="{2D76E0B9-5146-4038-993B-EB69843E904E}" name="幹事無料" dataDxfId="461" dataCellStyle="桁区切り 2"/>
    <tableColumn id="9" xr3:uid="{E6A735FC-0EC7-42D1-8DB8-DB5C274B7094}" name="キャンセル人数" dataDxfId="460" dataCellStyle="標準 2"/>
    <tableColumn id="7" xr3:uid="{BD38B576-3201-4755-B91B-0D7DD3A5F18C}" name="イベンターへ" dataDxfId="459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58" tableBorderDxfId="457" totalsRowBorderDxfId="456">
  <autoFilter ref="L4:U35" xr:uid="{49D658C2-5306-6C4F-AD58-0D2E7A206660}"/>
  <tableColumns count="10">
    <tableColumn id="4" xr3:uid="{085F0B48-779D-482F-9217-80AE0A0C624F}" name="日付" dataDxfId="455"/>
    <tableColumn id="1" xr3:uid="{C9941052-E0BA-8D44-8A56-1CECB971FB94}" name="件数" dataDxfId="454"/>
    <tableColumn id="2" xr3:uid="{0341828A-D9EB-D048-9737-12C25C3675AD}" name="イベンター予約名" dataDxfId="453"/>
    <tableColumn id="3" xr3:uid="{1DABA200-ADDF-CF4A-AFFC-662AA024E90D}" name="人数" dataDxfId="452"/>
    <tableColumn id="8" xr3:uid="{60356225-3004-4EB8-B79B-F33F8D6A1456}" name="Aパターン" dataDxfId="451" dataCellStyle="標準 2"/>
    <tableColumn id="5" xr3:uid="{447E04DA-87E1-4FC3-881F-E38F0B1A00B6}" name="単価合計" dataDxfId="450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49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48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47" dataCellStyle="標準 2"/>
    <tableColumn id="7" xr3:uid="{4B38956C-2F40-44F3-95E3-656331CE30F7}" name="イベンターへ" dataDxfId="446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403F335-9CB1-43CC-96C1-DDCE77FC6F31}" name="梅田ここから400024" displayName="梅田ここから400024" ref="A4:J35" totalsRowShown="0" headerRowBorderDxfId="445" tableBorderDxfId="444" totalsRowBorderDxfId="443">
  <autoFilter ref="A4:J35" xr:uid="{67C5F274-1286-48E6-A79D-618BA54810F8}"/>
  <tableColumns count="10">
    <tableColumn id="4" xr3:uid="{4408D96C-2E31-4E25-967D-1CA3E55DC4BA}" name="日付" dataDxfId="442"/>
    <tableColumn id="1" xr3:uid="{1DF08A3A-1634-4385-888B-32A6EEA351B4}" name="件数" dataDxfId="441">
      <calculatedColumnFormula>IF(梅田ここから400024[[#This Row],[人数]]=0,"",1)</calculatedColumnFormula>
    </tableColumn>
    <tableColumn id="2" xr3:uid="{FA786C82-4D9E-44C3-AA12-5D5D02F9409D}" name="イベンター予約名" dataDxfId="440"/>
    <tableColumn id="3" xr3:uid="{041E9F53-3112-4968-845A-DD335D92846B}" name="人数" dataDxfId="439"/>
    <tableColumn id="8" xr3:uid="{BCAC7442-A4AB-498A-8F02-7A29C8D70421}" name="8件以上件数" dataDxfId="438" dataCellStyle="標準 2">
      <calculatedColumnFormula>ROUNDDOWN(梅田ここから400024[[#This Row],[人数]]/8,0)</calculatedColumnFormula>
    </tableColumn>
    <tableColumn id="5" xr3:uid="{A9269DA1-14B3-478D-863B-A1AE3454ACD3}" name="単価合計" dataDxfId="437" dataCellStyle="桁区切り 2">
      <calculatedColumnFormula>IF(梅田ここから400024[[#This Row],[人数]]="","",IF(梅田ここから400024[[#This Row],[人数]]&lt;=7,$B$1*梅田ここから400024[[#This Row],[人数]],$B$1*梅田ここから400024[[#This Row],[人数]]-梅田ここから400024[[#This Row],[幹事無料]]))</calculatedColumnFormula>
    </tableColumn>
    <tableColumn id="6" xr3:uid="{D4D64A3A-C25B-4A17-90E3-37F6D5A1A61A}" name="ゆうき取りに行く" dataDxfId="436" dataCellStyle="桁区切り 2">
      <calculatedColumnFormula>IFERROR(($B$3*梅田ここから400024[[#This Row],[人数]])-梅田ここから400024[[#This Row],[単価合計]]-(梅田ここから400024[[#This Row],[キャンセル人数]]*$B$2),"")</calculatedColumnFormula>
    </tableColumn>
    <tableColumn id="10" xr3:uid="{7A93A416-F30A-4308-9C0C-C8FCBE7B9148}" name="幹事無料" dataDxfId="435" dataCellStyle="桁区切り 2">
      <calculatedColumnFormula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calculatedColumnFormula>
    </tableColumn>
    <tableColumn id="9" xr3:uid="{D1988C7F-7F1C-4EDE-BD7E-E99D37423510}" name="キャンセル人数" dataDxfId="434" dataCellStyle="標準 2"/>
    <tableColumn id="7" xr3:uid="{8006EF0D-D8AA-4EBC-9DB8-9361EDCA03C8}" name="イベンターへ" dataDxfId="433" dataCellStyle="桁区切り 2">
      <calculatedColumnFormula>IF(梅田ここから400024[[#This Row],[人数]]="","",VLOOKUP(梅田ここから400024[[#This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6C7B1AA-A39B-4363-AF25-66638AB6774D}" name="梅田ここから350025" displayName="梅田ここから350025" ref="L4:U35" totalsRowShown="0" headerRowBorderDxfId="432" tableBorderDxfId="431" totalsRowBorderDxfId="430">
  <autoFilter ref="L4:U35" xr:uid="{B3BD3786-6544-4B05-90DA-B0F071952B3A}"/>
  <tableColumns count="10">
    <tableColumn id="4" xr3:uid="{48D5CE1E-2A85-4EFC-9FD6-FE64E7DFE4B2}" name="日付" dataDxfId="429"/>
    <tableColumn id="1" xr3:uid="{5BE15011-39B8-43AD-B921-5140FBD1E256}" name="件数" dataDxfId="428">
      <calculatedColumnFormula>IF(梅田ここから350025[[#This Row],[人数]]=0,"",1)</calculatedColumnFormula>
    </tableColumn>
    <tableColumn id="2" xr3:uid="{4F735CBC-2A48-43DF-9B2D-9EC098B01148}" name="イベンター予約名" dataDxfId="427"/>
    <tableColumn id="3" xr3:uid="{8C3FAB9F-0238-431A-A152-2700DA7E6645}" name="人数" dataDxfId="426"/>
    <tableColumn id="8" xr3:uid="{DA7429CD-12E0-464B-9A87-C191501E732F}" name="8件以上件数" dataDxfId="425" dataCellStyle="標準 2">
      <calculatedColumnFormula>ROUNDDOWN(梅田ここから350025[[#This Row],[人数]]/8,0)</calculatedColumnFormula>
    </tableColumn>
    <tableColumn id="5" xr3:uid="{687CA4E5-D245-48E3-9D5F-3FBECF50DA3A}" name="単価合計" dataDxfId="424" dataCellStyle="桁区切り 2">
      <calculatedColumnFormula>IF(梅田ここから350025[[#This Row],[人数]]="","",IF(梅田ここから350025[[#This Row],[人数]]&lt;=7,$B$1*梅田ここから350025[[#This Row],[人数]],$B$1*梅田ここから350025[[#This Row],[人数]]-梅田ここから350025[[#This Row],[幹事無料]]))</calculatedColumnFormula>
    </tableColumn>
    <tableColumn id="6" xr3:uid="{1FFA221F-DFFE-4CBB-AA7C-2342C4710297}" name="ゆうき取りに行く" dataDxfId="423" dataCellStyle="桁区切り 2">
      <calculatedColumnFormula>IFERROR(($M$3*梅田ここから350025[[#This Row],[人数]])-梅田ここから350025[[#This Row],[単価合計]]-(梅田ここから350025[[#This Row],[キャンセル人数]]*$B$2),"")</calculatedColumnFormula>
    </tableColumn>
    <tableColumn id="10" xr3:uid="{0D1F97FC-55F3-45D5-AEB2-1F95F00DE974}" name="幹事無料" dataDxfId="422" dataCellStyle="桁区切り 2">
      <calculatedColumnFormula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calculatedColumnFormula>
    </tableColumn>
    <tableColumn id="9" xr3:uid="{3BB15D82-7C91-456A-8CF9-F45C42599978}" name="キャンセル人数" dataDxfId="421" dataCellStyle="標準 2"/>
    <tableColumn id="7" xr3:uid="{9532D0C8-549E-4730-98DA-A1DD683A3BE9}" name="イベンターへ" dataDxfId="420" dataCellStyle="桁区切り 2">
      <calculatedColumnFormula>IF(梅田ここから350025[[#This Row],[人数]]="","",VLOOKUP(梅田ここから350025[[#This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8名以上件数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6" totalsRowShown="0" headerRowBorderDxfId="406" tableBorderDxfId="405" totalsRowBorderDxfId="404">
  <autoFilter ref="A4:J36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>
      <calculatedColumnFormula>IF(心斎橋サファリ4000[[#This Row],[人数]]=0,"",1)</calculatedColumnFormula>
    </tableColumn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8名以上件数" dataDxfId="399" dataCellStyle="標準 2">
      <calculatedColumnFormula>ROUNDDOWN(心斎橋サファリ4000[[#This Row],[人数]]/8,0)</calculatedColumnFormula>
    </tableColumn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Row],[8名以上件数]]*$B$1=0,"",心斎橋サファリ4000[[#This Row],[8名以上件数]]*$B$1)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>
      <calculatedColumnFormula>IF(心斎橋ラプロメッサ4000円[[#This Row],[人数]]=0,"",1)</calculatedColumnFormula>
    </tableColumn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8件以上件数" dataDxfId="360" dataCellStyle="標準 2">
      <calculatedColumnFormula>ROUNDDOWN(心斎橋ラプロメッサ4000円[[#This Row],[人数]]/8,0)</calculatedColumnFormula>
    </tableColumn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Row],[8件以上件数]]=0,"",心斎橋ラプロメッサ4000円[[#This Row],[8件以上件数]]*$B$1)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311" tableBorderDxfId="310" totalsRowBorderDxfId="309">
  <autoFilter ref="A4:J35" xr:uid="{6588A27B-CA05-A14B-A396-EAA04ECC5827}"/>
  <tableColumns count="10">
    <tableColumn id="4" xr3:uid="{EA315A48-76E4-4619-9F8B-37C69A04C364}" name="日付" dataDxfId="308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307"/>
    <tableColumn id="2" xr3:uid="{8D5A8E3D-166F-DE49-AAC4-834D8261208A}" name="予約番号" dataDxfId="306"/>
    <tableColumn id="3" xr3:uid="{32E6198D-A73B-7B4D-A837-BE6943CFC341}" name="人数" dataDxfId="305"/>
    <tableColumn id="8" xr3:uid="{20E69FAF-AAFB-489D-A8FC-7D6E8776C940}" name="Aパターン" dataDxfId="304" dataCellStyle="標準 2"/>
    <tableColumn id="5" xr3:uid="{B62AA08E-2DD7-4787-88FE-ED1F9C07C15D}" name="単価合計" dataDxfId="303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302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301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300" dataCellStyle="標準 2"/>
    <tableColumn id="7" xr3:uid="{01AEE2AB-1B0C-4429-A47E-93CE4661BF93}" name="イベンターへ" dataDxfId="299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98" tableBorderDxfId="297" totalsRowBorderDxfId="296">
  <autoFilter ref="L4:U35" xr:uid="{7D9270EF-DAA2-B14B-A5BC-AD8C174DB3E7}"/>
  <tableColumns count="10">
    <tableColumn id="4" xr3:uid="{F2669540-EA10-4C6A-A65D-33EBE4EAE4BF}" name="日付" dataDxfId="295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94"/>
    <tableColumn id="2" xr3:uid="{B363E3F9-7FBD-DA45-97AF-4490BBC60489}" name="予約番号" dataDxfId="293"/>
    <tableColumn id="3" xr3:uid="{A140DBBB-4105-2047-948D-E9A3987CBADA}" name="人数" dataDxfId="292"/>
    <tableColumn id="8" xr3:uid="{28C97932-FC87-4BFC-8A30-956E6870349C}" name="Aパターン" dataDxfId="291" dataCellStyle="標準 2"/>
    <tableColumn id="5" xr3:uid="{15B78E5E-CBCE-498E-B339-73DF88F897CD}" name="単価合計" dataDxfId="290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89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88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87" dataCellStyle="標準 2"/>
    <tableColumn id="7" xr3:uid="{A61BCE82-147E-402C-8F03-9A5A5F4F3E95}" name="イベンターへ" dataDxfId="286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85" tableBorderDxfId="284" totalsRowBorderDxfId="283">
  <autoFilter ref="A4:J35" xr:uid="{251D9D80-8B28-724C-96CC-B1C3BC3D4ACA}"/>
  <tableColumns count="10">
    <tableColumn id="4" xr3:uid="{1C4FA6C3-8A06-4ECD-B401-5ECB761D959B}" name="日付" dataDxfId="282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81">
      <calculatedColumnFormula>IF(三ノ宮多味庵4000[[#This Row],[人数]]="","",1)</calculatedColumnFormula>
    </tableColumn>
    <tableColumn id="2" xr3:uid="{C6C40F5F-AD97-4743-B947-80F1D3F50862}" name="イベンター予約名" dataDxfId="280"/>
    <tableColumn id="3" xr3:uid="{65AC5257-68E1-E448-9C09-361D9D240A16}" name="人数" dataDxfId="279"/>
    <tableColumn id="8" xr3:uid="{3A892A0C-7B21-4095-A85A-1527029B5434}" name="8名以上件数" dataDxfId="278" dataCellStyle="標準 2">
      <calculatedColumnFormula>ROUNDDOWN(三ノ宮多味庵4000[[#This Row],[人数]]/8,0)</calculatedColumnFormula>
    </tableColumn>
    <tableColumn id="5" xr3:uid="{77369DB9-F81B-470C-B9C4-6FC3D4E21FD4}" name="単価合計" dataDxfId="277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76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75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74" dataCellStyle="標準 2"/>
    <tableColumn id="7" xr3:uid="{84296D52-F920-4B3F-A140-8062A8A077B8}" name="イベンターへ" dataDxfId="273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72" tableBorderDxfId="271" totalsRowBorderDxfId="270">
  <autoFilter ref="L4:U35" xr:uid="{203B95BC-E93C-704C-8A22-CA9D95E4C249}"/>
  <tableColumns count="10">
    <tableColumn id="4" xr3:uid="{F231BDF1-478A-4C35-924A-EAE4FA85AFB0}" name="日付" dataDxfId="269" dataCellStyle="標準 2">
      <calculatedColumnFormula>A5</calculatedColumnFormula>
    </tableColumn>
    <tableColumn id="1" xr3:uid="{C566E163-BA8C-5341-AEDE-701E032B3D06}" name="件数" dataDxfId="268"/>
    <tableColumn id="2" xr3:uid="{B5F37255-382C-C34A-8428-B8DF2D6E7ED7}" name="イベンター予約名" dataDxfId="267"/>
    <tableColumn id="3" xr3:uid="{7A66A832-A347-E741-8C28-3E8BA5099C58}" name="人数" dataDxfId="266" dataCellStyle="標準 2"/>
    <tableColumn id="8" xr3:uid="{D2082A2D-764F-47FF-A1F6-EE90C4B3EA98}" name="Aパターン" dataDxfId="265" dataCellStyle="標準 2"/>
    <tableColumn id="5" xr3:uid="{82B6181B-C39F-4099-ABEA-CFE0E73DB079}" name="単価合計" dataDxfId="264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63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62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61" dataCellStyle="標準 2"/>
    <tableColumn id="7" xr3:uid="{61E6CB2A-167B-419F-8255-1B42114BCC36}" name="イベンターへ" dataDxfId="260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59" tableBorderDxfId="258" totalsRowBorderDxfId="257">
  <autoFilter ref="A4:J35" xr:uid="{4ADB7538-9D5C-3947-820C-D9A2B140D134}"/>
  <tableColumns count="10">
    <tableColumn id="4" xr3:uid="{096D302A-700B-4DD3-A2EB-4162344E49F1}" name="日付" dataDxfId="256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55"/>
    <tableColumn id="2" xr3:uid="{57EE45D8-378D-2C40-A4C1-0B5120BFAFE3}" name="イベンター予約名" dataDxfId="254"/>
    <tableColumn id="3" xr3:uid="{041B367E-4FC0-DB4A-86F2-922645D5BEEF}" name="人数" dataDxfId="253"/>
    <tableColumn id="8" xr3:uid="{C0D1ABAA-8A3C-48F5-A82C-F9B9C4E65227}" name="Aパターン" dataDxfId="252" dataCellStyle="標準 2"/>
    <tableColumn id="5" xr3:uid="{BB627F4B-EFA7-4D57-91F6-86DBDCCC1D53}" name="単価合計" dataDxfId="251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50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49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48" dataCellStyle="標準 2"/>
    <tableColumn id="7" xr3:uid="{CAE25AE0-10A2-48F2-AF2A-04837EE19E77}" name="イベンターへ" dataDxfId="247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46" tableBorderDxfId="245" totalsRowBorderDxfId="244">
  <autoFilter ref="L4:U35" xr:uid="{7023D449-F14C-4B49-9885-40D6AC4E296C}"/>
  <tableColumns count="10">
    <tableColumn id="4" xr3:uid="{2607808A-491F-4B65-BDC1-850D089AF3A9}" name="日付" dataDxfId="243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42"/>
    <tableColumn id="2" xr3:uid="{F27BF325-F84F-2C48-97EF-62E252B533D5}" name="イベンター予約名" dataDxfId="241"/>
    <tableColumn id="3" xr3:uid="{459618AE-4D0E-BF44-83E5-12A317F8039E}" name="人数" dataDxfId="240" dataCellStyle="標準 2"/>
    <tableColumn id="8" xr3:uid="{D3AE96FB-B3B2-42D8-8A9D-09CE8EA2ED66}" name="Aパターン" dataDxfId="239" dataCellStyle="標準 2"/>
    <tableColumn id="5" xr3:uid="{7C439864-981F-4ABA-9C61-E2B3F45B845F}" name="単価合計" dataDxfId="238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37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36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35" dataCellStyle="標準 2"/>
    <tableColumn id="7" xr3:uid="{DD75809E-89FB-44CC-9526-A2EDEBAE2638}" name="イベンターへ" dataDxfId="234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33" tableBorderDxfId="232" totalsRowBorderDxfId="231">
  <autoFilter ref="A4:J35" xr:uid="{42414338-E444-BB4D-BA80-49E4335CE2E2}"/>
  <tableColumns count="10">
    <tableColumn id="4" xr3:uid="{B66D75D9-2266-456D-9262-100EBC5068D2}" name="日付" dataDxfId="230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29"/>
    <tableColumn id="2" xr3:uid="{CD500844-60BE-4FC4-AE02-47B39154AF02}" name="予約番号" dataDxfId="228"/>
    <tableColumn id="3" xr3:uid="{6F061D48-1053-4ED1-A606-3793A0C034E6}" name="人数" dataDxfId="227"/>
    <tableColumn id="8" xr3:uid="{35A24616-AA4B-4653-A8C1-5F4D824076E4}" name="Aパターン" dataDxfId="226" dataCellStyle="標準 2"/>
    <tableColumn id="5" xr3:uid="{1279A1D2-6BC6-4A37-A7C7-FA9AE0D4D8A2}" name="単価合計" dataDxfId="225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224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223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222" dataCellStyle="標準 2"/>
    <tableColumn id="7" xr3:uid="{30358B04-1F9B-4A86-88A3-1C715F26208B}" name="イベンターへ" dataDxfId="221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220" tableBorderDxfId="219" totalsRowBorderDxfId="218">
  <autoFilter ref="L4:U35" xr:uid="{F7A875AA-1543-644B-A9EF-2AB1CA39FE70}"/>
  <tableColumns count="10">
    <tableColumn id="4" xr3:uid="{019BD29A-5028-4BFD-8EDE-ECF9A58E438E}" name="日付" dataDxfId="217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216"/>
    <tableColumn id="2" xr3:uid="{46789D27-CC4E-4FB6-B514-6396674BE7B8}" name="予約番号" dataDxfId="215"/>
    <tableColumn id="3" xr3:uid="{E1B30E41-93AF-44F8-BCC2-DDDB102B8F4B}" name="人数" dataDxfId="214" dataCellStyle="標準 2"/>
    <tableColumn id="8" xr3:uid="{DD60E08F-6F44-45DE-9280-5467D80A645E}" name="Aパターン" dataDxfId="213" dataCellStyle="標準 2"/>
    <tableColumn id="5" xr3:uid="{5599FFC7-A22C-488B-A86F-6F285E15A381}" name="単価合計" dataDxfId="212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211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210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209" dataCellStyle="標準 2"/>
    <tableColumn id="7" xr3:uid="{4F9BC7FB-3780-4D93-8D4D-FE00D46A12EE}" name="イベンターへ" dataDxfId="208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207" tableBorderDxfId="206" totalsRowBorderDxfId="205">
  <autoFilter ref="A4:J35" xr:uid="{DB81E0F3-3215-6640-AE3A-3BE2A2C4A053}"/>
  <tableColumns count="10">
    <tableColumn id="4" xr3:uid="{1BDA1C08-1359-48F4-BFB1-F55DBF7A12D0}" name="日付" dataDxfId="204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203"/>
    <tableColumn id="2" xr3:uid="{7050A390-0AFD-6841-848E-F6312B46A8DA}" name="イベンター予約名" dataDxfId="202"/>
    <tableColumn id="3" xr3:uid="{D2D10484-B780-DD41-9CEF-11480BC32389}" name="人数" dataDxfId="201"/>
    <tableColumn id="8" xr3:uid="{7E880ABE-8EE5-4452-B991-D567AF1A8FCC}" name="Aパターン" dataDxfId="200" dataCellStyle="標準 2"/>
    <tableColumn id="5" xr3:uid="{D2FAE04C-3D3A-485B-ABAF-1FAF11C552B1}" name="単価合計" dataDxfId="199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98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97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96" dataCellStyle="標準 2"/>
    <tableColumn id="7" xr3:uid="{6EEA7640-4BEE-4B6D-A45A-EF056B916E3A}" name="イベンターへ" dataDxfId="195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94" tableBorderDxfId="193" totalsRowBorderDxfId="192">
  <autoFilter ref="L4:U35" xr:uid="{4DEF3322-3FC8-0F47-98D6-76B976E8116D}"/>
  <tableColumns count="10">
    <tableColumn id="4" xr3:uid="{53C4279B-6878-4085-9FEB-782D1FC42088}" name="日付" dataDxfId="191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90"/>
    <tableColumn id="2" xr3:uid="{E54F7067-FD56-9B44-BE9F-5225614EFCCE}" name="イベンター予約名" dataDxfId="189"/>
    <tableColumn id="3" xr3:uid="{F14C47DC-5701-354B-BCF8-759AC309911C}" name="人数" dataDxfId="188"/>
    <tableColumn id="8" xr3:uid="{518B3F0A-72EA-4EC9-91CD-483FA06EB9FA}" name="Aパターン" dataDxfId="187" dataCellStyle="標準 2"/>
    <tableColumn id="5" xr3:uid="{2948313F-78E0-425E-AA04-CC0EF73A7BE6}" name="単価合計" dataDxfId="186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85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84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83" dataCellStyle="標準 2"/>
    <tableColumn id="7" xr3:uid="{C05C128F-3A99-4B8F-9DBD-D580AFCD3E58}" name="イベンターへ" dataDxfId="182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81" tableBorderDxfId="180" totalsRowBorderDxfId="179">
  <autoFilter ref="A4:J35" xr:uid="{88B1BC22-2046-4143-B411-FA41892470E2}"/>
  <tableColumns count="10">
    <tableColumn id="4" xr3:uid="{677FCB7E-3BEA-42F6-B457-939AADF11289}" name="日付" dataDxfId="178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77"/>
    <tableColumn id="2" xr3:uid="{C2B9366D-2C2D-2542-92BF-7FC246B29F8A}" name="イベンター予約名" dataDxfId="176"/>
    <tableColumn id="3" xr3:uid="{DF41E083-40D8-964F-A3EC-35811A5F1EB1}" name="人数" dataDxfId="175"/>
    <tableColumn id="8" xr3:uid="{D443A504-15A3-4ED7-A934-88FDBDC7FDD0}" name="Aパターン" dataDxfId="174" dataCellStyle="標準 2"/>
    <tableColumn id="5" xr3:uid="{35D055DB-5FC1-4951-9344-6222C487B5A7}" name="単価合計" dataDxfId="173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72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71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70" dataCellStyle="標準 2"/>
    <tableColumn id="7" xr3:uid="{1F4622B6-BBE4-4D27-9A04-C68CEBC943C3}" name="イベンターへ" dataDxfId="169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68" tableBorderDxfId="167" totalsRowBorderDxfId="166">
  <autoFilter ref="L4:U35" xr:uid="{214C41E8-F530-DC4B-BCDA-B346FCB823B0}"/>
  <tableColumns count="10">
    <tableColumn id="4" xr3:uid="{53567D50-0565-4F62-AA89-5C4B3A90D18D}" name="日付" dataDxfId="165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64"/>
    <tableColumn id="2" xr3:uid="{E6C6C081-4E85-1343-8A12-9BC472F2B432}" name="イベンター予約名" dataDxfId="163"/>
    <tableColumn id="3" xr3:uid="{D008C964-14AC-EB42-84EF-DD39C6EFD8AE}" name="人数" dataDxfId="162"/>
    <tableColumn id="8" xr3:uid="{8A889B41-2ED0-4365-B54F-F49680BEC1D8}" name="Aパターン" dataDxfId="161" dataCellStyle="標準 2"/>
    <tableColumn id="5" xr3:uid="{02BECDB7-3B72-4E5D-9205-2178D56D0BB2}" name="単価合計" dataDxfId="160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59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58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57" dataCellStyle="標準 2"/>
    <tableColumn id="7" xr3:uid="{060C0333-E891-470C-9AFD-C716C5FCAAE6}" name="イベンターへ" dataDxfId="156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55" tableBorderDxfId="154" totalsRowBorderDxfId="153">
  <autoFilter ref="A4:J35" xr:uid="{4185201A-A118-8F40-A93C-289AD19C4653}"/>
  <tableColumns count="10">
    <tableColumn id="4" xr3:uid="{2FEE12BF-953C-45B2-8734-E2608887C242}" name="日付" dataDxfId="152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151"/>
    <tableColumn id="2" xr3:uid="{84981969-7AD4-4345-98CD-A237A7EC7065}" name="イベンター予約名" dataDxfId="150"/>
    <tableColumn id="3" xr3:uid="{D125B79D-FB07-824C-9F6B-8F9EB80FDB96}" name="人数" dataDxfId="149"/>
    <tableColumn id="8" xr3:uid="{964B3F0D-7EC8-44EA-9D48-B3320822812E}" name="Aパターン" dataDxfId="148" dataCellStyle="標準 2"/>
    <tableColumn id="5" xr3:uid="{0DC4758D-3F13-494A-9002-73182556C0F1}" name="単価合計" dataDxfId="147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146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145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144" dataCellStyle="標準 2"/>
    <tableColumn id="7" xr3:uid="{DEB02429-E828-4CAC-96F6-59AEFFE6D90F}" name="イベンターへ" dataDxfId="143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142" tableBorderDxfId="141" totalsRowBorderDxfId="140">
  <autoFilter ref="L4:U35" xr:uid="{5EA66BA7-8C44-B74F-97B6-C9945E55A068}"/>
  <tableColumns count="10">
    <tableColumn id="4" xr3:uid="{C9CF63A2-3B51-4D28-AA6D-BD29464C7228}" name="日付" dataDxfId="139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138"/>
    <tableColumn id="2" xr3:uid="{5BCA259A-AC89-104F-AA16-6258ADC1850A}" name="イベンター予約名" dataDxfId="137"/>
    <tableColumn id="3" xr3:uid="{FE10C2C8-CA73-C747-AD4B-0B98B4D3D712}" name="人数" dataDxfId="136"/>
    <tableColumn id="8" xr3:uid="{1E41350F-3ABA-42F5-99B1-F1F1DEE94ABD}" name="Aパターン" dataDxfId="135" dataCellStyle="標準 2"/>
    <tableColumn id="5" xr3:uid="{F9C4CA33-CF69-4E15-BCCF-349702AE179B}" name="単価合計" dataDxfId="134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133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132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131" dataCellStyle="標準 2"/>
    <tableColumn id="7" xr3:uid="{4E93AACE-BBE4-484C-8755-58F4DBD9F545}" name="イベンターへ" dataDxfId="130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103" tableBorderDxfId="102" totalsRowBorderDxfId="101">
  <autoFilter ref="A4:J35" xr:uid="{67C5F274-1286-48E6-A79D-618BA54810F8}"/>
  <tableColumns count="10">
    <tableColumn id="4" xr3:uid="{AAE4A0B7-5659-403C-84C2-1168F2FA5FE0}" name="日付" dataDxfId="100"/>
    <tableColumn id="1" xr3:uid="{37A62C18-0AA9-4EFC-B503-845D2E023219}" name="件数" dataDxfId="99">
      <calculatedColumnFormula>IF(梅田ここから4000[[#This Row],[人数]]=0,"",1)</calculatedColumnFormula>
    </tableColumn>
    <tableColumn id="2" xr3:uid="{6AD08CE3-3F66-4C1D-9DD1-C744B6DC1370}" name="イベンター予約名" dataDxfId="98"/>
    <tableColumn id="3" xr3:uid="{79524462-86BA-460B-9CC4-426699AA695A}" name="人数" dataDxfId="97"/>
    <tableColumn id="8" xr3:uid="{ED65D54E-1827-4381-A23C-FC21A0D3D727}" name="8件以上件数" dataDxfId="96" dataCellStyle="標準 2">
      <calculatedColumnFormula>ROUNDDOWN(梅田ここから4000[[#This Row],[人数]]/8,0)</calculatedColumnFormula>
    </tableColumn>
    <tableColumn id="5" xr3:uid="{0466DF4D-B696-49DF-B742-21632337A065}" name="単価合計" dataDxfId="95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94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93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92" dataCellStyle="標準 2"/>
    <tableColumn id="7" xr3:uid="{7F330C58-9D94-46AE-82D5-ABCD0DDE0B89}" name="イベンターへ" dataDxfId="91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90" tableBorderDxfId="89" totalsRowBorderDxfId="88">
  <autoFilter ref="L4:U35" xr:uid="{B3BD3786-6544-4B05-90DA-B0F071952B3A}"/>
  <tableColumns count="10">
    <tableColumn id="4" xr3:uid="{74C69931-573D-429D-B226-A1EE6F8ED31E}" name="日付" dataDxfId="87"/>
    <tableColumn id="1" xr3:uid="{17C2DED0-F4FA-4B9A-8276-95A7EFBBA316}" name="件数" dataDxfId="86"/>
    <tableColumn id="2" xr3:uid="{DA844336-8005-47C9-BC09-7C9FA42D09C8}" name="イベンター予約名" dataDxfId="85"/>
    <tableColumn id="3" xr3:uid="{2FE8D7A4-F91E-41D5-9807-414490FDB0CE}" name="人数" dataDxfId="84"/>
    <tableColumn id="8" xr3:uid="{F2544599-7C92-45B6-9295-B3544E7EFE9A}" name="8件以上件数" dataDxfId="83" dataCellStyle="標準 2"/>
    <tableColumn id="5" xr3:uid="{9B2CF0C8-3102-40AF-9FA7-791298EADD50}" name="単価合計" dataDxfId="82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81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80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79" dataCellStyle="標準 2"/>
    <tableColumn id="7" xr3:uid="{59B1C32B-739B-4086-B383-BED0272190E2}" name="イベンターへ" dataDxfId="78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>
      <calculatedColumnFormula>IF(三ノ宮Barさんかく4000[[#This Row],[人数]]=0,"",1)</calculatedColumnFormula>
    </tableColumn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8件以上件数" dataDxfId="70" dataCellStyle="標準 2">
      <calculatedColumnFormula>ROUNDDOWN(三ノ宮Barさんかく4000[[#This Row],[人数]]/8,0)</calculatedColumnFormula>
    </tableColumn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8件以上件数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topLeftCell="B1" zoomScale="85" zoomScaleNormal="85" workbookViewId="0">
      <selection activeCell="O3" sqref="O3"/>
    </sheetView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29" t="s">
        <v>397</v>
      </c>
      <c r="B1" s="137" t="s">
        <v>516</v>
      </c>
      <c r="C1" s="1" t="s">
        <v>0</v>
      </c>
      <c r="D1" s="86" t="s">
        <v>389</v>
      </c>
      <c r="E1" s="89" t="s">
        <v>390</v>
      </c>
      <c r="F1" s="83" t="s">
        <v>394</v>
      </c>
      <c r="G1" s="83" t="s">
        <v>393</v>
      </c>
      <c r="H1" s="83" t="s">
        <v>391</v>
      </c>
      <c r="I1" s="83" t="s">
        <v>392</v>
      </c>
      <c r="J1" s="83" t="s">
        <v>342</v>
      </c>
      <c r="K1" s="83"/>
      <c r="M1" s="150" t="s">
        <v>235</v>
      </c>
      <c r="N1" s="147">
        <v>2023</v>
      </c>
      <c r="O1" s="149">
        <v>4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84"/>
      <c r="M2" s="150"/>
      <c r="N2" s="148"/>
      <c r="O2" s="148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365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366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398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>
        <f>VLOOKUP(名前リスト[[#This Row],[管理番号]],まとめ表_バック金額[[#All],[管理番号]:[バック金額合計]],4,FALSE)</f>
        <v>46000</v>
      </c>
      <c r="E23" s="80">
        <f>VLOOKUP(名前リスト[[#This Row],[管理番号]],まとめ表_各店舗件数[[#All],[管理番号]:[合計件数]],4,FALSE)</f>
        <v>1</v>
      </c>
      <c r="F23" s="111">
        <f>VLOOKUP(名前リスト[[#This Row],[管理番号]],まとめ表_各Aパターン件数[[#All],[管理番号]:[Aパターン]],4,FALSE)</f>
        <v>4</v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46000</v>
      </c>
      <c r="J23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>
        <f>VLOOKUP(名前リスト[[#This Row],[管理番号]],まとめ表_バック金額[[#All],[管理番号]:[バック金額合計]],4,FALSE)</f>
        <v>6000</v>
      </c>
      <c r="E65" s="80">
        <f>VLOOKUP(名前リスト[[#This Row],[管理番号]],まとめ表_各店舗件数[[#All],[管理番号]:[合計件数]],4,FALSE)</f>
        <v>1</v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6000</v>
      </c>
      <c r="J65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341</v>
      </c>
      <c r="C83" s="47" t="s">
        <v>341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285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280</v>
      </c>
      <c r="C143" s="47" t="s">
        <v>280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281</v>
      </c>
      <c r="C144" s="47" t="s">
        <v>281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282</v>
      </c>
      <c r="C145" s="47" t="s">
        <v>282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283</v>
      </c>
      <c r="C146" s="47" t="s">
        <v>283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284</v>
      </c>
      <c r="C147" s="47" t="s">
        <v>284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286</v>
      </c>
      <c r="C148" s="47" t="s">
        <v>286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287</v>
      </c>
      <c r="C149" s="54" t="s">
        <v>287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288</v>
      </c>
      <c r="C150" s="54" t="s">
        <v>288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289</v>
      </c>
      <c r="C151" s="54" t="s">
        <v>289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290</v>
      </c>
      <c r="C152" s="4" t="s">
        <v>290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291</v>
      </c>
      <c r="C153" s="4" t="s">
        <v>291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292</v>
      </c>
      <c r="C154" s="5" t="s">
        <v>293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294</v>
      </c>
      <c r="C155" s="5" t="s">
        <v>295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296</v>
      </c>
      <c r="C156" s="5" t="s">
        <v>297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298</v>
      </c>
      <c r="C157" s="5" t="s">
        <v>299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300</v>
      </c>
      <c r="C158" s="5" t="s">
        <v>301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302</v>
      </c>
      <c r="C159" s="5" t="s">
        <v>303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304</v>
      </c>
      <c r="C160" s="5" t="s">
        <v>305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306</v>
      </c>
      <c r="C161" s="5" t="s">
        <v>307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308</v>
      </c>
      <c r="C162" s="5" t="s">
        <v>309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310</v>
      </c>
      <c r="C163" s="5" t="s">
        <v>311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312</v>
      </c>
      <c r="C164" s="5" t="s">
        <v>313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314</v>
      </c>
      <c r="C165" s="5" t="s">
        <v>315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329</v>
      </c>
      <c r="C166" s="58" t="s">
        <v>329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330</v>
      </c>
      <c r="C167" s="58" t="s">
        <v>330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331</v>
      </c>
      <c r="C168" s="58" t="s">
        <v>331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332</v>
      </c>
      <c r="C169" s="58" t="s">
        <v>332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333</v>
      </c>
      <c r="C170" s="58" t="s">
        <v>333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334</v>
      </c>
      <c r="C171" s="58" t="s">
        <v>334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335</v>
      </c>
      <c r="C172" s="58" t="s">
        <v>335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336</v>
      </c>
      <c r="C173" s="58" t="s">
        <v>336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337</v>
      </c>
      <c r="C174" s="58" t="s">
        <v>337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338</v>
      </c>
      <c r="C175" s="58" t="s">
        <v>338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339</v>
      </c>
      <c r="C176" s="58" t="s">
        <v>339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340</v>
      </c>
      <c r="C177" s="58" t="s">
        <v>340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344</v>
      </c>
      <c r="C178" s="5" t="s">
        <v>344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345</v>
      </c>
      <c r="C179" s="5" t="s">
        <v>345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346</v>
      </c>
      <c r="C180" s="5" t="s">
        <v>346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347</v>
      </c>
      <c r="C181" s="5" t="s">
        <v>347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348</v>
      </c>
      <c r="C182" s="5" t="s">
        <v>348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349</v>
      </c>
      <c r="C183" s="5" t="s">
        <v>349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350</v>
      </c>
      <c r="C184" s="5" t="s">
        <v>350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351</v>
      </c>
      <c r="C185" s="91" t="s">
        <v>351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352</v>
      </c>
      <c r="C186" s="91" t="s">
        <v>352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353</v>
      </c>
      <c r="C187" s="91" t="s">
        <v>353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354</v>
      </c>
      <c r="C188" s="91" t="s">
        <v>354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355</v>
      </c>
      <c r="C189" s="91" t="s">
        <v>355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357</v>
      </c>
      <c r="C190" s="91" t="s">
        <v>357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358</v>
      </c>
      <c r="C191" s="58" t="s">
        <v>358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356</v>
      </c>
      <c r="C192" s="4" t="s">
        <v>356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359</v>
      </c>
      <c r="C193" s="58" t="s">
        <v>359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360</v>
      </c>
      <c r="C194" s="4" t="s">
        <v>360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361</v>
      </c>
      <c r="C195" s="4" t="s">
        <v>361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362</v>
      </c>
      <c r="C196" s="4" t="s">
        <v>362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363</v>
      </c>
      <c r="C197" s="4" t="s">
        <v>363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364</v>
      </c>
      <c r="C198" s="4" t="s">
        <v>364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381</v>
      </c>
      <c r="C199" s="4" t="s">
        <v>381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382</v>
      </c>
      <c r="C200" s="4" t="s">
        <v>382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383</v>
      </c>
      <c r="C201" s="4" t="s">
        <v>383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384</v>
      </c>
      <c r="C202" s="4" t="s">
        <v>384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385</v>
      </c>
      <c r="C203" s="81" t="s">
        <v>385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386</v>
      </c>
      <c r="C204" s="90" t="s">
        <v>386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387</v>
      </c>
      <c r="C205" s="80" t="s">
        <v>387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388</v>
      </c>
      <c r="C206" s="80" t="s">
        <v>388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400</v>
      </c>
      <c r="C207" s="80" t="s">
        <v>399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402</v>
      </c>
      <c r="C208" s="80" t="s">
        <v>401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404</v>
      </c>
      <c r="C209" s="80" t="s">
        <v>403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499</v>
      </c>
      <c r="C210" s="80" t="s">
        <v>499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500</v>
      </c>
      <c r="C211" s="80" t="s">
        <v>500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501</v>
      </c>
      <c r="C212" s="80" t="s">
        <v>501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502</v>
      </c>
      <c r="C213" s="80" t="s">
        <v>502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503</v>
      </c>
      <c r="C214" s="80" t="s">
        <v>503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507</v>
      </c>
      <c r="C215" s="130" t="s">
        <v>507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504</v>
      </c>
      <c r="C216" s="80" t="s">
        <v>504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505</v>
      </c>
      <c r="C217" s="80" t="s">
        <v>505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506</v>
      </c>
      <c r="C218" s="80" t="s">
        <v>506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508</v>
      </c>
      <c r="C219" s="80" t="s">
        <v>508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511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512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513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522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523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524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525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526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527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528</v>
      </c>
      <c r="D229" s="87" t="str">
        <f>VLOOKUP(名前リスト[[#This Row],[管理番号]],まとめ表_バック金額[[#All],[管理番号]:[バック金額合計]],4,FALSE)</f>
        <v/>
      </c>
      <c r="E229" s="130" t="str">
        <f>VLOOKUP(名前リスト[[#This Row],[管理番号]],まとめ表_各店舗件数[[#All],[管理番号]:[合計件数]],4,FALSE)</f>
        <v/>
      </c>
      <c r="F229" s="131" t="str">
        <f>VLOOKUP(名前リスト[[#This Row],[管理番号]],まとめ表_各Aパターン件数[[#All],[管理番号]:[Aパターン]],4,FALSE)</f>
        <v/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38">
        <v>229</v>
      </c>
      <c r="B230" s="138"/>
      <c r="C230" s="138" t="s">
        <v>529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530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531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532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533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534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535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536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537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538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539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540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543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544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545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546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547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548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549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550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551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552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553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554</v>
      </c>
      <c r="D254" s="87" t="str">
        <f>VLOOKUP(名前リスト[[#This Row],[管理番号]],まとめ表_バック金額[[#All],[管理番号]:[バック金額合計]],4,FALSE)</f>
        <v/>
      </c>
      <c r="E254" s="130" t="str">
        <f>VLOOKUP(名前リスト[[#This Row],[管理番号]],まとめ表_各店舗件数[[#All],[管理番号]:[合計件数]],4,FALSE)</f>
        <v/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38">
        <v>264</v>
      </c>
      <c r="B255" s="138"/>
      <c r="C255" s="138" t="s">
        <v>555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556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405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406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407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408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409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410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411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412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413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414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415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416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417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418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419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420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421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422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423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424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425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426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427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428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429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430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431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432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433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434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435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436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437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438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439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440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498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441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442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443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444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445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446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447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448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449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450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451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452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453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454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455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456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457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458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459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460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461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462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463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464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465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466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467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468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469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470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470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471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472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473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474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475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476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477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478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479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480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481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482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483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484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485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486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487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488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489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490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491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492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493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517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50" t="s">
        <v>323</v>
      </c>
      <c r="B1" s="150"/>
      <c r="C1" s="121">
        <v>60000</v>
      </c>
    </row>
    <row r="2" spans="1:3">
      <c r="A2" s="125" t="s">
        <v>234</v>
      </c>
      <c r="B2" s="119" t="s">
        <v>395</v>
      </c>
      <c r="C2" s="126" t="s">
        <v>396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>
      <selection activeCell="E24" sqref="E24"/>
    </sheetView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343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6" t="s">
        <v>519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>
        <f t="shared" si="0"/>
        <v>1</v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>
        <f t="shared" si="1"/>
        <v>1</v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1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 t="str">
        <f t="shared" ref="D229:D292" si="4">IF(SUM(E229:XFD229)=0,"",SUM(E229:XFD229))</f>
        <v/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 t="str">
        <f t="shared" si="4"/>
        <v/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374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324</v>
      </c>
      <c r="K1" s="60" t="s">
        <v>321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316</v>
      </c>
      <c r="U1" s="60" t="s">
        <v>317</v>
      </c>
      <c r="V1" s="60" t="s">
        <v>318</v>
      </c>
      <c r="W1" s="60" t="s">
        <v>319</v>
      </c>
      <c r="X1" s="60" t="s">
        <v>326</v>
      </c>
      <c r="Y1" s="60" t="s">
        <v>320</v>
      </c>
      <c r="Z1" s="60" t="s">
        <v>325</v>
      </c>
      <c r="AA1" s="108" t="s">
        <v>327</v>
      </c>
      <c r="AB1" s="117" t="s">
        <v>519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>
        <f t="shared" si="0"/>
        <v>4</v>
      </c>
      <c r="E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4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 t="str">
        <f t="shared" si="3"/>
        <v/>
      </c>
      <c r="E2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77" t="s">
        <v>234</v>
      </c>
      <c r="B1" s="11" t="s">
        <v>197</v>
      </c>
      <c r="C1" s="12" t="s">
        <v>198</v>
      </c>
      <c r="D1" s="78" t="s">
        <v>328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8" t="s">
        <v>520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>
        <f t="shared" si="0"/>
        <v>46000</v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46000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>
        <f t="shared" si="0"/>
        <v>6000</v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6000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 t="str">
        <f t="shared" si="3"/>
        <v/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 t="str">
        <f t="shared" si="3"/>
        <v/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85" t="s">
        <v>379</v>
      </c>
      <c r="B1" s="85" t="s">
        <v>323</v>
      </c>
      <c r="E1" s="85" t="s">
        <v>380</v>
      </c>
      <c r="F1" s="85" t="s">
        <v>323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4.8867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8" bestFit="1" customWidth="1"/>
    <col min="15" max="15" width="7.6640625" style="8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6" t="s">
        <v>370</v>
      </c>
      <c r="B1" s="8">
        <v>2200</v>
      </c>
      <c r="E1" s="46" t="s">
        <v>239</v>
      </c>
      <c r="F1" s="46"/>
      <c r="N1" s="46"/>
      <c r="O1" s="46"/>
    </row>
    <row r="2" spans="1:24">
      <c r="A2" s="46" t="s">
        <v>371</v>
      </c>
      <c r="B2" s="8">
        <v>1000</v>
      </c>
      <c r="E2" s="46" t="s">
        <v>574</v>
      </c>
      <c r="J2" s="93" t="s">
        <v>367</v>
      </c>
      <c r="N2" s="46" t="s">
        <v>495</v>
      </c>
      <c r="O2" s="46">
        <v>500</v>
      </c>
    </row>
    <row r="3" spans="1:24">
      <c r="A3" s="46" t="s">
        <v>373</v>
      </c>
      <c r="B3" s="8">
        <v>4000</v>
      </c>
      <c r="E3" s="46" t="s">
        <v>575</v>
      </c>
      <c r="I3" s="93" t="s">
        <v>576</v>
      </c>
      <c r="N3" s="46" t="s">
        <v>373</v>
      </c>
      <c r="O3" s="8">
        <v>3500</v>
      </c>
      <c r="Q3" s="46" t="s">
        <v>494</v>
      </c>
    </row>
    <row r="4" spans="1:24">
      <c r="A4" s="20" t="s">
        <v>205</v>
      </c>
      <c r="B4" s="75" t="s">
        <v>378</v>
      </c>
      <c r="C4" s="10" t="s">
        <v>206</v>
      </c>
      <c r="D4" s="11" t="s">
        <v>207</v>
      </c>
      <c r="E4" s="12" t="s">
        <v>208</v>
      </c>
      <c r="F4" s="78" t="s">
        <v>567</v>
      </c>
      <c r="G4" s="62" t="s">
        <v>372</v>
      </c>
      <c r="H4" s="51" t="s">
        <v>209</v>
      </c>
      <c r="I4" s="96" t="s">
        <v>368</v>
      </c>
      <c r="J4" s="96" t="s">
        <v>369</v>
      </c>
      <c r="K4" s="52" t="s">
        <v>210</v>
      </c>
      <c r="L4" s="94"/>
      <c r="N4" s="104" t="s">
        <v>205</v>
      </c>
      <c r="O4" s="75" t="s">
        <v>378</v>
      </c>
      <c r="P4" s="10" t="s">
        <v>206</v>
      </c>
      <c r="Q4" s="11" t="s">
        <v>207</v>
      </c>
      <c r="R4" s="12" t="s">
        <v>208</v>
      </c>
      <c r="S4" s="78" t="s">
        <v>374</v>
      </c>
      <c r="T4" s="62" t="s">
        <v>372</v>
      </c>
      <c r="U4" s="51" t="s">
        <v>209</v>
      </c>
      <c r="V4" s="96" t="s">
        <v>368</v>
      </c>
      <c r="W4" s="96" t="s">
        <v>369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45017</v>
      </c>
      <c r="B5" s="105" t="str">
        <f>TEXT(DATE(名前リスト!$N$1,名前リスト!$O$1,ROW()-4),"aaa")</f>
        <v>土</v>
      </c>
      <c r="C5" s="20" t="str">
        <f>IF(梅田キャンプ4000[[#This Row],[人数]]=0,"",1)</f>
        <v/>
      </c>
      <c r="D5" s="14"/>
      <c r="E5" s="15"/>
      <c r="F5" s="21">
        <f>ROUNDDOWN(梅田キャンプ4000[[#This Row],[人数]]/8,0)</f>
        <v>0</v>
      </c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45017</v>
      </c>
      <c r="O5" s="105" t="str">
        <f>TEXT(DATE(名前リスト!$N$1,名前リスト!$O$1,ROW()-4),"aaa")</f>
        <v>土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45018</v>
      </c>
      <c r="B6" s="105" t="str">
        <f>TEXT(DATE(名前リスト!$N$1,名前リスト!$O$1,ROW()-4),"aaa")</f>
        <v>日</v>
      </c>
      <c r="C6" s="20" t="str">
        <f>IF(梅田キャンプ4000[[#This Row],[人数]]=0,"",1)</f>
        <v/>
      </c>
      <c r="D6" s="14"/>
      <c r="E6" s="15"/>
      <c r="F6" s="21">
        <f>ROUNDDOWN(梅田キャンプ4000[[#This Row],[人数]]/8,0)</f>
        <v>0</v>
      </c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45018</v>
      </c>
      <c r="O6" s="105" t="str">
        <f>TEXT(DATE(名前リスト!$N$1,名前リスト!$O$1,ROW()-4),"aaa")</f>
        <v>日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45019</v>
      </c>
      <c r="B7" s="105" t="str">
        <f>TEXT(DATE(名前リスト!$N$1,名前リスト!$O$1,ROW()-4),"aaa")</f>
        <v>月</v>
      </c>
      <c r="C7" s="20" t="str">
        <f>IF(梅田キャンプ4000[[#This Row],[人数]]=0,"",1)</f>
        <v/>
      </c>
      <c r="D7" s="14"/>
      <c r="E7" s="15"/>
      <c r="F7" s="21">
        <f>ROUNDDOWN(梅田キャンプ4000[[#This Row],[人数]]/8,0)</f>
        <v>0</v>
      </c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45019</v>
      </c>
      <c r="O7" s="105" t="str">
        <f>TEXT(DATE(名前リスト!$N$1,名前リスト!$O$1,ROW()-4),"aaa")</f>
        <v>月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45020</v>
      </c>
      <c r="B8" s="105" t="str">
        <f>TEXT(DATE(名前リスト!$N$1,名前リスト!$O$1,ROW()-4),"aaa")</f>
        <v>火</v>
      </c>
      <c r="C8" s="20" t="str">
        <f>IF(梅田キャンプ4000[[#This Row],[人数]]=0,"",1)</f>
        <v/>
      </c>
      <c r="D8" s="14"/>
      <c r="E8" s="15"/>
      <c r="F8" s="21">
        <f>ROUNDDOWN(梅田キャンプ4000[[#This Row],[人数]]/8,0)</f>
        <v>0</v>
      </c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45020</v>
      </c>
      <c r="O8" s="105" t="str">
        <f>TEXT(DATE(名前リスト!$N$1,名前リスト!$O$1,ROW()-4),"aaa")</f>
        <v>火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45021</v>
      </c>
      <c r="B9" s="105" t="str">
        <f>TEXT(DATE(名前リスト!$N$1,名前リスト!$O$1,ROW()-4),"aaa")</f>
        <v>水</v>
      </c>
      <c r="C9" s="20" t="str">
        <f>IF(梅田キャンプ4000[[#This Row],[人数]]=0,"",1)</f>
        <v/>
      </c>
      <c r="D9" s="14"/>
      <c r="E9" s="50"/>
      <c r="F9" s="21">
        <f>ROUNDDOWN(梅田キャンプ4000[[#This Row],[人数]]/8,0)</f>
        <v>0</v>
      </c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45021</v>
      </c>
      <c r="O9" s="105" t="str">
        <f>TEXT(DATE(名前リスト!$N$1,名前リスト!$O$1,ROW()-4),"aaa")</f>
        <v>水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45022</v>
      </c>
      <c r="B10" s="105" t="str">
        <f>TEXT(DATE(名前リスト!$N$1,名前リスト!$O$1,ROW()-4),"aaa")</f>
        <v>木</v>
      </c>
      <c r="C10" s="20" t="str">
        <f>IF(梅田キャンプ4000[[#This Row],[人数]]=0,"",1)</f>
        <v/>
      </c>
      <c r="D10" s="14"/>
      <c r="E10" s="15"/>
      <c r="F10" s="21">
        <f>ROUNDDOWN(梅田キャンプ4000[[#This Row],[人数]]/8,0)</f>
        <v>0</v>
      </c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45022</v>
      </c>
      <c r="O10" s="105" t="str">
        <f>TEXT(DATE(名前リスト!$N$1,名前リスト!$O$1,ROW()-4),"aaa")</f>
        <v>木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45023</v>
      </c>
      <c r="B11" s="105" t="str">
        <f>TEXT(DATE(名前リスト!$N$1,名前リスト!$O$1,ROW()-4),"aaa")</f>
        <v>金</v>
      </c>
      <c r="C11" s="20" t="str">
        <f>IF(梅田キャンプ4000[[#This Row],[人数]]=0,"",1)</f>
        <v/>
      </c>
      <c r="D11" s="14"/>
      <c r="E11" s="15"/>
      <c r="F11" s="21">
        <f>ROUNDDOWN(梅田キャンプ4000[[#This Row],[人数]]/8,0)</f>
        <v>0</v>
      </c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45023</v>
      </c>
      <c r="O11" s="105" t="str">
        <f>TEXT(DATE(名前リスト!$N$1,名前リスト!$O$1,ROW()-4),"aaa")</f>
        <v>金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45024</v>
      </c>
      <c r="B12" s="105" t="str">
        <f>TEXT(DATE(名前リスト!$N$1,名前リスト!$O$1,ROW()-4),"aaa")</f>
        <v>土</v>
      </c>
      <c r="C12" s="20" t="str">
        <f>IF(梅田キャンプ4000[[#This Row],[人数]]=0,"",1)</f>
        <v/>
      </c>
      <c r="D12" s="14"/>
      <c r="E12" s="15"/>
      <c r="F12" s="21">
        <f>ROUNDDOWN(梅田キャンプ4000[[#This Row],[人数]]/8,0)</f>
        <v>0</v>
      </c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45024</v>
      </c>
      <c r="O12" s="105" t="str">
        <f>TEXT(DATE(名前リスト!$N$1,名前リスト!$O$1,ROW()-4),"aaa")</f>
        <v>土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45025</v>
      </c>
      <c r="B13" s="105" t="str">
        <f>TEXT(DATE(名前リスト!$N$1,名前リスト!$O$1,ROW()-4),"aaa")</f>
        <v>日</v>
      </c>
      <c r="C13" s="20" t="str">
        <f>IF(梅田キャンプ4000[[#This Row],[人数]]=0,"",1)</f>
        <v/>
      </c>
      <c r="D13" s="14"/>
      <c r="E13" s="15"/>
      <c r="F13" s="21">
        <f>ROUNDDOWN(梅田キャンプ4000[[#This Row],[人数]]/8,0)</f>
        <v>0</v>
      </c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45025</v>
      </c>
      <c r="O13" s="105" t="str">
        <f>TEXT(DATE(名前リスト!$N$1,名前リスト!$O$1,ROW()-4),"aaa")</f>
        <v>日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45026</v>
      </c>
      <c r="B14" s="105" t="str">
        <f>TEXT(DATE(名前リスト!$N$1,名前リスト!$O$1,ROW()-4),"aaa")</f>
        <v>月</v>
      </c>
      <c r="C14" s="20" t="str">
        <f>IF(梅田キャンプ4000[[#This Row],[人数]]=0,"",1)</f>
        <v/>
      </c>
      <c r="D14" s="14"/>
      <c r="E14" s="15"/>
      <c r="F14" s="21">
        <f>ROUNDDOWN(梅田キャンプ4000[[#This Row],[人数]]/8,0)</f>
        <v>0</v>
      </c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45026</v>
      </c>
      <c r="O14" s="105" t="str">
        <f>TEXT(DATE(名前リスト!$N$1,名前リスト!$O$1,ROW()-4),"aaa")</f>
        <v>月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45027</v>
      </c>
      <c r="B15" s="105" t="str">
        <f>TEXT(DATE(名前リスト!$N$1,名前リスト!$O$1,ROW()-4),"aaa")</f>
        <v>火</v>
      </c>
      <c r="C15" s="20" t="str">
        <f>IF(梅田キャンプ4000[[#This Row],[人数]]=0,"",1)</f>
        <v/>
      </c>
      <c r="D15" s="14"/>
      <c r="E15" s="15"/>
      <c r="F15" s="21">
        <f>ROUNDDOWN(梅田キャンプ4000[[#This Row],[人数]]/8,0)</f>
        <v>0</v>
      </c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45027</v>
      </c>
      <c r="O15" s="105" t="str">
        <f>TEXT(DATE(名前リスト!$N$1,名前リスト!$O$1,ROW()-4),"aaa")</f>
        <v>火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45028</v>
      </c>
      <c r="B16" s="105" t="str">
        <f>TEXT(DATE(名前リスト!$N$1,名前リスト!$O$1,ROW()-4),"aaa")</f>
        <v>水</v>
      </c>
      <c r="C16" s="20" t="str">
        <f>IF(梅田キャンプ4000[[#This Row],[人数]]=0,"",1)</f>
        <v/>
      </c>
      <c r="D16" s="14"/>
      <c r="E16" s="15"/>
      <c r="F16" s="21">
        <f>ROUNDDOWN(梅田キャンプ4000[[#This Row],[人数]]/8,0)</f>
        <v>0</v>
      </c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45028</v>
      </c>
      <c r="O16" s="105" t="str">
        <f>TEXT(DATE(名前リスト!$N$1,名前リスト!$O$1,ROW()-4),"aaa")</f>
        <v>水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45029</v>
      </c>
      <c r="B17" s="105" t="str">
        <f>TEXT(DATE(名前リスト!$N$1,名前リスト!$O$1,ROW()-4),"aaa")</f>
        <v>木</v>
      </c>
      <c r="C17" s="20" t="str">
        <f>IF(梅田キャンプ4000[[#This Row],[人数]]=0,"",1)</f>
        <v/>
      </c>
      <c r="D17" s="14"/>
      <c r="E17" s="15"/>
      <c r="F17" s="21">
        <f>ROUNDDOWN(梅田キャンプ4000[[#This Row],[人数]]/8,0)</f>
        <v>0</v>
      </c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45029</v>
      </c>
      <c r="O17" s="105" t="str">
        <f>TEXT(DATE(名前リスト!$N$1,名前リスト!$O$1,ROW()-4),"aaa")</f>
        <v>木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45030</v>
      </c>
      <c r="B18" s="105" t="str">
        <f>TEXT(DATE(名前リスト!$N$1,名前リスト!$O$1,ROW()-4),"aaa")</f>
        <v>金</v>
      </c>
      <c r="C18" s="20" t="str">
        <f>IF(梅田キャンプ4000[[#This Row],[人数]]=0,"",1)</f>
        <v/>
      </c>
      <c r="D18" s="14"/>
      <c r="E18" s="15"/>
      <c r="F18" s="21">
        <f>ROUNDDOWN(梅田キャンプ4000[[#This Row],[人数]]/8,0)</f>
        <v>0</v>
      </c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45030</v>
      </c>
      <c r="O18" s="105" t="str">
        <f>TEXT(DATE(名前リスト!$N$1,名前リスト!$O$1,ROW()-4),"aaa")</f>
        <v>金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45031</v>
      </c>
      <c r="B19" s="105" t="str">
        <f>TEXT(DATE(名前リスト!$N$1,名前リスト!$O$1,ROW()-4),"aaa")</f>
        <v>土</v>
      </c>
      <c r="C19" s="20" t="str">
        <f>IF(梅田キャンプ4000[[#This Row],[人数]]=0,"",1)</f>
        <v/>
      </c>
      <c r="D19" s="14"/>
      <c r="E19" s="15"/>
      <c r="F19" s="21">
        <f>ROUNDDOWN(梅田キャンプ4000[[#This Row],[人数]]/8,0)</f>
        <v>0</v>
      </c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45031</v>
      </c>
      <c r="O19" s="105" t="str">
        <f>TEXT(DATE(名前リスト!$N$1,名前リスト!$O$1,ROW()-4),"aaa")</f>
        <v>土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45032</v>
      </c>
      <c r="B20" s="105" t="str">
        <f>TEXT(DATE(名前リスト!$N$1,名前リスト!$O$1,ROW()-4),"aaa")</f>
        <v>日</v>
      </c>
      <c r="C20" s="20" t="str">
        <f>IF(梅田キャンプ4000[[#This Row],[人数]]=0,"",1)</f>
        <v/>
      </c>
      <c r="D20" s="14"/>
      <c r="E20" s="15"/>
      <c r="F20" s="21">
        <f>ROUNDDOWN(梅田キャンプ4000[[#This Row],[人数]]/8,0)</f>
        <v>0</v>
      </c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45032</v>
      </c>
      <c r="O20" s="105" t="str">
        <f>TEXT(DATE(名前リスト!$N$1,名前リスト!$O$1,ROW()-4),"aaa")</f>
        <v>日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45033</v>
      </c>
      <c r="B21" s="105" t="str">
        <f>TEXT(DATE(名前リスト!$N$1,名前リスト!$O$1,ROW()-4),"aaa")</f>
        <v>月</v>
      </c>
      <c r="C21" s="20" t="str">
        <f>IF(梅田キャンプ4000[[#This Row],[人数]]=0,"",1)</f>
        <v/>
      </c>
      <c r="D21" s="14"/>
      <c r="E21" s="15"/>
      <c r="F21" s="21">
        <f>ROUNDDOWN(梅田キャンプ4000[[#This Row],[人数]]/8,0)</f>
        <v>0</v>
      </c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45033</v>
      </c>
      <c r="O21" s="105" t="str">
        <f>TEXT(DATE(名前リスト!$N$1,名前リスト!$O$1,ROW()-4),"aaa")</f>
        <v>月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45034</v>
      </c>
      <c r="B22" s="105" t="str">
        <f>TEXT(DATE(名前リスト!$N$1,名前リスト!$O$1,ROW()-4),"aaa")</f>
        <v>火</v>
      </c>
      <c r="C22" s="20" t="str">
        <f>IF(梅田キャンプ4000[[#This Row],[人数]]=0,"",1)</f>
        <v/>
      </c>
      <c r="D22" s="14"/>
      <c r="E22" s="15"/>
      <c r="F22" s="21">
        <f>ROUNDDOWN(梅田キャンプ4000[[#This Row],[人数]]/8,0)</f>
        <v>0</v>
      </c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45034</v>
      </c>
      <c r="O22" s="105" t="str">
        <f>TEXT(DATE(名前リスト!$N$1,名前リスト!$O$1,ROW()-4),"aaa")</f>
        <v>火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45035</v>
      </c>
      <c r="B23" s="105" t="str">
        <f>TEXT(DATE(名前リスト!$N$1,名前リスト!$O$1,ROW()-4),"aaa")</f>
        <v>水</v>
      </c>
      <c r="C23" s="20" t="str">
        <f>IF(梅田キャンプ4000[[#This Row],[人数]]=0,"",1)</f>
        <v/>
      </c>
      <c r="D23" s="14"/>
      <c r="E23" s="15"/>
      <c r="F23" s="21">
        <f>ROUNDDOWN(梅田キャンプ4000[[#This Row],[人数]]/8,0)</f>
        <v>0</v>
      </c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0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95"/>
      <c r="N23" s="100">
        <f t="shared" si="1"/>
        <v>45035</v>
      </c>
      <c r="O23" s="105" t="str">
        <f>TEXT(DATE(名前リスト!$N$1,名前リスト!$O$1,ROW()-4),"aaa")</f>
        <v>水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45036</v>
      </c>
      <c r="B24" s="105" t="str">
        <f>TEXT(DATE(名前リスト!$N$1,名前リスト!$O$1,ROW()-4),"aaa")</f>
        <v>木</v>
      </c>
      <c r="C24" s="20" t="str">
        <f>IF(梅田キャンプ4000[[#This Row],[人数]]=0,"",1)</f>
        <v/>
      </c>
      <c r="D24" s="14"/>
      <c r="E24" s="15"/>
      <c r="F24" s="21">
        <f>ROUNDDOWN(梅田キャンプ4000[[#This Row],[人数]]/8,0)</f>
        <v>0</v>
      </c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45036</v>
      </c>
      <c r="O24" s="105" t="str">
        <f>TEXT(DATE(名前リスト!$N$1,名前リスト!$O$1,ROW()-4),"aaa")</f>
        <v>木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45037</v>
      </c>
      <c r="B25" s="105" t="str">
        <f>TEXT(DATE(名前リスト!$N$1,名前リスト!$O$1,ROW()-4),"aaa")</f>
        <v>金</v>
      </c>
      <c r="C25" s="20" t="str">
        <f>IF(梅田キャンプ4000[[#This Row],[人数]]=0,"",1)</f>
        <v/>
      </c>
      <c r="D25" s="14"/>
      <c r="E25" s="15"/>
      <c r="F25" s="21">
        <f>ROUNDDOWN(梅田キャンプ4000[[#This Row],[人数]]/8,0)</f>
        <v>0</v>
      </c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45037</v>
      </c>
      <c r="O25" s="105" t="str">
        <f>TEXT(DATE(名前リスト!$N$1,名前リスト!$O$1,ROW()-4),"aaa")</f>
        <v>金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45038</v>
      </c>
      <c r="B26" s="105" t="str">
        <f>TEXT(DATE(名前リスト!$N$1,名前リスト!$O$1,ROW()-4),"aaa")</f>
        <v>土</v>
      </c>
      <c r="C26" s="20" t="str">
        <f>IF(梅田キャンプ4000[[#This Row],[人数]]=0,"",1)</f>
        <v/>
      </c>
      <c r="D26" s="53"/>
      <c r="E26" s="15"/>
      <c r="F26" s="21">
        <f>ROUNDDOWN(梅田キャンプ4000[[#This Row],[人数]]/8,0)</f>
        <v>0</v>
      </c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45038</v>
      </c>
      <c r="O26" s="105" t="str">
        <f>TEXT(DATE(名前リスト!$N$1,名前リスト!$O$1,ROW()-4),"aaa")</f>
        <v>土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45039</v>
      </c>
      <c r="B27" s="105" t="str">
        <f>TEXT(DATE(名前リスト!$N$1,名前リスト!$O$1,ROW()-4),"aaa")</f>
        <v>日</v>
      </c>
      <c r="C27" s="20" t="str">
        <f>IF(梅田キャンプ4000[[#This Row],[人数]]=0,"",1)</f>
        <v/>
      </c>
      <c r="D27" s="14"/>
      <c r="E27" s="15"/>
      <c r="F27" s="21">
        <f>ROUNDDOWN(梅田キャンプ4000[[#This Row],[人数]]/8,0)</f>
        <v>0</v>
      </c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45039</v>
      </c>
      <c r="O27" s="105" t="str">
        <f>TEXT(DATE(名前リスト!$N$1,名前リスト!$O$1,ROW()-4),"aaa")</f>
        <v>日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45040</v>
      </c>
      <c r="B28" s="105" t="str">
        <f>TEXT(DATE(名前リスト!$N$1,名前リスト!$O$1,ROW()-4),"aaa")</f>
        <v>月</v>
      </c>
      <c r="C28" s="20" t="str">
        <f>IF(梅田キャンプ4000[[#This Row],[人数]]=0,"",1)</f>
        <v/>
      </c>
      <c r="D28" s="14"/>
      <c r="E28" s="15"/>
      <c r="F28" s="21">
        <f>ROUNDDOWN(梅田キャンプ4000[[#This Row],[人数]]/8,0)</f>
        <v>0</v>
      </c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45040</v>
      </c>
      <c r="O28" s="105" t="str">
        <f>TEXT(DATE(名前リスト!$N$1,名前リスト!$O$1,ROW()-4),"aaa")</f>
        <v>月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45041</v>
      </c>
      <c r="B29" s="105" t="str">
        <f>TEXT(DATE(名前リスト!$N$1,名前リスト!$O$1,ROW()-4),"aaa")</f>
        <v>火</v>
      </c>
      <c r="C29" s="20" t="str">
        <f>IF(梅田キャンプ4000[[#This Row],[人数]]=0,"",1)</f>
        <v/>
      </c>
      <c r="D29" s="14"/>
      <c r="E29" s="15"/>
      <c r="F29" s="21">
        <f>ROUNDDOWN(梅田キャンプ4000[[#This Row],[人数]]/8,0)</f>
        <v>0</v>
      </c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45041</v>
      </c>
      <c r="O29" s="105" t="str">
        <f>TEXT(DATE(名前リスト!$N$1,名前リスト!$O$1,ROW()-4),"aaa")</f>
        <v>火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45042</v>
      </c>
      <c r="B30" s="105" t="str">
        <f>TEXT(DATE(名前リスト!$N$1,名前リスト!$O$1,ROW()-4),"aaa")</f>
        <v>水</v>
      </c>
      <c r="C30" s="20" t="str">
        <f>IF(梅田キャンプ4000[[#This Row],[人数]]=0,"",1)</f>
        <v/>
      </c>
      <c r="D30" s="14"/>
      <c r="E30" s="15"/>
      <c r="F30" s="21">
        <f>ROUNDDOWN(梅田キャンプ4000[[#This Row],[人数]]/8,0)</f>
        <v>0</v>
      </c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45042</v>
      </c>
      <c r="O30" s="105" t="str">
        <f>TEXT(DATE(名前リスト!$N$1,名前リスト!$O$1,ROW()-4),"aaa")</f>
        <v>水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45043</v>
      </c>
      <c r="B31" s="105" t="str">
        <f>TEXT(DATE(名前リスト!$N$1,名前リスト!$O$1,ROW()-4),"aaa")</f>
        <v>木</v>
      </c>
      <c r="C31" s="20" t="str">
        <f>IF(梅田キャンプ4000[[#This Row],[人数]]=0,"",1)</f>
        <v/>
      </c>
      <c r="D31" s="14"/>
      <c r="E31" s="15"/>
      <c r="F31" s="21">
        <f>ROUNDDOWN(梅田キャンプ4000[[#This Row],[人数]]/8,0)</f>
        <v>0</v>
      </c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45043</v>
      </c>
      <c r="O31" s="105" t="str">
        <f>TEXT(DATE(名前リスト!$N$1,名前リスト!$O$1,ROW()-4),"aaa")</f>
        <v>木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45044</v>
      </c>
      <c r="B32" s="105" t="str">
        <f>TEXT(DATE(名前リスト!$N$1,名前リスト!$O$1,ROW()-4),"aaa")</f>
        <v>金</v>
      </c>
      <c r="C32" s="20" t="str">
        <f>IF(梅田キャンプ4000[[#This Row],[人数]]=0,"",1)</f>
        <v/>
      </c>
      <c r="D32" s="14"/>
      <c r="E32" s="15"/>
      <c r="F32" s="21">
        <f>ROUNDDOWN(梅田キャンプ4000[[#This Row],[人数]]/8,0)</f>
        <v>0</v>
      </c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45044</v>
      </c>
      <c r="O32" s="105" t="str">
        <f>TEXT(DATE(名前リスト!$N$1,名前リスト!$O$1,ROW()-4),"aaa")</f>
        <v>金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45045</v>
      </c>
      <c r="B33" s="105" t="str">
        <f>TEXT(DATE(名前リスト!$N$1,名前リスト!$O$1,ROW()-4),"aaa")</f>
        <v>土</v>
      </c>
      <c r="C33" s="20" t="str">
        <f>IF(梅田キャンプ4000[[#This Row],[人数]]=0,"",1)</f>
        <v/>
      </c>
      <c r="D33" s="14"/>
      <c r="E33" s="15"/>
      <c r="F33" s="21">
        <f>ROUNDDOWN(梅田キャンプ4000[[#This Row],[人数]]/8,0)</f>
        <v>0</v>
      </c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45045</v>
      </c>
      <c r="O33" s="105" t="str">
        <f>TEXT(DATE(名前リスト!$N$1,名前リスト!$O$1,ROW()-4),"aaa")</f>
        <v>土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45046</v>
      </c>
      <c r="B34" s="105" t="str">
        <f>TEXT(DATE(名前リスト!$N$1,名前リスト!$O$1,ROW()-4),"aaa")</f>
        <v>日</v>
      </c>
      <c r="C34" s="20" t="str">
        <f>IF(梅田キャンプ4000[[#This Row],[人数]]=0,"",1)</f>
        <v/>
      </c>
      <c r="D34" s="14"/>
      <c r="E34" s="15"/>
      <c r="F34" s="21">
        <f>ROUNDDOWN(梅田キャンプ4000[[#This Row],[人数]]/8,0)</f>
        <v>0</v>
      </c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45046</v>
      </c>
      <c r="O34" s="105" t="str">
        <f>TEXT(DATE(名前リスト!$N$1,名前リスト!$O$1,ROW()-4),"aaa")</f>
        <v>日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 t="str">
        <f t="shared" si="0"/>
        <v/>
      </c>
      <c r="B35" s="105" t="str">
        <f>TEXT(DATE(名前リスト!$N$1,名前リスト!$O$1,ROW()-4),"aaa")</f>
        <v>月</v>
      </c>
      <c r="C35" s="20" t="str">
        <f>IF(梅田キャンプ4000[[#This Row],[人数]]=0,"",1)</f>
        <v/>
      </c>
      <c r="D35" s="18"/>
      <c r="E35" s="19"/>
      <c r="F35" s="21">
        <f>ROUNDDOWN(梅田キャンプ4000[[#This Row],[人数]]/8,0)</f>
        <v>0</v>
      </c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 t="str">
        <f t="shared" si="1"/>
        <v/>
      </c>
      <c r="O35" s="105" t="str">
        <f>TEXT(DATE(名前リスト!$N$1,名前リスト!$O$1,ROW()-4),"aaa")</f>
        <v>月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0</v>
      </c>
      <c r="D36" s="6"/>
      <c r="E36" s="16">
        <f>SUM(梅田キャンプ4000[人数])</f>
        <v>0</v>
      </c>
      <c r="F36" s="16"/>
      <c r="G36" s="16">
        <f>SUM(梅田キャンプ4000[単価合計])</f>
        <v>0</v>
      </c>
      <c r="H36" s="16">
        <f>SUM(梅田キャンプ4000[ゆうき取りに行く])</f>
        <v>0</v>
      </c>
      <c r="I36" s="16"/>
      <c r="J36" s="16"/>
      <c r="K36" s="16">
        <f>SUM(梅田キャンプ4000[イベンターへ])</f>
        <v>0</v>
      </c>
      <c r="L36" s="95"/>
      <c r="N36" s="69" t="s">
        <v>322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  <c r="I1" s="46" t="s">
        <v>240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373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374</v>
      </c>
      <c r="F4" s="62" t="s">
        <v>372</v>
      </c>
      <c r="G4" s="51" t="s">
        <v>209</v>
      </c>
      <c r="H4" s="62" t="s">
        <v>376</v>
      </c>
      <c r="I4" s="62" t="s">
        <v>377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374</v>
      </c>
      <c r="Q4" s="62" t="s">
        <v>372</v>
      </c>
      <c r="R4" s="51" t="s">
        <v>209</v>
      </c>
      <c r="S4" s="62" t="s">
        <v>376</v>
      </c>
      <c r="T4" s="62" t="s">
        <v>377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45020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45021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45046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322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  <c r="E1" s="46" t="s">
        <v>241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45020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45021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C1" s="46" t="s">
        <v>242</v>
      </c>
      <c r="F1" s="93"/>
      <c r="K1" s="8" t="s">
        <v>557</v>
      </c>
    </row>
    <row r="2" spans="1:21">
      <c r="A2" s="46" t="s">
        <v>371</v>
      </c>
      <c r="B2" s="8">
        <v>1300</v>
      </c>
      <c r="F2" s="93"/>
      <c r="K2" s="46" t="s">
        <v>560</v>
      </c>
    </row>
    <row r="3" spans="1:21">
      <c r="A3" s="46" t="s">
        <v>375</v>
      </c>
      <c r="B3" s="8">
        <v>4000</v>
      </c>
      <c r="F3" s="93"/>
      <c r="K3" s="46" t="s">
        <v>559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K4" s="8" t="s">
        <v>558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45020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45021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45022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45023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45024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45025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45026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45027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45028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45029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45030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45031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45032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45033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45034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45035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45036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45037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45038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45039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45040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45041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45042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45043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45044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45045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45046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 t="str">
        <f t="shared" si="1"/>
        <v/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G11" sqref="G11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15000</v>
      </c>
    </row>
    <row r="3" spans="1:21">
      <c r="A3" s="46" t="s">
        <v>375</v>
      </c>
      <c r="B3" s="8">
        <v>4000</v>
      </c>
      <c r="C3" s="46" t="s">
        <v>566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569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20" t="str">
        <f>IF(心斎橋CSB4000円[[#This Row],[人数]]=0,"",1)</f>
        <v/>
      </c>
      <c r="C5" s="14"/>
      <c r="D5" s="15"/>
      <c r="E5" s="21">
        <f>ROUNDDOWN(心斎橋CSB4000円[[#This Row],[人数]]/8,0)</f>
        <v>0</v>
      </c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IF(心斎橋CSB4000円[[#This Row],[人数]]=0,"",1)</f>
        <v/>
      </c>
      <c r="C6" s="14"/>
      <c r="D6" s="15"/>
      <c r="E6" s="21">
        <f>ROUNDDOWN(心斎橋CSB4000円[[#This Row],[人数]]/8,0)</f>
        <v>0</v>
      </c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IF(心斎橋CSB4000円[[#This Row],[人数]]=0,"",1)</f>
        <v/>
      </c>
      <c r="C7" s="14"/>
      <c r="D7" s="15"/>
      <c r="E7" s="21">
        <f>ROUNDDOWN(心斎橋CSB4000円[[#This Row],[人数]]/8,0)</f>
        <v>0</v>
      </c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45020</v>
      </c>
      <c r="B8" s="20" t="str">
        <f>IF(心斎橋CSB4000円[[#This Row],[人数]]=0,"",1)</f>
        <v/>
      </c>
      <c r="C8" s="14"/>
      <c r="D8" s="15"/>
      <c r="E8" s="21">
        <f>ROUNDDOWN(心斎橋CSB4000円[[#This Row],[人数]]/8,0)</f>
        <v>0</v>
      </c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45020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45021</v>
      </c>
      <c r="B9" s="20" t="str">
        <f>IF(心斎橋CSB4000円[[#This Row],[人数]]=0,"",1)</f>
        <v/>
      </c>
      <c r="C9" s="14"/>
      <c r="D9" s="15"/>
      <c r="E9" s="21">
        <f>ROUNDDOWN(心斎橋CSB4000円[[#This Row],[人数]]/8,0)</f>
        <v>0</v>
      </c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45021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45022</v>
      </c>
      <c r="B10" s="20" t="str">
        <f>IF(心斎橋CSB4000円[[#This Row],[人数]]=0,"",1)</f>
        <v/>
      </c>
      <c r="C10" s="14"/>
      <c r="D10" s="15"/>
      <c r="E10" s="21">
        <f>ROUNDDOWN(心斎橋CSB4000円[[#This Row],[人数]]/8,0)</f>
        <v>0</v>
      </c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45022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45023</v>
      </c>
      <c r="B11" s="20" t="str">
        <f>IF(心斎橋CSB4000円[[#This Row],[人数]]=0,"",1)</f>
        <v/>
      </c>
      <c r="C11" s="14"/>
      <c r="D11" s="15"/>
      <c r="E11" s="21">
        <f>ROUNDDOWN(心斎橋CSB4000円[[#This Row],[人数]]/8,0)</f>
        <v>0</v>
      </c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45023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45024</v>
      </c>
      <c r="B12" s="20" t="str">
        <f>IF(心斎橋CSB4000円[[#This Row],[人数]]=0,"",1)</f>
        <v/>
      </c>
      <c r="C12" s="14"/>
      <c r="D12" s="15"/>
      <c r="E12" s="21">
        <f>ROUNDDOWN(心斎橋CSB4000円[[#This Row],[人数]]/8,0)</f>
        <v>0</v>
      </c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45024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45025</v>
      </c>
      <c r="B13" s="20" t="str">
        <f>IF(心斎橋CSB4000円[[#This Row],[人数]]=0,"",1)</f>
        <v/>
      </c>
      <c r="C13" s="14"/>
      <c r="D13" s="15"/>
      <c r="E13" s="21">
        <f>ROUNDDOWN(心斎橋CSB4000円[[#This Row],[人数]]/8,0)</f>
        <v>0</v>
      </c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45025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45026</v>
      </c>
      <c r="B14" s="20" t="str">
        <f>IF(心斎橋CSB4000円[[#This Row],[人数]]=0,"",1)</f>
        <v/>
      </c>
      <c r="C14" s="14"/>
      <c r="D14" s="15"/>
      <c r="E14" s="21">
        <f>ROUNDDOWN(心斎橋CSB4000円[[#This Row],[人数]]/8,0)</f>
        <v>0</v>
      </c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45026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45027</v>
      </c>
      <c r="B15" s="20" t="str">
        <f>IF(心斎橋CSB4000円[[#This Row],[人数]]=0,"",1)</f>
        <v/>
      </c>
      <c r="C15" s="14"/>
      <c r="D15" s="15"/>
      <c r="E15" s="21">
        <f>ROUNDDOWN(心斎橋CSB4000円[[#This Row],[人数]]/8,0)</f>
        <v>0</v>
      </c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45027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45028</v>
      </c>
      <c r="B16" s="20" t="str">
        <f>IF(心斎橋CSB4000円[[#This Row],[人数]]=0,"",1)</f>
        <v/>
      </c>
      <c r="C16" s="14"/>
      <c r="D16" s="15"/>
      <c r="E16" s="21">
        <f>ROUNDDOWN(心斎橋CSB4000円[[#This Row],[人数]]/8,0)</f>
        <v>0</v>
      </c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45028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45029</v>
      </c>
      <c r="B17" s="20" t="str">
        <f>IF(心斎橋CSB4000円[[#This Row],[人数]]=0,"",1)</f>
        <v/>
      </c>
      <c r="C17" s="14"/>
      <c r="D17" s="15"/>
      <c r="E17" s="21">
        <f>ROUNDDOWN(心斎橋CSB4000円[[#This Row],[人数]]/8,0)</f>
        <v>0</v>
      </c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45029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45030</v>
      </c>
      <c r="B18" s="20" t="str">
        <f>IF(心斎橋CSB4000円[[#This Row],[人数]]=0,"",1)</f>
        <v/>
      </c>
      <c r="C18" s="14"/>
      <c r="D18" s="15"/>
      <c r="E18" s="21">
        <f>ROUNDDOWN(心斎橋CSB4000円[[#This Row],[人数]]/8,0)</f>
        <v>0</v>
      </c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45030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45031</v>
      </c>
      <c r="B19" s="20" t="str">
        <f>IF(心斎橋CSB4000円[[#This Row],[人数]]=0,"",1)</f>
        <v/>
      </c>
      <c r="C19" s="14"/>
      <c r="D19" s="15"/>
      <c r="E19" s="21">
        <f>ROUNDDOWN(心斎橋CSB4000円[[#This Row],[人数]]/8,0)</f>
        <v>0</v>
      </c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45031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45032</v>
      </c>
      <c r="B20" s="20" t="str">
        <f>IF(心斎橋CSB4000円[[#This Row],[人数]]=0,"",1)</f>
        <v/>
      </c>
      <c r="C20" s="14"/>
      <c r="D20" s="15"/>
      <c r="E20" s="21">
        <f>ROUNDDOWN(心斎橋CSB4000円[[#This Row],[人数]]/8,0)</f>
        <v>0</v>
      </c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45032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45033</v>
      </c>
      <c r="B21" s="20" t="str">
        <f>IF(心斎橋CSB4000円[[#This Row],[人数]]=0,"",1)</f>
        <v/>
      </c>
      <c r="C21" s="14"/>
      <c r="D21" s="15"/>
      <c r="E21" s="21">
        <f>ROUNDDOWN(心斎橋CSB4000円[[#This Row],[人数]]/8,0)</f>
        <v>0</v>
      </c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45033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45034</v>
      </c>
      <c r="B22" s="20" t="str">
        <f>IF(心斎橋CSB4000円[[#This Row],[人数]]=0,"",1)</f>
        <v/>
      </c>
      <c r="C22" s="14"/>
      <c r="D22" s="15"/>
      <c r="E22" s="21">
        <f>ROUNDDOWN(心斎橋CSB4000円[[#This Row],[人数]]/8,0)</f>
        <v>0</v>
      </c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45034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45035</v>
      </c>
      <c r="B23" s="20" t="str">
        <f>IF(心斎橋CSB4000円[[#This Row],[人数]]=0,"",1)</f>
        <v/>
      </c>
      <c r="C23" s="14"/>
      <c r="D23" s="15"/>
      <c r="E23" s="21">
        <f>ROUNDDOWN(心斎橋CSB4000円[[#This Row],[人数]]/8,0)</f>
        <v>0</v>
      </c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45035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45036</v>
      </c>
      <c r="B24" s="20" t="str">
        <f>IF(心斎橋CSB4000円[[#This Row],[人数]]=0,"",1)</f>
        <v/>
      </c>
      <c r="C24" s="14"/>
      <c r="D24" s="15"/>
      <c r="E24" s="21">
        <f>ROUNDDOWN(心斎橋CSB4000円[[#This Row],[人数]]/8,0)</f>
        <v>0</v>
      </c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45036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45037</v>
      </c>
      <c r="B25" s="20">
        <f>IF(心斎橋CSB4000円[[#This Row],[人数]]=0,"",1)</f>
        <v>1</v>
      </c>
      <c r="C25" s="14">
        <v>64</v>
      </c>
      <c r="D25" s="15">
        <v>6</v>
      </c>
      <c r="E25" s="21">
        <f>ROUNDDOWN(心斎橋CSB4000円[[#This Row],[人数]]/8,0)</f>
        <v>0</v>
      </c>
      <c r="F25" s="42">
        <f>IF(心斎橋CSB4000円[[#This Row],[人数]]="","",IF(心斎橋CSB4000円[[#This Row],[人数]]&lt;=7,$B$1*心斎橋CSB4000円[[#This Row],[人数]],$B$1*心斎橋CSB4000円[[#This Row],[人数]]-心斎橋CSB4000円[[#This Row],[幹事無料]]))</f>
        <v>15000</v>
      </c>
      <c r="G25" s="42">
        <f>IFERROR(($B$3*心斎橋CSB4000円[[#This Row],[人数]])-心斎橋CSB4000円[[#This Row],[単価合計]]-(心斎橋CSB4000円[[#This Row],[キャンセル人数]]*$B$2),"")</f>
        <v>9000</v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>
        <f>IF(心斎橋CSB4000円[[#This Row],[人数]]="","",VLOOKUP(心斎橋CSB4000円[[#This Row],[人数]],バック金額②[#All],2,TRUE)-(心斎橋CSB4000円[[#This Row],[キャンセル人数]]*$B$2))</f>
        <v>6000</v>
      </c>
      <c r="L25" s="63">
        <f t="shared" si="1"/>
        <v>45037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45038</v>
      </c>
      <c r="B26" s="20" t="str">
        <f>IF(心斎橋CSB4000円[[#This Row],[人数]]=0,"",1)</f>
        <v/>
      </c>
      <c r="C26" s="14"/>
      <c r="D26" s="15"/>
      <c r="E26" s="21">
        <f>ROUNDDOWN(心斎橋CSB4000円[[#This Row],[人数]]/8,0)</f>
        <v>0</v>
      </c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45038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45039</v>
      </c>
      <c r="B27" s="20" t="str">
        <f>IF(心斎橋CSB4000円[[#This Row],[人数]]=0,"",1)</f>
        <v/>
      </c>
      <c r="C27" s="14"/>
      <c r="D27" s="15"/>
      <c r="E27" s="21">
        <f>ROUNDDOWN(心斎橋CSB4000円[[#This Row],[人数]]/8,0)</f>
        <v>0</v>
      </c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45039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45040</v>
      </c>
      <c r="B28" s="20" t="str">
        <f>IF(心斎橋CSB4000円[[#This Row],[人数]]=0,"",1)</f>
        <v/>
      </c>
      <c r="C28" s="14"/>
      <c r="D28" s="15"/>
      <c r="E28" s="21">
        <f>ROUNDDOWN(心斎橋CSB4000円[[#This Row],[人数]]/8,0)</f>
        <v>0</v>
      </c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45040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45041</v>
      </c>
      <c r="B29" s="20" t="str">
        <f>IF(心斎橋CSB4000円[[#This Row],[人数]]=0,"",1)</f>
        <v/>
      </c>
      <c r="C29" s="14"/>
      <c r="D29" s="15"/>
      <c r="E29" s="21">
        <f>ROUNDDOWN(心斎橋CSB4000円[[#This Row],[人数]]/8,0)</f>
        <v>0</v>
      </c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45041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45042</v>
      </c>
      <c r="B30" s="20" t="str">
        <f>IF(心斎橋CSB4000円[[#This Row],[人数]]=0,"",1)</f>
        <v/>
      </c>
      <c r="C30" s="14"/>
      <c r="D30" s="15"/>
      <c r="E30" s="21">
        <f>ROUNDDOWN(心斎橋CSB4000円[[#This Row],[人数]]/8,0)</f>
        <v>0</v>
      </c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45042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45043</v>
      </c>
      <c r="B31" s="20" t="str">
        <f>IF(心斎橋CSB4000円[[#This Row],[人数]]=0,"",1)</f>
        <v/>
      </c>
      <c r="C31" s="14"/>
      <c r="D31" s="15"/>
      <c r="E31" s="21">
        <f>ROUNDDOWN(心斎橋CSB4000円[[#This Row],[人数]]/8,0)</f>
        <v>0</v>
      </c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45043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45044</v>
      </c>
      <c r="B32" s="20" t="str">
        <f>IF(心斎橋CSB4000円[[#This Row],[人数]]=0,"",1)</f>
        <v/>
      </c>
      <c r="C32" s="14"/>
      <c r="D32" s="15"/>
      <c r="E32" s="21">
        <f>ROUNDDOWN(心斎橋CSB4000円[[#This Row],[人数]]/8,0)</f>
        <v>0</v>
      </c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45044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45045</v>
      </c>
      <c r="B33" s="20" t="str">
        <f>IF(心斎橋CSB4000円[[#This Row],[人数]]=0,"",1)</f>
        <v/>
      </c>
      <c r="C33" s="14"/>
      <c r="D33" s="15"/>
      <c r="E33" s="21">
        <f>ROUNDDOWN(心斎橋CSB4000円[[#This Row],[人数]]/8,0)</f>
        <v>0</v>
      </c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45045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45046</v>
      </c>
      <c r="B34" s="20" t="str">
        <f>IF(心斎橋CSB4000円[[#This Row],[人数]]=0,"",1)</f>
        <v/>
      </c>
      <c r="C34" s="14"/>
      <c r="D34" s="15"/>
      <c r="E34" s="21">
        <f>ROUNDDOWN(心斎橋CSB4000円[[#This Row],[人数]]/8,0)</f>
        <v>0</v>
      </c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45046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 t="str">
        <f t="shared" si="0"/>
        <v/>
      </c>
      <c r="B35" s="20" t="str">
        <f>IF(心斎橋CSB4000円[[#This Row],[人数]]=0,"",1)</f>
        <v/>
      </c>
      <c r="C35" s="18"/>
      <c r="D35" s="15"/>
      <c r="E35" s="21">
        <f>ROUNDDOWN(心斎橋CSB4000円[[#This Row],[人数]]/8,0)</f>
        <v>0</v>
      </c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322</v>
      </c>
      <c r="B36" s="16">
        <f>SUM(心斎橋CSB4000円[[#All],[件数]])</f>
        <v>1</v>
      </c>
      <c r="C36" s="6"/>
      <c r="D36" s="16">
        <f>SUM(心斎橋CSB4000円[[#All],[人数]])</f>
        <v>6</v>
      </c>
      <c r="E36" s="16">
        <f>SUM(心斎橋CSB4000円[[#All],[8人以上件数]])</f>
        <v>0</v>
      </c>
      <c r="F36" s="16">
        <f>SUM(心斎橋CSB4000円[[#All],[単価合計]])</f>
        <v>15000</v>
      </c>
      <c r="G36" s="16">
        <f>SUM(心斎橋CSB4000円[[#All],[ゆうき取りに行く]])</f>
        <v>9000</v>
      </c>
      <c r="H36" s="16"/>
      <c r="I36" s="16"/>
      <c r="J36" s="16">
        <f>SUM(心斎橋CSB4000円[[#All],[イベンターへ]])</f>
        <v>6000</v>
      </c>
      <c r="L36" s="69" t="s">
        <v>322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5" activePane="bottomLeft" state="frozen"/>
      <selection pane="bottomLeft" activeCell="F30" sqref="F30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243</v>
      </c>
      <c r="H1" s="93" t="s">
        <v>521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0</v>
      </c>
      <c r="H2" s="93" t="s">
        <v>563</v>
      </c>
    </row>
    <row r="3" spans="1:21">
      <c r="A3" s="46" t="s">
        <v>375</v>
      </c>
      <c r="B3" s="8">
        <v>4000</v>
      </c>
      <c r="E3" s="46"/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570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20" t="str">
        <f>IF(北新地ファイブ4000[[#This Row],[人数]]=0,"",1)</f>
        <v/>
      </c>
      <c r="C5" s="14"/>
      <c r="D5" s="15"/>
      <c r="E5" s="21">
        <f>ROUNDDOWN(北新地ファイブ4000[[#This Row],[人数]]/8,0)</f>
        <v>0</v>
      </c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20" t="str">
        <f>IF(北新地ファイブ3500[[#This Row],[人数]]=0,"",1)</f>
        <v/>
      </c>
      <c r="N5" s="14"/>
      <c r="O5" s="15"/>
      <c r="P5" s="21">
        <f>ROUNDDOWN(北新地ファイブ3500[[#This Row],[人数]]/8,0)</f>
        <v>0</v>
      </c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IF(北新地ファイブ4000[[#This Row],[人数]]=0,"",1)</f>
        <v/>
      </c>
      <c r="C6" s="14"/>
      <c r="D6" s="15"/>
      <c r="E6" s="21">
        <f>ROUNDDOWN(北新地ファイブ4000[[#This Row],[人数]]/8,0)</f>
        <v>0</v>
      </c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 t="str">
        <f>IF(北新地ファイブ4000[[#This Row],[人数]]="","",VLOOKUP(北新地ファイブ4000[[#This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20" t="str">
        <f>IF(北新地ファイブ3500[[#This Row],[人数]]=0,"",1)</f>
        <v/>
      </c>
      <c r="N6" s="14"/>
      <c r="O6" s="15"/>
      <c r="P6" s="21">
        <f>ROUNDDOWN(北新地ファイブ3500[[#This Row],[人数]]/8,0)</f>
        <v>0</v>
      </c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IF(北新地ファイブ4000[[#This Row],[人数]]=0,"",1)</f>
        <v/>
      </c>
      <c r="C7" s="14"/>
      <c r="D7" s="15"/>
      <c r="E7" s="21">
        <f>ROUNDDOWN(北新地ファイブ4000[[#This Row],[人数]]/8,0)</f>
        <v>0</v>
      </c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0" t="str">
        <f>IF(北新地ファイブ3500[[#This Row],[人数]]=0,"",1)</f>
        <v/>
      </c>
      <c r="N7" s="14"/>
      <c r="O7" s="15"/>
      <c r="P7" s="21">
        <f>ROUNDDOWN(北新地ファイブ3500[[#This Row],[人数]]/8,0)</f>
        <v>0</v>
      </c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45020</v>
      </c>
      <c r="B8" s="20" t="str">
        <f>IF(北新地ファイブ4000[[#This Row],[人数]]=0,"",1)</f>
        <v/>
      </c>
      <c r="C8" s="14"/>
      <c r="D8" s="15"/>
      <c r="E8" s="21">
        <f>ROUNDDOWN(北新地ファイブ4000[[#This Row],[人数]]/8,0)</f>
        <v>0</v>
      </c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45020</v>
      </c>
      <c r="M8" s="20" t="str">
        <f>IF(北新地ファイブ3500[[#This Row],[人数]]=0,"",1)</f>
        <v/>
      </c>
      <c r="N8" s="14"/>
      <c r="O8" s="15"/>
      <c r="P8" s="21">
        <f>ROUNDDOWN(北新地ファイブ3500[[#This Row],[人数]]/8,0)</f>
        <v>0</v>
      </c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45021</v>
      </c>
      <c r="B9" s="20" t="str">
        <f>IF(北新地ファイブ4000[[#This Row],[人数]]=0,"",1)</f>
        <v/>
      </c>
      <c r="C9" s="14"/>
      <c r="D9" s="15"/>
      <c r="E9" s="21">
        <f>ROUNDDOWN(北新地ファイブ4000[[#This Row],[人数]]/8,0)</f>
        <v>0</v>
      </c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45021</v>
      </c>
      <c r="M9" s="20" t="str">
        <f>IF(北新地ファイブ3500[[#This Row],[人数]]=0,"",1)</f>
        <v/>
      </c>
      <c r="N9" s="14"/>
      <c r="O9" s="15"/>
      <c r="P9" s="21">
        <f>ROUNDDOWN(北新地ファイブ3500[[#This Row],[人数]]/8,0)</f>
        <v>0</v>
      </c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45022</v>
      </c>
      <c r="B10" s="20" t="str">
        <f>IF(北新地ファイブ4000[[#This Row],[人数]]=0,"",1)</f>
        <v/>
      </c>
      <c r="C10" s="14"/>
      <c r="D10" s="15"/>
      <c r="E10" s="21">
        <f>ROUNDDOWN(北新地ファイブ4000[[#This Row],[人数]]/8,0)</f>
        <v>0</v>
      </c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45022</v>
      </c>
      <c r="M10" s="20" t="str">
        <f>IF(北新地ファイブ3500[[#This Row],[人数]]=0,"",1)</f>
        <v/>
      </c>
      <c r="N10" s="14"/>
      <c r="O10" s="15"/>
      <c r="P10" s="21">
        <f>ROUNDDOWN(北新地ファイブ3500[[#This Row],[人数]]/8,0)</f>
        <v>0</v>
      </c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45023</v>
      </c>
      <c r="B11" s="20" t="str">
        <f>IF(北新地ファイブ4000[[#This Row],[人数]]=0,"",1)</f>
        <v/>
      </c>
      <c r="C11" s="14"/>
      <c r="D11" s="15"/>
      <c r="E11" s="21">
        <f>ROUNDDOWN(北新地ファイブ4000[[#This Row],[人数]]/8,0)</f>
        <v>0</v>
      </c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45023</v>
      </c>
      <c r="M11" s="20" t="str">
        <f>IF(北新地ファイブ3500[[#This Row],[人数]]=0,"",1)</f>
        <v/>
      </c>
      <c r="N11" s="14"/>
      <c r="O11" s="15"/>
      <c r="P11" s="21">
        <f>ROUNDDOWN(北新地ファイブ3500[[#This Row],[人数]]/8,0)</f>
        <v>0</v>
      </c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45024</v>
      </c>
      <c r="B12" s="20" t="str">
        <f>IF(北新地ファイブ4000[[#This Row],[人数]]=0,"",1)</f>
        <v/>
      </c>
      <c r="C12" s="14"/>
      <c r="D12" s="15"/>
      <c r="E12" s="21">
        <f>ROUNDDOWN(北新地ファイブ4000[[#This Row],[人数]]/8,0)</f>
        <v>0</v>
      </c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45024</v>
      </c>
      <c r="M12" s="20" t="str">
        <f>IF(北新地ファイブ3500[[#This Row],[人数]]=0,"",1)</f>
        <v/>
      </c>
      <c r="N12" s="14"/>
      <c r="O12" s="15"/>
      <c r="P12" s="21">
        <f>ROUNDDOWN(北新地ファイブ3500[[#This Row],[人数]]/8,0)</f>
        <v>0</v>
      </c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45025</v>
      </c>
      <c r="B13" s="20" t="str">
        <f>IF(北新地ファイブ4000[[#This Row],[人数]]=0,"",1)</f>
        <v/>
      </c>
      <c r="C13" s="14"/>
      <c r="D13" s="15"/>
      <c r="E13" s="21">
        <f>ROUNDDOWN(北新地ファイブ4000[[#This Row],[人数]]/8,0)</f>
        <v>0</v>
      </c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45025</v>
      </c>
      <c r="M13" s="20" t="str">
        <f>IF(北新地ファイブ3500[[#This Row],[人数]]=0,"",1)</f>
        <v/>
      </c>
      <c r="N13" s="14"/>
      <c r="O13" s="15"/>
      <c r="P13" s="21">
        <f>ROUNDDOWN(北新地ファイブ3500[[#This Row],[人数]]/8,0)</f>
        <v>0</v>
      </c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45026</v>
      </c>
      <c r="B14" s="20" t="str">
        <f>IF(北新地ファイブ4000[[#This Row],[人数]]=0,"",1)</f>
        <v/>
      </c>
      <c r="C14" s="14"/>
      <c r="D14" s="15"/>
      <c r="E14" s="21">
        <f>ROUNDDOWN(北新地ファイブ4000[[#This Row],[人数]]/8,0)</f>
        <v>0</v>
      </c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45026</v>
      </c>
      <c r="M14" s="20" t="str">
        <f>IF(北新地ファイブ3500[[#This Row],[人数]]=0,"",1)</f>
        <v/>
      </c>
      <c r="N14" s="14"/>
      <c r="O14" s="15"/>
      <c r="P14" s="21">
        <f>ROUNDDOWN(北新地ファイブ3500[[#This Row],[人数]]/8,0)</f>
        <v>0</v>
      </c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45027</v>
      </c>
      <c r="B15" s="20" t="str">
        <f>IF(北新地ファイブ4000[[#This Row],[人数]]=0,"",1)</f>
        <v/>
      </c>
      <c r="C15" s="14"/>
      <c r="D15" s="15"/>
      <c r="E15" s="21">
        <f>ROUNDDOWN(北新地ファイブ4000[[#This Row],[人数]]/8,0)</f>
        <v>0</v>
      </c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45027</v>
      </c>
      <c r="M15" s="20" t="str">
        <f>IF(北新地ファイブ3500[[#This Row],[人数]]=0,"",1)</f>
        <v/>
      </c>
      <c r="N15" s="14"/>
      <c r="O15" s="15"/>
      <c r="P15" s="21">
        <f>ROUNDDOWN(北新地ファイブ3500[[#This Row],[人数]]/8,0)</f>
        <v>0</v>
      </c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45028</v>
      </c>
      <c r="B16" s="20" t="str">
        <f>IF(北新地ファイブ4000[[#This Row],[人数]]=0,"",1)</f>
        <v/>
      </c>
      <c r="C16" s="53"/>
      <c r="D16" s="15"/>
      <c r="E16" s="21">
        <f>ROUNDDOWN(北新地ファイブ4000[[#This Row],[人数]]/8,0)</f>
        <v>0</v>
      </c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45028</v>
      </c>
      <c r="M16" s="20" t="str">
        <f>IF(北新地ファイブ3500[[#This Row],[人数]]=0,"",1)</f>
        <v/>
      </c>
      <c r="N16" s="14"/>
      <c r="O16" s="15"/>
      <c r="P16" s="21">
        <f>ROUNDDOWN(北新地ファイブ3500[[#This Row],[人数]]/8,0)</f>
        <v>0</v>
      </c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45029</v>
      </c>
      <c r="B17" s="20" t="str">
        <f>IF(北新地ファイブ4000[[#This Row],[人数]]=0,"",1)</f>
        <v/>
      </c>
      <c r="C17" s="14"/>
      <c r="D17" s="15"/>
      <c r="E17" s="21">
        <f>ROUNDDOWN(北新地ファイブ4000[[#This Row],[人数]]/8,0)</f>
        <v>0</v>
      </c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45029</v>
      </c>
      <c r="M17" s="20" t="str">
        <f>IF(北新地ファイブ3500[[#This Row],[人数]]=0,"",1)</f>
        <v/>
      </c>
      <c r="N17" s="14"/>
      <c r="O17" s="15"/>
      <c r="P17" s="21">
        <f>ROUNDDOWN(北新地ファイブ3500[[#This Row],[人数]]/8,0)</f>
        <v>0</v>
      </c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45030</v>
      </c>
      <c r="B18" s="20" t="str">
        <f>IF(北新地ファイブ4000[[#This Row],[人数]]=0,"",1)</f>
        <v/>
      </c>
      <c r="C18" s="14"/>
      <c r="D18" s="15"/>
      <c r="E18" s="21">
        <f>ROUNDDOWN(北新地ファイブ4000[[#This Row],[人数]]/8,0)</f>
        <v>0</v>
      </c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45030</v>
      </c>
      <c r="M18" s="20" t="str">
        <f>IF(北新地ファイブ3500[[#This Row],[人数]]=0,"",1)</f>
        <v/>
      </c>
      <c r="N18" s="14"/>
      <c r="O18" s="15"/>
      <c r="P18" s="21">
        <f>ROUNDDOWN(北新地ファイブ3500[[#This Row],[人数]]/8,0)</f>
        <v>0</v>
      </c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45031</v>
      </c>
      <c r="B19" s="20" t="str">
        <f>IF(北新地ファイブ4000[[#This Row],[人数]]=0,"",1)</f>
        <v/>
      </c>
      <c r="C19" s="14"/>
      <c r="D19" s="15"/>
      <c r="E19" s="21">
        <f>ROUNDDOWN(北新地ファイブ4000[[#This Row],[人数]]/8,0)</f>
        <v>0</v>
      </c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45031</v>
      </c>
      <c r="M19" s="20" t="str">
        <f>IF(北新地ファイブ3500[[#This Row],[人数]]=0,"",1)</f>
        <v/>
      </c>
      <c r="N19" s="14"/>
      <c r="O19" s="15"/>
      <c r="P19" s="21">
        <f>ROUNDDOWN(北新地ファイブ3500[[#This Row],[人数]]/8,0)</f>
        <v>0</v>
      </c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45032</v>
      </c>
      <c r="B20" s="20" t="str">
        <f>IF(北新地ファイブ4000[[#This Row],[人数]]=0,"",1)</f>
        <v/>
      </c>
      <c r="C20" s="14"/>
      <c r="D20" s="15"/>
      <c r="E20" s="21">
        <f>ROUNDDOWN(北新地ファイブ4000[[#This Row],[人数]]/8,0)</f>
        <v>0</v>
      </c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45032</v>
      </c>
      <c r="M20" s="20" t="str">
        <f>IF(北新地ファイブ3500[[#This Row],[人数]]=0,"",1)</f>
        <v/>
      </c>
      <c r="N20" s="14"/>
      <c r="O20" s="15"/>
      <c r="P20" s="21">
        <f>ROUNDDOWN(北新地ファイブ3500[[#This Row],[人数]]/8,0)</f>
        <v>0</v>
      </c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45033</v>
      </c>
      <c r="B21" s="20" t="str">
        <f>IF(北新地ファイブ4000[[#This Row],[人数]]=0,"",1)</f>
        <v/>
      </c>
      <c r="C21" s="14"/>
      <c r="D21" s="15"/>
      <c r="E21" s="21">
        <f>ROUNDDOWN(北新地ファイブ4000[[#This Row],[人数]]/8,0)</f>
        <v>0</v>
      </c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45033</v>
      </c>
      <c r="M21" s="20" t="str">
        <f>IF(北新地ファイブ3500[[#This Row],[人数]]=0,"",1)</f>
        <v/>
      </c>
      <c r="N21" s="14"/>
      <c r="O21" s="15"/>
      <c r="P21" s="21">
        <f>ROUNDDOWN(北新地ファイブ3500[[#This Row],[人数]]/8,0)</f>
        <v>0</v>
      </c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45034</v>
      </c>
      <c r="B22" s="20" t="str">
        <f>IF(北新地ファイブ4000[[#This Row],[人数]]=0,"",1)</f>
        <v/>
      </c>
      <c r="C22" s="14"/>
      <c r="D22" s="15"/>
      <c r="E22" s="21">
        <f>ROUNDDOWN(北新地ファイブ4000[[#This Row],[人数]]/8,0)</f>
        <v>0</v>
      </c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45034</v>
      </c>
      <c r="M22" s="20" t="str">
        <f>IF(北新地ファイブ3500[[#This Row],[人数]]=0,"",1)</f>
        <v/>
      </c>
      <c r="N22" s="14"/>
      <c r="O22" s="15"/>
      <c r="P22" s="21">
        <f>ROUNDDOWN(北新地ファイブ3500[[#This Row],[人数]]/8,0)</f>
        <v>0</v>
      </c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45035</v>
      </c>
      <c r="B23" s="20" t="str">
        <f>IF(北新地ファイブ4000[[#This Row],[人数]]=0,"",1)</f>
        <v/>
      </c>
      <c r="C23" s="14"/>
      <c r="D23" s="15"/>
      <c r="E23" s="21">
        <f>ROUNDDOWN(北新地ファイブ4000[[#This Row],[人数]]/8,0)</f>
        <v>0</v>
      </c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45035</v>
      </c>
      <c r="M23" s="20" t="str">
        <f>IF(北新地ファイブ3500[[#This Row],[人数]]=0,"",1)</f>
        <v/>
      </c>
      <c r="N23" s="14"/>
      <c r="O23" s="15"/>
      <c r="P23" s="21">
        <f>ROUNDDOWN(北新地ファイブ3500[[#This Row],[人数]]/8,0)</f>
        <v>0</v>
      </c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45036</v>
      </c>
      <c r="B24" s="20" t="str">
        <f>IF(北新地ファイブ4000[[#This Row],[人数]]=0,"",1)</f>
        <v/>
      </c>
      <c r="C24" s="14"/>
      <c r="D24" s="15"/>
      <c r="E24" s="21">
        <f>ROUNDDOWN(北新地ファイブ4000[[#This Row],[人数]]/8,0)</f>
        <v>0</v>
      </c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45036</v>
      </c>
      <c r="M24" s="20" t="str">
        <f>IF(北新地ファイブ3500[[#This Row],[人数]]=0,"",1)</f>
        <v/>
      </c>
      <c r="N24" s="14"/>
      <c r="O24" s="15"/>
      <c r="P24" s="21">
        <f>ROUNDDOWN(北新地ファイブ3500[[#This Row],[人数]]/8,0)</f>
        <v>0</v>
      </c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45037</v>
      </c>
      <c r="B25" s="20" t="str">
        <f>IF(北新地ファイブ4000[[#This Row],[人数]]=0,"",1)</f>
        <v/>
      </c>
      <c r="C25" s="14"/>
      <c r="D25" s="15"/>
      <c r="E25" s="21">
        <f>ROUNDDOWN(北新地ファイブ4000[[#This Row],[人数]]/8,0)</f>
        <v>0</v>
      </c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45037</v>
      </c>
      <c r="M25" s="20" t="str">
        <f>IF(北新地ファイブ3500[[#This Row],[人数]]=0,"",1)</f>
        <v/>
      </c>
      <c r="N25" s="14"/>
      <c r="O25" s="15"/>
      <c r="P25" s="21">
        <f>ROUNDDOWN(北新地ファイブ3500[[#This Row],[人数]]/8,0)</f>
        <v>0</v>
      </c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>
        <v>1</v>
      </c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45038</v>
      </c>
      <c r="B26" s="20" t="str">
        <f>IF(北新地ファイブ4000[[#This Row],[人数]]=0,"",1)</f>
        <v/>
      </c>
      <c r="C26" s="14"/>
      <c r="D26" s="15"/>
      <c r="E26" s="21">
        <f>ROUNDDOWN(北新地ファイブ4000[[#This Row],[人数]]/8,0)</f>
        <v>0</v>
      </c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0"/>
      <c r="J26" s="16" t="str">
        <f>IF(北新地ファイブ4000[[#This Row],[人数]]="","",VLOOKUP(北新地ファイブ4000[[#This Row],[人数]],バック金額②[#All],2,TRUE))</f>
        <v/>
      </c>
      <c r="L26" s="63">
        <f t="shared" si="1"/>
        <v>45038</v>
      </c>
      <c r="M26" s="20" t="str">
        <f>IF(北新地ファイブ3500[[#This Row],[人数]]=0,"",1)</f>
        <v/>
      </c>
      <c r="N26" s="14"/>
      <c r="O26" s="15"/>
      <c r="P26" s="21">
        <f>ROUNDDOWN(北新地ファイブ3500[[#This Row],[人数]]/8,0)</f>
        <v>0</v>
      </c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45039</v>
      </c>
      <c r="B27" s="20" t="str">
        <f>IF(北新地ファイブ4000[[#This Row],[人数]]=0,"",1)</f>
        <v/>
      </c>
      <c r="C27" s="14"/>
      <c r="D27" s="15"/>
      <c r="E27" s="21">
        <f>ROUNDDOWN(北新地ファイブ4000[[#This Row],[人数]]/8,0)</f>
        <v>0</v>
      </c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45039</v>
      </c>
      <c r="M27" s="20" t="str">
        <f>IF(北新地ファイブ3500[[#This Row],[人数]]=0,"",1)</f>
        <v/>
      </c>
      <c r="N27" s="14"/>
      <c r="O27" s="15"/>
      <c r="P27" s="21">
        <f>ROUNDDOWN(北新地ファイブ3500[[#This Row],[人数]]/8,0)</f>
        <v>0</v>
      </c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45040</v>
      </c>
      <c r="B28" s="20" t="str">
        <f>IF(北新地ファイブ4000[[#This Row],[人数]]=0,"",1)</f>
        <v/>
      </c>
      <c r="C28" s="14"/>
      <c r="D28" s="15"/>
      <c r="E28" s="21">
        <f>ROUNDDOWN(北新地ファイブ4000[[#This Row],[人数]]/8,0)</f>
        <v>0</v>
      </c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45040</v>
      </c>
      <c r="M28" s="20" t="str">
        <f>IF(北新地ファイブ3500[[#This Row],[人数]]=0,"",1)</f>
        <v/>
      </c>
      <c r="N28" s="14"/>
      <c r="O28" s="15"/>
      <c r="P28" s="21">
        <f>ROUNDDOWN(北新地ファイブ3500[[#This Row],[人数]]/8,0)</f>
        <v>0</v>
      </c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45041</v>
      </c>
      <c r="B29" s="20" t="str">
        <f>IF(北新地ファイブ4000[[#This Row],[人数]]=0,"",1)</f>
        <v/>
      </c>
      <c r="C29" s="14"/>
      <c r="D29" s="15"/>
      <c r="E29" s="21">
        <f>ROUNDDOWN(北新地ファイブ4000[[#This Row],[人数]]/8,0)</f>
        <v>0</v>
      </c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45041</v>
      </c>
      <c r="M29" s="20" t="str">
        <f>IF(北新地ファイブ3500[[#This Row],[人数]]=0,"",1)</f>
        <v/>
      </c>
      <c r="N29" s="14"/>
      <c r="O29" s="15"/>
      <c r="P29" s="21">
        <f>ROUNDDOWN(北新地ファイブ3500[[#This Row],[人数]]/8,0)</f>
        <v>0</v>
      </c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45042</v>
      </c>
      <c r="B30" s="20" t="str">
        <f>IF(北新地ファイブ4000[[#This Row],[人数]]=0,"",1)</f>
        <v/>
      </c>
      <c r="C30" s="14"/>
      <c r="D30" s="15"/>
      <c r="E30" s="21">
        <f>ROUNDDOWN(北新地ファイブ4000[[#This Row],[人数]]/8,0)</f>
        <v>0</v>
      </c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1"/>
        <v>45042</v>
      </c>
      <c r="M30" s="20" t="str">
        <f>IF(北新地ファイブ3500[[#This Row],[人数]]=0,"",1)</f>
        <v/>
      </c>
      <c r="N30" s="14"/>
      <c r="O30" s="15"/>
      <c r="P30" s="21">
        <f>ROUNDDOWN(北新地ファイブ3500[[#This Row],[人数]]/8,0)</f>
        <v>0</v>
      </c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45043</v>
      </c>
      <c r="B31" s="20" t="str">
        <f>IF(北新地ファイブ4000[[#This Row],[人数]]=0,"",1)</f>
        <v/>
      </c>
      <c r="C31" s="14"/>
      <c r="D31" s="15"/>
      <c r="E31" s="21">
        <f>ROUNDDOWN(北新地ファイブ4000[[#This Row],[人数]]/8,0)</f>
        <v>0</v>
      </c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45043</v>
      </c>
      <c r="M31" s="20" t="str">
        <f>IF(北新地ファイブ3500[[#This Row],[人数]]=0,"",1)</f>
        <v/>
      </c>
      <c r="N31" s="14"/>
      <c r="O31" s="15"/>
      <c r="P31" s="21">
        <f>ROUNDDOWN(北新地ファイブ3500[[#This Row],[人数]]/8,0)</f>
        <v>0</v>
      </c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45044</v>
      </c>
      <c r="B32" s="20" t="str">
        <f>IF(北新地ファイブ4000[[#This Row],[人数]]=0,"",1)</f>
        <v/>
      </c>
      <c r="C32" s="14"/>
      <c r="D32" s="15"/>
      <c r="E32" s="21">
        <f>ROUNDDOWN(北新地ファイブ4000[[#This Row],[人数]]/8,0)</f>
        <v>0</v>
      </c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45044</v>
      </c>
      <c r="M32" s="20" t="str">
        <f>IF(北新地ファイブ3500[[#This Row],[人数]]=0,"",1)</f>
        <v/>
      </c>
      <c r="N32" s="14"/>
      <c r="O32" s="15"/>
      <c r="P32" s="21">
        <f>ROUNDDOWN(北新地ファイブ3500[[#This Row],[人数]]/8,0)</f>
        <v>0</v>
      </c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45045</v>
      </c>
      <c r="B33" s="20" t="str">
        <f>IF(北新地ファイブ4000[[#This Row],[人数]]=0,"",1)</f>
        <v/>
      </c>
      <c r="C33" s="14"/>
      <c r="D33" s="15"/>
      <c r="E33" s="21">
        <f>ROUNDDOWN(北新地ファイブ4000[[#This Row],[人数]]/8,0)</f>
        <v>0</v>
      </c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1"/>
        <v>45045</v>
      </c>
      <c r="M33" s="20" t="str">
        <f>IF(北新地ファイブ3500[[#This Row],[人数]]=0,"",1)</f>
        <v/>
      </c>
      <c r="N33" s="14"/>
      <c r="O33" s="15"/>
      <c r="P33" s="21">
        <f>ROUNDDOWN(北新地ファイブ3500[[#This Row],[人数]]/8,0)</f>
        <v>0</v>
      </c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45046</v>
      </c>
      <c r="B34" s="20" t="str">
        <f>IF(北新地ファイブ4000[[#This Row],[人数]]=0,"",1)</f>
        <v/>
      </c>
      <c r="C34" s="14"/>
      <c r="D34" s="15"/>
      <c r="E34" s="21">
        <f>ROUNDDOWN(北新地ファイブ4000[[#This Row],[人数]]/8,0)</f>
        <v>0</v>
      </c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1"/>
        <v>45046</v>
      </c>
      <c r="M34" s="20" t="str">
        <f>IF(北新地ファイブ3500[[#This Row],[人数]]=0,"",1)</f>
        <v/>
      </c>
      <c r="N34" s="14"/>
      <c r="O34" s="15"/>
      <c r="P34" s="21">
        <f>ROUNDDOWN(北新地ファイブ3500[[#This Row],[人数]]/8,0)</f>
        <v>0</v>
      </c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 t="str">
        <f t="shared" si="0"/>
        <v/>
      </c>
      <c r="B35" s="20" t="str">
        <f>IF(北新地ファイブ4000[[#This Row],[人数]]=0,"",1)</f>
        <v/>
      </c>
      <c r="C35" s="18"/>
      <c r="D35" s="19"/>
      <c r="E35" s="21">
        <f>ROUNDDOWN(北新地ファイブ4000[[#This Row],[人数]]/8,0)</f>
        <v>0</v>
      </c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 t="str">
        <f t="shared" si="1"/>
        <v/>
      </c>
      <c r="M35" s="20" t="str">
        <f>IF(北新地ファイブ3500[[#This Row],[人数]]=0,"",1)</f>
        <v/>
      </c>
      <c r="N35" s="18"/>
      <c r="O35" s="19"/>
      <c r="P35" s="21">
        <f>ROUNDDOWN(北新地ファイブ3500[[#This Row],[人数]]/8,0)</f>
        <v>0</v>
      </c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322</v>
      </c>
      <c r="B36" s="16">
        <f>SUM(北新地ファイブ4000[[#All],[件数]])</f>
        <v>0</v>
      </c>
      <c r="C36" s="6"/>
      <c r="D36" s="16">
        <f>SUM(北新地ファイブ4000[[#All],[人数]])</f>
        <v>0</v>
      </c>
      <c r="E36" s="16">
        <f>SUM(北新地ファイブ4000[[#All],[8名以上件数]])</f>
        <v>0</v>
      </c>
      <c r="F36" s="16">
        <f>SUM(北新地ファイブ4000[[#All],[単価合計]])</f>
        <v>0</v>
      </c>
      <c r="G36" s="16">
        <f>SUM(北新地ファイブ4000[[#All],[ゆうき取りに行く]])</f>
        <v>0</v>
      </c>
      <c r="H36" s="16"/>
      <c r="I36" s="16"/>
      <c r="J36" s="16">
        <f>SUM(北新地ファイブ4000[[#All],[イベンターへ]])</f>
        <v>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244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45020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45021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45022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45023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45024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45025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45026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45027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45028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45029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45030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45031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45032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45033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45034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45035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45036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45037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45038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45039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45040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45041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45042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45043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45044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45045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45046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 t="str">
        <f t="shared" si="0"/>
        <v/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322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C1" s="46" t="s">
        <v>245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45024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45045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45033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13A1-7429-4C05-AF08-53253A0BC024}">
  <sheetPr codeName="Sheet12"/>
  <dimension ref="A1:U36"/>
  <sheetViews>
    <sheetView zoomScale="70" zoomScaleNormal="70" workbookViewId="0">
      <pane ySplit="4" topLeftCell="A5" activePane="bottomLeft" state="frozen"/>
      <selection pane="bottomLeft" activeCell="I19" sqref="I19:I20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/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0</v>
      </c>
      <c r="H2" s="93" t="s">
        <v>573</v>
      </c>
      <c r="I2" s="9">
        <v>550</v>
      </c>
    </row>
    <row r="3" spans="1:21">
      <c r="A3" s="46" t="s">
        <v>375</v>
      </c>
      <c r="B3" s="8">
        <v>4000</v>
      </c>
      <c r="C3" s="46" t="s">
        <v>572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20" t="str">
        <f>IF(梅田ここから400024[[#This Row],[人数]]=0,"",1)</f>
        <v/>
      </c>
      <c r="C5" s="14"/>
      <c r="D5" s="15"/>
      <c r="E5" s="21">
        <f>ROUNDDOWN(梅田ここから400024[[#This Row],[人数]]/8,0)</f>
        <v>0</v>
      </c>
      <c r="F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5" s="16" t="str">
        <f>IFERROR(($B$3*梅田ここから400024[[#This Row],[人数]])-梅田ここから400024[[#This Row],[単価合計]]-(梅田ここから400024[[#This Row],[キャンセル人数]]*$B$2),"")</f>
        <v/>
      </c>
      <c r="H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5" s="15"/>
      <c r="J5" s="16" t="str">
        <f>IF(梅田ここから400024[[#This Row],[人数]]="","",VLOOKUP(梅田ここから400024[[#This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20" t="str">
        <f>IF(梅田ここから350025[[#This Row],[人数]]=0,"",1)</f>
        <v/>
      </c>
      <c r="N5" s="14"/>
      <c r="O5" s="15"/>
      <c r="P5" s="21">
        <f>ROUNDDOWN(梅田ここから350025[[#This Row],[人数]]/8,0)</f>
        <v>0</v>
      </c>
      <c r="Q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5" s="16" t="str">
        <f>IFERROR(($M$3*梅田ここから350025[[#This Row],[人数]])-梅田ここから350025[[#This Row],[単価合計]]-(梅田ここから350025[[#This Row],[キャンセル人数]]*$B$2),"")</f>
        <v/>
      </c>
      <c r="S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5" s="15"/>
      <c r="U5" s="16" t="str">
        <f>IF(梅田ここから350025[[#This Row],[人数]]="","",VLOOKUP(梅田ここから350025[[#This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IF(梅田ここから400024[[#This Row],[人数]]=0,"",1)</f>
        <v/>
      </c>
      <c r="C6" s="14"/>
      <c r="D6" s="15"/>
      <c r="E6" s="21">
        <f>ROUNDDOWN(梅田ここから400024[[#This Row],[人数]]/8,0)</f>
        <v>0</v>
      </c>
      <c r="F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6" s="16" t="str">
        <f>IFERROR(($B$3*梅田ここから400024[[#This Row],[人数]])-梅田ここから400024[[#This Row],[単価合計]]-(梅田ここから400024[[#This Row],[キャンセル人数]]*$B$2),"")</f>
        <v/>
      </c>
      <c r="H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6" s="15"/>
      <c r="J6" s="16" t="str">
        <f>IF(梅田ここから400024[[#This Row],[人数]]="","",VLOOKUP(梅田ここから400024[[#This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20" t="str">
        <f>IF(梅田ここから350025[[#This Row],[人数]]=0,"",1)</f>
        <v/>
      </c>
      <c r="N6" s="14"/>
      <c r="O6" s="15"/>
      <c r="P6" s="21">
        <f>ROUNDDOWN(梅田ここから350025[[#This Row],[人数]]/8,0)</f>
        <v>0</v>
      </c>
      <c r="Q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6" s="16" t="str">
        <f>IFERROR(($M$3*梅田ここから350025[[#This Row],[人数]])-梅田ここから350025[[#This Row],[単価合計]]-(梅田ここから350025[[#This Row],[キャンセル人数]]*$B$2),"")</f>
        <v/>
      </c>
      <c r="S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6" s="15"/>
      <c r="U6" s="16" t="str">
        <f>IF(梅田ここから350025[[#This Row],[人数]]="","",VLOOKUP(梅田ここから350025[[#This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IF(梅田ここから400024[[#This Row],[人数]]=0,"",1)</f>
        <v/>
      </c>
      <c r="C7" s="14"/>
      <c r="D7" s="15"/>
      <c r="E7" s="21">
        <f>ROUNDDOWN(梅田ここから400024[[#This Row],[人数]]/8,0)</f>
        <v>0</v>
      </c>
      <c r="F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7" s="16" t="str">
        <f>IFERROR(($B$3*梅田ここから400024[[#This Row],[人数]])-梅田ここから400024[[#This Row],[単価合計]]-(梅田ここから400024[[#This Row],[キャンセル人数]]*$B$2),"")</f>
        <v/>
      </c>
      <c r="H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7" s="15"/>
      <c r="J7" s="16" t="str">
        <f>IF(梅田ここから400024[[#This Row],[人数]]="","",VLOOKUP(梅田ここから400024[[#This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0" t="str">
        <f>IF(梅田ここから350025[[#This Row],[人数]]=0,"",1)</f>
        <v/>
      </c>
      <c r="N7" s="14"/>
      <c r="O7" s="15"/>
      <c r="P7" s="21">
        <f>ROUNDDOWN(梅田ここから350025[[#This Row],[人数]]/8,0)</f>
        <v>0</v>
      </c>
      <c r="Q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7" s="16" t="str">
        <f>IFERROR(($M$3*梅田ここから350025[[#This Row],[人数]])-梅田ここから350025[[#This Row],[単価合計]]-(梅田ここから350025[[#This Row],[キャンセル人数]]*$B$2),"")</f>
        <v/>
      </c>
      <c r="S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7" s="15"/>
      <c r="U7" s="16" t="str">
        <f>IF(梅田ここから350025[[#This Row],[人数]]="","",VLOOKUP(梅田ここから350025[[#This Row],[人数]],バック金額②[#All],2,TRUE))</f>
        <v/>
      </c>
    </row>
    <row r="8" spans="1:21">
      <c r="A8" s="63">
        <f t="shared" si="0"/>
        <v>45020</v>
      </c>
      <c r="B8" s="20" t="str">
        <f>IF(梅田ここから400024[[#This Row],[人数]]=0,"",1)</f>
        <v/>
      </c>
      <c r="C8" s="14"/>
      <c r="D8" s="15"/>
      <c r="E8" s="21">
        <f>ROUNDDOWN(梅田ここから400024[[#This Row],[人数]]/8,0)</f>
        <v>0</v>
      </c>
      <c r="F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8" s="16" t="str">
        <f>IFERROR(($B$3*梅田ここから400024[[#This Row],[人数]])-梅田ここから400024[[#This Row],[単価合計]]-(梅田ここから400024[[#This Row],[キャンセル人数]]*$B$2),"")</f>
        <v/>
      </c>
      <c r="H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8" s="15"/>
      <c r="J8" s="16" t="str">
        <f>IF(梅田ここから400024[[#This Row],[人数]]="","",VLOOKUP(梅田ここから400024[[#This Row],[人数]],バック金額②[#All],2,TRUE))</f>
        <v/>
      </c>
      <c r="L8" s="63">
        <f t="shared" si="1"/>
        <v>45020</v>
      </c>
      <c r="M8" s="20" t="str">
        <f>IF(梅田ここから350025[[#This Row],[人数]]=0,"",1)</f>
        <v/>
      </c>
      <c r="N8" s="14"/>
      <c r="O8" s="15"/>
      <c r="P8" s="21">
        <f>ROUNDDOWN(梅田ここから350025[[#This Row],[人数]]/8,0)</f>
        <v>0</v>
      </c>
      <c r="Q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8" s="16" t="str">
        <f>IFERROR(($M$3*梅田ここから350025[[#This Row],[人数]])-梅田ここから350025[[#This Row],[単価合計]]-(梅田ここから350025[[#This Row],[キャンセル人数]]*$B$2),"")</f>
        <v/>
      </c>
      <c r="S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8" s="15"/>
      <c r="U8" s="16" t="str">
        <f>IF(梅田ここから350025[[#This Row],[人数]]="","",VLOOKUP(梅田ここから350025[[#This Row],[人数]],バック金額②[#All],2,TRUE))</f>
        <v/>
      </c>
    </row>
    <row r="9" spans="1:21">
      <c r="A9" s="63">
        <f t="shared" si="0"/>
        <v>45021</v>
      </c>
      <c r="B9" s="20" t="str">
        <f>IF(梅田ここから400024[[#This Row],[人数]]=0,"",1)</f>
        <v/>
      </c>
      <c r="C9" s="14"/>
      <c r="D9" s="15"/>
      <c r="E9" s="21">
        <f>ROUNDDOWN(梅田ここから400024[[#This Row],[人数]]/8,0)</f>
        <v>0</v>
      </c>
      <c r="F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9" s="16" t="str">
        <f>IFERROR(($B$3*梅田ここから400024[[#This Row],[人数]])-梅田ここから400024[[#This Row],[単価合計]]-(梅田ここから400024[[#This Row],[キャンセル人数]]*$B$2),"")</f>
        <v/>
      </c>
      <c r="H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9" s="15"/>
      <c r="J9" s="16" t="str">
        <f>IF(梅田ここから400024[[#This Row],[人数]]="","",VLOOKUP(梅田ここから400024[[#This Row],[人数]],バック金額②[#All],2,TRUE))</f>
        <v/>
      </c>
      <c r="L9" s="63">
        <f t="shared" si="1"/>
        <v>45021</v>
      </c>
      <c r="M9" s="20" t="str">
        <f>IF(梅田ここから350025[[#This Row],[人数]]=0,"",1)</f>
        <v/>
      </c>
      <c r="N9" s="14"/>
      <c r="O9" s="15"/>
      <c r="P9" s="21">
        <f>ROUNDDOWN(梅田ここから350025[[#This Row],[人数]]/8,0)</f>
        <v>0</v>
      </c>
      <c r="Q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9" s="16" t="str">
        <f>IFERROR(($M$3*梅田ここから350025[[#This Row],[人数]])-梅田ここから350025[[#This Row],[単価合計]]-(梅田ここから350025[[#This Row],[キャンセル人数]]*$B$2),"")</f>
        <v/>
      </c>
      <c r="S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9" s="15"/>
      <c r="U9" s="16" t="str">
        <f>IF(梅田ここから350025[[#This Row],[人数]]="","",VLOOKUP(梅田ここから350025[[#This Row],[人数]],バック金額②[#All],2,TRUE))</f>
        <v/>
      </c>
    </row>
    <row r="10" spans="1:21">
      <c r="A10" s="63">
        <f t="shared" si="0"/>
        <v>45022</v>
      </c>
      <c r="B10" s="20" t="str">
        <f>IF(梅田ここから400024[[#This Row],[人数]]=0,"",1)</f>
        <v/>
      </c>
      <c r="C10" s="14"/>
      <c r="D10" s="15"/>
      <c r="E10" s="21">
        <f>ROUNDDOWN(梅田ここから400024[[#This Row],[人数]]/8,0)</f>
        <v>0</v>
      </c>
      <c r="F1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0" s="16" t="str">
        <f>IFERROR(($B$3*梅田ここから400024[[#This Row],[人数]])-梅田ここから400024[[#This Row],[単価合計]]-(梅田ここから400024[[#This Row],[キャンセル人数]]*$B$2),"")</f>
        <v/>
      </c>
      <c r="H1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0" s="15"/>
      <c r="J10" s="16" t="str">
        <f>IF(梅田ここから400024[[#This Row],[人数]]="","",VLOOKUP(梅田ここから400024[[#This Row],[人数]],バック金額②[#All],2,TRUE))</f>
        <v/>
      </c>
      <c r="L10" s="63">
        <f t="shared" si="1"/>
        <v>45022</v>
      </c>
      <c r="M10" s="20" t="str">
        <f>IF(梅田ここから350025[[#This Row],[人数]]=0,"",1)</f>
        <v/>
      </c>
      <c r="N10" s="14"/>
      <c r="O10" s="15"/>
      <c r="P10" s="21">
        <f>ROUNDDOWN(梅田ここから350025[[#This Row],[人数]]/8,0)</f>
        <v>0</v>
      </c>
      <c r="Q1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0" s="16" t="str">
        <f>IFERROR(($M$3*梅田ここから350025[[#This Row],[人数]])-梅田ここから350025[[#This Row],[単価合計]]-(梅田ここから350025[[#This Row],[キャンセル人数]]*$B$2),"")</f>
        <v/>
      </c>
      <c r="S1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0" s="15"/>
      <c r="U10" s="16" t="str">
        <f>IF(梅田ここから350025[[#This Row],[人数]]="","",VLOOKUP(梅田ここから350025[[#This Row],[人数]],バック金額②[#All],2,TRUE))</f>
        <v/>
      </c>
    </row>
    <row r="11" spans="1:21">
      <c r="A11" s="63">
        <f t="shared" si="0"/>
        <v>45023</v>
      </c>
      <c r="B11" s="20" t="str">
        <f>IF(梅田ここから400024[[#This Row],[人数]]=0,"",1)</f>
        <v/>
      </c>
      <c r="C11" s="14"/>
      <c r="D11" s="15"/>
      <c r="E11" s="21">
        <f>ROUNDDOWN(梅田ここから400024[[#This Row],[人数]]/8,0)</f>
        <v>0</v>
      </c>
      <c r="F1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1" s="16" t="str">
        <f>IFERROR(($B$3*梅田ここから400024[[#This Row],[人数]])-梅田ここから400024[[#This Row],[単価合計]]-(梅田ここから400024[[#This Row],[キャンセル人数]]*$B$2),"")</f>
        <v/>
      </c>
      <c r="H1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1" s="15"/>
      <c r="J11" s="16" t="str">
        <f>IF(梅田ここから400024[[#This Row],[人数]]="","",VLOOKUP(梅田ここから400024[[#This Row],[人数]],バック金額②[#All],2,TRUE))</f>
        <v/>
      </c>
      <c r="L11" s="63">
        <f t="shared" si="1"/>
        <v>45023</v>
      </c>
      <c r="M11" s="20" t="str">
        <f>IF(梅田ここから350025[[#This Row],[人数]]=0,"",1)</f>
        <v/>
      </c>
      <c r="N11" s="14"/>
      <c r="O11" s="15"/>
      <c r="P11" s="21">
        <f>ROUNDDOWN(梅田ここから350025[[#This Row],[人数]]/8,0)</f>
        <v>0</v>
      </c>
      <c r="Q1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1" s="16" t="str">
        <f>IFERROR(($M$3*梅田ここから350025[[#This Row],[人数]])-梅田ここから350025[[#This Row],[単価合計]]-(梅田ここから350025[[#This Row],[キャンセル人数]]*$B$2),"")</f>
        <v/>
      </c>
      <c r="S1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1" s="15"/>
      <c r="U11" s="16" t="str">
        <f>IF(梅田ここから350025[[#This Row],[人数]]="","",VLOOKUP(梅田ここから350025[[#This Row],[人数]],バック金額②[#All],2,TRUE))</f>
        <v/>
      </c>
    </row>
    <row r="12" spans="1:21">
      <c r="A12" s="63">
        <f t="shared" si="0"/>
        <v>45024</v>
      </c>
      <c r="B12" s="20" t="str">
        <f>IF(梅田ここから400024[[#This Row],[人数]]=0,"",1)</f>
        <v/>
      </c>
      <c r="C12" s="14"/>
      <c r="D12" s="15"/>
      <c r="E12" s="21">
        <f>ROUNDDOWN(梅田ここから400024[[#This Row],[人数]]/8,0)</f>
        <v>0</v>
      </c>
      <c r="F1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2" s="16" t="str">
        <f>IFERROR(($B$3*梅田ここから400024[[#This Row],[人数]])-梅田ここから400024[[#This Row],[単価合計]]-(梅田ここから400024[[#This Row],[キャンセル人数]]*$B$2),"")</f>
        <v/>
      </c>
      <c r="H1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2" s="15"/>
      <c r="J12" s="16" t="str">
        <f>IF(梅田ここから400024[[#This Row],[人数]]="","",VLOOKUP(梅田ここから400024[[#This Row],[人数]],バック金額②[#All],2,TRUE))</f>
        <v/>
      </c>
      <c r="L12" s="63">
        <f t="shared" si="1"/>
        <v>45024</v>
      </c>
      <c r="M12" s="20" t="str">
        <f>IF(梅田ここから350025[[#This Row],[人数]]=0,"",1)</f>
        <v/>
      </c>
      <c r="N12" s="14"/>
      <c r="O12" s="15"/>
      <c r="P12" s="21">
        <f>ROUNDDOWN(梅田ここから350025[[#This Row],[人数]]/8,0)</f>
        <v>0</v>
      </c>
      <c r="Q1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2" s="16" t="str">
        <f>IFERROR(($M$3*梅田ここから350025[[#This Row],[人数]])-梅田ここから350025[[#This Row],[単価合計]]-(梅田ここから350025[[#This Row],[キャンセル人数]]*$B$2),"")</f>
        <v/>
      </c>
      <c r="S1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2" s="15"/>
      <c r="U12" s="16" t="str">
        <f>IF(梅田ここから350025[[#This Row],[人数]]="","",VLOOKUP(梅田ここから350025[[#This Row],[人数]],バック金額②[#All],2,TRUE))</f>
        <v/>
      </c>
    </row>
    <row r="13" spans="1:21">
      <c r="A13" s="63">
        <f t="shared" si="0"/>
        <v>45025</v>
      </c>
      <c r="B13" s="20" t="str">
        <f>IF(梅田ここから400024[[#This Row],[人数]]=0,"",1)</f>
        <v/>
      </c>
      <c r="C13" s="14"/>
      <c r="D13" s="15"/>
      <c r="E13" s="21">
        <f>ROUNDDOWN(梅田ここから400024[[#This Row],[人数]]/8,0)</f>
        <v>0</v>
      </c>
      <c r="F1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3" s="16" t="str">
        <f>IFERROR(($B$3*梅田ここから400024[[#This Row],[人数]])-梅田ここから400024[[#This Row],[単価合計]]-(梅田ここから400024[[#This Row],[キャンセル人数]]*$B$2),"")</f>
        <v/>
      </c>
      <c r="H1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3" s="15"/>
      <c r="J13" s="16" t="str">
        <f>IF(梅田ここから400024[[#This Row],[人数]]="","",VLOOKUP(梅田ここから400024[[#This Row],[人数]],バック金額②[#All],2,TRUE))</f>
        <v/>
      </c>
      <c r="L13" s="63">
        <f t="shared" si="1"/>
        <v>45025</v>
      </c>
      <c r="M13" s="20" t="str">
        <f>IF(梅田ここから350025[[#This Row],[人数]]=0,"",1)</f>
        <v/>
      </c>
      <c r="N13" s="14"/>
      <c r="O13" s="15"/>
      <c r="P13" s="21">
        <f>ROUNDDOWN(梅田ここから350025[[#This Row],[人数]]/8,0)</f>
        <v>0</v>
      </c>
      <c r="Q1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3" s="16" t="str">
        <f>IFERROR(($M$3*梅田ここから350025[[#This Row],[人数]])-梅田ここから350025[[#This Row],[単価合計]]-(梅田ここから350025[[#This Row],[キャンセル人数]]*$B$2),"")</f>
        <v/>
      </c>
      <c r="S1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3" s="15"/>
      <c r="U13" s="16" t="str">
        <f>IF(梅田ここから350025[[#This Row],[人数]]="","",VLOOKUP(梅田ここから350025[[#This Row],[人数]],バック金額②[#All],2,TRUE))</f>
        <v/>
      </c>
    </row>
    <row r="14" spans="1:21">
      <c r="A14" s="63">
        <f t="shared" si="0"/>
        <v>45026</v>
      </c>
      <c r="B14" s="20" t="str">
        <f>IF(梅田ここから400024[[#This Row],[人数]]=0,"",1)</f>
        <v/>
      </c>
      <c r="C14" s="14"/>
      <c r="D14" s="15"/>
      <c r="E14" s="21">
        <f>ROUNDDOWN(梅田ここから400024[[#This Row],[人数]]/8,0)</f>
        <v>0</v>
      </c>
      <c r="F1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4" s="16" t="str">
        <f>IFERROR(($B$3*梅田ここから400024[[#This Row],[人数]])-梅田ここから400024[[#This Row],[単価合計]]-(梅田ここから400024[[#This Row],[キャンセル人数]]*$B$2),"")</f>
        <v/>
      </c>
      <c r="H1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4" s="15"/>
      <c r="J14" s="16" t="str">
        <f>IF(梅田ここから400024[[#This Row],[人数]]="","",VLOOKUP(梅田ここから400024[[#This Row],[人数]],バック金額②[#All],2,TRUE))</f>
        <v/>
      </c>
      <c r="L14" s="63">
        <f t="shared" si="1"/>
        <v>45026</v>
      </c>
      <c r="M14" s="20" t="str">
        <f>IF(梅田ここから350025[[#This Row],[人数]]=0,"",1)</f>
        <v/>
      </c>
      <c r="N14" s="14"/>
      <c r="O14" s="15"/>
      <c r="P14" s="21">
        <f>ROUNDDOWN(梅田ここから350025[[#This Row],[人数]]/8,0)</f>
        <v>0</v>
      </c>
      <c r="Q1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4" s="16" t="str">
        <f>IFERROR(($M$3*梅田ここから350025[[#This Row],[人数]])-梅田ここから350025[[#This Row],[単価合計]]-(梅田ここから350025[[#This Row],[キャンセル人数]]*$B$2),"")</f>
        <v/>
      </c>
      <c r="S1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4" s="15"/>
      <c r="U14" s="16" t="str">
        <f>IF(梅田ここから350025[[#This Row],[人数]]="","",VLOOKUP(梅田ここから350025[[#This Row],[人数]],バック金額②[#All],2,TRUE))</f>
        <v/>
      </c>
    </row>
    <row r="15" spans="1:21">
      <c r="A15" s="63">
        <f t="shared" si="0"/>
        <v>45027</v>
      </c>
      <c r="B15" s="20" t="str">
        <f>IF(梅田ここから400024[[#This Row],[人数]]=0,"",1)</f>
        <v/>
      </c>
      <c r="C15" s="14"/>
      <c r="D15" s="15"/>
      <c r="E15" s="21">
        <f>ROUNDDOWN(梅田ここから400024[[#This Row],[人数]]/8,0)</f>
        <v>0</v>
      </c>
      <c r="F1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5" s="16" t="str">
        <f>IFERROR(($B$3*梅田ここから400024[[#This Row],[人数]])-梅田ここから400024[[#This Row],[単価合計]]-(梅田ここから400024[[#This Row],[キャンセル人数]]*$B$2),"")</f>
        <v/>
      </c>
      <c r="H1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5" s="15"/>
      <c r="J15" s="16" t="str">
        <f>IF(梅田ここから400024[[#This Row],[人数]]="","",VLOOKUP(梅田ここから400024[[#This Row],[人数]],バック金額②[#All],2,TRUE))</f>
        <v/>
      </c>
      <c r="L15" s="63">
        <f t="shared" si="1"/>
        <v>45027</v>
      </c>
      <c r="M15" s="20" t="str">
        <f>IF(梅田ここから350025[[#This Row],[人数]]=0,"",1)</f>
        <v/>
      </c>
      <c r="N15" s="14"/>
      <c r="O15" s="15"/>
      <c r="P15" s="21">
        <f>ROUNDDOWN(梅田ここから350025[[#This Row],[人数]]/8,0)</f>
        <v>0</v>
      </c>
      <c r="Q1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5" s="16" t="str">
        <f>IFERROR(($M$3*梅田ここから350025[[#This Row],[人数]])-梅田ここから350025[[#This Row],[単価合計]]-(梅田ここから350025[[#This Row],[キャンセル人数]]*$B$2),"")</f>
        <v/>
      </c>
      <c r="S1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5" s="15"/>
      <c r="U15" s="16" t="str">
        <f>IF(梅田ここから350025[[#This Row],[人数]]="","",VLOOKUP(梅田ここから350025[[#This Row],[人数]],バック金額②[#All],2,TRUE))</f>
        <v/>
      </c>
    </row>
    <row r="16" spans="1:21">
      <c r="A16" s="63">
        <f t="shared" si="0"/>
        <v>45028</v>
      </c>
      <c r="B16" s="20" t="str">
        <f>IF(梅田ここから400024[[#This Row],[人数]]=0,"",1)</f>
        <v/>
      </c>
      <c r="C16" s="14"/>
      <c r="D16" s="15"/>
      <c r="E16" s="21">
        <f>ROUNDDOWN(梅田ここから400024[[#This Row],[人数]]/8,0)</f>
        <v>0</v>
      </c>
      <c r="F1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6" s="16" t="str">
        <f>IFERROR(($B$3*梅田ここから400024[[#This Row],[人数]])-梅田ここから400024[[#This Row],[単価合計]]-(梅田ここから400024[[#This Row],[キャンセル人数]]*$B$2),"")</f>
        <v/>
      </c>
      <c r="H1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6" s="15"/>
      <c r="J16" s="16" t="str">
        <f>IF(梅田ここから400024[[#This Row],[人数]]="","",VLOOKUP(梅田ここから400024[[#This Row],[人数]],バック金額②[#All],2,TRUE))</f>
        <v/>
      </c>
      <c r="L16" s="63">
        <f t="shared" si="1"/>
        <v>45028</v>
      </c>
      <c r="M16" s="20" t="str">
        <f>IF(梅田ここから350025[[#This Row],[人数]]=0,"",1)</f>
        <v/>
      </c>
      <c r="N16" s="14"/>
      <c r="O16" s="15"/>
      <c r="P16" s="21">
        <f>ROUNDDOWN(梅田ここから350025[[#This Row],[人数]]/8,0)</f>
        <v>0</v>
      </c>
      <c r="Q1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6" s="16" t="str">
        <f>IFERROR(($M$3*梅田ここから350025[[#This Row],[人数]])-梅田ここから350025[[#This Row],[単価合計]]-(梅田ここから350025[[#This Row],[キャンセル人数]]*$B$2),"")</f>
        <v/>
      </c>
      <c r="S1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6" s="15"/>
      <c r="U16" s="16" t="str">
        <f>IF(梅田ここから350025[[#This Row],[人数]]="","",VLOOKUP(梅田ここから350025[[#This Row],[人数]],バック金額②[#All],2,TRUE))</f>
        <v/>
      </c>
    </row>
    <row r="17" spans="1:21">
      <c r="A17" s="63">
        <f t="shared" si="0"/>
        <v>45029</v>
      </c>
      <c r="B17" s="20" t="str">
        <f>IF(梅田ここから400024[[#This Row],[人数]]=0,"",1)</f>
        <v/>
      </c>
      <c r="C17" s="14"/>
      <c r="D17" s="15"/>
      <c r="E17" s="21">
        <f>ROUNDDOWN(梅田ここから400024[[#This Row],[人数]]/8,0)</f>
        <v>0</v>
      </c>
      <c r="F1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7" s="16" t="str">
        <f>IFERROR(($B$3*梅田ここから400024[[#This Row],[人数]])-梅田ここから400024[[#This Row],[単価合計]]-(梅田ここから400024[[#This Row],[キャンセル人数]]*$B$2),"")</f>
        <v/>
      </c>
      <c r="H1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7" s="15"/>
      <c r="J17" s="16" t="str">
        <f>IF(梅田ここから400024[[#This Row],[人数]]="","",VLOOKUP(梅田ここから400024[[#This Row],[人数]],バック金額②[#All],2,TRUE))</f>
        <v/>
      </c>
      <c r="L17" s="63">
        <f t="shared" si="1"/>
        <v>45029</v>
      </c>
      <c r="M17" s="20" t="str">
        <f>IF(梅田ここから350025[[#This Row],[人数]]=0,"",1)</f>
        <v/>
      </c>
      <c r="N17" s="14"/>
      <c r="O17" s="15"/>
      <c r="P17" s="21">
        <f>ROUNDDOWN(梅田ここから350025[[#This Row],[人数]]/8,0)</f>
        <v>0</v>
      </c>
      <c r="Q1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7" s="16" t="str">
        <f>IFERROR(($M$3*梅田ここから350025[[#This Row],[人数]])-梅田ここから350025[[#This Row],[単価合計]]-(梅田ここから350025[[#This Row],[キャンセル人数]]*$B$2),"")</f>
        <v/>
      </c>
      <c r="S1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7" s="15"/>
      <c r="U17" s="16" t="str">
        <f>IF(梅田ここから350025[[#This Row],[人数]]="","",VLOOKUP(梅田ここから350025[[#This Row],[人数]],バック金額②[#All],2,TRUE))</f>
        <v/>
      </c>
    </row>
    <row r="18" spans="1:21">
      <c r="A18" s="63">
        <f t="shared" si="0"/>
        <v>45030</v>
      </c>
      <c r="B18" s="20" t="str">
        <f>IF(梅田ここから400024[[#This Row],[人数]]=0,"",1)</f>
        <v/>
      </c>
      <c r="C18" s="14"/>
      <c r="D18" s="15"/>
      <c r="E18" s="21">
        <f>ROUNDDOWN(梅田ここから400024[[#This Row],[人数]]/8,0)</f>
        <v>0</v>
      </c>
      <c r="F1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8" s="16" t="str">
        <f>IFERROR(($B$3*梅田ここから400024[[#This Row],[人数]])-梅田ここから400024[[#This Row],[単価合計]]-(梅田ここから400024[[#This Row],[キャンセル人数]]*$B$2),"")</f>
        <v/>
      </c>
      <c r="H1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8" s="15"/>
      <c r="J18" s="16" t="str">
        <f>IF(梅田ここから400024[[#This Row],[人数]]="","",VLOOKUP(梅田ここから400024[[#This Row],[人数]],バック金額②[#All],2,TRUE))</f>
        <v/>
      </c>
      <c r="L18" s="63">
        <f t="shared" si="1"/>
        <v>45030</v>
      </c>
      <c r="M18" s="20" t="str">
        <f>IF(梅田ここから350025[[#This Row],[人数]]=0,"",1)</f>
        <v/>
      </c>
      <c r="N18" s="14"/>
      <c r="O18" s="15"/>
      <c r="P18" s="21">
        <f>ROUNDDOWN(梅田ここから350025[[#This Row],[人数]]/8,0)</f>
        <v>0</v>
      </c>
      <c r="Q1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8" s="16" t="str">
        <f>IFERROR(($M$3*梅田ここから350025[[#This Row],[人数]])-梅田ここから350025[[#This Row],[単価合計]]-(梅田ここから350025[[#This Row],[キャンセル人数]]*$B$2),"")</f>
        <v/>
      </c>
      <c r="S1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8" s="15"/>
      <c r="U18" s="16" t="str">
        <f>IF(梅田ここから350025[[#This Row],[人数]]="","",VLOOKUP(梅田ここから350025[[#This Row],[人数]],バック金額②[#All],2,TRUE))</f>
        <v/>
      </c>
    </row>
    <row r="19" spans="1:21">
      <c r="A19" s="63">
        <f t="shared" si="0"/>
        <v>45031</v>
      </c>
      <c r="B19" s="20" t="str">
        <f>IF(梅田ここから400024[[#This Row],[人数]]=0,"",1)</f>
        <v/>
      </c>
      <c r="C19" s="14"/>
      <c r="D19" s="15"/>
      <c r="E19" s="21">
        <f>ROUNDDOWN(梅田ここから400024[[#This Row],[人数]]/8,0)</f>
        <v>0</v>
      </c>
      <c r="F1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9" s="16" t="str">
        <f>IFERROR(($B$3*梅田ここから400024[[#This Row],[人数]])-梅田ここから400024[[#This Row],[単価合計]]-(梅田ここから400024[[#This Row],[キャンセル人数]]*$B$2),"")</f>
        <v/>
      </c>
      <c r="H1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9" s="15"/>
      <c r="J19" s="16" t="str">
        <f>IF(梅田ここから400024[[#This Row],[人数]]="","",VLOOKUP(梅田ここから400024[[#This Row],[人数]],バック金額②[#All],2,TRUE))</f>
        <v/>
      </c>
      <c r="L19" s="63">
        <f t="shared" si="1"/>
        <v>45031</v>
      </c>
      <c r="M19" s="20" t="str">
        <f>IF(梅田ここから350025[[#This Row],[人数]]=0,"",1)</f>
        <v/>
      </c>
      <c r="N19" s="14"/>
      <c r="O19" s="15"/>
      <c r="P19" s="21">
        <f>ROUNDDOWN(梅田ここから350025[[#This Row],[人数]]/8,0)</f>
        <v>0</v>
      </c>
      <c r="Q1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9" s="16" t="str">
        <f>IFERROR(($M$3*梅田ここから350025[[#This Row],[人数]])-梅田ここから350025[[#This Row],[単価合計]]-(梅田ここから350025[[#This Row],[キャンセル人数]]*$B$2),"")</f>
        <v/>
      </c>
      <c r="S1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9" s="15"/>
      <c r="U19" s="16" t="str">
        <f>IF(梅田ここから350025[[#This Row],[人数]]="","",VLOOKUP(梅田ここから350025[[#This Row],[人数]],バック金額②[#All],2,TRUE))</f>
        <v/>
      </c>
    </row>
    <row r="20" spans="1:21">
      <c r="A20" s="63">
        <f t="shared" si="0"/>
        <v>45032</v>
      </c>
      <c r="B20" s="20" t="str">
        <f>IF(梅田ここから400024[[#This Row],[人数]]=0,"",1)</f>
        <v/>
      </c>
      <c r="C20" s="14"/>
      <c r="D20" s="15"/>
      <c r="E20" s="21">
        <f>ROUNDDOWN(梅田ここから400024[[#This Row],[人数]]/8,0)</f>
        <v>0</v>
      </c>
      <c r="F2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0" s="16" t="str">
        <f>IFERROR(($B$3*梅田ここから400024[[#This Row],[人数]])-梅田ここから400024[[#This Row],[単価合計]]-(梅田ここから400024[[#This Row],[キャンセル人数]]*$B$2),"")</f>
        <v/>
      </c>
      <c r="H2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0" s="15"/>
      <c r="J20" s="16" t="str">
        <f>IF(梅田ここから400024[[#This Row],[人数]]="","",VLOOKUP(梅田ここから400024[[#This Row],[人数]],バック金額②[#All],2,TRUE))</f>
        <v/>
      </c>
      <c r="L20" s="63">
        <f t="shared" si="1"/>
        <v>45032</v>
      </c>
      <c r="M20" s="20" t="str">
        <f>IF(梅田ここから350025[[#This Row],[人数]]=0,"",1)</f>
        <v/>
      </c>
      <c r="N20" s="14"/>
      <c r="O20" s="15"/>
      <c r="P20" s="21">
        <f>ROUNDDOWN(梅田ここから350025[[#This Row],[人数]]/8,0)</f>
        <v>0</v>
      </c>
      <c r="Q2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0" s="16" t="str">
        <f>IFERROR(($M$3*梅田ここから350025[[#This Row],[人数]])-梅田ここから350025[[#This Row],[単価合計]]-(梅田ここから350025[[#This Row],[キャンセル人数]]*$B$2),"")</f>
        <v/>
      </c>
      <c r="S2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0" s="15"/>
      <c r="U20" s="16" t="str">
        <f>IF(梅田ここから350025[[#This Row],[人数]]="","",VLOOKUP(梅田ここから350025[[#This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45033</v>
      </c>
      <c r="B21" s="20" t="str">
        <f>IF(梅田ここから400024[[#This Row],[人数]]=0,"",1)</f>
        <v/>
      </c>
      <c r="C21" s="14"/>
      <c r="D21" s="15"/>
      <c r="E21" s="21">
        <f>ROUNDDOWN(梅田ここから400024[[#This Row],[人数]]/8,0)</f>
        <v>0</v>
      </c>
      <c r="F2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1" s="16" t="str">
        <f>IFERROR(($B$3*梅田ここから400024[[#This Row],[人数]])-梅田ここから400024[[#This Row],[単価合計]]-(梅田ここから400024[[#This Row],[キャンセル人数]]*$B$2),"")</f>
        <v/>
      </c>
      <c r="H2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1" s="15"/>
      <c r="J21" s="16" t="str">
        <f>IF(梅田ここから400024[[#This Row],[人数]]="","",VLOOKUP(梅田ここから400024[[#This Row],[人数]],バック金額②[#All],2,TRUE))</f>
        <v/>
      </c>
      <c r="L21" s="63">
        <f t="shared" si="1"/>
        <v>45033</v>
      </c>
      <c r="M21" s="20" t="str">
        <f>IF(梅田ここから350025[[#This Row],[人数]]=0,"",1)</f>
        <v/>
      </c>
      <c r="N21" s="14"/>
      <c r="O21" s="15"/>
      <c r="P21" s="21">
        <f>ROUNDDOWN(梅田ここから350025[[#This Row],[人数]]/8,0)</f>
        <v>0</v>
      </c>
      <c r="Q2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1" s="16" t="str">
        <f>IFERROR(($M$3*梅田ここから350025[[#This Row],[人数]])-梅田ここから350025[[#This Row],[単価合計]]-(梅田ここから350025[[#This Row],[キャンセル人数]]*$B$2),"")</f>
        <v/>
      </c>
      <c r="S2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1" s="15"/>
      <c r="U21" s="16" t="str">
        <f>IF(梅田ここから350025[[#This Row],[人数]]="","",VLOOKUP(梅田ここから350025[[#This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45034</v>
      </c>
      <c r="B22" s="20" t="str">
        <f>IF(梅田ここから400024[[#This Row],[人数]]=0,"",1)</f>
        <v/>
      </c>
      <c r="C22" s="14"/>
      <c r="D22" s="15"/>
      <c r="E22" s="21">
        <f>ROUNDDOWN(梅田ここから400024[[#This Row],[人数]]/8,0)</f>
        <v>0</v>
      </c>
      <c r="F2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2" s="16" t="str">
        <f>IFERROR(($B$3*梅田ここから400024[[#This Row],[人数]])-梅田ここから400024[[#This Row],[単価合計]]-(梅田ここから400024[[#This Row],[キャンセル人数]]*$B$2),"")</f>
        <v/>
      </c>
      <c r="H2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2" s="15"/>
      <c r="J22" s="16" t="str">
        <f>IF(梅田ここから400024[[#This Row],[人数]]="","",VLOOKUP(梅田ここから400024[[#This Row],[人数]],バック金額②[#All],2,TRUE))</f>
        <v/>
      </c>
      <c r="L22" s="63">
        <f t="shared" si="1"/>
        <v>45034</v>
      </c>
      <c r="M22" s="20" t="str">
        <f>IF(梅田ここから350025[[#This Row],[人数]]=0,"",1)</f>
        <v/>
      </c>
      <c r="N22" s="14"/>
      <c r="O22" s="15"/>
      <c r="P22" s="21">
        <f>ROUNDDOWN(梅田ここから350025[[#This Row],[人数]]/8,0)</f>
        <v>0</v>
      </c>
      <c r="Q2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2" s="16" t="str">
        <f>IFERROR(($M$3*梅田ここから350025[[#This Row],[人数]])-梅田ここから350025[[#This Row],[単価合計]]-(梅田ここから350025[[#This Row],[キャンセル人数]]*$B$2),"")</f>
        <v/>
      </c>
      <c r="S2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2" s="15"/>
      <c r="U22" s="16" t="str">
        <f>IF(梅田ここから350025[[#This Row],[人数]]="","",VLOOKUP(梅田ここから350025[[#This Row],[人数]],バック金額②[#All],2,TRUE))</f>
        <v/>
      </c>
    </row>
    <row r="23" spans="1:21">
      <c r="A23" s="63">
        <f t="shared" si="0"/>
        <v>45035</v>
      </c>
      <c r="B23" s="20" t="str">
        <f>IF(梅田ここから400024[[#This Row],[人数]]=0,"",1)</f>
        <v/>
      </c>
      <c r="C23" s="14"/>
      <c r="D23" s="15"/>
      <c r="E23" s="21">
        <f>ROUNDDOWN(梅田ここから400024[[#This Row],[人数]]/8,0)</f>
        <v>0</v>
      </c>
      <c r="F2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3" s="16" t="str">
        <f>IFERROR(($B$3*梅田ここから400024[[#This Row],[人数]])-梅田ここから400024[[#This Row],[単価合計]]-(梅田ここから400024[[#This Row],[キャンセル人数]]*$B$2),"")</f>
        <v/>
      </c>
      <c r="H2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3" s="15"/>
      <c r="J23" s="16" t="str">
        <f>IF(梅田ここから400024[[#This Row],[人数]]="","",VLOOKUP(梅田ここから400024[[#This Row],[人数]],バック金額②[#All],2,TRUE))</f>
        <v/>
      </c>
      <c r="L23" s="63">
        <f t="shared" si="1"/>
        <v>45035</v>
      </c>
      <c r="M23" s="20" t="str">
        <f>IF(梅田ここから350025[[#This Row],[人数]]=0,"",1)</f>
        <v/>
      </c>
      <c r="N23" s="14"/>
      <c r="O23" s="15"/>
      <c r="P23" s="21">
        <f>ROUNDDOWN(梅田ここから350025[[#This Row],[人数]]/8,0)</f>
        <v>0</v>
      </c>
      <c r="Q2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3" s="16" t="str">
        <f>IFERROR(($M$3*梅田ここから350025[[#This Row],[人数]])-梅田ここから350025[[#This Row],[単価合計]]-(梅田ここから350025[[#This Row],[キャンセル人数]]*$B$2),"")</f>
        <v/>
      </c>
      <c r="S2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3" s="15"/>
      <c r="U23" s="16" t="str">
        <f>IF(梅田ここから350025[[#This Row],[人数]]="","",VLOOKUP(梅田ここから350025[[#This Row],[人数]],バック金額②[#All],2,TRUE))</f>
        <v/>
      </c>
    </row>
    <row r="24" spans="1:21">
      <c r="A24" s="63">
        <f t="shared" si="0"/>
        <v>45036</v>
      </c>
      <c r="B24" s="20" t="str">
        <f>IF(梅田ここから400024[[#This Row],[人数]]=0,"",1)</f>
        <v/>
      </c>
      <c r="C24" s="14"/>
      <c r="D24" s="15"/>
      <c r="E24" s="21">
        <f>ROUNDDOWN(梅田ここから400024[[#This Row],[人数]]/8,0)</f>
        <v>0</v>
      </c>
      <c r="F2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4" s="16" t="str">
        <f>IFERROR(($B$3*梅田ここから400024[[#This Row],[人数]])-梅田ここから400024[[#This Row],[単価合計]]-(梅田ここから400024[[#This Row],[キャンセル人数]]*$B$2),"")</f>
        <v/>
      </c>
      <c r="H2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4" s="15"/>
      <c r="J24" s="16" t="str">
        <f>IF(梅田ここから400024[[#This Row],[人数]]="","",VLOOKUP(梅田ここから400024[[#This Row],[人数]],バック金額②[#All],2,TRUE))</f>
        <v/>
      </c>
      <c r="L24" s="63">
        <f t="shared" si="1"/>
        <v>45036</v>
      </c>
      <c r="M24" s="20" t="str">
        <f>IF(梅田ここから350025[[#This Row],[人数]]=0,"",1)</f>
        <v/>
      </c>
      <c r="N24" s="14"/>
      <c r="O24" s="15"/>
      <c r="P24" s="21">
        <f>ROUNDDOWN(梅田ここから350025[[#This Row],[人数]]/8,0)</f>
        <v>0</v>
      </c>
      <c r="Q2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4" s="16" t="str">
        <f>IFERROR(($M$3*梅田ここから350025[[#This Row],[人数]])-梅田ここから350025[[#This Row],[単価合計]]-(梅田ここから350025[[#This Row],[キャンセル人数]]*$B$2),"")</f>
        <v/>
      </c>
      <c r="S2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4" s="15"/>
      <c r="U24" s="16" t="str">
        <f>IF(梅田ここから350025[[#This Row],[人数]]="","",VLOOKUP(梅田ここから350025[[#This Row],[人数]],バック金額②[#All],2,TRUE))</f>
        <v/>
      </c>
    </row>
    <row r="25" spans="1:21">
      <c r="A25" s="63">
        <f t="shared" si="0"/>
        <v>45037</v>
      </c>
      <c r="B25" s="20" t="str">
        <f>IF(梅田ここから400024[[#This Row],[人数]]=0,"",1)</f>
        <v/>
      </c>
      <c r="C25" s="14"/>
      <c r="D25" s="15"/>
      <c r="E25" s="21">
        <f>ROUNDDOWN(梅田ここから400024[[#This Row],[人数]]/8,0)</f>
        <v>0</v>
      </c>
      <c r="F2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5" s="16" t="str">
        <f>IFERROR(($B$3*梅田ここから400024[[#This Row],[人数]])-梅田ここから400024[[#This Row],[単価合計]]-(梅田ここから400024[[#This Row],[キャンセル人数]]*$B$2),"")</f>
        <v/>
      </c>
      <c r="H2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5" s="15"/>
      <c r="J25" s="16" t="str">
        <f>IF(梅田ここから400024[[#This Row],[人数]]="","",VLOOKUP(梅田ここから400024[[#This Row],[人数]],バック金額②[#All],2,TRUE))</f>
        <v/>
      </c>
      <c r="L25" s="63">
        <f t="shared" si="1"/>
        <v>45037</v>
      </c>
      <c r="M25" s="20" t="str">
        <f>IF(梅田ここから350025[[#This Row],[人数]]=0,"",1)</f>
        <v/>
      </c>
      <c r="N25" s="14"/>
      <c r="O25" s="15"/>
      <c r="P25" s="21">
        <f>ROUNDDOWN(梅田ここから350025[[#This Row],[人数]]/8,0)</f>
        <v>0</v>
      </c>
      <c r="Q2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5" s="16" t="str">
        <f>IFERROR(($M$3*梅田ここから350025[[#This Row],[人数]])-梅田ここから350025[[#This Row],[単価合計]]-(梅田ここから350025[[#This Row],[キャンセル人数]]*$B$2),"")</f>
        <v/>
      </c>
      <c r="S2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5" s="15"/>
      <c r="U25" s="16" t="str">
        <f>IF(梅田ここから350025[[#This Row],[人数]]="","",VLOOKUP(梅田ここから350025[[#This Row],[人数]],バック金額②[#All],2,TRUE))</f>
        <v/>
      </c>
    </row>
    <row r="26" spans="1:21">
      <c r="A26" s="63">
        <f t="shared" si="0"/>
        <v>45038</v>
      </c>
      <c r="B26" s="20" t="str">
        <f>IF(梅田ここから400024[[#This Row],[人数]]=0,"",1)</f>
        <v/>
      </c>
      <c r="C26" s="14"/>
      <c r="D26" s="15"/>
      <c r="E26" s="21">
        <f>ROUNDDOWN(梅田ここから400024[[#This Row],[人数]]/8,0)</f>
        <v>0</v>
      </c>
      <c r="F2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6" s="16" t="str">
        <f>IFERROR(($B$3*梅田ここから400024[[#This Row],[人数]])-梅田ここから400024[[#This Row],[単価合計]]-(梅田ここから400024[[#This Row],[キャンセル人数]]*$B$2),"")</f>
        <v/>
      </c>
      <c r="H2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6" s="15"/>
      <c r="J26" s="16" t="str">
        <f>IF(梅田ここから400024[[#This Row],[人数]]="","",VLOOKUP(梅田ここから400024[[#This Row],[人数]],バック金額②[#All],2,TRUE))</f>
        <v/>
      </c>
      <c r="L26" s="63">
        <f t="shared" si="1"/>
        <v>45038</v>
      </c>
      <c r="M26" s="20" t="str">
        <f>IF(梅田ここから350025[[#This Row],[人数]]=0,"",1)</f>
        <v/>
      </c>
      <c r="N26" s="14"/>
      <c r="O26" s="15"/>
      <c r="P26" s="21">
        <f>ROUNDDOWN(梅田ここから350025[[#This Row],[人数]]/8,0)</f>
        <v>0</v>
      </c>
      <c r="Q2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6" s="16" t="str">
        <f>IFERROR(($M$3*梅田ここから350025[[#This Row],[人数]])-梅田ここから350025[[#This Row],[単価合計]]-(梅田ここから350025[[#This Row],[キャンセル人数]]*$B$2),"")</f>
        <v/>
      </c>
      <c r="S2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6" s="15"/>
      <c r="U26" s="16" t="str">
        <f>IF(梅田ここから350025[[#This Row],[人数]]="","",VLOOKUP(梅田ここから350025[[#This Row],[人数]],バック金額②[#All],2,TRUE))</f>
        <v/>
      </c>
    </row>
    <row r="27" spans="1:21">
      <c r="A27" s="63">
        <f t="shared" si="0"/>
        <v>45039</v>
      </c>
      <c r="B27" s="20" t="str">
        <f>IF(梅田ここから400024[[#This Row],[人数]]=0,"",1)</f>
        <v/>
      </c>
      <c r="C27" s="14"/>
      <c r="D27" s="15"/>
      <c r="E27" s="21">
        <f>ROUNDDOWN(梅田ここから400024[[#This Row],[人数]]/8,0)</f>
        <v>0</v>
      </c>
      <c r="F2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7" s="16" t="str">
        <f>IFERROR(($B$3*梅田ここから400024[[#This Row],[人数]])-梅田ここから400024[[#This Row],[単価合計]]-(梅田ここから400024[[#This Row],[キャンセル人数]]*$B$2),"")</f>
        <v/>
      </c>
      <c r="H2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7" s="15"/>
      <c r="J27" s="16" t="str">
        <f>IF(梅田ここから400024[[#This Row],[人数]]="","",VLOOKUP(梅田ここから400024[[#This Row],[人数]],バック金額②[#All],2,TRUE))</f>
        <v/>
      </c>
      <c r="L27" s="63">
        <f t="shared" si="1"/>
        <v>45039</v>
      </c>
      <c r="M27" s="20" t="str">
        <f>IF(梅田ここから350025[[#This Row],[人数]]=0,"",1)</f>
        <v/>
      </c>
      <c r="N27" s="14"/>
      <c r="O27" s="15"/>
      <c r="P27" s="21">
        <f>ROUNDDOWN(梅田ここから350025[[#This Row],[人数]]/8,0)</f>
        <v>0</v>
      </c>
      <c r="Q2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7" s="16" t="str">
        <f>IFERROR(($M$3*梅田ここから350025[[#This Row],[人数]])-梅田ここから350025[[#This Row],[単価合計]]-(梅田ここから350025[[#This Row],[キャンセル人数]]*$B$2),"")</f>
        <v/>
      </c>
      <c r="S2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7" s="15"/>
      <c r="U27" s="16" t="str">
        <f>IF(梅田ここから350025[[#This Row],[人数]]="","",VLOOKUP(梅田ここから350025[[#This Row],[人数]],バック金額②[#All],2,TRUE))</f>
        <v/>
      </c>
    </row>
    <row r="28" spans="1:21">
      <c r="A28" s="63">
        <f t="shared" si="0"/>
        <v>45040</v>
      </c>
      <c r="B28" s="20" t="str">
        <f>IF(梅田ここから400024[[#This Row],[人数]]=0,"",1)</f>
        <v/>
      </c>
      <c r="C28" s="14"/>
      <c r="D28" s="15"/>
      <c r="E28" s="21">
        <f>ROUNDDOWN(梅田ここから400024[[#This Row],[人数]]/8,0)</f>
        <v>0</v>
      </c>
      <c r="F2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8" s="16" t="str">
        <f>IFERROR(($B$3*梅田ここから400024[[#This Row],[人数]])-梅田ここから400024[[#This Row],[単価合計]]-(梅田ここから400024[[#This Row],[キャンセル人数]]*$B$2),"")</f>
        <v/>
      </c>
      <c r="H2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8" s="15"/>
      <c r="J28" s="16" t="str">
        <f>IF(梅田ここから400024[[#This Row],[人数]]="","",VLOOKUP(梅田ここから400024[[#This Row],[人数]],バック金額②[#All],2,TRUE))</f>
        <v/>
      </c>
      <c r="L28" s="63">
        <f t="shared" si="1"/>
        <v>45040</v>
      </c>
      <c r="M28" s="20" t="str">
        <f>IF(梅田ここから350025[[#This Row],[人数]]=0,"",1)</f>
        <v/>
      </c>
      <c r="N28" s="14"/>
      <c r="O28" s="15"/>
      <c r="P28" s="21">
        <f>ROUNDDOWN(梅田ここから350025[[#This Row],[人数]]/8,0)</f>
        <v>0</v>
      </c>
      <c r="Q2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8" s="16" t="str">
        <f>IFERROR(($M$3*梅田ここから350025[[#This Row],[人数]])-梅田ここから350025[[#This Row],[単価合計]]-(梅田ここから350025[[#This Row],[キャンセル人数]]*$B$2),"")</f>
        <v/>
      </c>
      <c r="S2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8" s="15"/>
      <c r="U28" s="16" t="str">
        <f>IF(梅田ここから350025[[#This Row],[人数]]="","",VLOOKUP(梅田ここから350025[[#This Row],[人数]],バック金額②[#All],2,TRUE))</f>
        <v/>
      </c>
    </row>
    <row r="29" spans="1:21">
      <c r="A29" s="63">
        <f t="shared" si="0"/>
        <v>45041</v>
      </c>
      <c r="B29" s="20" t="str">
        <f>IF(梅田ここから400024[[#This Row],[人数]]=0,"",1)</f>
        <v/>
      </c>
      <c r="C29" s="14"/>
      <c r="D29" s="15"/>
      <c r="E29" s="21">
        <f>ROUNDDOWN(梅田ここから400024[[#This Row],[人数]]/8,0)</f>
        <v>0</v>
      </c>
      <c r="F2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9" s="16" t="str">
        <f>IFERROR(($B$3*梅田ここから400024[[#This Row],[人数]])-梅田ここから400024[[#This Row],[単価合計]]-(梅田ここから400024[[#This Row],[キャンセル人数]]*$B$2),"")</f>
        <v/>
      </c>
      <c r="H2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9" s="15"/>
      <c r="J29" s="16" t="str">
        <f>IF(梅田ここから400024[[#This Row],[人数]]="","",VLOOKUP(梅田ここから400024[[#This Row],[人数]],バック金額②[#All],2,TRUE))</f>
        <v/>
      </c>
      <c r="L29" s="63">
        <f t="shared" si="1"/>
        <v>45041</v>
      </c>
      <c r="M29" s="20" t="str">
        <f>IF(梅田ここから350025[[#This Row],[人数]]=0,"",1)</f>
        <v/>
      </c>
      <c r="N29" s="14"/>
      <c r="O29" s="15"/>
      <c r="P29" s="21">
        <f>ROUNDDOWN(梅田ここから350025[[#This Row],[人数]]/8,0)</f>
        <v>0</v>
      </c>
      <c r="Q2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9" s="16" t="str">
        <f>IFERROR(($M$3*梅田ここから350025[[#This Row],[人数]])-梅田ここから350025[[#This Row],[単価合計]]-(梅田ここから350025[[#This Row],[キャンセル人数]]*$B$2),"")</f>
        <v/>
      </c>
      <c r="S2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9" s="15"/>
      <c r="U29" s="16" t="str">
        <f>IF(梅田ここから350025[[#This Row],[人数]]="","",VLOOKUP(梅田ここから350025[[#This Row],[人数]],バック金額②[#All],2,TRUE))</f>
        <v/>
      </c>
    </row>
    <row r="30" spans="1:21">
      <c r="A30" s="63">
        <f t="shared" si="0"/>
        <v>45042</v>
      </c>
      <c r="B30" s="20" t="str">
        <f>IF(梅田ここから400024[[#This Row],[人数]]=0,"",1)</f>
        <v/>
      </c>
      <c r="C30" s="14"/>
      <c r="D30" s="15"/>
      <c r="E30" s="21">
        <f>ROUNDDOWN(梅田ここから400024[[#This Row],[人数]]/8,0)</f>
        <v>0</v>
      </c>
      <c r="F3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0" s="16" t="str">
        <f>IFERROR(($B$3*梅田ここから400024[[#This Row],[人数]])-梅田ここから400024[[#This Row],[単価合計]]-(梅田ここから400024[[#This Row],[キャンセル人数]]*$B$2),"")</f>
        <v/>
      </c>
      <c r="H3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0" s="15"/>
      <c r="J30" s="16" t="str">
        <f>IF(梅田ここから400024[[#This Row],[人数]]="","",VLOOKUP(梅田ここから400024[[#This Row],[人数]],バック金額②[#All],2,TRUE))</f>
        <v/>
      </c>
      <c r="L30" s="63">
        <f t="shared" si="1"/>
        <v>45042</v>
      </c>
      <c r="M30" s="20" t="str">
        <f>IF(梅田ここから350025[[#This Row],[人数]]=0,"",1)</f>
        <v/>
      </c>
      <c r="N30" s="14"/>
      <c r="O30" s="15"/>
      <c r="P30" s="21">
        <f>ROUNDDOWN(梅田ここから350025[[#This Row],[人数]]/8,0)</f>
        <v>0</v>
      </c>
      <c r="Q3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0" s="16" t="str">
        <f>IFERROR(($M$3*梅田ここから350025[[#This Row],[人数]])-梅田ここから350025[[#This Row],[単価合計]]-(梅田ここから350025[[#This Row],[キャンセル人数]]*$B$2),"")</f>
        <v/>
      </c>
      <c r="S3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0" s="15"/>
      <c r="U30" s="16" t="str">
        <f>IF(梅田ここから350025[[#This Row],[人数]]="","",VLOOKUP(梅田ここから350025[[#This Row],[人数]],バック金額②[#All],2,TRUE))</f>
        <v/>
      </c>
    </row>
    <row r="31" spans="1:21">
      <c r="A31" s="63">
        <f t="shared" si="0"/>
        <v>45043</v>
      </c>
      <c r="B31" s="20" t="str">
        <f>IF(梅田ここから400024[[#This Row],[人数]]=0,"",1)</f>
        <v/>
      </c>
      <c r="C31" s="14"/>
      <c r="D31" s="15"/>
      <c r="E31" s="21">
        <f>ROUNDDOWN(梅田ここから400024[[#This Row],[人数]]/8,0)</f>
        <v>0</v>
      </c>
      <c r="F3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1" s="16" t="str">
        <f>IFERROR(($B$3*梅田ここから400024[[#This Row],[人数]])-梅田ここから400024[[#This Row],[単価合計]]-(梅田ここから400024[[#This Row],[キャンセル人数]]*$B$2),"")</f>
        <v/>
      </c>
      <c r="H3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1" s="15"/>
      <c r="J31" s="16" t="str">
        <f>IF(梅田ここから400024[[#This Row],[人数]]="","",VLOOKUP(梅田ここから400024[[#This Row],[人数]],バック金額②[#All],2,TRUE))</f>
        <v/>
      </c>
      <c r="L31" s="63">
        <f t="shared" si="1"/>
        <v>45043</v>
      </c>
      <c r="M31" s="20" t="str">
        <f>IF(梅田ここから350025[[#This Row],[人数]]=0,"",1)</f>
        <v/>
      </c>
      <c r="N31" s="14"/>
      <c r="O31" s="15"/>
      <c r="P31" s="21">
        <f>ROUNDDOWN(梅田ここから350025[[#This Row],[人数]]/8,0)</f>
        <v>0</v>
      </c>
      <c r="Q3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1" s="16" t="str">
        <f>IFERROR(($M$3*梅田ここから350025[[#This Row],[人数]])-梅田ここから350025[[#This Row],[単価合計]]-(梅田ここから350025[[#This Row],[キャンセル人数]]*$B$2),"")</f>
        <v/>
      </c>
      <c r="S3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1" s="15"/>
      <c r="U31" s="16" t="str">
        <f>IF(梅田ここから350025[[#This Row],[人数]]="","",VLOOKUP(梅田ここから350025[[#This Row],[人数]],バック金額②[#All],2,TRUE))</f>
        <v/>
      </c>
    </row>
    <row r="32" spans="1:21">
      <c r="A32" s="63">
        <f t="shared" si="0"/>
        <v>45044</v>
      </c>
      <c r="B32" s="20" t="str">
        <f>IF(梅田ここから400024[[#This Row],[人数]]=0,"",1)</f>
        <v/>
      </c>
      <c r="C32" s="14"/>
      <c r="D32" s="15"/>
      <c r="E32" s="21">
        <f>ROUNDDOWN(梅田ここから400024[[#This Row],[人数]]/8,0)</f>
        <v>0</v>
      </c>
      <c r="F3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2" s="16" t="str">
        <f>IFERROR(($B$3*梅田ここから400024[[#This Row],[人数]])-梅田ここから400024[[#This Row],[単価合計]]-(梅田ここから400024[[#This Row],[キャンセル人数]]*$B$2),"")</f>
        <v/>
      </c>
      <c r="H3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2" s="15"/>
      <c r="J32" s="16" t="str">
        <f>IF(梅田ここから400024[[#This Row],[人数]]="","",VLOOKUP(梅田ここから400024[[#This Row],[人数]],バック金額②[#All],2,TRUE))</f>
        <v/>
      </c>
      <c r="L32" s="63">
        <f t="shared" si="1"/>
        <v>45044</v>
      </c>
      <c r="M32" s="20" t="str">
        <f>IF(梅田ここから350025[[#This Row],[人数]]=0,"",1)</f>
        <v/>
      </c>
      <c r="N32" s="14"/>
      <c r="O32" s="15"/>
      <c r="P32" s="21">
        <f>ROUNDDOWN(梅田ここから350025[[#This Row],[人数]]/8,0)</f>
        <v>0</v>
      </c>
      <c r="Q3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2" s="16" t="str">
        <f>IFERROR(($M$3*梅田ここから350025[[#This Row],[人数]])-梅田ここから350025[[#This Row],[単価合計]]-(梅田ここから350025[[#This Row],[キャンセル人数]]*$B$2),"")</f>
        <v/>
      </c>
      <c r="S3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2" s="15"/>
      <c r="U32" s="16" t="str">
        <f>IF(梅田ここから350025[[#This Row],[人数]]="","",VLOOKUP(梅田ここから350025[[#This Row],[人数]],バック金額②[#All],2,TRUE))</f>
        <v/>
      </c>
    </row>
    <row r="33" spans="1:21">
      <c r="A33" s="63">
        <f t="shared" si="0"/>
        <v>45045</v>
      </c>
      <c r="B33" s="20" t="str">
        <f>IF(梅田ここから400024[[#This Row],[人数]]=0,"",1)</f>
        <v/>
      </c>
      <c r="C33" s="14"/>
      <c r="D33" s="15"/>
      <c r="E33" s="21">
        <f>ROUNDDOWN(梅田ここから400024[[#This Row],[人数]]/8,0)</f>
        <v>0</v>
      </c>
      <c r="F3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3" s="16" t="str">
        <f>IFERROR(($B$3*梅田ここから400024[[#This Row],[人数]])-梅田ここから400024[[#This Row],[単価合計]]-(梅田ここから400024[[#This Row],[キャンセル人数]]*$B$2),"")</f>
        <v/>
      </c>
      <c r="H3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3" s="15"/>
      <c r="J33" s="16" t="str">
        <f>IF(梅田ここから400024[[#This Row],[人数]]="","",VLOOKUP(梅田ここから400024[[#This Row],[人数]],バック金額②[#All],2,TRUE))</f>
        <v/>
      </c>
      <c r="L33" s="63">
        <f t="shared" si="1"/>
        <v>45045</v>
      </c>
      <c r="M33" s="20" t="str">
        <f>IF(梅田ここから350025[[#This Row],[人数]]=0,"",1)</f>
        <v/>
      </c>
      <c r="N33" s="14"/>
      <c r="O33" s="15"/>
      <c r="P33" s="21">
        <f>ROUNDDOWN(梅田ここから350025[[#This Row],[人数]]/8,0)</f>
        <v>0</v>
      </c>
      <c r="Q3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3" s="16" t="str">
        <f>IFERROR(($M$3*梅田ここから350025[[#This Row],[人数]])-梅田ここから350025[[#This Row],[単価合計]]-(梅田ここから350025[[#This Row],[キャンセル人数]]*$B$2),"")</f>
        <v/>
      </c>
      <c r="S3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3" s="15"/>
      <c r="U33" s="16" t="str">
        <f>IF(梅田ここから350025[[#This Row],[人数]]="","",VLOOKUP(梅田ここから350025[[#This Row],[人数]],バック金額②[#All],2,TRUE))</f>
        <v/>
      </c>
    </row>
    <row r="34" spans="1:21">
      <c r="A34" s="63">
        <f t="shared" si="0"/>
        <v>45046</v>
      </c>
      <c r="B34" s="20" t="str">
        <f>IF(梅田ここから400024[[#This Row],[人数]]=0,"",1)</f>
        <v/>
      </c>
      <c r="C34" s="14"/>
      <c r="D34" s="15"/>
      <c r="E34" s="21">
        <f>ROUNDDOWN(梅田ここから400024[[#This Row],[人数]]/8,0)</f>
        <v>0</v>
      </c>
      <c r="F3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4" s="16" t="str">
        <f>IFERROR(($B$3*梅田ここから400024[[#This Row],[人数]])-梅田ここから400024[[#This Row],[単価合計]]-(梅田ここから400024[[#This Row],[キャンセル人数]]*$B$2),"")</f>
        <v/>
      </c>
      <c r="H3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4" s="15"/>
      <c r="J34" s="16" t="str">
        <f>IF(梅田ここから400024[[#This Row],[人数]]="","",VLOOKUP(梅田ここから400024[[#This Row],[人数]],バック金額②[#All],2,TRUE))</f>
        <v/>
      </c>
      <c r="L34" s="63">
        <f t="shared" si="1"/>
        <v>45046</v>
      </c>
      <c r="M34" s="20" t="str">
        <f>IF(梅田ここから350025[[#This Row],[人数]]=0,"",1)</f>
        <v/>
      </c>
      <c r="N34" s="14"/>
      <c r="O34" s="15"/>
      <c r="P34" s="21">
        <f>ROUNDDOWN(梅田ここから350025[[#This Row],[人数]]/8,0)</f>
        <v>0</v>
      </c>
      <c r="Q3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4" s="16" t="str">
        <f>IFERROR(($M$3*梅田ここから350025[[#This Row],[人数]])-梅田ここから350025[[#This Row],[単価合計]]-(梅田ここから350025[[#This Row],[キャンセル人数]]*$B$2),"")</f>
        <v/>
      </c>
      <c r="S3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4" s="15"/>
      <c r="U34" s="16" t="str">
        <f>IF(梅田ここから350025[[#This Row],[人数]]="","",VLOOKUP(梅田ここから350025[[#This Row],[人数]],バック金額②[#All],2,TRUE))</f>
        <v/>
      </c>
    </row>
    <row r="35" spans="1:21">
      <c r="A35" s="74" t="str">
        <f t="shared" si="0"/>
        <v/>
      </c>
      <c r="B35" s="20" t="str">
        <f>IF(梅田ここから400024[[#This Row],[人数]]=0,"",1)</f>
        <v/>
      </c>
      <c r="C35" s="18"/>
      <c r="D35" s="19"/>
      <c r="E35" s="21">
        <f>ROUNDDOWN(梅田ここから400024[[#This Row],[人数]]/8,0)</f>
        <v>0</v>
      </c>
      <c r="F3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5" s="16" t="str">
        <f>IFERROR(($B$3*梅田ここから400024[[#This Row],[人数]])-梅田ここから400024[[#This Row],[単価合計]]-(梅田ここから400024[[#This Row],[キャンセル人数]]*$B$2),"")</f>
        <v/>
      </c>
      <c r="H3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5" s="19"/>
      <c r="J35" s="16" t="str">
        <f>IF(梅田ここから400024[[#This Row],[人数]]="","",VLOOKUP(梅田ここから400024[[#This Row],[人数]],バック金額②[#All],2,TRUE))</f>
        <v/>
      </c>
      <c r="L35" s="74" t="str">
        <f t="shared" si="1"/>
        <v/>
      </c>
      <c r="M35" s="20" t="str">
        <f>IF(梅田ここから350025[[#This Row],[人数]]=0,"",1)</f>
        <v/>
      </c>
      <c r="N35" s="18"/>
      <c r="O35" s="19"/>
      <c r="P35" s="21">
        <f>ROUNDDOWN(梅田ここから350025[[#This Row],[人数]]/8,0)</f>
        <v>0</v>
      </c>
      <c r="Q3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5" s="16" t="str">
        <f>IFERROR(($M$3*梅田ここから350025[[#This Row],[人数]])-梅田ここから350025[[#This Row],[単価合計]]-(梅田ここから350025[[#This Row],[キャンセル人数]]*$B$2),"")</f>
        <v/>
      </c>
      <c r="S3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5" s="19"/>
      <c r="U35" s="16" t="str">
        <f>IF(梅田ここから350025[[#This Row],[人数]]="","",VLOOKUP(梅田ここから350025[[#This Row],[人数]],バック金額②[#All],2,TRUE))</f>
        <v/>
      </c>
    </row>
    <row r="36" spans="1:21">
      <c r="A36" s="69" t="s">
        <v>322</v>
      </c>
      <c r="B36" s="16">
        <f>SUM(梅田ここから400024[[#All],[件数]])</f>
        <v>0</v>
      </c>
      <c r="C36" s="6"/>
      <c r="D36" s="16">
        <f>SUM(梅田ここから400024[[#All],[人数]])</f>
        <v>0</v>
      </c>
      <c r="E36" s="16">
        <f>SUM(梅田ここから400024[[#All],[8件以上件数]])</f>
        <v>0</v>
      </c>
      <c r="F36" s="16">
        <f>SUM(梅田ここから400024[[#All],[単価合計]])</f>
        <v>0</v>
      </c>
      <c r="G36" s="16">
        <f>SUM(梅田ここから400024[[#All],[ゆうき取りに行く]])</f>
        <v>0</v>
      </c>
      <c r="H36" s="16"/>
      <c r="I36" s="16"/>
      <c r="J36" s="16">
        <f>SUM(梅田ここから400024[[#All],[イベンターへ]])</f>
        <v>0</v>
      </c>
      <c r="L36" s="6" t="s">
        <v>211</v>
      </c>
      <c r="M36" s="16">
        <f>SUM(梅田ここから350025[[#All],[件数]])</f>
        <v>0</v>
      </c>
      <c r="N36" s="6"/>
      <c r="O36" s="16">
        <f>SUM(梅田ここから350025[[#All],[人数]])</f>
        <v>0</v>
      </c>
      <c r="P36" s="16">
        <f>SUM(梅田ここから350025[[#All],[8件以上件数]])</f>
        <v>0</v>
      </c>
      <c r="Q36" s="16">
        <f>SUM(梅田ここから350025[[#All],[単価合計]])</f>
        <v>0</v>
      </c>
      <c r="R36" s="16">
        <f>SUM(梅田ここから350025[[#All],[ゆうき取りに行く]])</f>
        <v>0</v>
      </c>
      <c r="S36" s="16"/>
      <c r="T36" s="16"/>
      <c r="U36" s="16">
        <f>SUM(梅田ここから350025[[#All],[イベンターへ]])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48"/>
  <sheetViews>
    <sheetView zoomScale="70" zoomScaleNormal="70" workbookViewId="0">
      <pane ySplit="4" topLeftCell="A12" activePane="bottomLeft" state="frozen"/>
      <selection pane="bottomLeft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564</v>
      </c>
    </row>
    <row r="2" spans="1:21">
      <c r="A2" s="46" t="s">
        <v>371</v>
      </c>
      <c r="B2" s="8">
        <v>1300</v>
      </c>
      <c r="E2" s="46" t="s">
        <v>561</v>
      </c>
      <c r="F2" s="9">
        <f>$B$1*($D$37-$E$37)+$B$1*($O$36-P36)</f>
        <v>127500</v>
      </c>
      <c r="L2" s="46" t="s">
        <v>497</v>
      </c>
      <c r="M2" s="8">
        <v>500</v>
      </c>
    </row>
    <row r="3" spans="1:21">
      <c r="A3" s="46" t="s">
        <v>375</v>
      </c>
      <c r="B3" s="8">
        <v>4000</v>
      </c>
      <c r="C3" s="46" t="s">
        <v>247</v>
      </c>
      <c r="L3" s="46" t="s">
        <v>375</v>
      </c>
      <c r="M3" s="8">
        <v>3500</v>
      </c>
      <c r="N3" s="46" t="s">
        <v>496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567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20" t="str">
        <f>IF(心斎橋サファリ4000[[#This Row],[人数]]=0,"",1)</f>
        <v/>
      </c>
      <c r="C5" s="14"/>
      <c r="D5" s="15"/>
      <c r="E5" s="21">
        <f>ROUNDDOWN(心斎橋サファリ4000[[#This Row],[人数]]/8,0)</f>
        <v>0</v>
      </c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Row],[8名以上件数]]*$B$1=0,"",心斎橋サファリ4000[[#This Row],[8名以上件数]]*$B$1)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45017</v>
      </c>
      <c r="M5" s="13" t="str">
        <f>IF(心斎橋サファリ3500[[#This Row],[人数]]=0,"",1)</f>
        <v/>
      </c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45018</v>
      </c>
      <c r="B6" s="20" t="str">
        <f>IF(心斎橋サファリ4000[[#This Row],[人数]]=0,"",1)</f>
        <v/>
      </c>
      <c r="C6" s="14"/>
      <c r="D6" s="15"/>
      <c r="E6" s="21">
        <f>ROUNDDOWN(心斎橋サファリ4000[[#This Row],[人数]]/8,0)</f>
        <v>0</v>
      </c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Row],[8名以上件数]]*$B$1=0,"",心斎橋サファリ4000[[#This Row],[8名以上件数]]*$B$1)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45018</v>
      </c>
      <c r="M6" s="20" t="str">
        <f>IF(心斎橋サファリ3500[[#This Row],[人数]]=0,"",1)</f>
        <v/>
      </c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21" si="0">IFERROR(IF(DATE(YEAR($A$5),MONTH($A$5),DAY($A$5))=DATE(YEAR(L6),MONTH(L6),DAY(L6+1)),"",DATE(YEAR(L6),MONTH(L6),DAY(L6+1))),"")</f>
        <v>45019</v>
      </c>
      <c r="B7" s="20" t="str">
        <f>IF(心斎橋サファリ4000[[#This Row],[人数]]=0,"",1)</f>
        <v/>
      </c>
      <c r="C7" s="14"/>
      <c r="D7" s="15"/>
      <c r="E7" s="21">
        <f>ROUNDDOWN(心斎橋サファリ4000[[#This Row],[人数]]/8,0)</f>
        <v>0</v>
      </c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Row],[8名以上件数]]*$B$1=0,"",心斎橋サファリ4000[[#This Row],[8名以上件数]]*$B$1)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0" t="str">
        <f>IF(心斎橋サファリ3500[[#This Row],[人数]]=0,"",1)</f>
        <v/>
      </c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45020</v>
      </c>
      <c r="B8" s="20" t="str">
        <f>IF(心斎橋サファリ4000[[#This Row],[人数]]=0,"",1)</f>
        <v/>
      </c>
      <c r="C8" s="14"/>
      <c r="D8" s="15"/>
      <c r="E8" s="21">
        <f>ROUNDDOWN(心斎橋サファリ4000[[#This Row],[人数]]/8,0)</f>
        <v>0</v>
      </c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Row],[8名以上件数]]*$B$1=0,"",心斎橋サファリ4000[[#This Row],[8名以上件数]]*$B$1)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3">
        <f t="shared" si="1"/>
        <v>45020</v>
      </c>
      <c r="M8" s="20" t="str">
        <f>IF(心斎橋サファリ3500[[#This Row],[人数]]=0,"",1)</f>
        <v/>
      </c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45021</v>
      </c>
      <c r="B9" s="20" t="str">
        <f>IF(心斎橋サファリ4000[[#This Row],[人数]]=0,"",1)</f>
        <v/>
      </c>
      <c r="C9" s="14"/>
      <c r="D9" s="15"/>
      <c r="E9" s="21">
        <f>ROUNDDOWN(心斎橋サファリ4000[[#This Row],[人数]]/8,0)</f>
        <v>0</v>
      </c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Row],[8名以上件数]]*$B$1=0,"",心斎橋サファリ4000[[#This Row],[8名以上件数]]*$B$1)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45021</v>
      </c>
      <c r="M9" s="20" t="str">
        <f>IF(心斎橋サファリ3500[[#This Row],[人数]]=0,"",1)</f>
        <v/>
      </c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45022</v>
      </c>
      <c r="B10" s="20" t="str">
        <f>IF(心斎橋サファリ4000[[#This Row],[人数]]=0,"",1)</f>
        <v/>
      </c>
      <c r="C10" s="14"/>
      <c r="D10" s="15"/>
      <c r="E10" s="21">
        <f>ROUNDDOWN(心斎橋サファリ4000[[#This Row],[人数]]/8,0)</f>
        <v>0</v>
      </c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Row],[8名以上件数]]*$B$1=0,"",心斎橋サファリ4000[[#This Row],[8名以上件数]]*$B$1)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45022</v>
      </c>
      <c r="M10" s="20" t="str">
        <f>IF(心斎橋サファリ3500[[#This Row],[人数]]=0,"",1)</f>
        <v/>
      </c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45023</v>
      </c>
      <c r="B11" s="20" t="str">
        <f>IF(心斎橋サファリ4000[[#This Row],[人数]]=0,"",1)</f>
        <v/>
      </c>
      <c r="C11" s="14"/>
      <c r="D11" s="15"/>
      <c r="E11" s="21">
        <f>ROUNDDOWN(心斎橋サファリ4000[[#This Row],[人数]]/8,0)</f>
        <v>0</v>
      </c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Row],[8名以上件数]]*$B$1=0,"",心斎橋サファリ4000[[#This Row],[8名以上件数]]*$B$1)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45023</v>
      </c>
      <c r="M11" s="20" t="str">
        <f>IF(心斎橋サファリ3500[[#This Row],[人数]]=0,"",1)</f>
        <v/>
      </c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45024</v>
      </c>
      <c r="B12" s="20" t="str">
        <f>IF(心斎橋サファリ4000[[#This Row],[人数]]=0,"",1)</f>
        <v/>
      </c>
      <c r="C12" s="14"/>
      <c r="D12" s="15"/>
      <c r="E12" s="21">
        <f>ROUNDDOWN(心斎橋サファリ4000[[#This Row],[人数]]/8,0)</f>
        <v>0</v>
      </c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Row],[8名以上件数]]*$B$1=0,"",心斎橋サファリ4000[[#This Row],[8名以上件数]]*$B$1)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45024</v>
      </c>
      <c r="M12" s="20" t="str">
        <f>IF(心斎橋サファリ3500[[#This Row],[人数]]=0,"",1)</f>
        <v/>
      </c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45025</v>
      </c>
      <c r="B13" s="20">
        <f>IF(心斎橋サファリ4000[[#This Row],[人数]]=0,"",1)</f>
        <v>1</v>
      </c>
      <c r="C13" s="49">
        <v>329</v>
      </c>
      <c r="D13" s="15">
        <v>8</v>
      </c>
      <c r="E13" s="21">
        <f>ROUNDDOWN(心斎橋サファリ4000[[#This Row],[人数]]/8,0)</f>
        <v>1</v>
      </c>
      <c r="F1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13" s="16">
        <f>IFERROR(($B$3*心斎橋サファリ4000[[#This Row],[人数]])-心斎橋サファリ4000[[#This Row],[単価合計]]-(心斎橋サファリ4000[[#This Row],[キャンセル人数]]*$B$2),"")</f>
        <v>14500</v>
      </c>
      <c r="H13" s="16">
        <f>IF(心斎橋サファリ4000[[#This Row],[8名以上件数]]*$B$1=0,"",心斎橋サファリ4000[[#This Row],[8名以上件数]]*$B$1)</f>
        <v>2500</v>
      </c>
      <c r="I13" s="15"/>
      <c r="J13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3" s="63">
        <f t="shared" si="1"/>
        <v>45025</v>
      </c>
      <c r="M13" s="20" t="str">
        <f>IF(心斎橋サファリ3500[[#This Row],[人数]]=0,"",1)</f>
        <v/>
      </c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45026</v>
      </c>
      <c r="B14" s="20" t="str">
        <f>IF(心斎橋サファリ4000[[#This Row],[人数]]=0,"",1)</f>
        <v/>
      </c>
      <c r="C14" s="14"/>
      <c r="D14" s="15"/>
      <c r="E14" s="21">
        <f>ROUNDDOWN(心斎橋サファリ4000[[#This Row],[人数]]/8,0)</f>
        <v>0</v>
      </c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Row],[8名以上件数]]*$B$1=0,"",心斎橋サファリ4000[[#This Row],[8名以上件数]]*$B$1)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3">
        <f t="shared" si="1"/>
        <v>45026</v>
      </c>
      <c r="M14" s="20" t="str">
        <f>IF(心斎橋サファリ3500[[#This Row],[人数]]=0,"",1)</f>
        <v/>
      </c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45027</v>
      </c>
      <c r="B15" s="20" t="str">
        <f>IF(心斎橋サファリ4000[[#This Row],[人数]]=0,"",1)</f>
        <v/>
      </c>
      <c r="C15" s="14"/>
      <c r="D15" s="15"/>
      <c r="E15" s="21">
        <f>ROUNDDOWN(心斎橋サファリ4000[[#This Row],[人数]]/8,0)</f>
        <v>0</v>
      </c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Row],[8名以上件数]]*$B$1=0,"",心斎橋サファリ4000[[#This Row],[8名以上件数]]*$B$1)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45027</v>
      </c>
      <c r="M15" s="20" t="str">
        <f>IF(心斎橋サファリ3500[[#This Row],[人数]]=0,"",1)</f>
        <v/>
      </c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45028</v>
      </c>
      <c r="B16" s="20" t="str">
        <f>IF(心斎橋サファリ4000[[#This Row],[人数]]=0,"",1)</f>
        <v/>
      </c>
      <c r="C16" s="14"/>
      <c r="D16" s="15"/>
      <c r="E16" s="21">
        <f>ROUNDDOWN(心斎橋サファリ4000[[#This Row],[人数]]/8,0)</f>
        <v>0</v>
      </c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Row],[8名以上件数]]*$B$1=0,"",心斎橋サファリ4000[[#This Row],[8名以上件数]]*$B$1)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45028</v>
      </c>
      <c r="M16" s="20" t="str">
        <f>IF(心斎橋サファリ3500[[#This Row],[人数]]=0,"",1)</f>
        <v/>
      </c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45029</v>
      </c>
      <c r="B17" s="20" t="str">
        <f>IF(心斎橋サファリ4000[[#This Row],[人数]]=0,"",1)</f>
        <v/>
      </c>
      <c r="C17" s="14"/>
      <c r="D17" s="15"/>
      <c r="E17" s="21">
        <f>ROUNDDOWN(心斎橋サファリ4000[[#This Row],[人数]]/8,0)</f>
        <v>0</v>
      </c>
      <c r="F1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6" t="str">
        <f>IF(心斎橋サファリ4000[[#This Row],[8名以上件数]]*$B$1=0,"",心斎橋サファリ4000[[#This Row],[8名以上件数]]*$B$1)</f>
        <v/>
      </c>
      <c r="I17" s="115"/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45029</v>
      </c>
      <c r="M17" s="20" t="str">
        <f>IF(心斎橋サファリ3500[[#This Row],[人数]]=0,"",1)</f>
        <v/>
      </c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45030</v>
      </c>
      <c r="B18" s="20" t="str">
        <f>IF(心斎橋サファリ4000[[#This Row],[人数]]=0,"",1)</f>
        <v/>
      </c>
      <c r="C18" s="14"/>
      <c r="D18" s="15"/>
      <c r="E18" s="21">
        <f>ROUNDDOWN(心斎橋サファリ4000[[#This Row],[人数]]/8,0)</f>
        <v>0</v>
      </c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Row],[8名以上件数]]*$B$1=0,"",心斎橋サファリ4000[[#This Row],[8名以上件数]]*$B$1)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45030</v>
      </c>
      <c r="M18" s="20" t="str">
        <f>IF(心斎橋サファリ3500[[#This Row],[人数]]=0,"",1)</f>
        <v/>
      </c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45031</v>
      </c>
      <c r="B19" s="20">
        <f>IF(心斎橋サファリ4000[[#This Row],[人数]]=0,"",1)</f>
        <v>1</v>
      </c>
      <c r="C19" s="14">
        <v>22</v>
      </c>
      <c r="D19" s="15">
        <v>38</v>
      </c>
      <c r="E19" s="21">
        <f>ROUNDDOWN(心斎橋サファリ4000[[#This Row],[人数]]/8,0)</f>
        <v>4</v>
      </c>
      <c r="F19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85000</v>
      </c>
      <c r="G19" s="16">
        <f>IFERROR(($B$3*心斎橋サファリ4000[[#This Row],[人数]])-心斎橋サファリ4000[[#This Row],[単価合計]]-(心斎橋サファリ4000[[#This Row],[キャンセル人数]]*$B$2),"")</f>
        <v>67000</v>
      </c>
      <c r="H19" s="16">
        <f>IF(心斎橋サファリ4000[[#This Row],[8名以上件数]]*$B$1=0,"",心斎橋サファリ4000[[#This Row],[8名以上件数]]*$B$1)</f>
        <v>10000</v>
      </c>
      <c r="I19" s="115"/>
      <c r="J19" s="114">
        <f>IFERROR(IF(心斎橋サファリ4000[[#This Row],[人数]]="","",VLOOKUP(心斎橋サファリ4000[[#This Row],[人数]],バック金額①[#All],2,TRUE)-(心斎橋サファリ4000[[#This Row],[キャンセル人数]]*$B$2)),"")</f>
        <v>46000</v>
      </c>
      <c r="L19" s="63">
        <f t="shared" si="1"/>
        <v>45031</v>
      </c>
      <c r="M19" s="20" t="str">
        <f>IF(心斎橋サファリ3500[[#This Row],[人数]]=0,"",1)</f>
        <v/>
      </c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45032</v>
      </c>
      <c r="B20" s="20" t="str">
        <f>IF(心斎橋サファリ4000[[#This Row],[人数]]=0,"",1)</f>
        <v/>
      </c>
      <c r="C20" s="14"/>
      <c r="D20" s="15"/>
      <c r="E20" s="21">
        <f>ROUNDDOWN(心斎橋サファリ4000[[#This Row],[人数]]/8,0)</f>
        <v>0</v>
      </c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Row],[8名以上件数]]*$B$1=0,"",心斎橋サファリ4000[[#This Row],[8名以上件数]]*$B$1)</f>
        <v/>
      </c>
      <c r="I20" s="115"/>
      <c r="J20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3">
        <f t="shared" si="1"/>
        <v>45032</v>
      </c>
      <c r="M20" s="20" t="str">
        <f>IF(心斎橋サファリ3500[[#This Row],[人数]]=0,"",1)</f>
        <v/>
      </c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45033</v>
      </c>
      <c r="B21" s="20" t="str">
        <f>IF(心斎橋サファリ4000[[#This Row],[人数]]=0,"",1)</f>
        <v/>
      </c>
      <c r="C21" s="14"/>
      <c r="D21" s="15"/>
      <c r="E21" s="21">
        <f>ROUNDDOWN(心斎橋サファリ4000[[#This Row],[人数]]/8,0)</f>
        <v>0</v>
      </c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Row],[8名以上件数]]*$B$1=0,"",心斎橋サファリ4000[[#This Row],[8名以上件数]]*$B$1)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3">
        <f t="shared" si="1"/>
        <v>45033</v>
      </c>
      <c r="M21" s="20" t="str">
        <f>IF(心斎橋サファリ3500[[#This Row],[人数]]=0,"",1)</f>
        <v/>
      </c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99">
        <f>IF(DAY(DATE(名前リスト!$N$1,名前リスト!$O$1,ROW()-4))=ROW()-4,DATE(名前リスト!$N$1,名前リスト!$O$1,ROW()-4),"")</f>
        <v>45034</v>
      </c>
      <c r="B22" s="6" t="str">
        <f>IF(心斎橋サファリ4000[[#This Row],[人数]]=0,"",1)</f>
        <v/>
      </c>
      <c r="C22" s="14"/>
      <c r="D22" s="14"/>
      <c r="E22" s="21">
        <f>ROUNDDOWN(心斎橋サファリ4000[[#This Row],[人数]]/8,0)</f>
        <v>0</v>
      </c>
      <c r="F22" s="14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2" s="114" t="str">
        <f>IFERROR(($B$3*心斎橋サファリ4000[[#This Row],[人数]])-心斎橋サファリ4000[[#This Row],[単価合計]]-(心斎橋サファリ4000[[#This Row],[キャンセル人数]]*$B$2),"")</f>
        <v/>
      </c>
      <c r="H22" s="114" t="str">
        <f>IF(心斎橋サファリ4000[[#This Row],[8名以上件数]]*$B$1=0,"",心斎橋サファリ4000[[#This Row],[8名以上件数]]*$B$1)</f>
        <v/>
      </c>
      <c r="I22" s="115"/>
      <c r="J22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2" s="63">
        <f t="shared" si="1"/>
        <v>45034</v>
      </c>
      <c r="M22" s="20" t="str">
        <f>IF(心斎橋サファリ3500[[#This Row],[人数]]=0,"",1)</f>
        <v/>
      </c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ref="A23:A33" si="2">IFERROR(IF(DATE(YEAR($A$5),MONTH($A$5),DAY($A$5))=DATE(YEAR(L21),MONTH(L21),DAY(L21+1)),"",DATE(YEAR(L21),MONTH(L21),DAY(L21+1))),"")</f>
        <v>45034</v>
      </c>
      <c r="B23" s="20" t="str">
        <f>IF(心斎橋サファリ4000[[#This Row],[人数]]=0,"",1)</f>
        <v/>
      </c>
      <c r="C23" s="14"/>
      <c r="D23" s="15"/>
      <c r="E23" s="21">
        <f>ROUNDDOWN(心斎橋サファリ4000[[#This Row],[人数]]/8,0)</f>
        <v>0</v>
      </c>
      <c r="F2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6" t="str">
        <f>IF(心斎橋サファリ4000[[#This Row],[8名以上件数]]*$B$1=0,"",心斎橋サファリ4000[[#This Row],[8名以上件数]]*$B$1)</f>
        <v/>
      </c>
      <c r="I23" s="15"/>
      <c r="J2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3">
        <f t="shared" si="1"/>
        <v>45035</v>
      </c>
      <c r="M23" s="20" t="str">
        <f>IF(心斎橋サファリ3500[[#This Row],[人数]]=0,"",1)</f>
        <v/>
      </c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2"/>
        <v>45035</v>
      </c>
      <c r="B24" s="20" t="str">
        <f>IF(心斎橋サファリ4000[[#This Row],[人数]]=0,"",1)</f>
        <v/>
      </c>
      <c r="C24" s="14"/>
      <c r="D24" s="15"/>
      <c r="E24" s="21">
        <f>ROUNDDOWN(心斎橋サファリ4000[[#This Row],[人数]]/8,0)</f>
        <v>0</v>
      </c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Row],[8名以上件数]]*$B$1=0,"",心斎橋サファリ4000[[#This Row],[8名以上件数]]*$B$1)</f>
        <v/>
      </c>
      <c r="I24" s="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3">
        <f t="shared" si="1"/>
        <v>45036</v>
      </c>
      <c r="M24" s="20" t="str">
        <f>IF(心斎橋サファリ3500[[#This Row],[人数]]=0,"",1)</f>
        <v/>
      </c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2"/>
        <v>45036</v>
      </c>
      <c r="B25" s="20" t="str">
        <f>IF(心斎橋サファリ4000[[#This Row],[人数]]=0,"",1)</f>
        <v/>
      </c>
      <c r="C25" s="14"/>
      <c r="D25" s="15"/>
      <c r="E25" s="21">
        <f>ROUNDDOWN(心斎橋サファリ4000[[#This Row],[人数]]/8,0)</f>
        <v>0</v>
      </c>
      <c r="F2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6" t="str">
        <f>IF(心斎橋サファリ4000[[#This Row],[8名以上件数]]*$B$1=0,"",心斎橋サファリ4000[[#This Row],[8名以上件数]]*$B$1)</f>
        <v/>
      </c>
      <c r="I25" s="15"/>
      <c r="J2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3">
        <f t="shared" si="1"/>
        <v>45037</v>
      </c>
      <c r="M25" s="20" t="str">
        <f>IF(心斎橋サファリ3500[[#This Row],[人数]]=0,"",1)</f>
        <v/>
      </c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2"/>
        <v>45037</v>
      </c>
      <c r="B26" s="20" t="str">
        <f>IF(心斎橋サファリ4000[[#This Row],[人数]]=0,"",1)</f>
        <v/>
      </c>
      <c r="C26" s="14"/>
      <c r="D26" s="15"/>
      <c r="E26" s="21">
        <f>ROUNDDOWN(心斎橋サファリ4000[[#This Row],[人数]]/8,0)</f>
        <v>0</v>
      </c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Row],[8名以上件数]]*$B$1=0,"",心斎橋サファリ4000[[#This Row],[8名以上件数]]*$B$1)</f>
        <v/>
      </c>
      <c r="I26" s="1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45038</v>
      </c>
      <c r="M26" s="20" t="str">
        <f>IF(心斎橋サファリ3500[[#This Row],[人数]]=0,"",1)</f>
        <v/>
      </c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2"/>
        <v>45038</v>
      </c>
      <c r="B27" s="20">
        <f>IF(心斎橋サファリ4000[[#This Row],[人数]]=0,"",1)</f>
        <v>1</v>
      </c>
      <c r="C27" s="14">
        <v>329</v>
      </c>
      <c r="D27" s="15">
        <v>6</v>
      </c>
      <c r="E27" s="21">
        <f>ROUNDDOWN(心斎橋サファリ4000[[#This Row],[人数]]/8,0)</f>
        <v>0</v>
      </c>
      <c r="F27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27" s="16">
        <f>IFERROR(($B$3*心斎橋サファリ4000[[#This Row],[人数]])-心斎橋サファリ4000[[#This Row],[単価合計]]-(心斎橋サファリ4000[[#This Row],[キャンセル人数]]*$B$2),"")</f>
        <v>9000</v>
      </c>
      <c r="H27" s="16" t="str">
        <f>IF(心斎橋サファリ4000[[#This Row],[8名以上件数]]*$B$1=0,"",心斎橋サファリ4000[[#This Row],[8名以上件数]]*$B$1)</f>
        <v/>
      </c>
      <c r="I27" s="115"/>
      <c r="J27" s="114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7" s="63">
        <f t="shared" si="1"/>
        <v>45039</v>
      </c>
      <c r="M27" s="20" t="str">
        <f>IF(心斎橋サファリ3500[[#This Row],[人数]]=0,"",1)</f>
        <v/>
      </c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v>45038</v>
      </c>
      <c r="B28" s="20">
        <f>IF(心斎橋サファリ4000[[#This Row],[人数]]=0,"",1)</f>
        <v>1</v>
      </c>
      <c r="C28" s="14">
        <v>329</v>
      </c>
      <c r="D28" s="15">
        <v>4</v>
      </c>
      <c r="E28" s="21">
        <f>ROUNDDOWN(心斎橋サファリ4000[[#This Row],[人数]]/8,0)</f>
        <v>0</v>
      </c>
      <c r="F2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10000</v>
      </c>
      <c r="G28" s="16">
        <f>IFERROR(($B$3*心斎橋サファリ4000[[#This Row],[人数]])-心斎橋サファリ4000[[#This Row],[単価合計]]-(心斎橋サファリ4000[[#This Row],[キャンセル人数]]*$B$2),"")</f>
        <v>6000</v>
      </c>
      <c r="H28" s="16" t="str">
        <f>IF(心斎橋サファリ4000[[#This Row],[8名以上件数]]*$B$1=0,"",心斎橋サファリ4000[[#This Row],[8名以上件数]]*$B$1)</f>
        <v/>
      </c>
      <c r="I28" s="115"/>
      <c r="J28" s="114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28" s="63">
        <f t="shared" si="1"/>
        <v>45040</v>
      </c>
      <c r="M28" s="20" t="str">
        <f>IF(心斎橋サファリ3500[[#This Row],[人数]]=0,"",1)</f>
        <v/>
      </c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2"/>
        <v>45040</v>
      </c>
      <c r="B29" s="20" t="str">
        <f>IF(心斎橋サファリ4000[[#This Row],[人数]]=0,"",1)</f>
        <v/>
      </c>
      <c r="C29" s="14"/>
      <c r="D29" s="15"/>
      <c r="E29" s="21">
        <f>ROUNDDOWN(心斎橋サファリ4000[[#This Row],[人数]]/8,0)</f>
        <v>0</v>
      </c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Row],[8名以上件数]]*$B$1=0,"",心斎橋サファリ4000[[#This Row],[8名以上件数]]*$B$1)</f>
        <v/>
      </c>
      <c r="I29" s="115"/>
      <c r="J2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45041</v>
      </c>
      <c r="M29" s="20" t="str">
        <f>IF(心斎橋サファリ3500[[#This Row],[人数]]=0,"",1)</f>
        <v/>
      </c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2"/>
        <v>45041</v>
      </c>
      <c r="B30" s="20" t="str">
        <f>IF(心斎橋サファリ4000[[#This Row],[人数]]=0,"",1)</f>
        <v/>
      </c>
      <c r="C30" s="14"/>
      <c r="D30" s="15"/>
      <c r="E30" s="21">
        <f>ROUNDDOWN(心斎橋サファリ4000[[#This Row],[人数]]/8,0)</f>
        <v>0</v>
      </c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Row],[8名以上件数]]*$B$1=0,"",心斎橋サファリ4000[[#This Row],[8名以上件数]]*$B$1)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45042</v>
      </c>
      <c r="M30" s="20" t="str">
        <f>IF(心斎橋サファリ3500[[#This Row],[人数]]=0,"",1)</f>
        <v/>
      </c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2"/>
        <v>45042</v>
      </c>
      <c r="B31" s="20" t="str">
        <f>IF(心斎橋サファリ4000[[#This Row],[人数]]=0,"",1)</f>
        <v/>
      </c>
      <c r="C31" s="14"/>
      <c r="D31" s="15"/>
      <c r="E31" s="21">
        <f>ROUNDDOWN(心斎橋サファリ4000[[#This Row],[人数]]/8,0)</f>
        <v>0</v>
      </c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Row],[8名以上件数]]*$B$1=0,"",心斎橋サファリ4000[[#This Row],[8名以上件数]]*$B$1)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45043</v>
      </c>
      <c r="M31" s="20" t="str">
        <f>IF(心斎橋サファリ3500[[#This Row],[人数]]=0,"",1)</f>
        <v/>
      </c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2"/>
        <v>45043</v>
      </c>
      <c r="B32" s="20" t="str">
        <f>IF(心斎橋サファリ4000[[#This Row],[人数]]=0,"",1)</f>
        <v/>
      </c>
      <c r="C32" s="14"/>
      <c r="D32" s="15"/>
      <c r="E32" s="21">
        <f>ROUNDDOWN(心斎橋サファリ4000[[#This Row],[人数]]/8,0)</f>
        <v>0</v>
      </c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Row],[8名以上件数]]*$B$1=0,"",心斎橋サファリ4000[[#This Row],[8名以上件数]]*$B$1)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45044</v>
      </c>
      <c r="M32" s="20" t="str">
        <f>IF(心斎橋サファリ3500[[#This Row],[人数]]=0,"",1)</f>
        <v/>
      </c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f t="shared" si="2"/>
        <v>45044</v>
      </c>
      <c r="B33" s="20" t="str">
        <f>IF(心斎橋サファリ4000[[#This Row],[人数]]=0,"",1)</f>
        <v/>
      </c>
      <c r="C33" s="14"/>
      <c r="D33" s="15"/>
      <c r="E33" s="21">
        <f>ROUNDDOWN(心斎橋サファリ4000[[#This Row],[人数]]/8,0)</f>
        <v>0</v>
      </c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Row],[8名以上件数]]*$B$1=0,"",心斎橋サファリ4000[[#This Row],[8名以上件数]]*$B$1)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>
        <f t="shared" si="1"/>
        <v>45045</v>
      </c>
      <c r="M33" s="20" t="str">
        <f>IF(心斎橋サファリ3500[[#This Row],[人数]]=0,"",1)</f>
        <v/>
      </c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v>44923</v>
      </c>
      <c r="B34" s="20" t="str">
        <f>IF(心斎橋サファリ4000[[#This Row],[人数]]=0,"",1)</f>
        <v/>
      </c>
      <c r="C34" s="14"/>
      <c r="D34" s="15"/>
      <c r="E34" s="21">
        <f>ROUNDDOWN(心斎橋サファリ4000[[#This Row],[人数]]/8,0)</f>
        <v>0</v>
      </c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Row],[8名以上件数]]*$B$1=0,"",心斎橋サファリ4000[[#This Row],[8名以上件数]]*$B$1)</f>
        <v/>
      </c>
      <c r="I34" s="115"/>
      <c r="J34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>
        <f t="shared" si="1"/>
        <v>45046</v>
      </c>
      <c r="M34" s="20" t="str">
        <f>IF(心斎橋サファリ3500[[#This Row],[人数]]=0,"",1)</f>
        <v/>
      </c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>
        <f>IFERROR(IF(DATE(YEAR($A$5),MONTH($A$5),DAY($A$5))=DATE(YEAR(L33),MONTH(L33),DAY(L33+1)),"",DATE(YEAR(L33),MONTH(L33),DAY(L33+1))),"")</f>
        <v>45046</v>
      </c>
      <c r="B35" s="20" t="str">
        <f>IF(心斎橋サファリ4000[[#This Row],[人数]]=0,"",1)</f>
        <v/>
      </c>
      <c r="C35" s="14"/>
      <c r="D35" s="15"/>
      <c r="E35" s="21">
        <f>ROUNDDOWN(心斎橋サファリ4000[[#This Row],[人数]]/8,0)</f>
        <v>0</v>
      </c>
      <c r="F3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6" t="str">
        <f>IFERROR(($B$3*心斎橋サファリ4000[[#This Row],[人数]])-心斎橋サファリ4000[[#This Row],[単価合計]]-(心斎橋サファリ4000[[#This Row],[キャンセル人数]]*$B$2),"")</f>
        <v/>
      </c>
      <c r="H35" s="16" t="str">
        <f>IF(心斎橋サファリ4000[[#This Row],[8名以上件数]]*$B$1=0,"",心斎橋サファリ4000[[#This Row],[8名以上件数]]*$B$1)</f>
        <v/>
      </c>
      <c r="I35" s="15"/>
      <c r="J3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5" s="140" t="str">
        <f t="shared" si="1"/>
        <v/>
      </c>
      <c r="M35" s="20" t="str">
        <f>IF(心斎橋サファリ3500[[#This Row],[人数]]=0,"",1)</f>
        <v/>
      </c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28" t="str">
        <f>IFERROR(IF(DATE(YEAR($A$5),MONTH($A$5),DAY($A$5))=DATE(YEAR(L34),MONTH(L34),DAY(L34+1)),"",DATE(YEAR(L34),MONTH(L34),DAY(L34+1))),"")</f>
        <v/>
      </c>
      <c r="B36" s="20" t="str">
        <f>IF(心斎橋サファリ4000[[#This Row],[人数]]=0,"",1)</f>
        <v/>
      </c>
      <c r="C36" s="14"/>
      <c r="D36" s="15"/>
      <c r="E36" s="21">
        <f>ROUNDDOWN(心斎橋サファリ4000[[#This Row],[人数]]/8,0)</f>
        <v>0</v>
      </c>
      <c r="F3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6" s="16" t="str">
        <f>IFERROR(($B$3*心斎橋サファリ4000[[#This Row],[人数]])-心斎橋サファリ4000[[#This Row],[単価合計]]-(心斎橋サファリ4000[[#This Row],[キャンセル人数]]*$B$2),"")</f>
        <v/>
      </c>
      <c r="H36" s="16" t="str">
        <f>IF(心斎橋サファリ4000[[#This Row],[8名以上件数]]*$B$1=0,"",心斎橋サファリ4000[[#This Row],[8名以上件数]]*$B$1)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71" t="s">
        <v>322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SUM(心斎橋サファリ3500[[#All],[8名以上件数]])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  <row r="37" spans="1:21">
      <c r="A37" s="71" t="s">
        <v>322</v>
      </c>
      <c r="B37" s="16">
        <f>SUM(心斎橋サファリ4000[[#All],[件数]])</f>
        <v>4</v>
      </c>
      <c r="C37" s="6"/>
      <c r="D37" s="16">
        <f>SUM(心斎橋サファリ4000[[#All],[人数]])</f>
        <v>56</v>
      </c>
      <c r="E37" s="16">
        <f>SUM(心斎橋サファリ4000[[#All],[8名以上件数]])</f>
        <v>5</v>
      </c>
      <c r="F37" s="16">
        <f>SUM(心斎橋サファリ4000[[#All],[単価合計]])</f>
        <v>127500</v>
      </c>
      <c r="G37" s="16">
        <f>SUM(心斎橋サファリ4000[[#All],[ゆうき取りに行く]])</f>
        <v>96500</v>
      </c>
      <c r="H37" s="16"/>
      <c r="I37" s="16"/>
      <c r="J37" s="16">
        <f>SUM(心斎橋サファリ4000[[#All],[イベンターへ]])</f>
        <v>67000</v>
      </c>
    </row>
    <row r="39" spans="1:21">
      <c r="E39" s="46" t="s">
        <v>577</v>
      </c>
      <c r="F39" s="9">
        <f>SUM(F40:F43)-$F$2</f>
        <v>0</v>
      </c>
    </row>
    <row r="40" spans="1:21">
      <c r="E40" s="151">
        <v>45025</v>
      </c>
      <c r="F40" s="9">
        <v>45000</v>
      </c>
    </row>
    <row r="41" spans="1:21">
      <c r="D41" s="144"/>
      <c r="E41" s="151">
        <v>45031</v>
      </c>
      <c r="F41" s="9">
        <v>45000</v>
      </c>
    </row>
    <row r="42" spans="1:21">
      <c r="E42" s="151">
        <v>45038</v>
      </c>
      <c r="F42" s="9">
        <v>37500</v>
      </c>
    </row>
    <row r="43" spans="1:21">
      <c r="E43" s="146"/>
      <c r="F43" s="145"/>
    </row>
    <row r="44" spans="1:21">
      <c r="E44" s="146"/>
      <c r="F44" s="145"/>
    </row>
    <row r="45" spans="1:21">
      <c r="E45" s="146"/>
      <c r="F45" s="145"/>
    </row>
    <row r="46" spans="1:21">
      <c r="E46" s="146"/>
      <c r="F46" s="145"/>
    </row>
    <row r="47" spans="1:21">
      <c r="E47" s="146"/>
    </row>
    <row r="48" spans="1:21">
      <c r="E48" s="146"/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248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45020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45021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322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322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C12" sqref="C12:D19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4.8867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0</v>
      </c>
    </row>
    <row r="3" spans="1:21">
      <c r="A3" s="46" t="s">
        <v>375</v>
      </c>
      <c r="B3" s="8">
        <v>4000</v>
      </c>
      <c r="C3" s="46" t="s">
        <v>249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20" t="str">
        <f>IF(心斎橋ラプロメッサ4000円[[#This Row],[人数]]=0,"",1)</f>
        <v/>
      </c>
      <c r="C5" s="14"/>
      <c r="D5" s="15"/>
      <c r="E5" s="21">
        <f>ROUNDDOWN(心斎橋ラプロメッサ4000円[[#This Row],[人数]]/8,0)</f>
        <v>0</v>
      </c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Row],[8件以上件数]]=0,"",心斎橋ラプロメッサ4000円[[#This Row],[8件以上件数]]*$B$1)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IF(心斎橋ラプロメッサ4000円[[#This Row],[人数]]=0,"",1)</f>
        <v/>
      </c>
      <c r="C6" s="14"/>
      <c r="D6" s="15"/>
      <c r="E6" s="21">
        <f>ROUNDDOWN(心斎橋ラプロメッサ4000円[[#This Row],[人数]]/8,0)</f>
        <v>0</v>
      </c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Row],[8件以上件数]]=0,"",心斎橋ラプロメッサ4000円[[#This Row],[8件以上件数]]*$B$1)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IF(心斎橋ラプロメッサ4000円[[#This Row],[人数]]=0,"",1)</f>
        <v/>
      </c>
      <c r="C7" s="14"/>
      <c r="D7" s="15"/>
      <c r="E7" s="21">
        <f>ROUNDDOWN(心斎橋ラプロメッサ4000円[[#This Row],[人数]]/8,0)</f>
        <v>0</v>
      </c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Row],[8件以上件数]]=0,"",心斎橋ラプロメッサ4000円[[#This Row],[8件以上件数]]*$B$1)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45020</v>
      </c>
      <c r="B8" s="20" t="str">
        <f>IF(心斎橋ラプロメッサ4000円[[#This Row],[人数]]=0,"",1)</f>
        <v/>
      </c>
      <c r="C8" s="14"/>
      <c r="D8" s="15"/>
      <c r="E8" s="21">
        <f>ROUNDDOWN(心斎橋ラプロメッサ4000円[[#This Row],[人数]]/8,0)</f>
        <v>0</v>
      </c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Row],[8件以上件数]]=0,"",心斎橋ラプロメッサ4000円[[#This Row],[8件以上件数]]*$B$1)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45021</v>
      </c>
      <c r="B9" s="20" t="str">
        <f>IF(心斎橋ラプロメッサ4000円[[#This Row],[人数]]=0,"",1)</f>
        <v/>
      </c>
      <c r="C9" s="14"/>
      <c r="D9" s="15"/>
      <c r="E9" s="21">
        <f>ROUNDDOWN(心斎橋ラプロメッサ4000円[[#This Row],[人数]]/8,0)</f>
        <v>0</v>
      </c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Row],[8件以上件数]]=0,"",心斎橋ラプロメッサ4000円[[#This Row],[8件以上件数]]*$B$1)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45022</v>
      </c>
      <c r="B10" s="20" t="str">
        <f>IF(心斎橋ラプロメッサ4000円[[#This Row],[人数]]=0,"",1)</f>
        <v/>
      </c>
      <c r="C10" s="14"/>
      <c r="D10" s="15"/>
      <c r="E10" s="21">
        <f>ROUNDDOWN(心斎橋ラプロメッサ4000円[[#This Row],[人数]]/8,0)</f>
        <v>0</v>
      </c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Row],[8件以上件数]]=0,"",心斎橋ラプロメッサ4000円[[#This Row],[8件以上件数]]*$B$1)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45023</v>
      </c>
      <c r="B11" s="20" t="str">
        <f>IF(心斎橋ラプロメッサ4000円[[#This Row],[人数]]=0,"",1)</f>
        <v/>
      </c>
      <c r="C11" s="14"/>
      <c r="D11" s="15"/>
      <c r="E11" s="21">
        <f>ROUNDDOWN(心斎橋ラプロメッサ4000円[[#This Row],[人数]]/8,0)</f>
        <v>0</v>
      </c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Row],[8件以上件数]]=0,"",心斎橋ラプロメッサ4000円[[#This Row],[8件以上件数]]*$B$1)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45024</v>
      </c>
      <c r="B12" s="20" t="str">
        <f>IF(心斎橋ラプロメッサ4000円[[#This Row],[人数]]=0,"",1)</f>
        <v/>
      </c>
      <c r="C12" s="14"/>
      <c r="D12" s="15"/>
      <c r="E12" s="21">
        <f>ROUNDDOWN(心斎橋ラプロメッサ4000円[[#This Row],[人数]]/8,0)</f>
        <v>0</v>
      </c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Row],[8件以上件数]]=0,"",心斎橋ラプロメッサ4000円[[#This Row],[8件以上件数]]*$B$1)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45025</v>
      </c>
      <c r="B13" s="20" t="str">
        <f>IF(心斎橋ラプロメッサ4000円[[#This Row],[人数]]=0,"",1)</f>
        <v/>
      </c>
      <c r="C13" s="14"/>
      <c r="D13" s="15"/>
      <c r="E13" s="21">
        <f>ROUNDDOWN(心斎橋ラプロメッサ4000円[[#This Row],[人数]]/8,0)</f>
        <v>0</v>
      </c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Row],[8件以上件数]]=0,"",心斎橋ラプロメッサ4000円[[#This Row],[8件以上件数]]*$B$1)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45026</v>
      </c>
      <c r="B14" s="20" t="str">
        <f>IF(心斎橋ラプロメッサ4000円[[#This Row],[人数]]=0,"",1)</f>
        <v/>
      </c>
      <c r="C14" s="14"/>
      <c r="D14" s="15"/>
      <c r="E14" s="21">
        <f>ROUNDDOWN(心斎橋ラプロメッサ4000円[[#This Row],[人数]]/8,0)</f>
        <v>0</v>
      </c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Row],[8件以上件数]]=0,"",心斎橋ラプロメッサ4000円[[#This Row],[8件以上件数]]*$B$1)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45027</v>
      </c>
      <c r="B15" s="20" t="str">
        <f>IF(心斎橋ラプロメッサ4000円[[#This Row],[人数]]=0,"",1)</f>
        <v/>
      </c>
      <c r="C15" s="14"/>
      <c r="D15" s="15"/>
      <c r="E15" s="21">
        <f>ROUNDDOWN(心斎橋ラプロメッサ4000円[[#This Row],[人数]]/8,0)</f>
        <v>0</v>
      </c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Row],[8件以上件数]]=0,"",心斎橋ラプロメッサ4000円[[#This Row],[8件以上件数]]*$B$1)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45028</v>
      </c>
      <c r="B16" s="20" t="str">
        <f>IF(心斎橋ラプロメッサ4000円[[#This Row],[人数]]=0,"",1)</f>
        <v/>
      </c>
      <c r="C16" s="14"/>
      <c r="D16" s="15"/>
      <c r="E16" s="21">
        <f>ROUNDDOWN(心斎橋ラプロメッサ4000円[[#This Row],[人数]]/8,0)</f>
        <v>0</v>
      </c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Row],[8件以上件数]]=0,"",心斎橋ラプロメッサ4000円[[#This Row],[8件以上件数]]*$B$1)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45029</v>
      </c>
      <c r="B17" s="20" t="str">
        <f>IF(心斎橋ラプロメッサ4000円[[#This Row],[人数]]=0,"",1)</f>
        <v/>
      </c>
      <c r="C17" s="14"/>
      <c r="D17" s="15"/>
      <c r="E17" s="21">
        <f>ROUNDDOWN(心斎橋ラプロメッサ4000円[[#This Row],[人数]]/8,0)</f>
        <v>0</v>
      </c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Row],[8件以上件数]]=0,"",心斎橋ラプロメッサ4000円[[#This Row],[8件以上件数]]*$B$1)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45030</v>
      </c>
      <c r="B18" s="20" t="str">
        <f>IF(心斎橋ラプロメッサ4000円[[#This Row],[人数]]=0,"",1)</f>
        <v/>
      </c>
      <c r="C18" s="14"/>
      <c r="D18" s="15"/>
      <c r="E18" s="21">
        <f>ROUNDDOWN(心斎橋ラプロメッサ4000円[[#This Row],[人数]]/8,0)</f>
        <v>0</v>
      </c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Row],[8件以上件数]]=0,"",心斎橋ラプロメッサ4000円[[#This Row],[8件以上件数]]*$B$1)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45031</v>
      </c>
      <c r="B19" s="20" t="str">
        <f>IF(心斎橋ラプロメッサ4000円[[#This Row],[人数]]=0,"",1)</f>
        <v/>
      </c>
      <c r="C19" s="14"/>
      <c r="D19" s="15"/>
      <c r="E19" s="21">
        <f>ROUNDDOWN(心斎橋ラプロメッサ4000円[[#This Row],[人数]]/8,0)</f>
        <v>0</v>
      </c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Row],[8件以上件数]]=0,"",心斎橋ラプロメッサ4000円[[#This Row],[8件以上件数]]*$B$1)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45032</v>
      </c>
      <c r="B20" s="20" t="str">
        <f>IF(心斎橋ラプロメッサ4000円[[#This Row],[人数]]=0,"",1)</f>
        <v/>
      </c>
      <c r="C20" s="14"/>
      <c r="D20" s="15"/>
      <c r="E20" s="21">
        <f>ROUNDDOWN(心斎橋ラプロメッサ4000円[[#This Row],[人数]]/8,0)</f>
        <v>0</v>
      </c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Row],[8件以上件数]]=0,"",心斎橋ラプロメッサ4000円[[#This Row],[8件以上件数]]*$B$1)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45033</v>
      </c>
      <c r="B21" s="20" t="str">
        <f>IF(心斎橋ラプロメッサ4000円[[#This Row],[人数]]=0,"",1)</f>
        <v/>
      </c>
      <c r="C21" s="14"/>
      <c r="D21" s="15"/>
      <c r="E21" s="21">
        <f>ROUNDDOWN(心斎橋ラプロメッサ4000円[[#This Row],[人数]]/8,0)</f>
        <v>0</v>
      </c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Row],[8件以上件数]]=0,"",心斎橋ラプロメッサ4000円[[#This Row],[8件以上件数]]*$B$1)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45034</v>
      </c>
      <c r="B22" s="20" t="str">
        <f>IF(心斎橋ラプロメッサ4000円[[#This Row],[人数]]=0,"",1)</f>
        <v/>
      </c>
      <c r="C22" s="14"/>
      <c r="D22" s="15"/>
      <c r="E22" s="21">
        <f>ROUNDDOWN(心斎橋ラプロメッサ4000円[[#This Row],[人数]]/8,0)</f>
        <v>0</v>
      </c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Row],[8件以上件数]]=0,"",心斎橋ラプロメッサ4000円[[#This Row],[8件以上件数]]*$B$1)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45035</v>
      </c>
      <c r="B23" s="20" t="str">
        <f>IF(心斎橋ラプロメッサ4000円[[#This Row],[人数]]=0,"",1)</f>
        <v/>
      </c>
      <c r="C23" s="14"/>
      <c r="D23" s="15"/>
      <c r="E23" s="21">
        <f>ROUNDDOWN(心斎橋ラプロメッサ4000円[[#This Row],[人数]]/8,0)</f>
        <v>0</v>
      </c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Row],[8件以上件数]]=0,"",心斎橋ラプロメッサ4000円[[#This Row],[8件以上件数]]*$B$1)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45036</v>
      </c>
      <c r="B24" s="20" t="str">
        <f>IF(心斎橋ラプロメッサ4000円[[#This Row],[人数]]=0,"",1)</f>
        <v/>
      </c>
      <c r="C24" s="14"/>
      <c r="D24" s="15"/>
      <c r="E24" s="21">
        <f>ROUNDDOWN(心斎橋ラプロメッサ4000円[[#This Row],[人数]]/8,0)</f>
        <v>0</v>
      </c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Row],[8件以上件数]]=0,"",心斎橋ラプロメッサ4000円[[#This Row],[8件以上件数]]*$B$1)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45037</v>
      </c>
      <c r="B25" s="20" t="str">
        <f>IF(心斎橋ラプロメッサ4000円[[#This Row],[人数]]=0,"",1)</f>
        <v/>
      </c>
      <c r="C25" s="14"/>
      <c r="D25" s="15"/>
      <c r="E25" s="21">
        <f>ROUNDDOWN(心斎橋ラプロメッサ4000円[[#This Row],[人数]]/8,0)</f>
        <v>0</v>
      </c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Row],[8件以上件数]]=0,"",心斎橋ラプロメッサ4000円[[#This Row],[8件以上件数]]*$B$1)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45038</v>
      </c>
      <c r="B26" s="20" t="str">
        <f>IF(心斎橋ラプロメッサ4000円[[#This Row],[人数]]=0,"",1)</f>
        <v/>
      </c>
      <c r="C26" s="14"/>
      <c r="D26" s="15"/>
      <c r="E26" s="21">
        <f>ROUNDDOWN(心斎橋ラプロメッサ4000円[[#This Row],[人数]]/8,0)</f>
        <v>0</v>
      </c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Row],[8件以上件数]]=0,"",心斎橋ラプロメッサ4000円[[#This Row],[8件以上件数]]*$B$1)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45039</v>
      </c>
      <c r="B27" s="20" t="str">
        <f>IF(心斎橋ラプロメッサ4000円[[#This Row],[人数]]=0,"",1)</f>
        <v/>
      </c>
      <c r="C27" s="14"/>
      <c r="D27" s="15"/>
      <c r="E27" s="21">
        <f>ROUNDDOWN(心斎橋ラプロメッサ4000円[[#This Row],[人数]]/8,0)</f>
        <v>0</v>
      </c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Row],[8件以上件数]]=0,"",心斎橋ラプロメッサ4000円[[#This Row],[8件以上件数]]*$B$1)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45040</v>
      </c>
      <c r="B28" s="20" t="str">
        <f>IF(心斎橋ラプロメッサ4000円[[#This Row],[人数]]=0,"",1)</f>
        <v/>
      </c>
      <c r="C28" s="14"/>
      <c r="D28" s="15"/>
      <c r="E28" s="21">
        <f>ROUNDDOWN(心斎橋ラプロメッサ4000円[[#This Row],[人数]]/8,0)</f>
        <v>0</v>
      </c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Row],[8件以上件数]]=0,"",心斎橋ラプロメッサ4000円[[#This Row],[8件以上件数]]*$B$1)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45041</v>
      </c>
      <c r="B29" s="20" t="str">
        <f>IF(心斎橋ラプロメッサ4000円[[#This Row],[人数]]=0,"",1)</f>
        <v/>
      </c>
      <c r="C29" s="14"/>
      <c r="D29" s="15"/>
      <c r="E29" s="21">
        <f>ROUNDDOWN(心斎橋ラプロメッサ4000円[[#This Row],[人数]]/8,0)</f>
        <v>0</v>
      </c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Row],[8件以上件数]]=0,"",心斎橋ラプロメッサ4000円[[#This Row],[8件以上件数]]*$B$1)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45042</v>
      </c>
      <c r="B30" s="20" t="str">
        <f>IF(心斎橋ラプロメッサ4000円[[#This Row],[人数]]=0,"",1)</f>
        <v/>
      </c>
      <c r="C30" s="14"/>
      <c r="D30" s="15"/>
      <c r="E30" s="21">
        <f>ROUNDDOWN(心斎橋ラプロメッサ4000円[[#This Row],[人数]]/8,0)</f>
        <v>0</v>
      </c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Row],[8件以上件数]]=0,"",心斎橋ラプロメッサ4000円[[#This Row],[8件以上件数]]*$B$1)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45043</v>
      </c>
      <c r="B31" s="20" t="str">
        <f>IF(心斎橋ラプロメッサ4000円[[#This Row],[人数]]=0,"",1)</f>
        <v/>
      </c>
      <c r="C31" s="14"/>
      <c r="D31" s="15"/>
      <c r="E31" s="21">
        <f>ROUNDDOWN(心斎橋ラプロメッサ4000円[[#This Row],[人数]]/8,0)</f>
        <v>0</v>
      </c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Row],[8件以上件数]]=0,"",心斎橋ラプロメッサ4000円[[#This Row],[8件以上件数]]*$B$1)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45044</v>
      </c>
      <c r="B32" s="20" t="str">
        <f>IF(心斎橋ラプロメッサ4000円[[#This Row],[人数]]=0,"",1)</f>
        <v/>
      </c>
      <c r="C32" s="14"/>
      <c r="D32" s="15"/>
      <c r="E32" s="21">
        <f>ROUNDDOWN(心斎橋ラプロメッサ4000円[[#This Row],[人数]]/8,0)</f>
        <v>0</v>
      </c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Row],[8件以上件数]]=0,"",心斎橋ラプロメッサ4000円[[#This Row],[8件以上件数]]*$B$1)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45045</v>
      </c>
      <c r="B33" s="20" t="str">
        <f>IF(心斎橋ラプロメッサ4000円[[#This Row],[人数]]=0,"",1)</f>
        <v/>
      </c>
      <c r="C33" s="14"/>
      <c r="D33" s="15"/>
      <c r="E33" s="21">
        <f>ROUNDDOWN(心斎橋ラプロメッサ4000円[[#This Row],[人数]]/8,0)</f>
        <v>0</v>
      </c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Row],[8件以上件数]]=0,"",心斎橋ラプロメッサ4000円[[#This Row],[8件以上件数]]*$B$1)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45046</v>
      </c>
      <c r="B34" s="20" t="str">
        <f>IF(心斎橋ラプロメッサ4000円[[#This Row],[人数]]=0,"",1)</f>
        <v/>
      </c>
      <c r="C34" s="14"/>
      <c r="D34" s="15"/>
      <c r="E34" s="21">
        <f>ROUNDDOWN(心斎橋ラプロメッサ4000円[[#This Row],[人数]]/8,0)</f>
        <v>0</v>
      </c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Row],[8件以上件数]]=0,"",心斎橋ラプロメッサ4000円[[#This Row],[8件以上件数]]*$B$1)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45046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 t="str">
        <f t="shared" si="0"/>
        <v/>
      </c>
      <c r="B35" s="20" t="str">
        <f>IF(心斎橋ラプロメッサ4000円[[#This Row],[人数]]=0,"",1)</f>
        <v/>
      </c>
      <c r="C35" s="18"/>
      <c r="D35" s="15"/>
      <c r="E35" s="21">
        <f>ROUNDDOWN(心斎橋ラプロメッサ4000円[[#This Row],[人数]]/8,0)</f>
        <v>0</v>
      </c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Row],[8件以上件数]]=0,"",心斎橋ラプロメッサ4000円[[#This Row],[8件以上件数]]*$B$1)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 t="str">
        <f t="shared" si="1"/>
        <v/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322</v>
      </c>
      <c r="B36" s="16">
        <f>SUM(心斎橋ラプロメッサ4000円[[#All],[件数]])</f>
        <v>0</v>
      </c>
      <c r="C36" s="6"/>
      <c r="D36" s="16">
        <f>SUM(心斎橋ラプロメッサ4000円[[#All],[人数]])</f>
        <v>0</v>
      </c>
      <c r="E36" s="16">
        <f>SUM(心斎橋ラプロメッサ4000円[[#All],[8件以上件数]])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71" t="s">
        <v>322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250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45023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 t="str">
        <f t="shared" si="1"/>
        <v/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322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322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252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322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322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14" activePane="bottomLeft" state="frozen"/>
      <selection pane="bottomLeft" activeCell="G26" sqref="G26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22500</v>
      </c>
      <c r="L2" s="46" t="s">
        <v>515</v>
      </c>
      <c r="M2" s="8">
        <v>500</v>
      </c>
    </row>
    <row r="3" spans="1:21">
      <c r="A3" s="46" t="s">
        <v>375</v>
      </c>
      <c r="B3" s="8">
        <v>4000</v>
      </c>
      <c r="C3" s="46" t="s">
        <v>253</v>
      </c>
      <c r="L3" s="46" t="s">
        <v>375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20" t="str">
        <f>IF(三ノ宮多味庵4000[[#This Row],[人数]]="","",1)</f>
        <v/>
      </c>
      <c r="C5" s="14"/>
      <c r="D5" s="15"/>
      <c r="E5" s="21">
        <f>ROUNDDOWN(三ノ宮多味庵4000[[#This Row],[人数]]/8,0)</f>
        <v>0</v>
      </c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45018</v>
      </c>
      <c r="B6" s="20" t="str">
        <f>IF(三ノ宮多味庵4000[[#This Row],[人数]]="","",1)</f>
        <v/>
      </c>
      <c r="C6" s="14"/>
      <c r="D6" s="15"/>
      <c r="E6" s="21">
        <f>ROUNDDOWN(三ノ宮多味庵4000[[#This Row],[人数]]/8,0)</f>
        <v>0</v>
      </c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45019</v>
      </c>
      <c r="B7" s="20" t="str">
        <f>IF(三ノ宮多味庵4000[[#This Row],[人数]]="","",1)</f>
        <v/>
      </c>
      <c r="C7" s="14"/>
      <c r="D7" s="15"/>
      <c r="E7" s="21">
        <f>ROUNDDOWN(三ノ宮多味庵4000[[#This Row],[人数]]/8,0)</f>
        <v>0</v>
      </c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45019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45020</v>
      </c>
      <c r="B8" s="20" t="str">
        <f>IF(三ノ宮多味庵4000[[#This Row],[人数]]="","",1)</f>
        <v/>
      </c>
      <c r="C8" s="14"/>
      <c r="D8" s="15"/>
      <c r="E8" s="21">
        <f>ROUNDDOWN(三ノ宮多味庵4000[[#This Row],[人数]]/8,0)</f>
        <v>0</v>
      </c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45020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45021</v>
      </c>
      <c r="B9" s="20" t="str">
        <f>IF(三ノ宮多味庵4000[[#This Row],[人数]]="","",1)</f>
        <v/>
      </c>
      <c r="C9" s="14"/>
      <c r="D9" s="15"/>
      <c r="E9" s="21">
        <f>ROUNDDOWN(三ノ宮多味庵4000[[#This Row],[人数]]/8,0)</f>
        <v>0</v>
      </c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45021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45022</v>
      </c>
      <c r="B10" s="20" t="str">
        <f>IF(三ノ宮多味庵4000[[#This Row],[人数]]="","",1)</f>
        <v/>
      </c>
      <c r="C10" s="14"/>
      <c r="D10" s="15"/>
      <c r="E10" s="21">
        <f>ROUNDDOWN(三ノ宮多味庵4000[[#This Row],[人数]]/8,0)</f>
        <v>0</v>
      </c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45022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45023</v>
      </c>
      <c r="B11" s="20" t="str">
        <f>IF(三ノ宮多味庵4000[[#This Row],[人数]]="","",1)</f>
        <v/>
      </c>
      <c r="C11" s="14"/>
      <c r="D11" s="15"/>
      <c r="E11" s="21">
        <f>ROUNDDOWN(三ノ宮多味庵4000[[#This Row],[人数]]/8,0)</f>
        <v>0</v>
      </c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45023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45024</v>
      </c>
      <c r="B12" s="20" t="str">
        <f>IF(三ノ宮多味庵4000[[#This Row],[人数]]="","",1)</f>
        <v/>
      </c>
      <c r="C12" s="14"/>
      <c r="D12" s="15"/>
      <c r="E12" s="21">
        <f>ROUNDDOWN(三ノ宮多味庵4000[[#This Row],[人数]]/8,0)</f>
        <v>0</v>
      </c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45024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45025</v>
      </c>
      <c r="B13" s="20" t="str">
        <f>IF(三ノ宮多味庵4000[[#This Row],[人数]]="","",1)</f>
        <v/>
      </c>
      <c r="C13" s="14"/>
      <c r="D13" s="15"/>
      <c r="E13" s="21">
        <f>ROUNDDOWN(三ノ宮多味庵4000[[#This Row],[人数]]/8,0)</f>
        <v>0</v>
      </c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45025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45026</v>
      </c>
      <c r="B14" s="20" t="str">
        <f>IF(三ノ宮多味庵4000[[#This Row],[人数]]="","",1)</f>
        <v/>
      </c>
      <c r="C14" s="14"/>
      <c r="D14" s="15"/>
      <c r="E14" s="21">
        <f>ROUNDDOWN(三ノ宮多味庵4000[[#This Row],[人数]]/8,0)</f>
        <v>0</v>
      </c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45026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45027</v>
      </c>
      <c r="B15" s="20" t="str">
        <f>IF(三ノ宮多味庵4000[[#This Row],[人数]]="","",1)</f>
        <v/>
      </c>
      <c r="C15" s="14"/>
      <c r="D15" s="15"/>
      <c r="E15" s="21">
        <f>ROUNDDOWN(三ノ宮多味庵4000[[#This Row],[人数]]/8,0)</f>
        <v>0</v>
      </c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45027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45028</v>
      </c>
      <c r="B16" s="20" t="str">
        <f>IF(三ノ宮多味庵4000[[#This Row],[人数]]="","",1)</f>
        <v/>
      </c>
      <c r="C16" s="14"/>
      <c r="D16" s="15"/>
      <c r="E16" s="21">
        <f>ROUNDDOWN(三ノ宮多味庵4000[[#This Row],[人数]]/8,0)</f>
        <v>0</v>
      </c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45028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45029</v>
      </c>
      <c r="B17" s="20" t="str">
        <f>IF(三ノ宮多味庵4000[[#This Row],[人数]]="","",1)</f>
        <v/>
      </c>
      <c r="C17" s="14"/>
      <c r="D17" s="15"/>
      <c r="E17" s="21">
        <f>ROUNDDOWN(三ノ宮多味庵4000[[#This Row],[人数]]/8,0)</f>
        <v>0</v>
      </c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45029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45030</v>
      </c>
      <c r="B18" s="20" t="str">
        <f>IF(三ノ宮多味庵4000[[#This Row],[人数]]="","",1)</f>
        <v/>
      </c>
      <c r="C18" s="14"/>
      <c r="D18" s="15"/>
      <c r="E18" s="21">
        <f>ROUNDDOWN(三ノ宮多味庵4000[[#This Row],[人数]]/8,0)</f>
        <v>0</v>
      </c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45030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45031</v>
      </c>
      <c r="B19" s="20" t="str">
        <f>IF(三ノ宮多味庵4000[[#This Row],[人数]]="","",1)</f>
        <v/>
      </c>
      <c r="C19" s="14"/>
      <c r="D19" s="15"/>
      <c r="E19" s="21">
        <f>ROUNDDOWN(三ノ宮多味庵4000[[#This Row],[人数]]/8,0)</f>
        <v>0</v>
      </c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45031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45032</v>
      </c>
      <c r="B20" s="20" t="str">
        <f>IF(三ノ宮多味庵4000[[#This Row],[人数]]="","",1)</f>
        <v/>
      </c>
      <c r="C20" s="14"/>
      <c r="D20" s="15"/>
      <c r="E20" s="21">
        <f>ROUNDDOWN(三ノ宮多味庵4000[[#This Row],[人数]]/8,0)</f>
        <v>0</v>
      </c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45032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45033</v>
      </c>
      <c r="B21" s="20" t="str">
        <f>IF(三ノ宮多味庵4000[[#This Row],[人数]]="","",1)</f>
        <v/>
      </c>
      <c r="C21" s="14"/>
      <c r="D21" s="15"/>
      <c r="E21" s="21">
        <f>ROUNDDOWN(三ノ宮多味庵4000[[#This Row],[人数]]/8,0)</f>
        <v>0</v>
      </c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45033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45034</v>
      </c>
      <c r="B22" s="20" t="str">
        <f>IF(三ノ宮多味庵4000[[#This Row],[人数]]="","",1)</f>
        <v/>
      </c>
      <c r="C22" s="14"/>
      <c r="D22" s="15"/>
      <c r="E22" s="21">
        <f>ROUNDDOWN(三ノ宮多味庵4000[[#This Row],[人数]]/8,0)</f>
        <v>0</v>
      </c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45034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45035</v>
      </c>
      <c r="B23" s="20" t="str">
        <f>IF(三ノ宮多味庵4000[[#This Row],[人数]]="","",1)</f>
        <v/>
      </c>
      <c r="C23" s="14"/>
      <c r="D23" s="15"/>
      <c r="E23" s="21">
        <f>ROUNDDOWN(三ノ宮多味庵4000[[#This Row],[人数]]/8,0)</f>
        <v>0</v>
      </c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45035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45036</v>
      </c>
      <c r="B24" s="20" t="str">
        <f>IF(三ノ宮多味庵4000[[#This Row],[人数]]="","",1)</f>
        <v/>
      </c>
      <c r="C24" s="14"/>
      <c r="D24" s="15"/>
      <c r="E24" s="21">
        <f>ROUNDDOWN(三ノ宮多味庵4000[[#This Row],[人数]]/8,0)</f>
        <v>0</v>
      </c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45036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45037</v>
      </c>
      <c r="B25" s="20" t="str">
        <f>IF(三ノ宮多味庵4000[[#This Row],[人数]]="","",1)</f>
        <v/>
      </c>
      <c r="C25" s="14"/>
      <c r="D25" s="15"/>
      <c r="E25" s="21">
        <f>ROUNDDOWN(三ノ宮多味庵4000[[#This Row],[人数]]/8,0)</f>
        <v>0</v>
      </c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45037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45038</v>
      </c>
      <c r="B26" s="20">
        <f>IF(三ノ宮多味庵4000[[#This Row],[人数]]="","",1)</f>
        <v>1</v>
      </c>
      <c r="C26" s="14"/>
      <c r="D26" s="15">
        <v>10</v>
      </c>
      <c r="E26" s="21">
        <f>ROUNDDOWN(三ノ宮多味庵4000[[#This Row],[人数]]/8,0)</f>
        <v>1</v>
      </c>
      <c r="F26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22500</v>
      </c>
      <c r="G26" s="16">
        <f>IFERROR(($B$3*三ノ宮多味庵4000[[#This Row],[人数]])-三ノ宮多味庵4000[[#This Row],[単価合計]]-(三ノ宮多味庵4000[[#This Row],[キャンセル人数]]*$B$2),"")</f>
        <v>17500</v>
      </c>
      <c r="H26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26" s="15"/>
      <c r="J26" s="16">
        <f>IF(三ノ宮多味庵4000[[#This Row],[人数]]="","",VLOOKUP(三ノ宮多味庵4000[[#This Row],[人数]],バック金額②[#All],2,TRUE)-(三ノ宮多味庵4000[[#This Row],[キャンセル人数]]*$B$2))</f>
        <v>11000</v>
      </c>
      <c r="L26" s="63">
        <f t="shared" si="1"/>
        <v>45038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45039</v>
      </c>
      <c r="B27" s="20" t="str">
        <f>IF(三ノ宮多味庵4000[[#This Row],[人数]]="","",1)</f>
        <v/>
      </c>
      <c r="C27" s="14"/>
      <c r="D27" s="15"/>
      <c r="E27" s="21">
        <f>ROUNDDOWN(三ノ宮多味庵4000[[#This Row],[人数]]/8,0)</f>
        <v>0</v>
      </c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45039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45040</v>
      </c>
      <c r="B28" s="20" t="str">
        <f>IF(三ノ宮多味庵4000[[#This Row],[人数]]="","",1)</f>
        <v/>
      </c>
      <c r="C28" s="14"/>
      <c r="D28" s="15"/>
      <c r="E28" s="21">
        <f>ROUNDDOWN(三ノ宮多味庵4000[[#This Row],[人数]]/8,0)</f>
        <v>0</v>
      </c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45040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45041</v>
      </c>
      <c r="B29" s="20" t="str">
        <f>IF(三ノ宮多味庵4000[[#This Row],[人数]]="","",1)</f>
        <v/>
      </c>
      <c r="C29" s="14"/>
      <c r="D29" s="15"/>
      <c r="E29" s="21">
        <f>ROUNDDOWN(三ノ宮多味庵4000[[#This Row],[人数]]/8,0)</f>
        <v>0</v>
      </c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3">
        <f t="shared" si="1"/>
        <v>45041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45042</v>
      </c>
      <c r="B30" s="20" t="str">
        <f>IF(三ノ宮多味庵4000[[#This Row],[人数]]="","",1)</f>
        <v/>
      </c>
      <c r="C30" s="14"/>
      <c r="D30" s="15"/>
      <c r="E30" s="21">
        <f>ROUNDDOWN(三ノ宮多味庵4000[[#This Row],[人数]]/8,0)</f>
        <v>0</v>
      </c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45042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45043</v>
      </c>
      <c r="B31" s="20" t="str">
        <f>IF(三ノ宮多味庵4000[[#This Row],[人数]]="","",1)</f>
        <v/>
      </c>
      <c r="C31" s="14"/>
      <c r="D31" s="15"/>
      <c r="E31" s="21">
        <f>ROUNDDOWN(三ノ宮多味庵4000[[#This Row],[人数]]/8,0)</f>
        <v>0</v>
      </c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45043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45044</v>
      </c>
      <c r="B32" s="20" t="str">
        <f>IF(三ノ宮多味庵4000[[#This Row],[人数]]="","",1)</f>
        <v/>
      </c>
      <c r="C32" s="14"/>
      <c r="D32" s="15"/>
      <c r="E32" s="21">
        <f>ROUNDDOWN(三ノ宮多味庵4000[[#This Row],[人数]]/8,0)</f>
        <v>0</v>
      </c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45044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45045</v>
      </c>
      <c r="B33" s="20" t="str">
        <f>IF(三ノ宮多味庵4000[[#This Row],[人数]]="","",1)</f>
        <v/>
      </c>
      <c r="C33" s="14"/>
      <c r="D33" s="15"/>
      <c r="E33" s="21">
        <f>ROUNDDOWN(三ノ宮多味庵4000[[#This Row],[人数]]/8,0)</f>
        <v>0</v>
      </c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45045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45046</v>
      </c>
      <c r="B34" s="20" t="str">
        <f>IF(三ノ宮多味庵4000[[#This Row],[人数]]="","",1)</f>
        <v/>
      </c>
      <c r="C34" s="14"/>
      <c r="D34" s="15"/>
      <c r="E34" s="21">
        <f>ROUNDDOWN(三ノ宮多味庵4000[[#This Row],[人数]]/8,0)</f>
        <v>0</v>
      </c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45046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 t="str">
        <f t="shared" si="0"/>
        <v/>
      </c>
      <c r="B35" s="20" t="str">
        <f>IF(三ノ宮多味庵4000[[#This Row],[人数]]="","",1)</f>
        <v/>
      </c>
      <c r="C35" s="14"/>
      <c r="D35" s="15"/>
      <c r="E35" s="21">
        <f>ROUNDDOWN(三ノ宮多味庵4000[[#This Row],[人数]]/8,0)</f>
        <v>0</v>
      </c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1</v>
      </c>
      <c r="C36" s="6"/>
      <c r="D36" s="7">
        <f>SUM(三ノ宮多味庵4000[[#All],[人数]])</f>
        <v>10</v>
      </c>
      <c r="E36" s="7">
        <f>SUM(三ノ宮多味庵4000[[#All],[8名以上件数]])</f>
        <v>1</v>
      </c>
      <c r="F36" s="7">
        <f>SUM(三ノ宮多味庵4000[[#All],[単価合計]])</f>
        <v>22500</v>
      </c>
      <c r="G36" s="7">
        <f>SUM(三ノ宮多味庵4000[[#All],[ゆうき取りに行く]])</f>
        <v>17500</v>
      </c>
      <c r="H36" s="7"/>
      <c r="I36" s="7"/>
      <c r="J36" s="7">
        <f>SUM(三ノ宮多味庵4000[[#All],[イベンターへ]])</f>
        <v>11000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238</v>
      </c>
      <c r="L3" s="46" t="s">
        <v>375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45021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45023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45025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45027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45029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45031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45033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45035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45037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45039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45041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45043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45045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 t="str">
        <f t="shared" si="1"/>
        <v/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322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322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251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45020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45021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45022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45023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45024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45025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45026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45027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45028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45029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45030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45031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45032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45033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45034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45035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45036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45037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45038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45039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45040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45041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45042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45043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45044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45045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45046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322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322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254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322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322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322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322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257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322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322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322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322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H21" sqref="H21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510</v>
      </c>
    </row>
    <row r="2" spans="1:21">
      <c r="A2" s="46" t="s">
        <v>371</v>
      </c>
      <c r="B2" s="8">
        <v>1100</v>
      </c>
    </row>
    <row r="3" spans="1:21">
      <c r="A3" s="46" t="s">
        <v>375</v>
      </c>
      <c r="B3" s="8">
        <v>4000</v>
      </c>
      <c r="C3" s="46" t="s">
        <v>565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20" t="str">
        <f>IF(梅田ここから4000[[#This Row],[人数]]=0,"",1)</f>
        <v/>
      </c>
      <c r="C5" s="14"/>
      <c r="D5" s="15"/>
      <c r="E5" s="21">
        <f>ROUNDDOWN(梅田ここから4000[[#This Row],[人数]]/8,0)</f>
        <v>0</v>
      </c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20" t="str">
        <f>IF(梅田ここから3500[[#This Row],[人数]]=0,"",1)</f>
        <v/>
      </c>
      <c r="N5" s="14"/>
      <c r="O5" s="15"/>
      <c r="P5" s="21">
        <f>ROUNDDOWN(梅田ここから3500[[#This Row],[人数]]/8,0)</f>
        <v>0</v>
      </c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IF(梅田ここから4000[[#This Row],[人数]]=0,"",1)</f>
        <v/>
      </c>
      <c r="C6" s="14"/>
      <c r="D6" s="15"/>
      <c r="E6" s="21">
        <f>ROUNDDOWN(梅田ここから4000[[#This Row],[人数]]/8,0)</f>
        <v>0</v>
      </c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20" t="str">
        <f>IF(梅田ここから3500[[#This Row],[人数]]=0,"",1)</f>
        <v/>
      </c>
      <c r="N6" s="14"/>
      <c r="O6" s="15"/>
      <c r="P6" s="21">
        <f>ROUNDDOWN(梅田ここから3500[[#This Row],[人数]]/8,0)</f>
        <v>0</v>
      </c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IF(梅田ここから4000[[#This Row],[人数]]=0,"",1)</f>
        <v/>
      </c>
      <c r="C7" s="14"/>
      <c r="D7" s="15"/>
      <c r="E7" s="21">
        <f>ROUNDDOWN(梅田ここから4000[[#This Row],[人数]]/8,0)</f>
        <v>0</v>
      </c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0" t="str">
        <f>IF(梅田ここから3500[[#This Row],[人数]]=0,"",1)</f>
        <v/>
      </c>
      <c r="N7" s="14"/>
      <c r="O7" s="15"/>
      <c r="P7" s="21">
        <f>ROUNDDOWN(梅田ここから3500[[#This Row],[人数]]/8,0)</f>
        <v>0</v>
      </c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45020</v>
      </c>
      <c r="B8" s="20" t="str">
        <f>IF(梅田ここから4000[[#This Row],[人数]]=0,"",1)</f>
        <v/>
      </c>
      <c r="C8" s="14"/>
      <c r="D8" s="15"/>
      <c r="E8" s="21">
        <f>ROUNDDOWN(梅田ここから4000[[#This Row],[人数]]/8,0)</f>
        <v>0</v>
      </c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45020</v>
      </c>
      <c r="M8" s="20" t="str">
        <f>IF(梅田ここから3500[[#This Row],[人数]]=0,"",1)</f>
        <v/>
      </c>
      <c r="N8" s="14"/>
      <c r="O8" s="15"/>
      <c r="P8" s="21">
        <f>ROUNDDOWN(梅田ここから3500[[#This Row],[人数]]/8,0)</f>
        <v>0</v>
      </c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45021</v>
      </c>
      <c r="B9" s="20" t="str">
        <f>IF(梅田ここから4000[[#This Row],[人数]]=0,"",1)</f>
        <v/>
      </c>
      <c r="C9" s="14"/>
      <c r="D9" s="15"/>
      <c r="E9" s="21">
        <f>ROUNDDOWN(梅田ここから4000[[#This Row],[人数]]/8,0)</f>
        <v>0</v>
      </c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45021</v>
      </c>
      <c r="M9" s="20" t="str">
        <f>IF(梅田ここから3500[[#This Row],[人数]]=0,"",1)</f>
        <v/>
      </c>
      <c r="N9" s="14"/>
      <c r="O9" s="15"/>
      <c r="P9" s="21">
        <f>ROUNDDOWN(梅田ここから3500[[#This Row],[人数]]/8,0)</f>
        <v>0</v>
      </c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45022</v>
      </c>
      <c r="B10" s="20" t="str">
        <f>IF(梅田ここから4000[[#This Row],[人数]]=0,"",1)</f>
        <v/>
      </c>
      <c r="C10" s="14"/>
      <c r="D10" s="15"/>
      <c r="E10" s="21">
        <f>ROUNDDOWN(梅田ここから4000[[#This Row],[人数]]/8,0)</f>
        <v>0</v>
      </c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45022</v>
      </c>
      <c r="M10" s="20" t="str">
        <f>IF(梅田ここから3500[[#This Row],[人数]]=0,"",1)</f>
        <v/>
      </c>
      <c r="N10" s="14"/>
      <c r="O10" s="15"/>
      <c r="P10" s="21">
        <f>ROUNDDOWN(梅田ここから3500[[#This Row],[人数]]/8,0)</f>
        <v>0</v>
      </c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45023</v>
      </c>
      <c r="B11" s="20" t="str">
        <f>IF(梅田ここから4000[[#This Row],[人数]]=0,"",1)</f>
        <v/>
      </c>
      <c r="C11" s="14"/>
      <c r="D11" s="15"/>
      <c r="E11" s="21">
        <f>ROUNDDOWN(梅田ここから4000[[#This Row],[人数]]/8,0)</f>
        <v>0</v>
      </c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45023</v>
      </c>
      <c r="M11" s="20" t="str">
        <f>IF(梅田ここから3500[[#This Row],[人数]]=0,"",1)</f>
        <v/>
      </c>
      <c r="N11" s="14"/>
      <c r="O11" s="15"/>
      <c r="P11" s="21">
        <f>ROUNDDOWN(梅田ここから3500[[#This Row],[人数]]/8,0)</f>
        <v>0</v>
      </c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45024</v>
      </c>
      <c r="B12" s="20" t="str">
        <f>IF(梅田ここから4000[[#This Row],[人数]]=0,"",1)</f>
        <v/>
      </c>
      <c r="C12" s="14"/>
      <c r="D12" s="15"/>
      <c r="E12" s="21">
        <f>ROUNDDOWN(梅田ここから4000[[#This Row],[人数]]/8,0)</f>
        <v>0</v>
      </c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45024</v>
      </c>
      <c r="M12" s="20" t="str">
        <f>IF(梅田ここから3500[[#This Row],[人数]]=0,"",1)</f>
        <v/>
      </c>
      <c r="N12" s="14"/>
      <c r="O12" s="15"/>
      <c r="P12" s="21">
        <f>ROUNDDOWN(梅田ここから3500[[#This Row],[人数]]/8,0)</f>
        <v>0</v>
      </c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45025</v>
      </c>
      <c r="B13" s="20" t="str">
        <f>IF(梅田ここから4000[[#This Row],[人数]]=0,"",1)</f>
        <v/>
      </c>
      <c r="C13" s="14"/>
      <c r="D13" s="15"/>
      <c r="E13" s="21">
        <f>ROUNDDOWN(梅田ここから4000[[#This Row],[人数]]/8,0)</f>
        <v>0</v>
      </c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45025</v>
      </c>
      <c r="M13" s="20" t="str">
        <f>IF(梅田ここから3500[[#This Row],[人数]]=0,"",1)</f>
        <v/>
      </c>
      <c r="N13" s="14"/>
      <c r="O13" s="15"/>
      <c r="P13" s="21">
        <f>ROUNDDOWN(梅田ここから3500[[#This Row],[人数]]/8,0)</f>
        <v>0</v>
      </c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45026</v>
      </c>
      <c r="B14" s="20" t="str">
        <f>IF(梅田ここから4000[[#This Row],[人数]]=0,"",1)</f>
        <v/>
      </c>
      <c r="C14" s="14"/>
      <c r="D14" s="15"/>
      <c r="E14" s="21">
        <f>ROUNDDOWN(梅田ここから4000[[#This Row],[人数]]/8,0)</f>
        <v>0</v>
      </c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45026</v>
      </c>
      <c r="M14" s="20" t="str">
        <f>IF(梅田ここから3500[[#This Row],[人数]]=0,"",1)</f>
        <v/>
      </c>
      <c r="N14" s="14"/>
      <c r="O14" s="15"/>
      <c r="P14" s="21">
        <f>ROUNDDOWN(梅田ここから3500[[#This Row],[人数]]/8,0)</f>
        <v>0</v>
      </c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45027</v>
      </c>
      <c r="B15" s="20" t="str">
        <f>IF(梅田ここから4000[[#This Row],[人数]]=0,"",1)</f>
        <v/>
      </c>
      <c r="C15" s="14"/>
      <c r="D15" s="15"/>
      <c r="E15" s="21">
        <f>ROUNDDOWN(梅田ここから4000[[#This Row],[人数]]/8,0)</f>
        <v>0</v>
      </c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45027</v>
      </c>
      <c r="M15" s="20" t="str">
        <f>IF(梅田ここから3500[[#This Row],[人数]]=0,"",1)</f>
        <v/>
      </c>
      <c r="N15" s="14"/>
      <c r="O15" s="15"/>
      <c r="P15" s="21">
        <f>ROUNDDOWN(梅田ここから3500[[#This Row],[人数]]/8,0)</f>
        <v>0</v>
      </c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45028</v>
      </c>
      <c r="B16" s="20" t="str">
        <f>IF(梅田ここから4000[[#This Row],[人数]]=0,"",1)</f>
        <v/>
      </c>
      <c r="C16" s="14"/>
      <c r="D16" s="15"/>
      <c r="E16" s="21">
        <f>ROUNDDOWN(梅田ここから4000[[#This Row],[人数]]/8,0)</f>
        <v>0</v>
      </c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45028</v>
      </c>
      <c r="M16" s="20" t="str">
        <f>IF(梅田ここから3500[[#This Row],[人数]]=0,"",1)</f>
        <v/>
      </c>
      <c r="N16" s="14"/>
      <c r="O16" s="15"/>
      <c r="P16" s="21">
        <f>ROUNDDOWN(梅田ここから3500[[#This Row],[人数]]/8,0)</f>
        <v>0</v>
      </c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45029</v>
      </c>
      <c r="B17" s="20" t="str">
        <f>IF(梅田ここから4000[[#This Row],[人数]]=0,"",1)</f>
        <v/>
      </c>
      <c r="C17" s="14"/>
      <c r="D17" s="15"/>
      <c r="E17" s="21">
        <f>ROUNDDOWN(梅田ここから4000[[#This Row],[人数]]/8,0)</f>
        <v>0</v>
      </c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45029</v>
      </c>
      <c r="M17" s="20" t="str">
        <f>IF(梅田ここから3500[[#This Row],[人数]]=0,"",1)</f>
        <v/>
      </c>
      <c r="N17" s="14"/>
      <c r="O17" s="15"/>
      <c r="P17" s="21">
        <f>ROUNDDOWN(梅田ここから3500[[#This Row],[人数]]/8,0)</f>
        <v>0</v>
      </c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45030</v>
      </c>
      <c r="B18" s="20" t="str">
        <f>IF(梅田ここから4000[[#This Row],[人数]]=0,"",1)</f>
        <v/>
      </c>
      <c r="C18" s="14"/>
      <c r="D18" s="15"/>
      <c r="E18" s="21">
        <f>ROUNDDOWN(梅田ここから4000[[#This Row],[人数]]/8,0)</f>
        <v>0</v>
      </c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45030</v>
      </c>
      <c r="M18" s="20" t="str">
        <f>IF(梅田ここから3500[[#This Row],[人数]]=0,"",1)</f>
        <v/>
      </c>
      <c r="N18" s="14"/>
      <c r="O18" s="15"/>
      <c r="P18" s="21">
        <f>ROUNDDOWN(梅田ここから3500[[#This Row],[人数]]/8,0)</f>
        <v>0</v>
      </c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45031</v>
      </c>
      <c r="B19" s="20" t="str">
        <f>IF(梅田ここから4000[[#This Row],[人数]]=0,"",1)</f>
        <v/>
      </c>
      <c r="C19" s="14"/>
      <c r="D19" s="15"/>
      <c r="E19" s="21">
        <f>ROUNDDOWN(梅田ここから4000[[#This Row],[人数]]/8,0)</f>
        <v>0</v>
      </c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45031</v>
      </c>
      <c r="M19" s="20" t="str">
        <f>IF(梅田ここから3500[[#This Row],[人数]]=0,"",1)</f>
        <v/>
      </c>
      <c r="N19" s="14"/>
      <c r="O19" s="15"/>
      <c r="P19" s="21">
        <f>ROUNDDOWN(梅田ここから3500[[#This Row],[人数]]/8,0)</f>
        <v>0</v>
      </c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45032</v>
      </c>
      <c r="B20" s="20" t="str">
        <f>IF(梅田ここから4000[[#This Row],[人数]]=0,"",1)</f>
        <v/>
      </c>
      <c r="C20" s="14"/>
      <c r="D20" s="15"/>
      <c r="E20" s="21">
        <f>ROUNDDOWN(梅田ここから4000[[#This Row],[人数]]/8,0)</f>
        <v>0</v>
      </c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45032</v>
      </c>
      <c r="M20" s="20" t="str">
        <f>IF(梅田ここから3500[[#This Row],[人数]]=0,"",1)</f>
        <v/>
      </c>
      <c r="N20" s="14"/>
      <c r="O20" s="15"/>
      <c r="P20" s="21">
        <f>ROUNDDOWN(梅田ここから3500[[#This Row],[人数]]/8,0)</f>
        <v>0</v>
      </c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45033</v>
      </c>
      <c r="B21" s="20" t="str">
        <f>IF(梅田ここから4000[[#This Row],[人数]]=0,"",1)</f>
        <v/>
      </c>
      <c r="C21" s="14"/>
      <c r="D21" s="15"/>
      <c r="E21" s="21">
        <f>ROUNDDOWN(梅田ここから4000[[#This Row],[人数]]/8,0)</f>
        <v>0</v>
      </c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45033</v>
      </c>
      <c r="M21" s="20" t="str">
        <f>IF(梅田ここから3500[[#This Row],[人数]]=0,"",1)</f>
        <v/>
      </c>
      <c r="N21" s="14"/>
      <c r="O21" s="15"/>
      <c r="P21" s="21">
        <f>ROUNDDOWN(梅田ここから3500[[#This Row],[人数]]/8,0)</f>
        <v>0</v>
      </c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45034</v>
      </c>
      <c r="B22" s="20" t="str">
        <f>IF(梅田ここから4000[[#This Row],[人数]]=0,"",1)</f>
        <v/>
      </c>
      <c r="C22" s="14"/>
      <c r="D22" s="15"/>
      <c r="E22" s="21">
        <f>ROUNDDOWN(梅田ここから4000[[#This Row],[人数]]/8,0)</f>
        <v>0</v>
      </c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45034</v>
      </c>
      <c r="M22" s="20" t="str">
        <f>IF(梅田ここから3500[[#This Row],[人数]]=0,"",1)</f>
        <v/>
      </c>
      <c r="N22" s="14"/>
      <c r="O22" s="15"/>
      <c r="P22" s="21">
        <f>ROUNDDOWN(梅田ここから3500[[#This Row],[人数]]/8,0)</f>
        <v>0</v>
      </c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45035</v>
      </c>
      <c r="B23" s="20" t="str">
        <f>IF(梅田ここから4000[[#This Row],[人数]]=0,"",1)</f>
        <v/>
      </c>
      <c r="C23" s="14"/>
      <c r="D23" s="15"/>
      <c r="E23" s="21">
        <f>ROUNDDOWN(梅田ここから4000[[#This Row],[人数]]/8,0)</f>
        <v>0</v>
      </c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45035</v>
      </c>
      <c r="M23" s="20" t="str">
        <f>IF(梅田ここから3500[[#This Row],[人数]]=0,"",1)</f>
        <v/>
      </c>
      <c r="N23" s="14"/>
      <c r="O23" s="15"/>
      <c r="P23" s="21">
        <f>ROUNDDOWN(梅田ここから3500[[#This Row],[人数]]/8,0)</f>
        <v>0</v>
      </c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45036</v>
      </c>
      <c r="B24" s="20" t="str">
        <f>IF(梅田ここから4000[[#This Row],[人数]]=0,"",1)</f>
        <v/>
      </c>
      <c r="C24" s="14"/>
      <c r="D24" s="15"/>
      <c r="E24" s="21">
        <f>ROUNDDOWN(梅田ここから4000[[#This Row],[人数]]/8,0)</f>
        <v>0</v>
      </c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45036</v>
      </c>
      <c r="M24" s="20" t="str">
        <f>IF(梅田ここから3500[[#This Row],[人数]]=0,"",1)</f>
        <v/>
      </c>
      <c r="N24" s="14"/>
      <c r="O24" s="15"/>
      <c r="P24" s="21">
        <f>ROUNDDOWN(梅田ここから3500[[#This Row],[人数]]/8,0)</f>
        <v>0</v>
      </c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45037</v>
      </c>
      <c r="B25" s="20" t="str">
        <f>IF(梅田ここから4000[[#This Row],[人数]]=0,"",1)</f>
        <v/>
      </c>
      <c r="C25" s="14"/>
      <c r="D25" s="15"/>
      <c r="E25" s="21">
        <f>ROUNDDOWN(梅田ここから4000[[#This Row],[人数]]/8,0)</f>
        <v>0</v>
      </c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45037</v>
      </c>
      <c r="M25" s="20" t="str">
        <f>IF(梅田ここから3500[[#This Row],[人数]]=0,"",1)</f>
        <v/>
      </c>
      <c r="N25" s="14"/>
      <c r="O25" s="15"/>
      <c r="P25" s="21">
        <f>ROUNDDOWN(梅田ここから3500[[#This Row],[人数]]/8,0)</f>
        <v>0</v>
      </c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45038</v>
      </c>
      <c r="B26" s="20" t="str">
        <f>IF(梅田ここから4000[[#This Row],[人数]]=0,"",1)</f>
        <v/>
      </c>
      <c r="C26" s="14"/>
      <c r="D26" s="15"/>
      <c r="E26" s="21">
        <f>ROUNDDOWN(梅田ここから4000[[#This Row],[人数]]/8,0)</f>
        <v>0</v>
      </c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45038</v>
      </c>
      <c r="M26" s="20" t="str">
        <f>IF(梅田ここから3500[[#This Row],[人数]]=0,"",1)</f>
        <v/>
      </c>
      <c r="N26" s="14"/>
      <c r="O26" s="15"/>
      <c r="P26" s="21">
        <f>ROUNDDOWN(梅田ここから3500[[#This Row],[人数]]/8,0)</f>
        <v>0</v>
      </c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45039</v>
      </c>
      <c r="B27" s="20" t="str">
        <f>IF(梅田ここから4000[[#This Row],[人数]]=0,"",1)</f>
        <v/>
      </c>
      <c r="C27" s="14"/>
      <c r="D27" s="15"/>
      <c r="E27" s="21">
        <f>ROUNDDOWN(梅田ここから4000[[#This Row],[人数]]/8,0)</f>
        <v>0</v>
      </c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45039</v>
      </c>
      <c r="M27" s="20" t="str">
        <f>IF(梅田ここから3500[[#This Row],[人数]]=0,"",1)</f>
        <v/>
      </c>
      <c r="N27" s="14"/>
      <c r="O27" s="15"/>
      <c r="P27" s="21">
        <f>ROUNDDOWN(梅田ここから3500[[#This Row],[人数]]/8,0)</f>
        <v>0</v>
      </c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45040</v>
      </c>
      <c r="B28" s="20" t="str">
        <f>IF(梅田ここから4000[[#This Row],[人数]]=0,"",1)</f>
        <v/>
      </c>
      <c r="C28" s="14"/>
      <c r="D28" s="15"/>
      <c r="E28" s="21">
        <f>ROUNDDOWN(梅田ここから4000[[#This Row],[人数]]/8,0)</f>
        <v>0</v>
      </c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45040</v>
      </c>
      <c r="M28" s="20" t="str">
        <f>IF(梅田ここから3500[[#This Row],[人数]]=0,"",1)</f>
        <v/>
      </c>
      <c r="N28" s="14"/>
      <c r="O28" s="15"/>
      <c r="P28" s="21">
        <f>ROUNDDOWN(梅田ここから3500[[#This Row],[人数]]/8,0)</f>
        <v>0</v>
      </c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45041</v>
      </c>
      <c r="B29" s="20" t="str">
        <f>IF(梅田ここから4000[[#This Row],[人数]]=0,"",1)</f>
        <v/>
      </c>
      <c r="C29" s="14"/>
      <c r="D29" s="15"/>
      <c r="E29" s="21">
        <f>ROUNDDOWN(梅田ここから4000[[#This Row],[人数]]/8,0)</f>
        <v>0</v>
      </c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45041</v>
      </c>
      <c r="M29" s="20" t="str">
        <f>IF(梅田ここから3500[[#This Row],[人数]]=0,"",1)</f>
        <v/>
      </c>
      <c r="N29" s="14"/>
      <c r="O29" s="15"/>
      <c r="P29" s="21">
        <f>ROUNDDOWN(梅田ここから3500[[#This Row],[人数]]/8,0)</f>
        <v>0</v>
      </c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45042</v>
      </c>
      <c r="B30" s="20" t="str">
        <f>IF(梅田ここから4000[[#This Row],[人数]]=0,"",1)</f>
        <v/>
      </c>
      <c r="C30" s="14"/>
      <c r="D30" s="15"/>
      <c r="E30" s="21">
        <f>ROUNDDOWN(梅田ここから4000[[#This Row],[人数]]/8,0)</f>
        <v>0</v>
      </c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45042</v>
      </c>
      <c r="M30" s="20" t="str">
        <f>IF(梅田ここから3500[[#This Row],[人数]]=0,"",1)</f>
        <v/>
      </c>
      <c r="N30" s="14"/>
      <c r="O30" s="15"/>
      <c r="P30" s="21">
        <f>ROUNDDOWN(梅田ここから3500[[#This Row],[人数]]/8,0)</f>
        <v>0</v>
      </c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45043</v>
      </c>
      <c r="B31" s="20" t="str">
        <f>IF(梅田ここから4000[[#This Row],[人数]]=0,"",1)</f>
        <v/>
      </c>
      <c r="C31" s="14"/>
      <c r="D31" s="15"/>
      <c r="E31" s="21">
        <f>ROUNDDOWN(梅田ここから4000[[#This Row],[人数]]/8,0)</f>
        <v>0</v>
      </c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45043</v>
      </c>
      <c r="M31" s="20" t="str">
        <f>IF(梅田ここから3500[[#This Row],[人数]]=0,"",1)</f>
        <v/>
      </c>
      <c r="N31" s="14"/>
      <c r="O31" s="15"/>
      <c r="P31" s="21">
        <f>ROUNDDOWN(梅田ここから3500[[#This Row],[人数]]/8,0)</f>
        <v>0</v>
      </c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45044</v>
      </c>
      <c r="B32" s="20" t="str">
        <f>IF(梅田ここから4000[[#This Row],[人数]]=0,"",1)</f>
        <v/>
      </c>
      <c r="C32" s="14"/>
      <c r="D32" s="15"/>
      <c r="E32" s="21">
        <f>ROUNDDOWN(梅田ここから4000[[#This Row],[人数]]/8,0)</f>
        <v>0</v>
      </c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45044</v>
      </c>
      <c r="M32" s="20" t="str">
        <f>IF(梅田ここから3500[[#This Row],[人数]]=0,"",1)</f>
        <v/>
      </c>
      <c r="N32" s="14"/>
      <c r="O32" s="15"/>
      <c r="P32" s="21">
        <f>ROUNDDOWN(梅田ここから3500[[#This Row],[人数]]/8,0)</f>
        <v>0</v>
      </c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45045</v>
      </c>
      <c r="B33" s="20" t="str">
        <f>IF(梅田ここから4000[[#This Row],[人数]]=0,"",1)</f>
        <v/>
      </c>
      <c r="C33" s="14"/>
      <c r="D33" s="15"/>
      <c r="E33" s="21">
        <f>ROUNDDOWN(梅田ここから4000[[#This Row],[人数]]/8,0)</f>
        <v>0</v>
      </c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45045</v>
      </c>
      <c r="M33" s="20" t="str">
        <f>IF(梅田ここから3500[[#This Row],[人数]]=0,"",1)</f>
        <v/>
      </c>
      <c r="N33" s="14"/>
      <c r="O33" s="15"/>
      <c r="P33" s="21">
        <f>ROUNDDOWN(梅田ここから3500[[#This Row],[人数]]/8,0)</f>
        <v>0</v>
      </c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45046</v>
      </c>
      <c r="B34" s="20" t="str">
        <f>IF(梅田ここから4000[[#This Row],[人数]]=0,"",1)</f>
        <v/>
      </c>
      <c r="C34" s="14"/>
      <c r="D34" s="15"/>
      <c r="E34" s="21">
        <f>ROUNDDOWN(梅田ここから4000[[#This Row],[人数]]/8,0)</f>
        <v>0</v>
      </c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45046</v>
      </c>
      <c r="M34" s="20" t="str">
        <f>IF(梅田ここから3500[[#This Row],[人数]]=0,"",1)</f>
        <v/>
      </c>
      <c r="N34" s="14"/>
      <c r="O34" s="15"/>
      <c r="P34" s="21">
        <f>ROUNDDOWN(梅田ここから3500[[#This Row],[人数]]/8,0)</f>
        <v>0</v>
      </c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 t="str">
        <f t="shared" si="0"/>
        <v/>
      </c>
      <c r="B35" s="20" t="str">
        <f>IF(梅田ここから4000[[#This Row],[人数]]=0,"",1)</f>
        <v/>
      </c>
      <c r="C35" s="18"/>
      <c r="D35" s="19"/>
      <c r="E35" s="21">
        <f>ROUNDDOWN(梅田ここから4000[[#This Row],[人数]]/8,0)</f>
        <v>0</v>
      </c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 t="str">
        <f t="shared" si="1"/>
        <v/>
      </c>
      <c r="M35" s="20" t="str">
        <f>IF(梅田ここから3500[[#This Row],[人数]]=0,"",1)</f>
        <v/>
      </c>
      <c r="N35" s="18"/>
      <c r="O35" s="19"/>
      <c r="P35" s="21">
        <f>ROUNDDOWN(梅田ここから3500[[#This Row],[人数]]/8,0)</f>
        <v>0</v>
      </c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322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SUM(梅田ここから4000[[#All],[8件以上件数]])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SUM(梅田ここから3500[[#All],[8件以上件数]])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tabSelected="1"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4.88671875" style="8" bestFit="1" customWidth="1"/>
    <col min="6" max="6" width="11.66406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G1" s="93" t="s">
        <v>541</v>
      </c>
    </row>
    <row r="2" spans="1:21">
      <c r="A2" s="46" t="s">
        <v>371</v>
      </c>
      <c r="B2" s="8">
        <v>1300</v>
      </c>
      <c r="G2" s="93" t="s">
        <v>542</v>
      </c>
    </row>
    <row r="3" spans="1:21">
      <c r="A3" s="46" t="s">
        <v>375</v>
      </c>
      <c r="B3" s="8">
        <v>4000</v>
      </c>
      <c r="C3" s="46" t="s">
        <v>518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568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20" t="str">
        <f>IF(三ノ宮Barさんかく4000[[#This Row],[人数]]=0,"",1)</f>
        <v/>
      </c>
      <c r="C5" s="14"/>
      <c r="D5" s="15"/>
      <c r="E5" s="21">
        <f>ROUNDDOWN(三ノ宮Barさんかく4000[[#This Row],[人数]]/8,0)</f>
        <v>0</v>
      </c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20" t="str">
        <f>IF(三ノ宮Barさんかく3500[[#This Row],[人数]]=0,"",1)</f>
        <v/>
      </c>
      <c r="N5" s="14"/>
      <c r="O5" s="15"/>
      <c r="P5" s="21">
        <f>ROUNDDOWN(三ノ宮Barさんかく3500[[#This Row],[人数]]/8,0)</f>
        <v>0</v>
      </c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IF(三ノ宮Barさんかく4000[[#This Row],[人数]]=0,"",1)</f>
        <v/>
      </c>
      <c r="C6" s="14"/>
      <c r="D6" s="15"/>
      <c r="E6" s="21">
        <f>ROUNDDOWN(三ノ宮Barさんかく4000[[#This Row],[人数]]/8,0)</f>
        <v>0</v>
      </c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20" t="str">
        <f>IF(三ノ宮Barさんかく3500[[#This Row],[人数]]=0,"",1)</f>
        <v/>
      </c>
      <c r="N6" s="14"/>
      <c r="O6" s="15"/>
      <c r="P6" s="21">
        <f>ROUNDDOWN(三ノ宮Barさんかく3500[[#This Row],[人数]]/8,0)</f>
        <v>0</v>
      </c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IF(三ノ宮Barさんかく4000[[#This Row],[人数]]=0,"",1)</f>
        <v/>
      </c>
      <c r="C7" s="14"/>
      <c r="D7" s="15"/>
      <c r="E7" s="21">
        <f>ROUNDDOWN(三ノ宮Barさんかく4000[[#This Row],[人数]]/8,0)</f>
        <v>0</v>
      </c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0" t="str">
        <f>IF(三ノ宮Barさんかく3500[[#This Row],[人数]]=0,"",1)</f>
        <v/>
      </c>
      <c r="N7" s="14"/>
      <c r="O7" s="15"/>
      <c r="P7" s="21">
        <f>ROUNDDOWN(三ノ宮Barさんかく3500[[#This Row],[人数]]/8,0)</f>
        <v>0</v>
      </c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45020</v>
      </c>
      <c r="B8" s="20" t="str">
        <f>IF(三ノ宮Barさんかく4000[[#This Row],[人数]]=0,"",1)</f>
        <v/>
      </c>
      <c r="C8" s="14"/>
      <c r="D8" s="15"/>
      <c r="E8" s="21">
        <f>ROUNDDOWN(三ノ宮Barさんかく4000[[#This Row],[人数]]/8,0)</f>
        <v>0</v>
      </c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45020</v>
      </c>
      <c r="M8" s="20" t="str">
        <f>IF(三ノ宮Barさんかく3500[[#This Row],[人数]]=0,"",1)</f>
        <v/>
      </c>
      <c r="N8" s="14"/>
      <c r="O8" s="15"/>
      <c r="P8" s="21">
        <f>ROUNDDOWN(三ノ宮Barさんかく3500[[#This Row],[人数]]/8,0)</f>
        <v>0</v>
      </c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45021</v>
      </c>
      <c r="B9" s="20" t="str">
        <f>IF(三ノ宮Barさんかく4000[[#This Row],[人数]]=0,"",1)</f>
        <v/>
      </c>
      <c r="C9" s="14"/>
      <c r="D9" s="15"/>
      <c r="E9" s="21">
        <f>ROUNDDOWN(三ノ宮Barさんかく4000[[#This Row],[人数]]/8,0)</f>
        <v>0</v>
      </c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45021</v>
      </c>
      <c r="M9" s="20" t="str">
        <f>IF(三ノ宮Barさんかく3500[[#This Row],[人数]]=0,"",1)</f>
        <v/>
      </c>
      <c r="N9" s="14"/>
      <c r="O9" s="15"/>
      <c r="P9" s="21">
        <f>ROUNDDOWN(三ノ宮Barさんかく3500[[#This Row],[人数]]/8,0)</f>
        <v>0</v>
      </c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45022</v>
      </c>
      <c r="B10" s="20" t="str">
        <f>IF(三ノ宮Barさんかく4000[[#This Row],[人数]]=0,"",1)</f>
        <v/>
      </c>
      <c r="C10" s="14"/>
      <c r="D10" s="15"/>
      <c r="E10" s="21">
        <f>ROUNDDOWN(三ノ宮Barさんかく4000[[#This Row],[人数]]/8,0)</f>
        <v>0</v>
      </c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45022</v>
      </c>
      <c r="M10" s="20" t="str">
        <f>IF(三ノ宮Barさんかく3500[[#This Row],[人数]]=0,"",1)</f>
        <v/>
      </c>
      <c r="N10" s="14"/>
      <c r="O10" s="15"/>
      <c r="P10" s="21">
        <f>ROUNDDOWN(三ノ宮Barさんかく3500[[#This Row],[人数]]/8,0)</f>
        <v>0</v>
      </c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45023</v>
      </c>
      <c r="B11" s="20" t="str">
        <f>IF(三ノ宮Barさんかく4000[[#This Row],[人数]]=0,"",1)</f>
        <v/>
      </c>
      <c r="C11" s="14"/>
      <c r="D11" s="15"/>
      <c r="E11" s="21">
        <f>ROUNDDOWN(三ノ宮Barさんかく4000[[#This Row],[人数]]/8,0)</f>
        <v>0</v>
      </c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45023</v>
      </c>
      <c r="M11" s="20" t="str">
        <f>IF(三ノ宮Barさんかく3500[[#This Row],[人数]]=0,"",1)</f>
        <v/>
      </c>
      <c r="N11" s="14"/>
      <c r="O11" s="15"/>
      <c r="P11" s="21">
        <f>ROUNDDOWN(三ノ宮Barさんかく3500[[#This Row],[人数]]/8,0)</f>
        <v>0</v>
      </c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45024</v>
      </c>
      <c r="B12" s="20" t="str">
        <f>IF(三ノ宮Barさんかく4000[[#This Row],[人数]]=0,"",1)</f>
        <v/>
      </c>
      <c r="C12" s="14"/>
      <c r="D12" s="15"/>
      <c r="E12" s="21">
        <f>ROUNDDOWN(三ノ宮Barさんかく4000[[#This Row],[人数]]/8,0)</f>
        <v>0</v>
      </c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45024</v>
      </c>
      <c r="M12" s="20" t="str">
        <f>IF(三ノ宮Barさんかく3500[[#This Row],[人数]]=0,"",1)</f>
        <v/>
      </c>
      <c r="N12" s="14"/>
      <c r="O12" s="15"/>
      <c r="P12" s="21">
        <f>ROUNDDOWN(三ノ宮Barさんかく3500[[#This Row],[人数]]/8,0)</f>
        <v>0</v>
      </c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45025</v>
      </c>
      <c r="B13" s="20">
        <f>IF(三ノ宮Barさんかく4000[[#This Row],[人数]]=0,"",1)</f>
        <v>1</v>
      </c>
      <c r="C13" s="14">
        <v>0</v>
      </c>
      <c r="D13" s="15">
        <v>9</v>
      </c>
      <c r="E13" s="21">
        <f>ROUNDDOWN(三ノ宮Barさんかく4000[[#This Row],[人数]]/8,0)</f>
        <v>1</v>
      </c>
      <c r="F13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13" s="16">
        <f>IFERROR(($B$3*三ノ宮Barさんかく4000[[#This Row],[人数]])-三ノ宮Barさんかく4000[[#This Row],[単価合計]]-(三ノ宮Barさんかく4000[[#This Row],[キャンセル人数]]*$B$2),"")</f>
        <v>16000</v>
      </c>
      <c r="H13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3" s="15"/>
      <c r="J13" s="16">
        <f>IF(三ノ宮Barさんかく4000[[#This Row],[人数]]="","",VLOOKUP(三ノ宮Barさんかく4000[[#This Row],[人数]],バック金額②[#All],2,TRUE))</f>
        <v>10000</v>
      </c>
      <c r="L13" s="63">
        <f t="shared" si="1"/>
        <v>45025</v>
      </c>
      <c r="M13" s="20" t="str">
        <f>IF(三ノ宮Barさんかく3500[[#This Row],[人数]]=0,"",1)</f>
        <v/>
      </c>
      <c r="N13" s="14"/>
      <c r="O13" s="15"/>
      <c r="P13" s="21">
        <f>ROUNDDOWN(三ノ宮Barさんかく3500[[#This Row],[人数]]/8,0)</f>
        <v>0</v>
      </c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45026</v>
      </c>
      <c r="B14" s="20" t="str">
        <f>IF(三ノ宮Barさんかく4000[[#This Row],[人数]]=0,"",1)</f>
        <v/>
      </c>
      <c r="C14" s="14"/>
      <c r="D14" s="15"/>
      <c r="E14" s="21">
        <f>ROUNDDOWN(三ノ宮Barさんかく4000[[#This Row],[人数]]/8,0)</f>
        <v>0</v>
      </c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45026</v>
      </c>
      <c r="M14" s="20" t="str">
        <f>IF(三ノ宮Barさんかく3500[[#This Row],[人数]]=0,"",1)</f>
        <v/>
      </c>
      <c r="N14" s="14"/>
      <c r="O14" s="15"/>
      <c r="P14" s="21">
        <f>ROUNDDOWN(三ノ宮Barさんかく3500[[#This Row],[人数]]/8,0)</f>
        <v>0</v>
      </c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45027</v>
      </c>
      <c r="B15" s="20" t="str">
        <f>IF(三ノ宮Barさんかく4000[[#This Row],[人数]]=0,"",1)</f>
        <v/>
      </c>
      <c r="C15" s="14"/>
      <c r="D15" s="15"/>
      <c r="E15" s="21">
        <f>ROUNDDOWN(三ノ宮Barさんかく4000[[#This Row],[人数]]/8,0)</f>
        <v>0</v>
      </c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45027</v>
      </c>
      <c r="M15" s="20" t="str">
        <f>IF(三ノ宮Barさんかく3500[[#This Row],[人数]]=0,"",1)</f>
        <v/>
      </c>
      <c r="N15" s="14"/>
      <c r="O15" s="15"/>
      <c r="P15" s="21">
        <f>ROUNDDOWN(三ノ宮Barさんかく3500[[#This Row],[人数]]/8,0)</f>
        <v>0</v>
      </c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45028</v>
      </c>
      <c r="B16" s="20" t="str">
        <f>IF(三ノ宮Barさんかく4000[[#This Row],[人数]]=0,"",1)</f>
        <v/>
      </c>
      <c r="C16" s="14"/>
      <c r="D16" s="15"/>
      <c r="E16" s="21">
        <f>ROUNDDOWN(三ノ宮Barさんかく4000[[#This Row],[人数]]/8,0)</f>
        <v>0</v>
      </c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3">
        <f t="shared" si="1"/>
        <v>45028</v>
      </c>
      <c r="M16" s="20" t="str">
        <f>IF(三ノ宮Barさんかく3500[[#This Row],[人数]]=0,"",1)</f>
        <v/>
      </c>
      <c r="N16" s="14"/>
      <c r="O16" s="15"/>
      <c r="P16" s="21">
        <f>ROUNDDOWN(三ノ宮Barさんかく3500[[#This Row],[人数]]/8,0)</f>
        <v>0</v>
      </c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45029</v>
      </c>
      <c r="B17" s="20" t="str">
        <f>IF(三ノ宮Barさんかく4000[[#This Row],[人数]]=0,"",1)</f>
        <v/>
      </c>
      <c r="C17" s="14"/>
      <c r="D17" s="15"/>
      <c r="E17" s="21">
        <f>ROUNDDOWN(三ノ宮Barさんかく4000[[#This Row],[人数]]/8,0)</f>
        <v>0</v>
      </c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45029</v>
      </c>
      <c r="M17" s="20" t="str">
        <f>IF(三ノ宮Barさんかく3500[[#This Row],[人数]]=0,"",1)</f>
        <v/>
      </c>
      <c r="N17" s="14"/>
      <c r="O17" s="15"/>
      <c r="P17" s="21">
        <f>ROUNDDOWN(三ノ宮Barさんかく3500[[#This Row],[人数]]/8,0)</f>
        <v>0</v>
      </c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45030</v>
      </c>
      <c r="B18" s="20" t="str">
        <f>IF(三ノ宮Barさんかく4000[[#This Row],[人数]]=0,"",1)</f>
        <v/>
      </c>
      <c r="C18" s="14"/>
      <c r="D18" s="15"/>
      <c r="E18" s="21">
        <f>ROUNDDOWN(三ノ宮Barさんかく4000[[#This Row],[人数]]/8,0)</f>
        <v>0</v>
      </c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45030</v>
      </c>
      <c r="M18" s="20" t="str">
        <f>IF(三ノ宮Barさんかく3500[[#This Row],[人数]]=0,"",1)</f>
        <v/>
      </c>
      <c r="N18" s="14"/>
      <c r="O18" s="15"/>
      <c r="P18" s="21">
        <f>ROUNDDOWN(三ノ宮Barさんかく3500[[#This Row],[人数]]/8,0)</f>
        <v>0</v>
      </c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45031</v>
      </c>
      <c r="B19" s="20" t="str">
        <f>IF(三ノ宮Barさんかく4000[[#This Row],[人数]]=0,"",1)</f>
        <v/>
      </c>
      <c r="C19" s="14"/>
      <c r="D19" s="15"/>
      <c r="E19" s="21">
        <f>ROUNDDOWN(三ノ宮Barさんかく4000[[#This Row],[人数]]/8,0)</f>
        <v>0</v>
      </c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45031</v>
      </c>
      <c r="M19" s="20" t="str">
        <f>IF(三ノ宮Barさんかく3500[[#This Row],[人数]]=0,"",1)</f>
        <v/>
      </c>
      <c r="N19" s="14"/>
      <c r="O19" s="15"/>
      <c r="P19" s="21">
        <f>ROUNDDOWN(三ノ宮Barさんかく3500[[#This Row],[人数]]/8,0)</f>
        <v>0</v>
      </c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45032</v>
      </c>
      <c r="B20" s="20" t="str">
        <f>IF(三ノ宮Barさんかく4000[[#This Row],[人数]]=0,"",1)</f>
        <v/>
      </c>
      <c r="C20" s="14">
        <v>0</v>
      </c>
      <c r="D20" s="15">
        <v>0</v>
      </c>
      <c r="E20" s="21">
        <v>8</v>
      </c>
      <c r="F20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0</v>
      </c>
      <c r="G20" s="16">
        <f>IFERROR(($B$3*三ノ宮Barさんかく4000[[#This Row],[人数]])-三ノ宮Barさんかく4000[[#This Row],[単価合計]]-(三ノ宮Barさんかく4000[[#This Row],[キャンセル人数]]*$B$2),"")</f>
        <v>-9100</v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>
        <v>7</v>
      </c>
      <c r="J20" s="16" t="e">
        <f>IF(三ノ宮Barさんかく4000[[#This Row],[人数]]="","",VLOOKUP(三ノ宮Barさんかく4000[[#This Row],[人数]],バック金額②[#All],2,TRUE))</f>
        <v>#N/A</v>
      </c>
      <c r="L20" s="63">
        <f t="shared" si="1"/>
        <v>45032</v>
      </c>
      <c r="M20" s="20" t="str">
        <f>IF(三ノ宮Barさんかく3500[[#This Row],[人数]]=0,"",1)</f>
        <v/>
      </c>
      <c r="N20" s="14"/>
      <c r="O20" s="15"/>
      <c r="P20" s="21">
        <f>ROUNDDOWN(三ノ宮Barさんかく3500[[#This Row],[人数]]/8,0)</f>
        <v>0</v>
      </c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45033</v>
      </c>
      <c r="B21" s="20" t="str">
        <f>IF(三ノ宮Barさんかく4000[[#This Row],[人数]]=0,"",1)</f>
        <v/>
      </c>
      <c r="C21" s="14"/>
      <c r="D21" s="15"/>
      <c r="E21" s="21">
        <f>ROUNDDOWN(三ノ宮Barさんかく4000[[#This Row],[人数]]/8,0)</f>
        <v>0</v>
      </c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45033</v>
      </c>
      <c r="M21" s="20" t="str">
        <f>IF(三ノ宮Barさんかく3500[[#This Row],[人数]]=0,"",1)</f>
        <v/>
      </c>
      <c r="N21" s="14"/>
      <c r="O21" s="15"/>
      <c r="P21" s="21">
        <f>ROUNDDOWN(三ノ宮Barさんかく3500[[#This Row],[人数]]/8,0)</f>
        <v>0</v>
      </c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45034</v>
      </c>
      <c r="B22" s="20" t="str">
        <f>IF(三ノ宮Barさんかく4000[[#This Row],[人数]]=0,"",1)</f>
        <v/>
      </c>
      <c r="C22" s="14"/>
      <c r="D22" s="15"/>
      <c r="E22" s="21">
        <f>ROUNDDOWN(三ノ宮Barさんかく4000[[#This Row],[人数]]/8,0)</f>
        <v>0</v>
      </c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45034</v>
      </c>
      <c r="M22" s="20" t="str">
        <f>IF(三ノ宮Barさんかく3500[[#This Row],[人数]]=0,"",1)</f>
        <v/>
      </c>
      <c r="N22" s="14"/>
      <c r="O22" s="15"/>
      <c r="P22" s="21">
        <f>ROUNDDOWN(三ノ宮Barさんかく3500[[#This Row],[人数]]/8,0)</f>
        <v>0</v>
      </c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45035</v>
      </c>
      <c r="B23" s="20" t="str">
        <f>IF(三ノ宮Barさんかく4000[[#This Row],[人数]]=0,"",1)</f>
        <v/>
      </c>
      <c r="C23" s="14"/>
      <c r="D23" s="15"/>
      <c r="E23" s="21">
        <f>ROUNDDOWN(三ノ宮Barさんかく4000[[#This Row],[人数]]/8,0)</f>
        <v>0</v>
      </c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45035</v>
      </c>
      <c r="M23" s="20" t="str">
        <f>IF(三ノ宮Barさんかく3500[[#This Row],[人数]]=0,"",1)</f>
        <v/>
      </c>
      <c r="N23" s="14"/>
      <c r="O23" s="15"/>
      <c r="P23" s="21">
        <f>ROUNDDOWN(三ノ宮Barさんかく3500[[#This Row],[人数]]/8,0)</f>
        <v>0</v>
      </c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45036</v>
      </c>
      <c r="B24" s="20" t="str">
        <f>IF(三ノ宮Barさんかく4000[[#This Row],[人数]]=0,"",1)</f>
        <v/>
      </c>
      <c r="C24" s="14"/>
      <c r="D24" s="15"/>
      <c r="E24" s="21">
        <f>ROUNDDOWN(三ノ宮Barさんかく4000[[#This Row],[人数]]/8,0)</f>
        <v>0</v>
      </c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45036</v>
      </c>
      <c r="M24" s="20" t="str">
        <f>IF(三ノ宮Barさんかく3500[[#This Row],[人数]]=0,"",1)</f>
        <v/>
      </c>
      <c r="N24" s="14"/>
      <c r="O24" s="15"/>
      <c r="P24" s="21">
        <f>ROUNDDOWN(三ノ宮Barさんかく3500[[#This Row],[人数]]/8,0)</f>
        <v>0</v>
      </c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45037</v>
      </c>
      <c r="B25" s="20" t="str">
        <f>IF(三ノ宮Barさんかく4000[[#This Row],[人数]]=0,"",1)</f>
        <v/>
      </c>
      <c r="C25" s="14"/>
      <c r="D25" s="15"/>
      <c r="E25" s="21">
        <f>ROUNDDOWN(三ノ宮Barさんかく4000[[#This Row],[人数]]/8,0)</f>
        <v>0</v>
      </c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3">
        <f t="shared" si="1"/>
        <v>45037</v>
      </c>
      <c r="M25" s="20" t="str">
        <f>IF(三ノ宮Barさんかく3500[[#This Row],[人数]]=0,"",1)</f>
        <v/>
      </c>
      <c r="N25" s="14"/>
      <c r="O25" s="15"/>
      <c r="P25" s="21">
        <f>ROUNDDOWN(三ノ宮Barさんかく3500[[#This Row],[人数]]/8,0)</f>
        <v>0</v>
      </c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45038</v>
      </c>
      <c r="B26" s="20" t="str">
        <f>IF(三ノ宮Barさんかく4000[[#This Row],[人数]]=0,"",1)</f>
        <v/>
      </c>
      <c r="C26" s="14"/>
      <c r="D26" s="15"/>
      <c r="E26" s="21">
        <f>ROUNDDOWN(三ノ宮Barさんかく4000[[#This Row],[人数]]/8,0)</f>
        <v>0</v>
      </c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3">
        <f t="shared" si="1"/>
        <v>45038</v>
      </c>
      <c r="M26" s="20" t="str">
        <f>IF(三ノ宮Barさんかく3500[[#This Row],[人数]]=0,"",1)</f>
        <v/>
      </c>
      <c r="N26" s="14"/>
      <c r="O26" s="15"/>
      <c r="P26" s="21">
        <f>ROUNDDOWN(三ノ宮Barさんかく3500[[#This Row],[人数]]/8,0)</f>
        <v>0</v>
      </c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45039</v>
      </c>
      <c r="B27" s="20" t="str">
        <f>IF(三ノ宮Barさんかく4000[[#This Row],[人数]]=0,"",1)</f>
        <v/>
      </c>
      <c r="C27" s="14">
        <v>0</v>
      </c>
      <c r="D27" s="15">
        <v>0</v>
      </c>
      <c r="E27" s="21">
        <f>ROUNDDOWN(三ノ宮Barさんかく4000[[#This Row],[人数]]/8,0)</f>
        <v>0</v>
      </c>
      <c r="F27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0</v>
      </c>
      <c r="G27" s="16">
        <f>IFERROR(($B$3*三ノ宮Barさんかく4000[[#This Row],[人数]])-三ノ宮Barさんかく4000[[#This Row],[単価合計]]-(三ノ宮Barさんかく4000[[#This Row],[キャンセル人数]]*$B$2),"")</f>
        <v>-9100</v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>
        <v>7</v>
      </c>
      <c r="J27" s="16" t="e">
        <f>IF(三ノ宮Barさんかく4000[[#This Row],[人数]]="","",VLOOKUP(三ノ宮Barさんかく4000[[#This Row],[人数]],バック金額②[#All],2,TRUE))</f>
        <v>#N/A</v>
      </c>
      <c r="L27" s="63">
        <f t="shared" si="1"/>
        <v>45039</v>
      </c>
      <c r="M27" s="20" t="str">
        <f>IF(三ノ宮Barさんかく3500[[#This Row],[人数]]=0,"",1)</f>
        <v/>
      </c>
      <c r="N27" s="14"/>
      <c r="O27" s="15"/>
      <c r="P27" s="21">
        <f>ROUNDDOWN(三ノ宮Barさんかく3500[[#This Row],[人数]]/8,0)</f>
        <v>0</v>
      </c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45040</v>
      </c>
      <c r="B28" s="20" t="str">
        <f>IF(三ノ宮Barさんかく4000[[#This Row],[人数]]=0,"",1)</f>
        <v/>
      </c>
      <c r="C28" s="14"/>
      <c r="D28" s="15"/>
      <c r="E28" s="21">
        <f>ROUNDDOWN(三ノ宮Barさんかく4000[[#This Row],[人数]]/8,0)</f>
        <v>0</v>
      </c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45040</v>
      </c>
      <c r="M28" s="20" t="str">
        <f>IF(三ノ宮Barさんかく3500[[#This Row],[人数]]=0,"",1)</f>
        <v/>
      </c>
      <c r="N28" s="14"/>
      <c r="O28" s="15"/>
      <c r="P28" s="21">
        <f>ROUNDDOWN(三ノ宮Barさんかく3500[[#This Row],[人数]]/8,0)</f>
        <v>0</v>
      </c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45041</v>
      </c>
      <c r="B29" s="20" t="str">
        <f>IF(三ノ宮Barさんかく4000[[#This Row],[人数]]=0,"",1)</f>
        <v/>
      </c>
      <c r="C29" s="14"/>
      <c r="D29" s="15"/>
      <c r="E29" s="21">
        <f>ROUNDDOWN(三ノ宮Barさんかく4000[[#This Row],[人数]]/8,0)</f>
        <v>0</v>
      </c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45041</v>
      </c>
      <c r="M29" s="20" t="str">
        <f>IF(三ノ宮Barさんかく3500[[#This Row],[人数]]=0,"",1)</f>
        <v/>
      </c>
      <c r="N29" s="14"/>
      <c r="O29" s="15"/>
      <c r="P29" s="21">
        <f>ROUNDDOWN(三ノ宮Barさんかく3500[[#This Row],[人数]]/8,0)</f>
        <v>0</v>
      </c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45042</v>
      </c>
      <c r="B30" s="20" t="str">
        <f>IF(三ノ宮Barさんかく4000[[#This Row],[人数]]=0,"",1)</f>
        <v/>
      </c>
      <c r="C30" s="14"/>
      <c r="D30" s="15"/>
      <c r="E30" s="21">
        <f>ROUNDDOWN(三ノ宮Barさんかく4000[[#This Row],[人数]]/8,0)</f>
        <v>0</v>
      </c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3">
        <f t="shared" si="1"/>
        <v>45042</v>
      </c>
      <c r="M30" s="20" t="str">
        <f>IF(三ノ宮Barさんかく3500[[#This Row],[人数]]=0,"",1)</f>
        <v/>
      </c>
      <c r="N30" s="14"/>
      <c r="O30" s="15"/>
      <c r="P30" s="21">
        <f>ROUNDDOWN(三ノ宮Barさんかく3500[[#This Row],[人数]]/8,0)</f>
        <v>0</v>
      </c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45043</v>
      </c>
      <c r="B31" s="20" t="str">
        <f>IF(三ノ宮Barさんかく4000[[#This Row],[人数]]=0,"",1)</f>
        <v/>
      </c>
      <c r="C31" s="14"/>
      <c r="D31" s="15"/>
      <c r="E31" s="21">
        <f>ROUNDDOWN(三ノ宮Barさんかく4000[[#This Row],[人数]]/8,0)</f>
        <v>0</v>
      </c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45043</v>
      </c>
      <c r="M31" s="20" t="str">
        <f>IF(三ノ宮Barさんかく3500[[#This Row],[人数]]=0,"",1)</f>
        <v/>
      </c>
      <c r="N31" s="14"/>
      <c r="O31" s="15"/>
      <c r="P31" s="21">
        <f>ROUNDDOWN(三ノ宮Barさんかく3500[[#This Row],[人数]]/8,0)</f>
        <v>0</v>
      </c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45044</v>
      </c>
      <c r="B32" s="20" t="str">
        <f>IF(三ノ宮Barさんかく4000[[#This Row],[人数]]=0,"",1)</f>
        <v/>
      </c>
      <c r="C32" s="14"/>
      <c r="D32" s="15"/>
      <c r="E32" s="21">
        <f>ROUNDDOWN(三ノ宮Barさんかく4000[[#This Row],[人数]]/8,0)</f>
        <v>0</v>
      </c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45044</v>
      </c>
      <c r="M32" s="20" t="str">
        <f>IF(三ノ宮Barさんかく3500[[#This Row],[人数]]=0,"",1)</f>
        <v/>
      </c>
      <c r="N32" s="14"/>
      <c r="O32" s="15"/>
      <c r="P32" s="21">
        <f>ROUNDDOWN(三ノ宮Barさんかく3500[[#This Row],[人数]]/8,0)</f>
        <v>0</v>
      </c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45045</v>
      </c>
      <c r="B33" s="20" t="str">
        <f>IF(三ノ宮Barさんかく4000[[#This Row],[人数]]=0,"",1)</f>
        <v/>
      </c>
      <c r="C33" s="14"/>
      <c r="D33" s="15"/>
      <c r="E33" s="21">
        <f>ROUNDDOWN(三ノ宮Barさんかく4000[[#This Row],[人数]]/8,0)</f>
        <v>0</v>
      </c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3">
        <f t="shared" si="1"/>
        <v>45045</v>
      </c>
      <c r="M33" s="20" t="str">
        <f>IF(三ノ宮Barさんかく3500[[#This Row],[人数]]=0,"",1)</f>
        <v/>
      </c>
      <c r="N33" s="14"/>
      <c r="O33" s="15"/>
      <c r="P33" s="21">
        <f>ROUNDDOWN(三ノ宮Barさんかく3500[[#This Row],[人数]]/8,0)</f>
        <v>0</v>
      </c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45046</v>
      </c>
      <c r="B34" s="20" t="str">
        <f>IF(三ノ宮Barさんかく4000[[#This Row],[人数]]=0,"",1)</f>
        <v/>
      </c>
      <c r="C34" s="14"/>
      <c r="D34" s="15"/>
      <c r="E34" s="21">
        <f>ROUNDDOWN(三ノ宮Barさんかく4000[[#This Row],[人数]]/8,0)</f>
        <v>0</v>
      </c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45046</v>
      </c>
      <c r="M34" s="20" t="str">
        <f>IF(三ノ宮Barさんかく3500[[#This Row],[人数]]=0,"",1)</f>
        <v/>
      </c>
      <c r="N34" s="14"/>
      <c r="O34" s="15"/>
      <c r="P34" s="21">
        <f>ROUNDDOWN(三ノ宮Barさんかく3500[[#This Row],[人数]]/8,0)</f>
        <v>0</v>
      </c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 t="str">
        <f t="shared" si="0"/>
        <v/>
      </c>
      <c r="B35" s="20" t="str">
        <f>IF(三ノ宮Barさんかく4000[[#This Row],[人数]]=0,"",1)</f>
        <v/>
      </c>
      <c r="C35" s="18"/>
      <c r="D35" s="19"/>
      <c r="E35" s="21">
        <f>ROUNDDOWN(三ノ宮Barさんかく4000[[#This Row],[人数]]/8,0)</f>
        <v>0</v>
      </c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 t="str">
        <f t="shared" si="1"/>
        <v/>
      </c>
      <c r="M35" s="20" t="str">
        <f>IF(三ノ宮Barさんかく3500[[#This Row],[人数]]=0,"",1)</f>
        <v/>
      </c>
      <c r="N35" s="18"/>
      <c r="O35" s="19"/>
      <c r="P35" s="21">
        <f>ROUNDDOWN(三ノ宮Barさんかく3500[[#This Row],[人数]]/8,0)</f>
        <v>0</v>
      </c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322</v>
      </c>
      <c r="B36" s="7">
        <f>SUM(三ノ宮Barさんかく4000[[#All],[件数]])</f>
        <v>1</v>
      </c>
      <c r="C36" s="6"/>
      <c r="D36" s="7">
        <f>SUM(三ノ宮Barさんかく4000[[#All],[人数]])</f>
        <v>9</v>
      </c>
      <c r="E36" s="7">
        <f>SUM(三ノ宮Barさんかく4000[[#All],[8件以上件数]])</f>
        <v>9</v>
      </c>
      <c r="F36" s="7">
        <f>SUM(三ノ宮Barさんかく4000[[#All],[単価合計]])</f>
        <v>20000</v>
      </c>
      <c r="G36" s="7">
        <f>SUM(三ノ宮Barさんかく4000[[#All],[ゆうき取りに行く]])</f>
        <v>-2200</v>
      </c>
      <c r="H36" s="7"/>
      <c r="I36" s="7"/>
      <c r="J36" s="7" t="e">
        <f>SUM(三ノ宮Barさんかく4000[[#All],[イベンターへ]])</f>
        <v>#N/A</v>
      </c>
      <c r="L36" s="64" t="s">
        <v>322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SUM(三ノ宮Barさんかく3500[[#All],[8件以上件数]])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45020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45021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322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322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640625" defaultRowHeight="19.5"/>
  <cols>
    <col min="1" max="1" width="20.6640625" style="29" bestFit="1" customWidth="1"/>
    <col min="2" max="2" width="5.5546875" style="29" customWidth="1"/>
    <col min="3" max="3" width="15.6640625" style="29" bestFit="1" customWidth="1"/>
    <col min="4" max="4" width="8.33203125" style="29" bestFit="1" customWidth="1"/>
    <col min="5" max="5" width="13.21875" style="29" bestFit="1" customWidth="1"/>
    <col min="6" max="6" width="12" style="30" bestFit="1" customWidth="1"/>
    <col min="7" max="7" width="15.6640625" style="30" bestFit="1" customWidth="1"/>
    <col min="8" max="9" width="15.6640625" style="30" customWidth="1"/>
    <col min="10" max="10" width="12" style="30" bestFit="1" customWidth="1"/>
    <col min="11" max="11" width="10.6640625" style="29"/>
    <col min="12" max="12" width="20.6640625" style="29" bestFit="1" customWidth="1"/>
    <col min="13" max="13" width="6.33203125" style="29" customWidth="1"/>
    <col min="14" max="14" width="16.5546875" style="29" customWidth="1"/>
    <col min="15" max="15" width="6.33203125" style="29" customWidth="1"/>
    <col min="16" max="16" width="13.21875" style="29" bestFit="1" customWidth="1"/>
    <col min="17" max="17" width="11.44140625" style="30" bestFit="1" customWidth="1"/>
    <col min="18" max="18" width="15.6640625" style="30" bestFit="1" customWidth="1"/>
    <col min="19" max="20" width="15.6640625" style="30" customWidth="1"/>
    <col min="21" max="21" width="12" style="30" bestFit="1" customWidth="1"/>
    <col min="22" max="16384" width="10.6640625" style="29"/>
  </cols>
  <sheetData>
    <row r="1" spans="1:21">
      <c r="A1" s="46" t="s">
        <v>370</v>
      </c>
      <c r="B1" s="8">
        <v>2500</v>
      </c>
      <c r="K1" s="29" t="s">
        <v>509</v>
      </c>
    </row>
    <row r="2" spans="1:21">
      <c r="A2" s="46" t="s">
        <v>371</v>
      </c>
      <c r="B2" s="8">
        <v>1300</v>
      </c>
      <c r="L2" s="29" t="s">
        <v>514</v>
      </c>
      <c r="M2" s="29">
        <v>500</v>
      </c>
    </row>
    <row r="3" spans="1:21">
      <c r="A3" s="46" t="s">
        <v>375</v>
      </c>
      <c r="B3" s="8">
        <v>4000</v>
      </c>
      <c r="C3" s="29" t="s">
        <v>259</v>
      </c>
      <c r="L3" s="46" t="s">
        <v>375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45017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45018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45020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45020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45021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45021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45022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45022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45023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45023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45024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45024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45025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45025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45026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45026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45027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45027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45028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45028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45029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45029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45030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45030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45031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45031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45032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45032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45033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45033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45034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45034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45035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45035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45036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45036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45037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45037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45038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45038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45039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45039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45040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45040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45041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45041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45042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45042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45043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45043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45044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45044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45045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45045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45046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45046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 t="str">
        <f t="shared" si="0"/>
        <v/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 t="str">
        <f t="shared" si="1"/>
        <v/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</vt:i4>
      </vt:variant>
    </vt:vector>
  </HeadingPairs>
  <TitlesOfParts>
    <vt:vector size="34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②（北新地）エルソル</vt:lpstr>
      <vt:lpstr>②（北新地）ファイブ</vt:lpstr>
      <vt:lpstr>②（う）石狩</vt:lpstr>
      <vt:lpstr>②（う）あん</vt:lpstr>
      <vt:lpstr>②（う）煙</vt:lpstr>
      <vt:lpstr>（難波）TSUBAKI</vt:lpstr>
      <vt:lpstr>①（し）サファリ</vt:lpstr>
      <vt:lpstr>①（し）3e BAR</vt:lpstr>
      <vt:lpstr>②（し）ラプロメッサ</vt:lpstr>
      <vt:lpstr>②（し）M &amp;M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②（さ）肉バルしょうじ</vt:lpstr>
      <vt:lpstr>②（さ）きさらぎ</vt:lpstr>
      <vt:lpstr>（さ）HAKU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2023-05-01T11:43:41Z</dcterms:modified>
</cp:coreProperties>
</file>