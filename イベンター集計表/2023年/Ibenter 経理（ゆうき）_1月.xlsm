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3年\"/>
    </mc:Choice>
  </mc:AlternateContent>
  <xr:revisionPtr revIDLastSave="0" documentId="13_ncr:1_{61F2642C-D36E-464E-AB3D-61BD45E81D91}" xr6:coauthVersionLast="47" xr6:coauthVersionMax="47" xr10:uidLastSave="{00000000-0000-0000-0000-000000000000}"/>
  <bookViews>
    <workbookView xWindow="-110" yWindow="-110" windowWidth="22780" windowHeight="14540" firstSheet="5" activeTab="7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領収書分割" sheetId="78" r:id="rId8"/>
    <sheet name="①（う）キャンプ" sheetId="35" r:id="rId9"/>
    <sheet name="①（う）パンプキン" sheetId="36" state="hidden" r:id="rId10"/>
    <sheet name="①（堀江）aiai" sheetId="37" state="hidden" r:id="rId11"/>
    <sheet name="②（堀江）ファイブ" sheetId="38" state="hidden" r:id="rId12"/>
    <sheet name="②（北新地）エルソル" sheetId="49" r:id="rId13"/>
    <sheet name="②（北新地）ファイブ" sheetId="39" r:id="rId14"/>
    <sheet name="②（う）石狩" sheetId="40" state="hidden" r:id="rId15"/>
    <sheet name="②（う）あん" sheetId="41" state="hidden" r:id="rId16"/>
    <sheet name="②（う）煙" sheetId="42" state="hidden" r:id="rId17"/>
    <sheet name="①（し）サファリ" sheetId="43" r:id="rId18"/>
    <sheet name="①（し）3e BAR" sheetId="45" state="hidden" r:id="rId19"/>
    <sheet name="②（し）ラプロメッサ" sheetId="46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F1" i="78" l="1"/>
  <c r="F2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19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E22" i="43"/>
  <c r="E23" i="43"/>
  <c r="H23" i="43" s="1"/>
  <c r="E24" i="43"/>
  <c r="H24" i="43" s="1"/>
  <c r="F24" i="43" s="1"/>
  <c r="G24" i="43" s="1"/>
  <c r="E25" i="43"/>
  <c r="H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F33" i="43" s="1"/>
  <c r="G33" i="43" s="1"/>
  <c r="E34" i="43"/>
  <c r="H34" i="43" s="1"/>
  <c r="E35" i="43"/>
  <c r="H35" i="43" s="1"/>
  <c r="E5" i="43"/>
  <c r="H5" i="43" s="1"/>
  <c r="H14" i="43"/>
  <c r="F14" i="43" s="1"/>
  <c r="G14" i="43" s="1"/>
  <c r="H22" i="43"/>
  <c r="F8" i="43"/>
  <c r="G8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1" i="43"/>
  <c r="G21" i="43" s="1"/>
  <c r="F22" i="43"/>
  <c r="G22" i="43" s="1"/>
  <c r="F23" i="43"/>
  <c r="G23" i="43" s="1"/>
  <c r="F25" i="43"/>
  <c r="G25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/>
  <c r="F32" i="43"/>
  <c r="G32" i="43" s="1"/>
  <c r="F34" i="43"/>
  <c r="G34" i="43" s="1"/>
  <c r="F35" i="43"/>
  <c r="G35" i="43" s="1"/>
  <c r="F27" i="39" l="1"/>
  <c r="G27" i="39" s="1"/>
  <c r="J28" i="43"/>
  <c r="J27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3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6" i="43"/>
  <c r="D36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2" i="43"/>
  <c r="J23" i="43"/>
  <c r="J24" i="43"/>
  <c r="J25" i="43"/>
  <c r="J29" i="43"/>
  <c r="J30" i="43"/>
  <c r="J31" i="43"/>
  <c r="J32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6" i="43"/>
  <c r="F2" i="43" s="1"/>
  <c r="P36" i="42"/>
  <c r="E36" i="42"/>
  <c r="P36" i="41"/>
  <c r="E36" i="41"/>
  <c r="P36" i="40"/>
  <c r="E36" i="40"/>
  <c r="P36" i="62"/>
  <c r="E36" i="62"/>
  <c r="P36" i="39"/>
  <c r="F2" i="39" s="1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5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0" i="43" l="1"/>
  <c r="A28" i="43"/>
  <c r="A26" i="43"/>
  <c r="A24" i="43"/>
  <c r="A34" i="43"/>
  <c r="A22" i="43"/>
  <c r="A20" i="43"/>
  <c r="A18" i="43"/>
  <c r="A16" i="43"/>
  <c r="A14" i="43"/>
  <c r="A12" i="43"/>
  <c r="A10" i="43"/>
  <c r="A8" i="43"/>
  <c r="A32" i="43"/>
  <c r="A31" i="43"/>
  <c r="A29" i="43"/>
  <c r="A27" i="43"/>
  <c r="A25" i="43"/>
  <c r="A23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<sst xmlns="http://schemas.openxmlformats.org/spreadsheetml/2006/main" count="1414" uniqueCount="577">
  <si>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</si>
  <si>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</si>
  <si>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</si>
  <si>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</si>
  <si>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</si>
  <si>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</si>
  <si>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</si>
  <si>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</si>
  <si>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</si>
  <si>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</si>
  <si>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</si>
  <si>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</si>
  <si>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</si>
  <si>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</si>
  <si>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</si>
  <si>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</si>
  <si>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</si>
  <si>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</si>
  <si>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</si>
  <si>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</si>
  <si>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</si>
  <si>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</si>
  <si>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</si>
  <si>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</si>
  <si>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</si>
  <si>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</si>
  <si>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</si>
  <si>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</si>
  <si>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</si>
  <si>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</si>
  <si>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</si>
  <si>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</si>
  <si>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</si>
  <si>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</si>
  <si>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</si>
  <si>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</si>
  <si>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</si>
  <si>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</si>
  <si>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</si>
  <si>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</si>
  <si>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</si>
  <si>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</si>
  <si>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</si>
  <si>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</si>
  <si>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</si>
  <si>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</si>
  <si>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</si>
  <si>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</si>
  <si>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</si>
  <si>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</si>
  <si>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</si>
  <si>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</si>
  <si>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</si>
  <si>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</si>
  <si>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</si>
  <si>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</si>
  <si>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</si>
  <si>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</si>
  <si>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</si>
  <si>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</si>
  <si>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</si>
  <si>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</si>
  <si>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</si>
  <si>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</si>
  <si>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</si>
  <si>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</si>
  <si>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</si>
  <si>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</si>
  <si>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</si>
  <si>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</si>
  <si>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</si>
  <si>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</si>
  <si>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</si>
  <si>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</si>
  <si>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</si>
  <si>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</si>
  <si>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</si>
  <si>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</si>
  <si>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</si>
  <si>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</si>
  <si>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</si>
  <si>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</si>
  <si>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</si>
  <si>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</si>
  <si>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</si>
  <si>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</si>
  <si>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</si>
  <si>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</si>
  <si>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</si>
  <si>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</si>
  <si>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</si>
  <si>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</si>
  <si>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</si>
  <si>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</si>
  <si>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</si>
  <si>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</si>
  <si>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</si>
  <si>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</si>
  <si>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</si>
  <si>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</si>
  <si>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</si>
  <si>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</si>
  <si>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</si>
  <si>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</si>
  <si>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</si>
  <si>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</si>
  <si>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</si>
  <si>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</si>
  <si>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</si>
  <si>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</si>
  <si>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</si>
  <si>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</si>
  <si>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</si>
  <si>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</si>
  <si>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</si>
  <si>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</si>
  <si>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</si>
  <si>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</si>
  <si>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</si>
  <si>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</si>
  <si>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</si>
  <si>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</si>
  <si>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</si>
  <si>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</si>
  <si>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</si>
  <si>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</si>
  <si>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</si>
  <si>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</si>
  <si>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</si>
  <si>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</si>
  <si>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</si>
  <si>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</si>
  <si>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</si>
  <si>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</si>
  <si>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</si>
  <si>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</si>
  <si>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</si>
  <si>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</si>
  <si>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</si>
  <si>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</si>
  <si>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</si>
  <si>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</si>
  <si>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</si>
  <si>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</si>
  <si>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</si>
  <si>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</si>
  <si>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</si>
  <si>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</si>
  <si>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</si>
  <si>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</si>
  <si>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</si>
  <si>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</si>
  <si>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</si>
  <si>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</si>
  <si>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</si>
  <si>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</si>
  <si>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</si>
  <si>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</si>
  <si>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</si>
  <si>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</si>
  <si>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</si>
  <si>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</si>
  <si>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</si>
  <si>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</si>
  <si>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</si>
  <si>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</si>
  <si>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</si>
  <si>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</si>
  <si>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</si>
  <si>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</si>
  <si>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</si>
  <si>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</si>
  <si>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</si>
  <si>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</si>
  <si>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</si>
  <si>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</si>
  <si>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</si>
  <si>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</si>
  <si>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</si>
  <si>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</si>
  <si>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</si>
  <si>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</si>
  <si>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</si>
  <si>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</si>
  <si>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</si>
  <si>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</si>
  <si>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</si>
  <si>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</si>
  <si>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</si>
  <si>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</si>
  <si>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</si>
  <si>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</si>
  <si>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</si>
  <si>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</si>
  <si>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</si>
  <si>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</si>
  <si>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</si>
  <si>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</si>
  <si>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</si>
  <si>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</si>
  <si>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</si>
  <si>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</si>
  <si>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</si>
  <si>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</si>
  <si>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</si>
  <si>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</si>
  <si>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</si>
  <si>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</si>
  <si>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</si>
  <si>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</si>
  <si>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</si>
  <si>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</si>
  <si>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</si>
  <si>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</si>
  <si>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</si>
  <si>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</si>
  <si>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</si>
  <si>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</si>
  <si>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</si>
  <si>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</si>
  <si>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</si>
  <si>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</si>
  <si>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</si>
  <si>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</si>
  <si>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</si>
  <si>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</si>
  <si>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</si>
  <si>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</si>
  <si>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</si>
  <si>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</si>
  <si>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</si>
  <si>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</si>
  <si>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</si>
  <si>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</si>
  <si>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</si>
  <si>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</si>
  <si>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</si>
  <si>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</si>
  <si>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</si>
  <si>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</si>
  <si>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</si>
  <si>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</si>
  <si>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</si>
  <si>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</si>
  <si>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</si>
  <si>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</si>
  <si>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</si>
  <si>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</si>
  <si>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</si>
  <si>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</si>
  <si>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</si>
  <si>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</si>
  <si>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</si>
  <si>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</si>
  <si>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</si>
  <si>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</si>
  <si>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</si>
  <si>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</si>
  <si>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</si>
  <si>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</si>
  <si>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</si>
  <si>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</si>
  <si>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</si>
  <si>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</si>
  <si>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</si>
  <si>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</si>
  <si>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</si>
  <si>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</si>
  <si>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</si>
  <si>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</si>
  <si>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</si>
  <si>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</si>
  <si>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</si>
  <si>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</si>
  <si>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</si>
  <si>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</si>
  <si>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</si>
  <si>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</si>
  <si>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</si>
  <si>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</si>
  <si>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</si>
  <si>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</si>
  <si>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</si>
  <si>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</si>
  <si>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</si>
  <si>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</si>
  <si>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</si>
  <si>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</si>
  <si>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</si>
  <si>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</si>
  <si>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</si>
  <si>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</si>
  <si>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</si>
  <si>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</si>
  <si>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</si>
  <si>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</si>
  <si>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</si>
  <si>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</si>
  <si>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</si>
  <si>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</si>
  <si>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</si>
  <si>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</si>
  <si>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</si>
  <si>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</si>
  <si>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</si>
  <si>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</si>
  <si>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</si>
  <si>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</si>
  <si>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</si>
  <si>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</si>
  <si>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</si>
  <si>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</si>
  <si>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</si>
  <si>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</si>
  <si>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</si>
  <si>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</si>
  <si>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</si>
  <si>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</si>
  <si>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</si>
  <si>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</si>
  <si>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</si>
  <si>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</si>
  <si>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</si>
  <si>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</si>
  <si>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</si>
  <si>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</si>
  <si>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</si>
  <si>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</si>
  <si>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</si>
  <si>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</si>
  <si>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</si>
  <si>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</si>
  <si>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</si>
  <si>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</si>
  <si>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</si>
  <si>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</si>
  <si>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</si>
  <si>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</si>
  <si>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</si>
  <si>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</si>
  <si>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</si>
  <si>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</si>
  <si>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</si>
  <si>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</si>
  <si>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</si>
  <si>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</si>
  <si>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</si>
  <si>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</si>
  <si>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</si>
  <si>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</si>
  <si>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</si>
  <si>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</si>
  <si>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</si>
  <si>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</si>
  <si>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</si>
  <si>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</si>
  <si>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</si>
  <si>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</si>
  <si>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</si>
  <si>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</si>
  <si>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</si>
  <si>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</si>
  <si>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</si>
  <si>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</si>
  <si>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</si>
  <si>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</si>
  <si>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</si>
  <si>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</si>
  <si>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</si>
  <si>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</si>
  <si>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</si>
  <si>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</si>
  <si>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</si>
  <si>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</si>
  <si>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</si>
  <si>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</si>
  <si>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</si>
  <si>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</si>
  <si>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</si>
  <si>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</si>
  <si>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</si>
  <si>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</si>
  <si>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</si>
  <si>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</si>
  <si>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</si>
  <si>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</si>
  <si>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</si>
  <si>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</si>
  <si>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</si>
  <si>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</si>
  <si>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</si>
  <si>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</si>
  <si>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</si>
  <si>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</si>
  <si>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</si>
  <si>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</si>
  <si>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</si>
  <si>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</si>
  <si>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</si>
  <si>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</si>
  <si>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</si>
  <si>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</si>
  <si>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</si>
  <si>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</si>
  <si>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</si>
  <si>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</si>
  <si>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</si>
  <si>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</si>
  <si>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</si>
  <si>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</si>
  <si>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</si>
  <si>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</si>
  <si>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</si>
  <si>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</si>
  <si>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</si>
  <si>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</si>
  <si>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</si>
  <si>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</si>
  <si>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</si>
  <si>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</si>
  <si>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</si>
  <si>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</si>
  <si>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</si>
  <si>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</si>
  <si>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</si>
  <si>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</si>
  <si>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</si>
  <si>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</si>
  <si>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</si>
  <si>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</si>
  <si>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</si>
  <si>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</si>
  <si>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</si>
  <si>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</si>
  <si>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</si>
  <si>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</si>
  <si>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</si>
  <si>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</si>
  <si>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</si>
  <si>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</si>
  <si>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</si>
  <si>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</si>
  <si>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</si>
  <si>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</si>
  <si>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</si>
  <si>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</si>
  <si>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</si>
  <si>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</si>
  <si>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</si>
  <si>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</si>
  <si>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</si>
  <si>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</si>
  <si>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</si>
  <si>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</si>
  <si>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</si>
  <si>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</si>
  <si>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</si>
  <si>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</si>
  <si>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</si>
  <si>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</si>
  <si>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</si>
  <si>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</si>
  <si>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</si>
  <si>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</si>
  <si>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</si>
  <si>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</si>
  <si>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</si>
  <si>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</si>
  <si>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</si>
  <si>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</si>
  <si>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</si>
  <si>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</si>
  <si>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</si>
  <si>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</si>
  <si>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</si>
  <si>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</si>
  <si>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</si>
  <si>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</si>
  <si>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</si>
  <si>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</si>
  <si>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</si>
  <si>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</si>
  <si>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</si>
  <si>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</si>
  <si>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</si>
  <si>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</si>
  <si>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</si>
  <si>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</si>
  <si>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</si>
  <si>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</si>
  <si>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</si>
  <si>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</si>
  <si>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</si>
  <si>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</si>
  <si>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</si>
  <si>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</si>
  <si>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</si>
  <si>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</si>
  <si>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</si>
  <si>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</si>
  <si>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</si>
  <si>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</si>
  <si>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</si>
  <si>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</si>
  <si>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</si>
  <si>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</si>
  <si>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</si>
  <si>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</si>
  <si>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</si>
  <si>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</si>
  <si>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</si>
  <si>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</si>
  <si>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</si>
  <si>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</si>
  <si>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</si>
  <si>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</si>
  <si>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</si>
  <si>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</si>
  <si>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</si>
  <si>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</si>
  <si>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</si>
  <si>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</si>
  <si>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</si>
  <si>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</si>
  <si>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</si>
  <si>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</si>
  <si>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</si>
  <si>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</si>
  <si>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</si>
  <si>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</si>
  <si>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</si>
  <si>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</si>
  <si>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</si>
  <si>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</si>
  <si>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</si>
  <si>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</si>
  <si>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</si>
  <si>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</si>
  <si>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</si>
  <si>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</si>
  <si>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</si>
  <si>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</si>
  <si>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</si>
  <si>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</si>
  <si>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</si>
  <si>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</si>
  <si>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</si>
  <si>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</si>
  <si>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</si>
  <si>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</si>
  <si>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</si>
  <si>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</si>
  <si>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</si>
  <si>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</si>
  <si>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</si>
  <si>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</si>
  <si>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</si>
  <si>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</si>
  <si>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</si>
  <si>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</si>
  <si>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</si>
  <si>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</si>
  <si>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</si>
  <si>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</si>
  <si>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</si>
  <si>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</si>
  <si>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</si>
  <si>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</si>
  <si>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</si>
  <si>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</si>
  <si>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</si>
  <si>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</si>
  <si>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金額</t>
    <rPh sb="0" eb="2">
      <t>キンガク</t>
    </rPh>
    <phoneticPr fontId="2"/>
  </si>
  <si>
    <t>内訳</t>
    <rPh sb="0" eb="2">
      <t>ウチワケ</t>
    </rPh>
    <phoneticPr fontId="2"/>
  </si>
  <si>
    <t>計算結果</t>
    <rPh sb="0" eb="2">
      <t>ケイサン</t>
    </rPh>
    <rPh sb="2" eb="4">
      <t>ケッカ</t>
    </rPh>
    <phoneticPr fontId="2"/>
  </si>
  <si>
    <t>金額と差額</t>
    <rPh sb="0" eb="2">
      <t>キンガク</t>
    </rPh>
    <rPh sb="3" eb="5">
      <t>サガク</t>
    </rPh>
    <phoneticPr fontId="2"/>
  </si>
  <si>
    <t>日付</t>
    <rPh sb="0" eb="2">
      <t>ヒヅケ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</si>
</sst>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0" fillId="0" borderId="0" xfId="0" applyNumberFormat="1" applyAlignment="1">
      <alignment vertical="center"/>
    </xf>
    <xf numFmtId="38" fontId="0" fillId="3" borderId="0" xfId="6" applyFont="1" applyFill="1" applyAlignment="1">
      <alignment vertical="center"/>
    </xf>
    <xf numFmtId="14" fontId="0" fillId="0" borderId="0" xfId="0" applyNumberFormat="1" applyAlignment="1">
      <alignment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5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>
      <calculatedColumnFormula>IF(梅田キャンプ4000[[#This Row],[人数]]=0,"",1)</calculatedColumnFormula>
    </tableColumn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8名以上件数" dataDxfId="646" dataCellStyle="標準 2">
      <calculatedColumnFormula>ROUNDDOWN(梅田キャンプ4000[[#This Row],[人数]]/8,0)</calculatedColumnFormula>
    </tableColumn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48" tableBorderDxfId="547" totalsRowBorderDxfId="546">
  <autoFilter ref="A4:J35" xr:uid="{42414338-E444-BB4D-BA80-49E4335CE2E2}"/>
  <tableColumns count="10">
    <tableColumn id="4" xr3:uid="{22E9A47A-F49D-467F-9DDA-31903DA500BE}" name="日付" dataDxfId="545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44">
      <calculatedColumnFormula>IF(心斎橋CSB4000円[[#This Row],[人数]]=0,"",1)</calculatedColumnFormula>
    </tableColumn>
    <tableColumn id="2" xr3:uid="{4BF66E7A-3B30-654B-A605-CCFBAC441848}" name="予約番号" dataDxfId="543"/>
    <tableColumn id="3" xr3:uid="{2C188A72-23C9-FE41-BDD6-A823AAD0BFCB}" name="人数" dataDxfId="542"/>
    <tableColumn id="8" xr3:uid="{60288A73-20D5-4508-BE42-4FB47F58B012}" name="8人以上件数" dataDxfId="541" dataCellStyle="標準 2">
      <calculatedColumnFormula>ROUNDDOWN(心斎橋CSB4000円[[#This Row],[人数]]/8,0)</calculatedColumnFormula>
    </tableColumn>
    <tableColumn id="5" xr3:uid="{F486775F-119A-42CF-9FD1-63801B9DFF2B}" name="単価合計" dataDxfId="540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39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38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37" dataCellStyle="標準 2"/>
    <tableColumn id="7" xr3:uid="{0BFF34ED-9F1A-4E4E-AC9C-74E571CDBEFA}" name="イベンターへ" dataDxfId="536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35" tableBorderDxfId="534" totalsRowBorderDxfId="533">
  <autoFilter ref="L4:U35" xr:uid="{F7A875AA-1543-644B-A9EF-2AB1CA39FE70}"/>
  <tableColumns count="10">
    <tableColumn id="4" xr3:uid="{E2F695D9-AEDE-482A-BC81-27B8F984826B}" name="日付" dataDxfId="532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31"/>
    <tableColumn id="2" xr3:uid="{029B344B-D744-5D49-A8AA-E3B34531FF96}" name="予約番号" dataDxfId="530"/>
    <tableColumn id="3" xr3:uid="{3339AAB1-64BA-BB4A-9CF5-BAC2D7B2A670}" name="人数" dataDxfId="529" dataCellStyle="標準 2"/>
    <tableColumn id="8" xr3:uid="{B88186CA-9360-4AB3-A122-4EBC448D3C09}" name="Aパターン" dataDxfId="528" dataCellStyle="標準 2"/>
    <tableColumn id="5" xr3:uid="{0C483613-2F19-402E-AA51-597E5B731E02}" name="単価合計" dataDxfId="527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26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25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24" dataCellStyle="標準 2"/>
    <tableColumn id="7" xr3:uid="{511083DE-4120-44B0-A791-95FBE68F9FA7}" name="イベンターへ" dataDxfId="523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22" tableBorderDxfId="521" totalsRowBorderDxfId="520">
  <autoFilter ref="A4:J35" xr:uid="{00DBB7E4-242C-1647-AB5F-10B637CF6C0F}"/>
  <tableColumns count="10">
    <tableColumn id="4" xr3:uid="{14C1A76E-63E2-4748-8CF2-E5A20E3BD634}" name="日付" dataDxfId="519"/>
    <tableColumn id="1" xr3:uid="{312BCEFE-CCFB-DE47-AC2E-53BFF7C95D0A}" name="件数" dataDxfId="518">
      <calculatedColumnFormula>IF(北新地ファイブ4000[[#This Row],[人数]]=0,"",1)</calculatedColumnFormula>
    </tableColumn>
    <tableColumn id="2" xr3:uid="{9CAC6E22-07B0-3E4F-9C0E-229AD7B6BB4A}" name="イベンター予約名" dataDxfId="517"/>
    <tableColumn id="3" xr3:uid="{DC96C07E-E016-BF46-B1CE-AD6CA6D7C610}" name="人数" dataDxfId="516"/>
    <tableColumn id="8" xr3:uid="{5D12CD71-1E77-4EDA-81D7-C1E55CBB28DC}" name="8名以上件数" dataDxfId="515" dataCellStyle="標準 2">
      <calculatedColumnFormula>ROUNDDOWN(北新地ファイブ4000[[#This Row],[人数]]/8,0)</calculatedColumnFormula>
    </tableColumn>
    <tableColumn id="5" xr3:uid="{9774124C-E665-4F19-B841-3CC13DF71B05}" name="単価合計" dataDxfId="514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13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12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11" dataCellStyle="桁区切り 2"/>
    <tableColumn id="7" xr3:uid="{2C0BA5DD-6969-4272-B48B-35BB1507AB2F}" name="イベンターへ" dataDxfId="510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09" tableBorderDxfId="508" totalsRowBorderDxfId="507">
  <autoFilter ref="L4:U35" xr:uid="{C4695727-ADE7-9646-A4E3-4527B6CF8249}"/>
  <tableColumns count="10">
    <tableColumn id="4" xr3:uid="{37B87638-DCB3-47A1-B65F-51490680C21F}" name="日付" dataDxfId="506"/>
    <tableColumn id="1" xr3:uid="{8B7A3305-B137-E249-9FB8-1347B57215FC}" name="件数" dataDxfId="505"/>
    <tableColumn id="2" xr3:uid="{FFF256E6-39AD-A043-A510-B4F12FF4C48D}" name="イベンター予約名" dataDxfId="504"/>
    <tableColumn id="3" xr3:uid="{9198BD1F-0A2B-1A48-B03D-8E6CA169373C}" name="人数" dataDxfId="503"/>
    <tableColumn id="8" xr3:uid="{94F38A54-AB74-4F29-A937-64D862A2A61F}" name="Aパターン" dataDxfId="502" dataCellStyle="標準 2"/>
    <tableColumn id="5" xr3:uid="{0148A512-60B2-446A-8720-D11A68F2CF48}" name="単価合計" dataDxfId="501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00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499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498" dataCellStyle="桁区切り 2"/>
    <tableColumn id="7" xr3:uid="{927FDBE2-67E8-4344-A492-B260AB64E618}" name="イベンターへ" dataDxfId="497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Aパターン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3" sqref="O3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6" t="s">
        <v>235</v>
      </c>
      <c r="N1" s="143">
        <v>2023</v>
      </c>
      <c r="O1" s="145">
        <v>1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16000</v>
      </c>
      <c r="E23" s="80">
        <f>VLOOKUP(名前リスト[[#This Row],[管理番号]],まとめ表_各店舗件数[[#All],[管理番号]:[合計件数]],4,FALSE)</f>
        <v>2</v>
      </c>
      <c r="F23" s="111">
        <f>VLOOKUP(名前リスト[[#This Row],[管理番号]],まとめ表_各Aパターン件数[[#All],[管理番号]:[Aパターン]],4,FALSE)</f>
        <v>1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16000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>
        <f>VLOOKUP(名前リスト[[#This Row],[管理番号]],まとめ表_バック金額[[#All],[管理番号]:[バック金額合計]],4,FALSE)</f>
        <v>9000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6" t="s">
        <v>323</v>
      </c>
      <c r="B1" s="146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2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2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1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1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1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16000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16000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9000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9000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848EA-FD41-4355-A938-6495EB2E10F6}">
  <dimension ref="A1:I10"/>
  <sheetViews>
    <sheetView tabSelected="1" workbookViewId="0"/>
  </sheetViews>
  <sheetFormatPr defaultRowHeight="20"/>
  <cols>
    <col min="8" max="8" width="10.07421875" bestFit="1" customWidth="1"/>
  </cols>
  <sheetData>
    <row r="1" spans="1:9">
      <c r="A1" s="85" t="s">
        <v>572</v>
      </c>
      <c r="B1" s="147">
        <v>67500</v>
      </c>
      <c r="E1" s="85" t="s">
        <v>574</v>
      </c>
      <c r="F1">
        <f>SUM(I2:I10)</f>
        <v>67500</v>
      </c>
      <c r="H1" s="85" t="s">
        <v>576</v>
      </c>
      <c r="I1" s="85" t="s">
        <v>573</v>
      </c>
    </row>
    <row r="2" spans="1:9">
      <c r="A2" s="85"/>
      <c r="E2" s="85" t="s">
        <v>575</v>
      </c>
      <c r="F2" s="147">
        <f>F1-B1</f>
        <v>0</v>
      </c>
      <c r="G2" s="147"/>
      <c r="H2" s="149">
        <v>44939</v>
      </c>
      <c r="I2" s="148">
        <v>35500</v>
      </c>
    </row>
    <row r="3" spans="1:9">
      <c r="A3" s="85"/>
      <c r="B3" s="121"/>
      <c r="H3" s="149">
        <v>44947</v>
      </c>
      <c r="I3" s="148">
        <v>32000</v>
      </c>
    </row>
    <row r="4" spans="1:9">
      <c r="H4" s="149"/>
      <c r="I4" s="148"/>
    </row>
    <row r="5" spans="1:9">
      <c r="H5" s="149"/>
      <c r="I5" s="148"/>
    </row>
    <row r="6" spans="1:9">
      <c r="H6" s="149"/>
      <c r="I6" s="148"/>
    </row>
    <row r="7" spans="1:9">
      <c r="H7" s="149"/>
      <c r="I7" s="148"/>
    </row>
    <row r="8" spans="1:9">
      <c r="H8" s="149"/>
      <c r="I8" s="148"/>
    </row>
    <row r="9" spans="1:9">
      <c r="H9" s="149"/>
      <c r="I9" s="148"/>
    </row>
    <row r="10" spans="1:9">
      <c r="H10" s="149"/>
      <c r="I10" s="148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4.9218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44927</v>
      </c>
      <c r="B5" s="105" t="str">
        <f>TEXT(DATE(名前リスト!$N$1,名前リスト!$O$1,ROW()-4),"aaa")</f>
        <v>日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44927</v>
      </c>
      <c r="O5" s="105" t="str">
        <f>TEXT(DATE(名前リスト!$N$1,名前リスト!$O$1,ROW()-4),"aaa")</f>
        <v>日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44928</v>
      </c>
      <c r="B6" s="105" t="str">
        <f>TEXT(DATE(名前リスト!$N$1,名前リスト!$O$1,ROW()-4),"aaa")</f>
        <v>月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44928</v>
      </c>
      <c r="O6" s="105" t="str">
        <f>TEXT(DATE(名前リスト!$N$1,名前リスト!$O$1,ROW()-4),"aaa")</f>
        <v>月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44929</v>
      </c>
      <c r="B7" s="105" t="str">
        <f>TEXT(DATE(名前リスト!$N$1,名前リスト!$O$1,ROW()-4),"aaa")</f>
        <v>火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44929</v>
      </c>
      <c r="O7" s="105" t="str">
        <f>TEXT(DATE(名前リスト!$N$1,名前リスト!$O$1,ROW()-4),"aaa")</f>
        <v>火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44930</v>
      </c>
      <c r="B8" s="105" t="str">
        <f>TEXT(DATE(名前リスト!$N$1,名前リスト!$O$1,ROW()-4),"aaa")</f>
        <v>水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44930</v>
      </c>
      <c r="O8" s="105" t="str">
        <f>TEXT(DATE(名前リスト!$N$1,名前リスト!$O$1,ROW()-4),"aaa")</f>
        <v>水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44931</v>
      </c>
      <c r="B9" s="105" t="str">
        <f>TEXT(DATE(名前リスト!$N$1,名前リスト!$O$1,ROW()-4),"aaa")</f>
        <v>木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44931</v>
      </c>
      <c r="O9" s="105" t="str">
        <f>TEXT(DATE(名前リスト!$N$1,名前リスト!$O$1,ROW()-4),"aaa")</f>
        <v>木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44932</v>
      </c>
      <c r="B10" s="105" t="str">
        <f>TEXT(DATE(名前リスト!$N$1,名前リスト!$O$1,ROW()-4),"aaa")</f>
        <v>金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44932</v>
      </c>
      <c r="O10" s="105" t="str">
        <f>TEXT(DATE(名前リスト!$N$1,名前リスト!$O$1,ROW()-4),"aaa")</f>
        <v>金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44933</v>
      </c>
      <c r="B11" s="105" t="str">
        <f>TEXT(DATE(名前リスト!$N$1,名前リスト!$O$1,ROW()-4),"aaa")</f>
        <v>土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44933</v>
      </c>
      <c r="O11" s="105" t="str">
        <f>TEXT(DATE(名前リスト!$N$1,名前リスト!$O$1,ROW()-4),"aaa")</f>
        <v>土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44934</v>
      </c>
      <c r="B12" s="105" t="str">
        <f>TEXT(DATE(名前リスト!$N$1,名前リスト!$O$1,ROW()-4),"aaa")</f>
        <v>日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44934</v>
      </c>
      <c r="O12" s="105" t="str">
        <f>TEXT(DATE(名前リスト!$N$1,名前リスト!$O$1,ROW()-4),"aaa")</f>
        <v>日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44935</v>
      </c>
      <c r="B13" s="105" t="str">
        <f>TEXT(DATE(名前リスト!$N$1,名前リスト!$O$1,ROW()-4),"aaa")</f>
        <v>月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44935</v>
      </c>
      <c r="O13" s="105" t="str">
        <f>TEXT(DATE(名前リスト!$N$1,名前リスト!$O$1,ROW()-4),"aaa")</f>
        <v>月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44936</v>
      </c>
      <c r="B14" s="105" t="str">
        <f>TEXT(DATE(名前リスト!$N$1,名前リスト!$O$1,ROW()-4),"aaa")</f>
        <v>火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44936</v>
      </c>
      <c r="O14" s="105" t="str">
        <f>TEXT(DATE(名前リスト!$N$1,名前リスト!$O$1,ROW()-4),"aaa")</f>
        <v>火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44937</v>
      </c>
      <c r="B15" s="105" t="str">
        <f>TEXT(DATE(名前リスト!$N$1,名前リスト!$O$1,ROW()-4),"aaa")</f>
        <v>水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44937</v>
      </c>
      <c r="O15" s="105" t="str">
        <f>TEXT(DATE(名前リスト!$N$1,名前リスト!$O$1,ROW()-4),"aaa")</f>
        <v>水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44938</v>
      </c>
      <c r="B16" s="105" t="str">
        <f>TEXT(DATE(名前リスト!$N$1,名前リスト!$O$1,ROW()-4),"aaa")</f>
        <v>木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44938</v>
      </c>
      <c r="O16" s="105" t="str">
        <f>TEXT(DATE(名前リスト!$N$1,名前リスト!$O$1,ROW()-4),"aaa")</f>
        <v>木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44939</v>
      </c>
      <c r="B17" s="105" t="str">
        <f>TEXT(DATE(名前リスト!$N$1,名前リスト!$O$1,ROW()-4),"aaa")</f>
        <v>金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44939</v>
      </c>
      <c r="O17" s="105" t="str">
        <f>TEXT(DATE(名前リスト!$N$1,名前リスト!$O$1,ROW()-4),"aaa")</f>
        <v>金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44940</v>
      </c>
      <c r="B18" s="105" t="str">
        <f>TEXT(DATE(名前リスト!$N$1,名前リスト!$O$1,ROW()-4),"aaa")</f>
        <v>土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44940</v>
      </c>
      <c r="O18" s="105" t="str">
        <f>TEXT(DATE(名前リスト!$N$1,名前リスト!$O$1,ROW()-4),"aaa")</f>
        <v>土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44941</v>
      </c>
      <c r="B19" s="105" t="str">
        <f>TEXT(DATE(名前リスト!$N$1,名前リスト!$O$1,ROW()-4),"aaa")</f>
        <v>日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44941</v>
      </c>
      <c r="O19" s="105" t="str">
        <f>TEXT(DATE(名前リスト!$N$1,名前リスト!$O$1,ROW()-4),"aaa")</f>
        <v>日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44942</v>
      </c>
      <c r="B20" s="105" t="str">
        <f>TEXT(DATE(名前リスト!$N$1,名前リスト!$O$1,ROW()-4),"aaa")</f>
        <v>月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44942</v>
      </c>
      <c r="O20" s="105" t="str">
        <f>TEXT(DATE(名前リスト!$N$1,名前リスト!$O$1,ROW()-4),"aaa")</f>
        <v>月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44943</v>
      </c>
      <c r="B21" s="105" t="str">
        <f>TEXT(DATE(名前リスト!$N$1,名前リスト!$O$1,ROW()-4),"aaa")</f>
        <v>火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44943</v>
      </c>
      <c r="O21" s="105" t="str">
        <f>TEXT(DATE(名前リスト!$N$1,名前リスト!$O$1,ROW()-4),"aaa")</f>
        <v>火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44944</v>
      </c>
      <c r="B22" s="105" t="str">
        <f>TEXT(DATE(名前リスト!$N$1,名前リスト!$O$1,ROW()-4),"aaa")</f>
        <v>水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44944</v>
      </c>
      <c r="O22" s="105" t="str">
        <f>TEXT(DATE(名前リスト!$N$1,名前リスト!$O$1,ROW()-4),"aaa")</f>
        <v>水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44945</v>
      </c>
      <c r="B23" s="105" t="str">
        <f>TEXT(DATE(名前リスト!$N$1,名前リスト!$O$1,ROW()-4),"aaa")</f>
        <v>木</v>
      </c>
      <c r="C23" s="20" t="str">
        <f>IF(梅田キャンプ4000[[#This Row],[人数]]=0,"",1)</f>
        <v/>
      </c>
      <c r="D23" s="14"/>
      <c r="E23" s="15"/>
      <c r="F23" s="21">
        <f>ROUNDDOWN(梅田キャンプ4000[[#This Row],[人数]]/8,0)</f>
        <v>0</v>
      </c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44945</v>
      </c>
      <c r="O23" s="105" t="str">
        <f>TEXT(DATE(名前リスト!$N$1,名前リスト!$O$1,ROW()-4),"aaa")</f>
        <v>木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44946</v>
      </c>
      <c r="B24" s="105" t="str">
        <f>TEXT(DATE(名前リスト!$N$1,名前リスト!$O$1,ROW()-4),"aaa")</f>
        <v>金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44946</v>
      </c>
      <c r="O24" s="105" t="str">
        <f>TEXT(DATE(名前リスト!$N$1,名前リスト!$O$1,ROW()-4),"aaa")</f>
        <v>金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44947</v>
      </c>
      <c r="B25" s="105" t="str">
        <f>TEXT(DATE(名前リスト!$N$1,名前リスト!$O$1,ROW()-4),"aaa")</f>
        <v>土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44947</v>
      </c>
      <c r="O25" s="105" t="str">
        <f>TEXT(DATE(名前リスト!$N$1,名前リスト!$O$1,ROW()-4),"aaa")</f>
        <v>土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44948</v>
      </c>
      <c r="B26" s="105" t="str">
        <f>TEXT(DATE(名前リスト!$N$1,名前リスト!$O$1,ROW()-4),"aaa")</f>
        <v>日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44948</v>
      </c>
      <c r="O26" s="105" t="str">
        <f>TEXT(DATE(名前リスト!$N$1,名前リスト!$O$1,ROW()-4),"aaa")</f>
        <v>日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44949</v>
      </c>
      <c r="B27" s="105" t="str">
        <f>TEXT(DATE(名前リスト!$N$1,名前リスト!$O$1,ROW()-4),"aaa")</f>
        <v>月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44949</v>
      </c>
      <c r="O27" s="105" t="str">
        <f>TEXT(DATE(名前リスト!$N$1,名前リスト!$O$1,ROW()-4),"aaa")</f>
        <v>月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44950</v>
      </c>
      <c r="B28" s="105" t="str">
        <f>TEXT(DATE(名前リスト!$N$1,名前リスト!$O$1,ROW()-4),"aaa")</f>
        <v>火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44950</v>
      </c>
      <c r="O28" s="105" t="str">
        <f>TEXT(DATE(名前リスト!$N$1,名前リスト!$O$1,ROW()-4),"aaa")</f>
        <v>火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44951</v>
      </c>
      <c r="B29" s="105" t="str">
        <f>TEXT(DATE(名前リスト!$N$1,名前リスト!$O$1,ROW()-4),"aaa")</f>
        <v>水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44951</v>
      </c>
      <c r="O29" s="105" t="str">
        <f>TEXT(DATE(名前リスト!$N$1,名前リスト!$O$1,ROW()-4),"aaa")</f>
        <v>水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44952</v>
      </c>
      <c r="B30" s="105" t="str">
        <f>TEXT(DATE(名前リスト!$N$1,名前リスト!$O$1,ROW()-4),"aaa")</f>
        <v>木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44952</v>
      </c>
      <c r="O30" s="105" t="str">
        <f>TEXT(DATE(名前リスト!$N$1,名前リスト!$O$1,ROW()-4),"aaa")</f>
        <v>木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44953</v>
      </c>
      <c r="B31" s="105" t="str">
        <f>TEXT(DATE(名前リスト!$N$1,名前リスト!$O$1,ROW()-4),"aaa")</f>
        <v>金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44953</v>
      </c>
      <c r="O31" s="105" t="str">
        <f>TEXT(DATE(名前リスト!$N$1,名前リスト!$O$1,ROW()-4),"aaa")</f>
        <v>金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44954</v>
      </c>
      <c r="B32" s="105" t="str">
        <f>TEXT(DATE(名前リスト!$N$1,名前リスト!$O$1,ROW()-4),"aaa")</f>
        <v>土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44954</v>
      </c>
      <c r="O32" s="105" t="str">
        <f>TEXT(DATE(名前リスト!$N$1,名前リスト!$O$1,ROW()-4),"aaa")</f>
        <v>土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44955</v>
      </c>
      <c r="B33" s="105" t="str">
        <f>TEXT(DATE(名前リスト!$N$1,名前リスト!$O$1,ROW()-4),"aaa")</f>
        <v>日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44955</v>
      </c>
      <c r="O33" s="105" t="str">
        <f>TEXT(DATE(名前リスト!$N$1,名前リスト!$O$1,ROW()-4),"aaa")</f>
        <v>日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44956</v>
      </c>
      <c r="B34" s="105" t="str">
        <f>TEXT(DATE(名前リスト!$N$1,名前リスト!$O$1,ROW()-4),"aaa")</f>
        <v>月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44956</v>
      </c>
      <c r="O34" s="105" t="str">
        <f>TEXT(DATE(名前リスト!$N$1,名前リスト!$O$1,ROW()-4),"aaa")</f>
        <v>月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44957</v>
      </c>
      <c r="B35" s="105" t="str">
        <f>TEXT(DATE(名前リスト!$N$1,名前リスト!$O$1,ROW()-4),"aaa")</f>
        <v>火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44957</v>
      </c>
      <c r="O35" s="105" t="str">
        <f>TEXT(DATE(名前リスト!$N$1,名前リスト!$O$1,ROW()-4),"aaa")</f>
        <v>火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44930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44931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44956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44957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44930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44931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44957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44930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44931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44932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44933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44934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44935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44936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44937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44938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44939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44940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44941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44942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44943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44944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44945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44946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44947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44948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44949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44950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44951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44952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44953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44954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44955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44956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44957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44957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E2" sqref="E2:F2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17500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44930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44930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44931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44931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44932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44932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44933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44933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44934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44934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44935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44935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44936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44936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44937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44937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44938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44938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44939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44939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44940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44940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44941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44941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44942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44942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44943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44943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44944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44944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44945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44945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44946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44946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44947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44947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44948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44948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44949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44949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44950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44950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44951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44951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44952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44952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44953</v>
      </c>
      <c r="B31" s="20">
        <f>IF(心斎橋CSB4000円[[#This Row],[人数]]=0,"",1)</f>
        <v>1</v>
      </c>
      <c r="C31" s="14">
        <v>228</v>
      </c>
      <c r="D31" s="15">
        <v>8</v>
      </c>
      <c r="E31" s="21">
        <f>ROUNDDOWN(心斎橋CSB4000円[[#This Row],[人数]]/8,0)</f>
        <v>1</v>
      </c>
      <c r="F31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17500</v>
      </c>
      <c r="G31" s="42">
        <f>IFERROR(($B$3*心斎橋CSB4000円[[#This Row],[人数]])-心斎橋CSB4000円[[#This Row],[単価合計]]-(心斎橋CSB4000円[[#This Row],[キャンセル人数]]*$B$2),"")</f>
        <v>14500</v>
      </c>
      <c r="H31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31" s="15"/>
      <c r="J31" s="42">
        <f>IF(心斎橋CSB4000円[[#This Row],[人数]]="","",VLOOKUP(心斎橋CSB4000円[[#This Row],[人数]],バック金額②[#All],2,TRUE)-(心斎橋CSB4000円[[#This Row],[キャンセル人数]]*$B$2))</f>
        <v>9000</v>
      </c>
      <c r="L31" s="63">
        <f t="shared" si="1"/>
        <v>44953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44954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44954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44955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44955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44956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44956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44957</v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44957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1</v>
      </c>
      <c r="C36" s="6"/>
      <c r="D36" s="16">
        <f>SUM(心斎橋CSB4000円[[#All],[人数]])</f>
        <v>8</v>
      </c>
      <c r="E36" s="16">
        <f>SUM(心斎橋CSB4000円[[#All],[8人以上件数]])</f>
        <v>1</v>
      </c>
      <c r="F36" s="16">
        <f>SUM(心斎橋CSB4000円[[#All],[単価合計]])</f>
        <v>17500</v>
      </c>
      <c r="G36" s="16">
        <f>SUM(心斎橋CSB4000円[[#All],[ゆうき取りに行く]])</f>
        <v>14500</v>
      </c>
      <c r="H36" s="16"/>
      <c r="I36" s="16"/>
      <c r="J36" s="16">
        <f>SUM(心斎橋CSB4000円[[#All],[イベンターへ]])</f>
        <v>9000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17" activePane="bottomLeft" state="frozen"/>
      <selection pane="bottomLeft" activeCell="E2" sqref="E2:F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35000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44930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44931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>
        <v>1</v>
      </c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44932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44933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44934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44935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44936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44937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44938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44939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44940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44940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44941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44942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44943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44944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44945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44946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44947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44947</v>
      </c>
      <c r="M25" s="13">
        <v>1</v>
      </c>
      <c r="N25" s="14">
        <v>22</v>
      </c>
      <c r="O25" s="15">
        <v>11</v>
      </c>
      <c r="P25" s="15">
        <v>1</v>
      </c>
      <c r="Q25" s="16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>25000</v>
      </c>
      <c r="R25" s="16">
        <f>IFERROR(($M$3*北新地ファイブ3500[[#This Row],[人数]])-北新地ファイブ3500[[#This Row],[単価合計]]-(北新地ファイブ3500[[#This Row],[キャンセル人数]]*$B$2),"")</f>
        <v>12200</v>
      </c>
      <c r="S25" s="16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>2500</v>
      </c>
      <c r="T25" s="70">
        <v>1</v>
      </c>
      <c r="U25" s="16">
        <f>IF(北新地ファイブ3500[[#This Row],[人数]]="","",VLOOKUP(北新地ファイブ3500[[#This Row],[人数]],バック金額②[#All],2,TRUE))</f>
        <v>12000</v>
      </c>
    </row>
    <row r="26" spans="1:21">
      <c r="A26" s="63">
        <f>IFERROR(IF(DATE(YEAR($A$5),MONTH($A$5),DAY($A$5))=DATE(YEAR(A25),MONTH(A25),DAY(A25+1)),"",DATE(YEAR(A25),MONTH(A25),DAY(A25+1))),"")</f>
        <v>44948</v>
      </c>
      <c r="B26" s="20" t="str">
        <f>IF(北新地ファイブ4000[[#This Row],[人数]]=0,"",1)</f>
        <v/>
      </c>
      <c r="C26" s="14"/>
      <c r="D26" s="15"/>
      <c r="E26" s="21">
        <f>ROUNDDOWN(北新地ファイブ4000[[#This Row],[人数]]/8,0)</f>
        <v>0</v>
      </c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44949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44950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44951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44952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44953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44954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44955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44956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44957</v>
      </c>
      <c r="B35" s="20">
        <f>IF(北新地ファイブ4000[[#This Row],[人数]]=0,"",1)</f>
        <v>1</v>
      </c>
      <c r="C35" s="18">
        <v>22</v>
      </c>
      <c r="D35" s="19">
        <v>4</v>
      </c>
      <c r="E35" s="21">
        <f>ROUNDDOWN(北新地ファイブ4000[[#This Row],[人数]]/8,0)</f>
        <v>0</v>
      </c>
      <c r="F35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10000</v>
      </c>
      <c r="G35" s="16">
        <f>IFERROR(($B$3*北新地ファイブ4000[[#This Row],[人数]])-北新地ファイブ4000[[#This Row],[単価合計]]-(北新地ファイブ4000[[#This Row],[キャンセル人数]]*$B$2),"")</f>
        <v>6000</v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>
        <f>IF(北新地ファイブ4000[[#This Row],[人数]]="","",VLOOKUP(北新地ファイブ4000[[#This Row],[人数]],バック金額②[#All],2,TRUE))</f>
        <v>4000</v>
      </c>
      <c r="L35" s="74">
        <f t="shared" si="1"/>
        <v>44957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4</v>
      </c>
      <c r="E36" s="16">
        <f>SUM(北新地ファイブ4000[[#All],[8名以上件数]])</f>
        <v>0</v>
      </c>
      <c r="F36" s="16">
        <f>SUM(北新地ファイブ4000[[#All],[単価合計]])</f>
        <v>10000</v>
      </c>
      <c r="G36" s="16">
        <f>SUM(北新地ファイブ4000[[#All],[ゆうき取りに行く]])</f>
        <v>6000</v>
      </c>
      <c r="H36" s="16"/>
      <c r="I36" s="16"/>
      <c r="J36" s="16">
        <f>SUM(北新地ファイブ4000[[#All],[イベンターへ]])</f>
        <v>4000</v>
      </c>
      <c r="L36" s="6" t="s">
        <v>211</v>
      </c>
      <c r="M36" s="16">
        <f>SUM(北新地ファイブ3500[[#All],[件数]])</f>
        <v>1</v>
      </c>
      <c r="N36" s="6"/>
      <c r="O36" s="16">
        <f>SUM(北新地ファイブ3500[[#All],[人数]])</f>
        <v>11</v>
      </c>
      <c r="P36" s="16">
        <f>SUM(北新地ファイブ3500[[#All],[Aパターン]])</f>
        <v>1</v>
      </c>
      <c r="Q36" s="16">
        <f>SUM(北新地ファイブ3500[[#All],[単価合計]])</f>
        <v>25000</v>
      </c>
      <c r="R36" s="16">
        <f>SUM(北新地ファイブ3500[[#All],[ゆうき取りに行く]])</f>
        <v>12200</v>
      </c>
      <c r="S36" s="16"/>
      <c r="T36" s="16"/>
      <c r="U36" s="16">
        <f>SUM(北新地ファイブ3500[[#All],[イベンターへ]])</f>
        <v>12000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44927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44930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44931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44932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44933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44934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44935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44936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44937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44938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44939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44940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44941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44942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44943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44944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44945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44946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44947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44948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44949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44950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44951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44952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44953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44954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44955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44956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44957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44934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44955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44957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44943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44957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zoomScale="70" zoomScaleNormal="70" workbookViewId="0">
      <pane ySplit="4" topLeftCell="A17" activePane="bottomLeft" state="frozen"/>
      <selection pane="bottomLeft" activeCell="E2" sqref="E2:F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67500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44928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44929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44930</v>
      </c>
      <c r="B8" s="20" t="str">
        <f>IF(心斎橋サファリ4000[[#This Row],[人数]]=0,"",1)</f>
        <v/>
      </c>
      <c r="C8" s="14"/>
      <c r="D8" s="15"/>
      <c r="E8" s="21">
        <f>ROUNDDOWN(心斎橋サファリ4000[[#This Row],[人数]]/8,0)</f>
        <v>0</v>
      </c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Row],[8名以上件数]]*$B$1=0,"",心斎橋サファリ4000[[#This Row],[8名以上件数]]*$B$1)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44930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44931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44931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44932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44932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44933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44933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44934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44934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44935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44935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44936</v>
      </c>
      <c r="B14" s="20" t="str">
        <f>IF(心斎橋サファリ4000[[#This Row],[人数]]=0,"",1)</f>
        <v/>
      </c>
      <c r="C14" s="14"/>
      <c r="D14" s="15"/>
      <c r="E14" s="21">
        <f>ROUNDDOWN(心斎橋サファリ4000[[#This Row],[人数]]/8,0)</f>
        <v>0</v>
      </c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Row],[8名以上件数]]*$B$1=0,"",心斎橋サファリ4000[[#This Row],[8名以上件数]]*$B$1)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44936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44937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44937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44938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44938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44939</v>
      </c>
      <c r="B17" s="20">
        <f>IF(心斎橋サファリ4000[[#This Row],[人数]]=0,"",1)</f>
        <v>1</v>
      </c>
      <c r="C17" s="14">
        <v>329</v>
      </c>
      <c r="D17" s="15">
        <v>7</v>
      </c>
      <c r="E17" s="21">
        <f>ROUNDDOWN(心斎橋サファリ4000[[#This Row],[人数]]/8,0)</f>
        <v>0</v>
      </c>
      <c r="F1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7" s="16">
        <f>IFERROR(($B$3*心斎橋サファリ4000[[#This Row],[人数]])-心斎橋サファリ4000[[#This Row],[単価合計]]-(心斎橋サファリ4000[[#This Row],[キャンセル人数]]*$B$2),"")</f>
        <v>10500</v>
      </c>
      <c r="H17" s="16" t="str">
        <f>IF(心斎橋サファリ4000[[#This Row],[8名以上件数]]*$B$1=0,"",心斎橋サファリ4000[[#This Row],[8名以上件数]]*$B$1)</f>
        <v/>
      </c>
      <c r="I17" s="115"/>
      <c r="J17" s="114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17" s="63">
        <f t="shared" si="1"/>
        <v>44939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44940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44940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44941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44941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44942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44942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44943</v>
      </c>
      <c r="B21" s="20" t="str">
        <f>IF(心斎橋サファリ4000[[#This Row],[人数]]=0,"",1)</f>
        <v/>
      </c>
      <c r="C21" s="14"/>
      <c r="D21" s="15"/>
      <c r="E21" s="21">
        <f>ROUNDDOWN(心斎橋サファリ4000[[#This Row],[人数]]/8,0)</f>
        <v>0</v>
      </c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Row],[8名以上件数]]*$B$1=0,"",心斎橋サファリ4000[[#This Row],[8名以上件数]]*$B$1)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44943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44944</v>
      </c>
      <c r="B22" s="20" t="str">
        <f>IF(心斎橋サファリ4000[[#This Row],[人数]]=0,"",1)</f>
        <v/>
      </c>
      <c r="C22" s="14"/>
      <c r="D22" s="15"/>
      <c r="E22" s="21">
        <f>ROUNDDOWN(心斎橋サファリ4000[[#This Row],[人数]]/8,0)</f>
        <v>0</v>
      </c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Row],[8名以上件数]]*$B$1=0,"",心斎橋サファリ4000[[#This Row],[8名以上件数]]*$B$1)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44944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44945</v>
      </c>
      <c r="B23" s="20" t="str">
        <f>IF(心斎橋サファリ4000[[#This Row],[人数]]=0,"",1)</f>
        <v/>
      </c>
      <c r="C23" s="14"/>
      <c r="D23" s="15"/>
      <c r="E23" s="21">
        <f>ROUNDDOWN(心斎橋サファリ4000[[#This Row],[人数]]/8,0)</f>
        <v>0</v>
      </c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Row],[8名以上件数]]*$B$1=0,"",心斎橋サファリ4000[[#This Row],[8名以上件数]]*$B$1)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44945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44946</v>
      </c>
      <c r="B24" s="20">
        <f>IF(心斎橋サファリ4000[[#This Row],[人数]]=0,"",1)</f>
        <v>1</v>
      </c>
      <c r="C24" s="14">
        <v>0</v>
      </c>
      <c r="D24" s="15">
        <v>8</v>
      </c>
      <c r="E24" s="21">
        <f>ROUNDDOWN(心斎橋サファリ4000[[#This Row],[人数]]/8,0)</f>
        <v>1</v>
      </c>
      <c r="F2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4" s="16">
        <f>IFERROR(($B$3*心斎橋サファリ4000[[#This Row],[人数]])-心斎橋サファリ4000[[#This Row],[単価合計]]-(心斎橋サファリ4000[[#This Row],[キャンセル人数]]*$B$2),"")</f>
        <v>14500</v>
      </c>
      <c r="H24" s="16">
        <f>IF(心斎橋サファリ4000[[#This Row],[8名以上件数]]*$B$1=0,"",心斎橋サファリ4000[[#This Row],[8名以上件数]]*$B$1)</f>
        <v>2500</v>
      </c>
      <c r="I24" s="15"/>
      <c r="J2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4" s="63">
        <f t="shared" si="1"/>
        <v>44946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44947</v>
      </c>
      <c r="B25" s="20">
        <f>IF(心斎橋サファリ4000[[#This Row],[人数]]=0,"",1)</f>
        <v>1</v>
      </c>
      <c r="C25" s="14">
        <v>342</v>
      </c>
      <c r="D25" s="15">
        <v>8</v>
      </c>
      <c r="E25" s="21">
        <f>ROUNDDOWN(心斎橋サファリ4000[[#This Row],[人数]]/8,0)</f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5" s="16">
        <f>IFERROR(($B$3*心斎橋サファリ4000[[#This Row],[人数]])-心斎橋サファリ4000[[#This Row],[単価合計]]-(心斎橋サファリ4000[[#This Row],[キャンセル人数]]*$B$2),"")</f>
        <v>14500</v>
      </c>
      <c r="H25" s="16">
        <f>IF(心斎橋サファリ4000[[#This Row],[8名以上件数]]*$B$1=0,"",心斎橋サファリ4000[[#This Row],[8名以上件数]]*$B$1)</f>
        <v>2500</v>
      </c>
      <c r="I25" s="1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44947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44948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44948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44949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44949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44950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44950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44951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44951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44952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44952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44953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44953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44954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44954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v>44923</v>
      </c>
      <c r="B33" s="20">
        <f>IF(心斎橋サファリ4000[[#This Row],[人数]]=0,"",1)</f>
        <v>1</v>
      </c>
      <c r="C33" s="14">
        <v>0</v>
      </c>
      <c r="D33" s="15">
        <v>6</v>
      </c>
      <c r="E33" s="21">
        <f>ROUNDDOWN(心斎橋サファリ4000[[#This Row],[人数]]/8,0)</f>
        <v>0</v>
      </c>
      <c r="F3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33" s="16">
        <f>IFERROR(($B$3*心斎橋サファリ4000[[#This Row],[人数]])-心斎橋サファリ4000[[#This Row],[単価合計]]-(心斎橋サファリ4000[[#This Row],[キャンセル人数]]*$B$2),"")</f>
        <v>9000</v>
      </c>
      <c r="H33" s="16" t="str">
        <f>IF(心斎橋サファリ4000[[#This Row],[8名以上件数]]*$B$1=0,"",心斎橋サファリ4000[[#This Row],[8名以上件数]]*$B$1)</f>
        <v/>
      </c>
      <c r="I33" s="115"/>
      <c r="J33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33" s="63">
        <f t="shared" si="1"/>
        <v>44955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 t="shared" si="0"/>
        <v>44956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44956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 t="shared" si="0"/>
        <v>44957</v>
      </c>
      <c r="B35" s="20" t="str">
        <f>IF(心斎橋サファリ4000[[#This Row],[人数]]=0,"",1)</f>
        <v/>
      </c>
      <c r="C35" s="14"/>
      <c r="D35" s="15"/>
      <c r="E35" s="21">
        <f>ROUNDDOWN(心斎橋サファリ4000[[#This Row],[人数]]/8,0)</f>
        <v>0</v>
      </c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Row],[8名以上件数]]*$B$1=0,"",心斎橋サファリ4000[[#This Row],[8名以上件数]]*$B$1)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>
        <f t="shared" si="1"/>
        <v>44957</v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322</v>
      </c>
      <c r="B36" s="16">
        <f>SUM(心斎橋サファリ4000[[#All],[件数]])</f>
        <v>4</v>
      </c>
      <c r="C36" s="6"/>
      <c r="D36" s="16">
        <f>SUM(心斎橋サファリ4000[[#All],[人数]])</f>
        <v>29</v>
      </c>
      <c r="E36" s="16">
        <f>SUM(心斎橋サファリ4000[[#All],[8名以上件数]])</f>
        <v>2</v>
      </c>
      <c r="F36" s="16">
        <f>SUM(心斎橋サファリ4000[[#All],[単価合計]])</f>
        <v>67500</v>
      </c>
      <c r="G36" s="16">
        <f>SUM(心斎橋サファリ4000[[#All],[ゆうき取りに行く]])</f>
        <v>48500</v>
      </c>
      <c r="H36" s="16"/>
      <c r="I36" s="16"/>
      <c r="J36" s="16">
        <f>SUM(心斎橋サファリ4000[[#All],[イベンターへ]])</f>
        <v>36000</v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44930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44931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9218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46000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44930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44931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44932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44933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44934</v>
      </c>
      <c r="B12" s="20">
        <f>IF(心斎橋ラプロメッサ4000円[[#This Row],[人数]]=0,"",1)</f>
        <v>1</v>
      </c>
      <c r="C12" s="14">
        <v>0</v>
      </c>
      <c r="D12" s="15">
        <v>15</v>
      </c>
      <c r="E12" s="21">
        <f>ROUNDDOWN(心斎橋ラプロメッサ4000円[[#This Row],[人数]]/8,0)</f>
        <v>1</v>
      </c>
      <c r="F12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32200</v>
      </c>
      <c r="G12" s="16">
        <f>IFERROR(($B$3*心斎橋ラプロメッサ4000円[[#This Row],[人数]])-心斎橋ラプロメッサ4000円[[#This Row],[単価合計]]-(心斎橋ラプロメッサ4000円[[#This Row],[キャンセル人数]]*$B$2),"")</f>
        <v>27800</v>
      </c>
      <c r="H12" s="16">
        <f>IF(心斎橋ラプロメッサ4000円[[#This Row],[8件以上件数]]=0,"",心斎橋ラプロメッサ4000円[[#This Row],[8件以上件数]]*$B$1)</f>
        <v>2300</v>
      </c>
      <c r="I12" s="15"/>
      <c r="J12" s="16">
        <f>IF(心斎橋ラプロメッサ4000円[[#This Row],[人数]]="","",VLOOKUP(心斎橋ラプロメッサ4000円[[#This Row],[人数]],バック金額②[#All],2,TRUE))</f>
        <v>16000</v>
      </c>
      <c r="L12" s="63">
        <f t="shared" si="1"/>
        <v>44934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44935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44936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44937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44938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44939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44940</v>
      </c>
      <c r="B18" s="20">
        <f>IF(心斎橋ラプロメッサ4000円[[#This Row],[人数]]=0,"",1)</f>
        <v>1</v>
      </c>
      <c r="C18" s="14">
        <v>329</v>
      </c>
      <c r="D18" s="15">
        <v>6</v>
      </c>
      <c r="E18" s="21">
        <f>ROUNDDOWN(心斎橋ラプロメッサ4000円[[#This Row],[人数]]/8,0)</f>
        <v>0</v>
      </c>
      <c r="F18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13800</v>
      </c>
      <c r="G18" s="16">
        <f>IFERROR(($B$3*心斎橋ラプロメッサ4000円[[#This Row],[人数]])-心斎橋ラプロメッサ4000円[[#This Row],[単価合計]]-(心斎橋ラプロメッサ4000円[[#This Row],[キャンセル人数]]*$B$2),"")</f>
        <v>10200</v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>
        <f>IF(心斎橋ラプロメッサ4000円[[#This Row],[人数]]="","",VLOOKUP(心斎橋ラプロメッサ4000円[[#This Row],[人数]],バック金額②[#All],2,TRUE))</f>
        <v>6000</v>
      </c>
      <c r="L18" s="63">
        <f t="shared" si="1"/>
        <v>44940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44941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44942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44943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44944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44945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44946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44947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44948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44949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44950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44951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44952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44953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44954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44955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44956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44956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44957</v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44957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2</v>
      </c>
      <c r="C36" s="6"/>
      <c r="D36" s="16">
        <f>SUM(心斎橋ラプロメッサ4000円[[#All],[人数]])</f>
        <v>21</v>
      </c>
      <c r="E36" s="16">
        <f>SUM(心斎橋ラプロメッサ4000円[[#All],[8件以上件数]])</f>
        <v>1</v>
      </c>
      <c r="F36" s="16">
        <f>SUM(心斎橋ラプロメッサ4000円[[#All],[単価合計]])</f>
        <v>46000</v>
      </c>
      <c r="G36" s="16">
        <f>SUM(心斎橋ラプロメッサ4000円[[#All],[ゆうき取りに行く]])</f>
        <v>38000</v>
      </c>
      <c r="H36" s="16"/>
      <c r="I36" s="16"/>
      <c r="J36" s="16">
        <f>SUM(心斎橋ラプロメッサ4000円[[#All],[イベンターへ]])</f>
        <v>22000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44933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44957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1" activePane="bottomLeft" state="frozen"/>
      <selection pane="bottomLeft" activeCell="G25" sqref="G2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22500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44928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44929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44929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44930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44930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44931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44931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44932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44932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44933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44933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44934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44934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44935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44935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44936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44936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44937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44937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44938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44938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44939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44939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44940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44940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44941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44941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44942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44942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44943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44943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44944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44944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44945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44945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44946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44946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44947</v>
      </c>
      <c r="B25" s="20">
        <f>IF(三ノ宮多味庵4000[[#This Row],[人数]]="","",1)</f>
        <v>1</v>
      </c>
      <c r="C25" s="14">
        <v>0</v>
      </c>
      <c r="D25" s="15">
        <v>10</v>
      </c>
      <c r="E25" s="21">
        <f>ROUNDDOWN(三ノ宮多味庵4000[[#This Row],[人数]]/8,0)</f>
        <v>1</v>
      </c>
      <c r="F25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25" s="16">
        <f>IFERROR(($B$3*三ノ宮多味庵4000[[#This Row],[人数]])-三ノ宮多味庵4000[[#This Row],[単価合計]]-(三ノ宮多味庵4000[[#This Row],[キャンセル人数]]*$B$2),"")</f>
        <v>17500</v>
      </c>
      <c r="H25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5" s="15"/>
      <c r="J25" s="16">
        <f>IF(三ノ宮多味庵4000[[#This Row],[人数]]="","",VLOOKUP(三ノ宮多味庵4000[[#This Row],[人数]],バック金額②[#All],2,TRUE)-(三ノ宮多味庵4000[[#This Row],[キャンセル人数]]*$B$2))</f>
        <v>11000</v>
      </c>
      <c r="L25" s="63">
        <f t="shared" si="1"/>
        <v>44947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44948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44948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44949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44949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44950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44950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44951</v>
      </c>
      <c r="B29" s="20" t="str">
        <f>IF(三ノ宮多味庵4000[[#This Row],[人数]]="","",1)</f>
        <v/>
      </c>
      <c r="C29" s="14"/>
      <c r="D29" s="15"/>
      <c r="E29" s="21">
        <f>ROUNDDOWN(三ノ宮多味庵4000[[#This Row],[人数]]/8,0)</f>
        <v>0</v>
      </c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44951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44952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44952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44953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44953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44954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44954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44955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44955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44956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44956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44957</v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44957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10</v>
      </c>
      <c r="E36" s="7">
        <f>SUM(三ノ宮多味庵4000[[#All],[8名以上件数]])</f>
        <v>1</v>
      </c>
      <c r="F36" s="7">
        <f>SUM(三ノ宮多味庵4000[[#All],[単価合計]])</f>
        <v>22500</v>
      </c>
      <c r="G36" s="7">
        <f>SUM(三ノ宮多味庵4000[[#All],[ゆうき取りに行く]])</f>
        <v>17500</v>
      </c>
      <c r="H36" s="7"/>
      <c r="I36" s="7"/>
      <c r="J36" s="7">
        <f>SUM(三ノ宮多味庵4000[[#All],[イベンターへ]])</f>
        <v>11000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44931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44933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44935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44937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44939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44941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44943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44945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44947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44949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44951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44953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44955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44957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44930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44931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44932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44933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44934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44935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44936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44937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44938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44939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44940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44941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44942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44943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44944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44945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44946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44947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44948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44949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44950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44951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44952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44953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44954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44955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44956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44957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17" activePane="bottomLeft" state="frozen"/>
      <selection pane="bottomLeft" activeCell="C27" sqref="C27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44927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44930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44931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44932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44933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44934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44935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44936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44937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44938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44939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44940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44941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44942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44943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44944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44945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44946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44947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44948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44949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44950</v>
      </c>
      <c r="B28" s="20">
        <f>IF(梅田ここから4000[[#This Row],[人数]]=0,"",1)</f>
        <v>1</v>
      </c>
      <c r="C28" s="14">
        <v>0</v>
      </c>
      <c r="D28" s="15">
        <v>7</v>
      </c>
      <c r="E28" s="21">
        <f>ROUNDDOWN(梅田ここから4000[[#This Row],[人数]]/8,0)</f>
        <v>0</v>
      </c>
      <c r="F28" s="16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>17500</v>
      </c>
      <c r="G28" s="16">
        <f>IFERROR(($B$3*梅田ここから4000[[#This Row],[人数]])-梅田ここから4000[[#This Row],[単価合計]]-(梅田ここから4000[[#This Row],[キャンセル人数]]*$B$2),"")</f>
        <v>10500</v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>
        <f>IF(梅田ここから4000[[#This Row],[人数]]="","",VLOOKUP(梅田ここから4000[[#This Row],[人数]],バック金額②[#All],2,TRUE))</f>
        <v>8000</v>
      </c>
      <c r="L28" s="63">
        <f t="shared" si="1"/>
        <v>44950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44951</v>
      </c>
      <c r="B29" s="20">
        <f>IF(梅田ここから4000[[#This Row],[人数]]=0,"",1)</f>
        <v>1</v>
      </c>
      <c r="C29" s="14">
        <v>0</v>
      </c>
      <c r="D29" s="15">
        <v>8</v>
      </c>
      <c r="E29" s="21">
        <f>ROUNDDOWN(梅田ここから4000[[#This Row],[人数]]/8,0)</f>
        <v>1</v>
      </c>
      <c r="F29" s="16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>17500</v>
      </c>
      <c r="G29" s="16">
        <f>IFERROR(($B$3*梅田ここから4000[[#This Row],[人数]])-梅田ここから4000[[#This Row],[単価合計]]-(梅田ここから4000[[#This Row],[キャンセル人数]]*$B$2),"")</f>
        <v>14500</v>
      </c>
      <c r="H29" s="16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>2500</v>
      </c>
      <c r="I29" s="15"/>
      <c r="J29" s="16">
        <f>IF(梅田ここから4000[[#This Row],[人数]]="","",VLOOKUP(梅田ここから4000[[#This Row],[人数]],バック金額②[#All],2,TRUE))</f>
        <v>9000</v>
      </c>
      <c r="L29" s="63">
        <f t="shared" si="1"/>
        <v>44951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44952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44953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44954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44955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44956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44957</v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44957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2</v>
      </c>
      <c r="C36" s="6"/>
      <c r="D36" s="16">
        <f>SUM(梅田ここから4000[[#All],[人数]])</f>
        <v>15</v>
      </c>
      <c r="E36" s="16">
        <f>SUM(梅田ここから4000[[#All],[8件以上件数]])</f>
        <v>1</v>
      </c>
      <c r="F36" s="16">
        <f>SUM(梅田ここから4000[[#All],[単価合計]])</f>
        <v>35000</v>
      </c>
      <c r="G36" s="16">
        <f>SUM(梅田ここから4000[[#All],[ゆうき取りに行く]])</f>
        <v>25000</v>
      </c>
      <c r="H36" s="16"/>
      <c r="I36" s="16"/>
      <c r="J36" s="16">
        <f>SUM(梅田ここから4000[[#All],[イベンターへ]])</f>
        <v>17000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23" activePane="bottomLeft" state="frozen"/>
      <selection pane="bottomLeft" activeCell="G36" sqref="G3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9218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44930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44930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44931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44931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44932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44933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44934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44935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44936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44937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44938</v>
      </c>
      <c r="B16" s="20" t="str">
        <f>IF(三ノ宮Barさんかく4000[[#This Row],[人数]]=0,"",1)</f>
        <v/>
      </c>
      <c r="C16" s="14"/>
      <c r="D16" s="15"/>
      <c r="E16" s="21">
        <f>ROUNDDOWN(三ノ宮Barさんかく4000[[#This Row],[人数]]/8,0)</f>
        <v>0</v>
      </c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44939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44940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44941</v>
      </c>
      <c r="B19" s="20">
        <f>IF(三ノ宮Barさんかく4000[[#This Row],[人数]]=0,"",1)</f>
        <v>1</v>
      </c>
      <c r="C19" s="14"/>
      <c r="D19" s="15">
        <v>8</v>
      </c>
      <c r="E19" s="21">
        <f>ROUNDDOWN(三ノ宮Barさんかく4000[[#This Row],[人数]]/8,0)</f>
        <v>1</v>
      </c>
      <c r="F1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9" s="16">
        <f>IFERROR(($B$3*三ノ宮Barさんかく4000[[#This Row],[人数]])-三ノ宮Barさんかく4000[[#This Row],[単価合計]]-(三ノ宮Barさんかく4000[[#This Row],[キャンセル人数]]*$B$2),"")</f>
        <v>14500</v>
      </c>
      <c r="H19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9" s="15"/>
      <c r="J19" s="16">
        <f>IF(三ノ宮Barさんかく4000[[#This Row],[人数]]="","",VLOOKUP(三ノ宮Barさんかく4000[[#This Row],[人数]],バック金額②[#All],2,TRUE))</f>
        <v>9000</v>
      </c>
      <c r="L19" s="63">
        <f t="shared" si="1"/>
        <v>44941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44942</v>
      </c>
      <c r="B20" s="20">
        <f>IF(三ノ宮Barさんかく4000[[#This Row],[人数]]=0,"",1)</f>
        <v>1</v>
      </c>
      <c r="C20" s="14">
        <v>324</v>
      </c>
      <c r="D20" s="15">
        <v>6</v>
      </c>
      <c r="E20" s="21">
        <f>ROUNDDOWN(三ノ宮Barさんかく4000[[#This Row],[人数]]/8,0)</f>
        <v>0</v>
      </c>
      <c r="F2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15000</v>
      </c>
      <c r="G20" s="16">
        <f>IFERROR(($B$3*三ノ宮Barさんかく4000[[#This Row],[人数]])-三ノ宮Barさんかく4000[[#This Row],[単価合計]]-(三ノ宮Barさんかく4000[[#This Row],[キャンセル人数]]*$B$2),"")</f>
        <v>9000</v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>
        <f>IF(三ノ宮Barさんかく4000[[#This Row],[人数]]="","",VLOOKUP(三ノ宮Barさんかく4000[[#This Row],[人数]],バック金額②[#All],2,TRUE))</f>
        <v>6000</v>
      </c>
      <c r="L20" s="63">
        <f t="shared" si="1"/>
        <v>44942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44943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44944</v>
      </c>
      <c r="B22" s="20">
        <f>IF(三ノ宮Barさんかく4000[[#This Row],[人数]]=0,"",1)</f>
        <v>1</v>
      </c>
      <c r="C22" s="14"/>
      <c r="D22" s="15">
        <v>8</v>
      </c>
      <c r="E22" s="21">
        <f>ROUNDDOWN(三ノ宮Barさんかく4000[[#This Row],[人数]]/8,0)</f>
        <v>1</v>
      </c>
      <c r="F22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2" s="16">
        <f>IFERROR(($B$3*三ノ宮Barさんかく4000[[#This Row],[人数]])-三ノ宮Barさんかく4000[[#This Row],[単価合計]]-(三ノ宮Barさんかく4000[[#This Row],[キャンセル人数]]*$B$2),"")</f>
        <v>14500</v>
      </c>
      <c r="H22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2" s="15"/>
      <c r="J22" s="16">
        <f>IF(三ノ宮Barさんかく4000[[#This Row],[人数]]="","",VLOOKUP(三ノ宮Barさんかく4000[[#This Row],[人数]],バック金額②[#All],2,TRUE))</f>
        <v>9000</v>
      </c>
      <c r="L22" s="63">
        <f t="shared" si="1"/>
        <v>44944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44945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44946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44947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44948</v>
      </c>
      <c r="B26" s="20" t="str">
        <f>IF(三ノ宮Barさんかく4000[[#This Row],[人数]]=0,"",1)</f>
        <v/>
      </c>
      <c r="C26" s="14"/>
      <c r="D26" s="15"/>
      <c r="E26" s="21">
        <f>ROUNDDOWN(三ノ宮Barさんかく4000[[#This Row],[人数]]/8,0)</f>
        <v>0</v>
      </c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44949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44950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44951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44952</v>
      </c>
      <c r="B30" s="20" t="str">
        <f>IF(三ノ宮Barさんかく4000[[#This Row],[人数]]=0,"",1)</f>
        <v/>
      </c>
      <c r="C30" s="14"/>
      <c r="D30" s="15"/>
      <c r="E30" s="21">
        <f>ROUNDDOWN(三ノ宮Barさんかく4000[[#This Row],[人数]]/8,0)</f>
        <v>0</v>
      </c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44953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44954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44955</v>
      </c>
      <c r="B33" s="20" t="str">
        <f>IF(三ノ宮Barさんかく4000[[#This Row],[人数]]=0,"",1)</f>
        <v/>
      </c>
      <c r="C33" s="14"/>
      <c r="D33" s="15"/>
      <c r="E33" s="21">
        <f>ROUNDDOWN(三ノ宮Barさんかく4000[[#This Row],[人数]]/8,0)</f>
        <v>0</v>
      </c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44956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44957</v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3</v>
      </c>
      <c r="C36" s="6"/>
      <c r="D36" s="7">
        <f>SUM(三ノ宮Barさんかく4000[[#All],[人数]])</f>
        <v>22</v>
      </c>
      <c r="E36" s="7">
        <f>SUM(三ノ宮Barさんかく4000[[#All],[8件以上件数]])</f>
        <v>2</v>
      </c>
      <c r="F36" s="7">
        <f>SUM(三ノ宮Barさんかく4000[[#All],[単価合計]])</f>
        <v>50000</v>
      </c>
      <c r="G36" s="7">
        <f>SUM(三ノ宮Barさんかく4000[[#All],[ゆうき取りに行く]])</f>
        <v>38000</v>
      </c>
      <c r="H36" s="7"/>
      <c r="I36" s="7"/>
      <c r="J36" s="7">
        <f>SUM(三ノ宮Barさんかく4000[[#All],[イベンターへ]])</f>
        <v>24000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44927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44928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44930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44930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44931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44931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44932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44932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44933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44933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44934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44934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44935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44935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44936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44936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44937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44937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44938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44938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44939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44939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44940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44940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44941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44941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44942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44942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44943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44943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44944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44944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44945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44945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44946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44946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44947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44947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44948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44948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44949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44949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44950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44950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44951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44951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44952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44952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44953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44953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44954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44954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44955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44955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44956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44956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44957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44957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44927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44927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44928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44928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44929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44929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44930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44930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44931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44931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44932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44932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44933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44933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44934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44934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44935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44935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44936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44936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44937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44937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44938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44938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44939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44939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44940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44940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44941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44941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44942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44942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44943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44943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44944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44944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44945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44945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44946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44946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44947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44947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44948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44948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44949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44949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44950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44950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44951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44951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44952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44952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44953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44953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44954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44954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44955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44955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44956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44956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44957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44957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領収書分割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2023-02-18T03:20:12Z</dcterms:modified>
</cp:coreProperties>
</file>